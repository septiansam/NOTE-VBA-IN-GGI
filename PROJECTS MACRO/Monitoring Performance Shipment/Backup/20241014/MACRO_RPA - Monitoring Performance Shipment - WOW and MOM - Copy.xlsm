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0E8DDF7B-660F-44D7-9FBA-08A4AC4B9F99}" xr6:coauthVersionLast="47" xr6:coauthVersionMax="47" xr10:uidLastSave="{00000000-0000-0000-0000-000000000000}"/>
  <bookViews>
    <workbookView xWindow="-120" yWindow="-120" windowWidth="20730" windowHeight="11160" tabRatio="738" firstSheet="2" activeTab="2" xr2:uid="{2CCE3C95-2940-4053-8BE7-2A6EFE1350AC}"/>
  </bookViews>
  <sheets>
    <sheet name="Temp_RESUME_PerFactory" sheetId="56" state="hidden" r:id="rId1"/>
    <sheet name="Temp_REPORT1" sheetId="14" state="hidden" r:id="rId2"/>
    <sheet name="HOME" sheetId="3" r:id="rId3"/>
    <sheet name="CC1_InputUser" sheetId="38" state="hidden" r:id="rId4"/>
    <sheet name="Ref_WA" sheetId="49" state="hidden" r:id="rId5"/>
    <sheet name="REPORT1" sheetId="95" r:id="rId6"/>
    <sheet name="Ref_Factory" sheetId="79" state="hidden" r:id="rId7"/>
    <sheet name="RESUME_PerFactory" sheetId="98" r:id="rId8"/>
    <sheet name="RPA1_WA" sheetId="97" r:id="rId9"/>
  </sheets>
  <functionGroups builtInGroupCount="19"/>
  <definedNames>
    <definedName name="_xlnm._FilterDatabase" localSheetId="3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" i="98" l="1"/>
  <c r="AJ7" i="98"/>
  <c r="AJ8" i="98"/>
  <c r="AJ9" i="98"/>
  <c r="AJ10" i="98"/>
  <c r="AJ11" i="98"/>
  <c r="AJ12" i="98"/>
  <c r="AJ13" i="98"/>
  <c r="AJ14" i="98"/>
  <c r="AJ15" i="98"/>
  <c r="AI6" i="98"/>
  <c r="AI7" i="98"/>
  <c r="AI8" i="98"/>
  <c r="AI9" i="98"/>
  <c r="AI10" i="98"/>
  <c r="AI11" i="98"/>
  <c r="AI12" i="98"/>
  <c r="AI13" i="98"/>
  <c r="AI14" i="98"/>
  <c r="AI15" i="98"/>
  <c r="AG6" i="98"/>
  <c r="AG7" i="98"/>
  <c r="AG8" i="98"/>
  <c r="AG9" i="98"/>
  <c r="AG10" i="98"/>
  <c r="AG11" i="98"/>
  <c r="AG12" i="98"/>
  <c r="AG13" i="98"/>
  <c r="AG14" i="98"/>
  <c r="AG15" i="98"/>
  <c r="AF6" i="98"/>
  <c r="AF7" i="98"/>
  <c r="AF8" i="98"/>
  <c r="AF9" i="98"/>
  <c r="AF10" i="98"/>
  <c r="AF11" i="98"/>
  <c r="AF12" i="98"/>
  <c r="AF13" i="98"/>
  <c r="AF14" i="98"/>
  <c r="AF15" i="98"/>
  <c r="AD6" i="98"/>
  <c r="AD7" i="98"/>
  <c r="AD8" i="98"/>
  <c r="AD9" i="98"/>
  <c r="AD10" i="98"/>
  <c r="AD11" i="98"/>
  <c r="AD12" i="98"/>
  <c r="AD13" i="98"/>
  <c r="AD14" i="98"/>
  <c r="AD15" i="98"/>
  <c r="AC6" i="98"/>
  <c r="AC7" i="98"/>
  <c r="AC8" i="98"/>
  <c r="AC9" i="98"/>
  <c r="AC10" i="98"/>
  <c r="AC11" i="98"/>
  <c r="AC12" i="98"/>
  <c r="AC13" i="98"/>
  <c r="AC14" i="98"/>
  <c r="AC15" i="98"/>
  <c r="AA6" i="98"/>
  <c r="AA7" i="98"/>
  <c r="AA8" i="98"/>
  <c r="AA9" i="98"/>
  <c r="AA10" i="98"/>
  <c r="AA11" i="98"/>
  <c r="AA12" i="98"/>
  <c r="AA13" i="98"/>
  <c r="AA14" i="98"/>
  <c r="AA15" i="98"/>
  <c r="Z6" i="98"/>
  <c r="Z7" i="98"/>
  <c r="Z8" i="98"/>
  <c r="Z9" i="98"/>
  <c r="Z10" i="98"/>
  <c r="Z11" i="98"/>
  <c r="Z12" i="98"/>
  <c r="Z13" i="98"/>
  <c r="Z14" i="98"/>
  <c r="Z15" i="98"/>
  <c r="X6" i="98"/>
  <c r="X7" i="98"/>
  <c r="X8" i="98"/>
  <c r="X9" i="98"/>
  <c r="X10" i="98"/>
  <c r="X11" i="98"/>
  <c r="X12" i="98"/>
  <c r="X13" i="98"/>
  <c r="X14" i="98"/>
  <c r="X15" i="98"/>
  <c r="W6" i="98"/>
  <c r="W7" i="98"/>
  <c r="W8" i="98"/>
  <c r="W9" i="98"/>
  <c r="W10" i="98"/>
  <c r="W11" i="98"/>
  <c r="W12" i="98"/>
  <c r="W13" i="98"/>
  <c r="W14" i="98"/>
  <c r="W15" i="98"/>
  <c r="U6" i="98"/>
  <c r="U7" i="98"/>
  <c r="U8" i="98"/>
  <c r="U9" i="98"/>
  <c r="U10" i="98"/>
  <c r="U11" i="98"/>
  <c r="U12" i="98"/>
  <c r="U13" i="98"/>
  <c r="U14" i="98"/>
  <c r="U15" i="98"/>
  <c r="T6" i="98"/>
  <c r="T7" i="98"/>
  <c r="T8" i="98"/>
  <c r="T9" i="98"/>
  <c r="T10" i="98"/>
  <c r="T11" i="98"/>
  <c r="T12" i="98"/>
  <c r="T13" i="98"/>
  <c r="T14" i="98"/>
  <c r="T15" i="98"/>
  <c r="R6" i="98"/>
  <c r="R7" i="98"/>
  <c r="R8" i="98"/>
  <c r="R9" i="98"/>
  <c r="R10" i="98"/>
  <c r="R11" i="98"/>
  <c r="R12" i="98"/>
  <c r="R13" i="98"/>
  <c r="R14" i="98"/>
  <c r="R15" i="98"/>
  <c r="Q6" i="98"/>
  <c r="Q7" i="98"/>
  <c r="Q8" i="98"/>
  <c r="Q9" i="98"/>
  <c r="Q10" i="98"/>
  <c r="Q11" i="98"/>
  <c r="Q12" i="98"/>
  <c r="Q13" i="98"/>
  <c r="Q14" i="98"/>
  <c r="Q15" i="98"/>
  <c r="O6" i="98"/>
  <c r="O7" i="98"/>
  <c r="O8" i="98"/>
  <c r="O9" i="98"/>
  <c r="O10" i="98"/>
  <c r="O11" i="98"/>
  <c r="O12" i="98"/>
  <c r="O13" i="98"/>
  <c r="O14" i="98"/>
  <c r="O15" i="98"/>
  <c r="N6" i="98"/>
  <c r="N7" i="98"/>
  <c r="N8" i="98"/>
  <c r="N9" i="98"/>
  <c r="N10" i="98"/>
  <c r="N11" i="98"/>
  <c r="N12" i="98"/>
  <c r="N13" i="98"/>
  <c r="N14" i="98"/>
  <c r="N15" i="98"/>
  <c r="L6" i="98"/>
  <c r="L7" i="98"/>
  <c r="L8" i="98"/>
  <c r="L9" i="98"/>
  <c r="L10" i="98"/>
  <c r="L11" i="98"/>
  <c r="L12" i="98"/>
  <c r="L13" i="98"/>
  <c r="L14" i="98"/>
  <c r="L15" i="98"/>
  <c r="K6" i="98"/>
  <c r="K7" i="98"/>
  <c r="K8" i="98"/>
  <c r="K9" i="98"/>
  <c r="K10" i="98"/>
  <c r="K11" i="98"/>
  <c r="K12" i="98"/>
  <c r="K13" i="98"/>
  <c r="K14" i="98"/>
  <c r="K15" i="98"/>
  <c r="I6" i="98"/>
  <c r="I7" i="98"/>
  <c r="I8" i="98"/>
  <c r="I9" i="98"/>
  <c r="I10" i="98"/>
  <c r="I11" i="98"/>
  <c r="I12" i="98"/>
  <c r="I13" i="98"/>
  <c r="I14" i="98"/>
  <c r="I15" i="98"/>
  <c r="H6" i="98"/>
  <c r="H7" i="98"/>
  <c r="H8" i="98"/>
  <c r="H9" i="98"/>
  <c r="H10" i="98"/>
  <c r="H11" i="98"/>
  <c r="H12" i="98"/>
  <c r="H13" i="98"/>
  <c r="H14" i="98"/>
  <c r="H15" i="98"/>
  <c r="F5" i="98"/>
  <c r="F6" i="98"/>
  <c r="F7" i="98"/>
  <c r="F8" i="98"/>
  <c r="F9" i="98"/>
  <c r="F10" i="98"/>
  <c r="F11" i="98"/>
  <c r="F12" i="98"/>
  <c r="F13" i="98"/>
  <c r="F14" i="98"/>
  <c r="F15" i="98"/>
  <c r="E5" i="98"/>
  <c r="E6" i="98"/>
  <c r="E7" i="98"/>
  <c r="E8" i="98"/>
  <c r="E9" i="98"/>
  <c r="E10" i="98"/>
  <c r="E11" i="98"/>
  <c r="E12" i="98"/>
  <c r="E13" i="98"/>
  <c r="E14" i="98"/>
  <c r="E15" i="98"/>
  <c r="C5" i="98"/>
  <c r="C6" i="98"/>
  <c r="C7" i="98"/>
  <c r="C8" i="98"/>
  <c r="C9" i="98"/>
  <c r="C10" i="98"/>
  <c r="C11" i="98"/>
  <c r="C12" i="98"/>
  <c r="C13" i="98"/>
  <c r="C14" i="98"/>
  <c r="C15" i="98"/>
  <c r="B5" i="98"/>
  <c r="B6" i="98"/>
  <c r="B7" i="98"/>
  <c r="B8" i="98"/>
  <c r="B9" i="98"/>
  <c r="B10" i="98"/>
  <c r="B11" i="98"/>
  <c r="B12" i="98"/>
  <c r="B13" i="98"/>
  <c r="B14" i="98"/>
  <c r="B15" i="98"/>
  <c r="AJ17" i="98"/>
  <c r="AI17" i="98"/>
  <c r="AG17" i="98"/>
  <c r="AF17" i="98"/>
  <c r="AD17" i="98"/>
  <c r="AC17" i="98"/>
  <c r="AA17" i="98"/>
  <c r="Z17" i="98"/>
  <c r="X17" i="98"/>
  <c r="W17" i="98"/>
  <c r="U17" i="98"/>
  <c r="T17" i="98"/>
  <c r="R17" i="98"/>
  <c r="Q17" i="98"/>
  <c r="O17" i="98"/>
  <c r="N17" i="98"/>
  <c r="L17" i="98"/>
  <c r="K17" i="98"/>
  <c r="I17" i="98"/>
  <c r="H17" i="98"/>
  <c r="F17" i="98"/>
  <c r="E17" i="98"/>
  <c r="C17" i="98"/>
  <c r="B17" i="98"/>
  <c r="AJ5" i="98"/>
  <c r="AI5" i="98"/>
  <c r="AG5" i="98"/>
  <c r="AF5" i="98"/>
  <c r="AD5" i="98"/>
  <c r="AC5" i="98"/>
  <c r="AA5" i="98"/>
  <c r="Z5" i="98"/>
  <c r="X5" i="98"/>
  <c r="W5" i="98"/>
  <c r="U5" i="98"/>
  <c r="T5" i="98"/>
  <c r="R5" i="98"/>
  <c r="Q5" i="98"/>
  <c r="O5" i="98"/>
  <c r="N5" i="98"/>
  <c r="L5" i="98"/>
  <c r="K5" i="98"/>
  <c r="I5" i="98"/>
  <c r="H5" i="98"/>
  <c r="DX6" i="95"/>
  <c r="DY6" i="95"/>
  <c r="DZ6" i="95"/>
  <c r="EA6" i="95"/>
  <c r="EB6" i="95"/>
  <c r="DX7" i="95"/>
  <c r="DY7" i="95"/>
  <c r="DZ7" i="95"/>
  <c r="EA7" i="95"/>
  <c r="EB7" i="95"/>
  <c r="DX8" i="95"/>
  <c r="DY8" i="95"/>
  <c r="DZ8" i="95"/>
  <c r="EA8" i="95"/>
  <c r="EB8" i="95"/>
  <c r="DX9" i="95"/>
  <c r="DY9" i="95"/>
  <c r="DZ9" i="95"/>
  <c r="EA9" i="95"/>
  <c r="EB9" i="95"/>
  <c r="DX10" i="95"/>
  <c r="DY10" i="95"/>
  <c r="DZ10" i="95"/>
  <c r="EA10" i="95"/>
  <c r="EB10" i="95"/>
  <c r="DX11" i="95"/>
  <c r="DY11" i="95"/>
  <c r="DZ11" i="95"/>
  <c r="EA11" i="95"/>
  <c r="EB11" i="95"/>
  <c r="DX12" i="95"/>
  <c r="DY12" i="95"/>
  <c r="DZ12" i="95"/>
  <c r="EA12" i="95"/>
  <c r="EB12" i="95"/>
  <c r="DX13" i="95"/>
  <c r="DY13" i="95"/>
  <c r="DZ13" i="95"/>
  <c r="EA13" i="95"/>
  <c r="EB13" i="95"/>
  <c r="DX14" i="95"/>
  <c r="DY14" i="95"/>
  <c r="DZ14" i="95"/>
  <c r="EA14" i="95"/>
  <c r="EB14" i="95"/>
  <c r="DX15" i="95"/>
  <c r="DY15" i="95"/>
  <c r="DZ15" i="95"/>
  <c r="EA15" i="95"/>
  <c r="EB15" i="95"/>
  <c r="DX16" i="95"/>
  <c r="DY16" i="95"/>
  <c r="DZ16" i="95"/>
  <c r="EA16" i="95"/>
  <c r="EB16" i="95"/>
  <c r="DS6" i="95"/>
  <c r="DT6" i="95"/>
  <c r="DU6" i="95"/>
  <c r="DV6" i="95"/>
  <c r="DW6" i="95"/>
  <c r="DS7" i="95"/>
  <c r="DT7" i="95"/>
  <c r="DU7" i="95"/>
  <c r="DV7" i="95"/>
  <c r="DW7" i="95"/>
  <c r="DS8" i="95"/>
  <c r="DT8" i="95"/>
  <c r="DU8" i="95"/>
  <c r="DV8" i="95"/>
  <c r="DW8" i="95"/>
  <c r="DS9" i="95"/>
  <c r="DT9" i="95"/>
  <c r="DU9" i="95"/>
  <c r="DV9" i="95"/>
  <c r="DW9" i="95"/>
  <c r="DS10" i="95"/>
  <c r="DT10" i="95"/>
  <c r="DU10" i="95"/>
  <c r="DV10" i="95"/>
  <c r="DW10" i="95"/>
  <c r="DS11" i="95"/>
  <c r="DT11" i="95"/>
  <c r="DU11" i="95"/>
  <c r="DV11" i="95"/>
  <c r="DW11" i="95"/>
  <c r="DS12" i="95"/>
  <c r="DT12" i="95"/>
  <c r="DU12" i="95"/>
  <c r="DV12" i="95"/>
  <c r="DW12" i="95"/>
  <c r="DS13" i="95"/>
  <c r="DT13" i="95"/>
  <c r="DU13" i="95"/>
  <c r="DV13" i="95"/>
  <c r="DW13" i="95"/>
  <c r="DS14" i="95"/>
  <c r="DT14" i="95"/>
  <c r="DU14" i="95"/>
  <c r="DV14" i="95"/>
  <c r="DW14" i="95"/>
  <c r="DS15" i="95"/>
  <c r="DT15" i="95"/>
  <c r="DU15" i="95"/>
  <c r="DV15" i="95"/>
  <c r="DV18" i="95" s="1"/>
  <c r="DW15" i="95"/>
  <c r="DW18" i="95" s="1"/>
  <c r="DW21" i="95" s="1"/>
  <c r="DS16" i="95"/>
  <c r="DT16" i="95"/>
  <c r="DU16" i="95"/>
  <c r="DV16" i="95"/>
  <c r="DW16" i="95"/>
  <c r="DM6" i="95"/>
  <c r="DN6" i="95"/>
  <c r="DO6" i="95"/>
  <c r="DP6" i="95"/>
  <c r="DQ6" i="95"/>
  <c r="DM7" i="95"/>
  <c r="DN7" i="95"/>
  <c r="DO7" i="95"/>
  <c r="DP7" i="95"/>
  <c r="DQ7" i="95"/>
  <c r="DM8" i="95"/>
  <c r="DN8" i="95"/>
  <c r="DO8" i="95"/>
  <c r="DP8" i="95"/>
  <c r="DQ8" i="95"/>
  <c r="DM9" i="95"/>
  <c r="DN9" i="95"/>
  <c r="DO9" i="95"/>
  <c r="DP9" i="95"/>
  <c r="DQ9" i="95"/>
  <c r="DM10" i="95"/>
  <c r="DN10" i="95"/>
  <c r="DO10" i="95"/>
  <c r="DP10" i="95"/>
  <c r="DQ10" i="95"/>
  <c r="DM11" i="95"/>
  <c r="DN11" i="95"/>
  <c r="DO11" i="95"/>
  <c r="DP11" i="95"/>
  <c r="DQ11" i="95"/>
  <c r="DM12" i="95"/>
  <c r="DN12" i="95"/>
  <c r="DO12" i="95"/>
  <c r="DP12" i="95"/>
  <c r="DQ12" i="95"/>
  <c r="DM13" i="95"/>
  <c r="DN13" i="95"/>
  <c r="DO13" i="95"/>
  <c r="DP13" i="95"/>
  <c r="DQ13" i="95"/>
  <c r="DM14" i="95"/>
  <c r="DN14" i="95"/>
  <c r="DO14" i="95"/>
  <c r="DP14" i="95"/>
  <c r="DQ14" i="95"/>
  <c r="DM15" i="95"/>
  <c r="DN15" i="95"/>
  <c r="DO15" i="95"/>
  <c r="DP15" i="95"/>
  <c r="DP18" i="95" s="1"/>
  <c r="DQ15" i="95"/>
  <c r="DQ18" i="95" s="1"/>
  <c r="DM16" i="95"/>
  <c r="DN16" i="95"/>
  <c r="DO16" i="95"/>
  <c r="DP16" i="95"/>
  <c r="DQ16" i="95"/>
  <c r="DH6" i="95"/>
  <c r="DI6" i="95"/>
  <c r="DJ6" i="95"/>
  <c r="DK6" i="95"/>
  <c r="DL6" i="95"/>
  <c r="DH7" i="95"/>
  <c r="DI7" i="95"/>
  <c r="DJ7" i="95"/>
  <c r="DK7" i="95"/>
  <c r="DL7" i="95"/>
  <c r="DH8" i="95"/>
  <c r="DI8" i="95"/>
  <c r="DJ8" i="95"/>
  <c r="DK8" i="95"/>
  <c r="DL8" i="95"/>
  <c r="DH9" i="95"/>
  <c r="DI9" i="95"/>
  <c r="DJ9" i="95"/>
  <c r="DK9" i="95"/>
  <c r="DL9" i="95"/>
  <c r="DH10" i="95"/>
  <c r="DI10" i="95"/>
  <c r="DJ10" i="95"/>
  <c r="DK10" i="95"/>
  <c r="DL10" i="95"/>
  <c r="DH11" i="95"/>
  <c r="DI11" i="95"/>
  <c r="DJ11" i="95"/>
  <c r="DK11" i="95"/>
  <c r="DL11" i="95"/>
  <c r="DH12" i="95"/>
  <c r="DI12" i="95"/>
  <c r="DJ12" i="95"/>
  <c r="DK12" i="95"/>
  <c r="DL12" i="95"/>
  <c r="DH13" i="95"/>
  <c r="DI13" i="95"/>
  <c r="DJ13" i="95"/>
  <c r="DK13" i="95"/>
  <c r="DL13" i="95"/>
  <c r="DH14" i="95"/>
  <c r="DI14" i="95"/>
  <c r="DJ14" i="95"/>
  <c r="DK14" i="95"/>
  <c r="DL14" i="95"/>
  <c r="DH15" i="95"/>
  <c r="DI15" i="95"/>
  <c r="DJ15" i="95"/>
  <c r="DK15" i="95"/>
  <c r="DK18" i="95" s="1"/>
  <c r="DL15" i="95"/>
  <c r="DL18" i="95" s="1"/>
  <c r="DH16" i="95"/>
  <c r="DH18" i="95" s="1"/>
  <c r="DI16" i="95"/>
  <c r="DI18" i="95" s="1"/>
  <c r="DJ16" i="95"/>
  <c r="DJ18" i="95" s="1"/>
  <c r="DK16" i="95"/>
  <c r="DL16" i="95"/>
  <c r="DB6" i="95"/>
  <c r="DC6" i="95"/>
  <c r="DD6" i="95"/>
  <c r="DE6" i="95"/>
  <c r="DF6" i="95"/>
  <c r="DB7" i="95"/>
  <c r="DC7" i="95"/>
  <c r="DD7" i="95"/>
  <c r="DE7" i="95"/>
  <c r="DF7" i="95"/>
  <c r="DB8" i="95"/>
  <c r="DC8" i="95"/>
  <c r="DD8" i="95"/>
  <c r="DE8" i="95"/>
  <c r="DF8" i="95"/>
  <c r="DB9" i="95"/>
  <c r="DC9" i="95"/>
  <c r="DD9" i="95"/>
  <c r="DE9" i="95"/>
  <c r="DF9" i="95"/>
  <c r="DB10" i="95"/>
  <c r="DC10" i="95"/>
  <c r="DD10" i="95"/>
  <c r="DE10" i="95"/>
  <c r="DF10" i="95"/>
  <c r="DB11" i="95"/>
  <c r="DC11" i="95"/>
  <c r="DD11" i="95"/>
  <c r="DE11" i="95"/>
  <c r="DF11" i="95"/>
  <c r="DB12" i="95"/>
  <c r="DC12" i="95"/>
  <c r="DD12" i="95"/>
  <c r="DE12" i="95"/>
  <c r="DF12" i="95"/>
  <c r="DB13" i="95"/>
  <c r="DB18" i="95" s="1"/>
  <c r="DC13" i="95"/>
  <c r="DD13" i="95"/>
  <c r="DE13" i="95"/>
  <c r="DF13" i="95"/>
  <c r="DB14" i="95"/>
  <c r="DC14" i="95"/>
  <c r="DD14" i="95"/>
  <c r="DE14" i="95"/>
  <c r="DF14" i="95"/>
  <c r="DB15" i="95"/>
  <c r="DC15" i="95"/>
  <c r="DC18" i="95" s="1"/>
  <c r="DD15" i="95"/>
  <c r="DD18" i="95" s="1"/>
  <c r="DE15" i="95"/>
  <c r="DE18" i="95" s="1"/>
  <c r="DF15" i="95"/>
  <c r="DF18" i="95" s="1"/>
  <c r="DB16" i="95"/>
  <c r="DC16" i="95"/>
  <c r="DD16" i="95"/>
  <c r="DE16" i="95"/>
  <c r="DF16" i="95"/>
  <c r="CW6" i="95"/>
  <c r="CX6" i="95"/>
  <c r="CY6" i="95"/>
  <c r="CZ6" i="95"/>
  <c r="DA6" i="95"/>
  <c r="CW7" i="95"/>
  <c r="CX7" i="95"/>
  <c r="CY7" i="95"/>
  <c r="CZ7" i="95"/>
  <c r="DA7" i="95"/>
  <c r="CW8" i="95"/>
  <c r="CX8" i="95"/>
  <c r="CY8" i="95"/>
  <c r="CZ8" i="95"/>
  <c r="DA8" i="95"/>
  <c r="CW9" i="95"/>
  <c r="CX9" i="95"/>
  <c r="CY9" i="95"/>
  <c r="CZ9" i="95"/>
  <c r="DA9" i="95"/>
  <c r="CW10" i="95"/>
  <c r="CX10" i="95"/>
  <c r="CY10" i="95"/>
  <c r="CZ10" i="95"/>
  <c r="DA10" i="95"/>
  <c r="CW11" i="95"/>
  <c r="CX11" i="95"/>
  <c r="CY11" i="95"/>
  <c r="CZ11" i="95"/>
  <c r="DA11" i="95"/>
  <c r="CW12" i="95"/>
  <c r="CX12" i="95"/>
  <c r="CY12" i="95"/>
  <c r="CZ12" i="95"/>
  <c r="DA12" i="95"/>
  <c r="CW13" i="95"/>
  <c r="CX13" i="95"/>
  <c r="CY13" i="95"/>
  <c r="CZ13" i="95"/>
  <c r="DA13" i="95"/>
  <c r="CW14" i="95"/>
  <c r="CX14" i="95"/>
  <c r="CY14" i="95"/>
  <c r="CZ14" i="95"/>
  <c r="DA14" i="95"/>
  <c r="CW15" i="95"/>
  <c r="CX15" i="95"/>
  <c r="CY15" i="95"/>
  <c r="CZ15" i="95"/>
  <c r="DA15" i="95"/>
  <c r="DA18" i="95" s="1"/>
  <c r="CW16" i="95"/>
  <c r="CX16" i="95"/>
  <c r="CY16" i="95"/>
  <c r="CZ16" i="95"/>
  <c r="DA16" i="95"/>
  <c r="CQ6" i="95"/>
  <c r="CR6" i="95"/>
  <c r="CS6" i="95"/>
  <c r="CT6" i="95"/>
  <c r="CU6" i="95"/>
  <c r="CQ7" i="95"/>
  <c r="CR7" i="95"/>
  <c r="CS7" i="95"/>
  <c r="CT7" i="95"/>
  <c r="CU7" i="95"/>
  <c r="CQ8" i="95"/>
  <c r="CR8" i="95"/>
  <c r="CS8" i="95"/>
  <c r="CT8" i="95"/>
  <c r="CU8" i="95"/>
  <c r="CQ9" i="95"/>
  <c r="CR9" i="95"/>
  <c r="CS9" i="95"/>
  <c r="CT9" i="95"/>
  <c r="CU9" i="95"/>
  <c r="CQ10" i="95"/>
  <c r="CR10" i="95"/>
  <c r="CS10" i="95"/>
  <c r="CT10" i="95"/>
  <c r="CU10" i="95"/>
  <c r="CQ11" i="95"/>
  <c r="CR11" i="95"/>
  <c r="CS11" i="95"/>
  <c r="CT11" i="95"/>
  <c r="CU11" i="95"/>
  <c r="CQ12" i="95"/>
  <c r="CR12" i="95"/>
  <c r="CS12" i="95"/>
  <c r="CT12" i="95"/>
  <c r="CU12" i="95"/>
  <c r="CQ13" i="95"/>
  <c r="CR13" i="95"/>
  <c r="CS13" i="95"/>
  <c r="CT13" i="95"/>
  <c r="CU13" i="95"/>
  <c r="CQ14" i="95"/>
  <c r="CR14" i="95"/>
  <c r="CS14" i="95"/>
  <c r="CT14" i="95"/>
  <c r="CU14" i="95"/>
  <c r="CQ15" i="95"/>
  <c r="CR15" i="95"/>
  <c r="CS15" i="95"/>
  <c r="CT15" i="95"/>
  <c r="CU15" i="95"/>
  <c r="CU18" i="95" s="1"/>
  <c r="CQ16" i="95"/>
  <c r="CR16" i="95"/>
  <c r="CS16" i="95"/>
  <c r="CT16" i="95"/>
  <c r="CU16" i="95"/>
  <c r="CL6" i="95"/>
  <c r="CM6" i="95"/>
  <c r="CN6" i="95"/>
  <c r="CO6" i="95"/>
  <c r="CP6" i="95"/>
  <c r="CL7" i="95"/>
  <c r="CM7" i="95"/>
  <c r="CN7" i="95"/>
  <c r="CO7" i="95"/>
  <c r="CP7" i="95"/>
  <c r="CL8" i="95"/>
  <c r="CM8" i="95"/>
  <c r="CM18" i="95" s="1"/>
  <c r="CN8" i="95"/>
  <c r="CO8" i="95"/>
  <c r="CP8" i="95"/>
  <c r="CL9" i="95"/>
  <c r="CM9" i="95"/>
  <c r="CN9" i="95"/>
  <c r="CO9" i="95"/>
  <c r="CP9" i="95"/>
  <c r="CL10" i="95"/>
  <c r="CM10" i="95"/>
  <c r="CN10" i="95"/>
  <c r="CO10" i="95"/>
  <c r="CO18" i="95" s="1"/>
  <c r="CP10" i="95"/>
  <c r="CL11" i="95"/>
  <c r="CM11" i="95"/>
  <c r="CN11" i="95"/>
  <c r="CO11" i="95"/>
  <c r="CP11" i="95"/>
  <c r="CL12" i="95"/>
  <c r="CM12" i="95"/>
  <c r="CN12" i="95"/>
  <c r="CO12" i="95"/>
  <c r="CP12" i="95"/>
  <c r="CL13" i="95"/>
  <c r="CL18" i="95" s="1"/>
  <c r="CM13" i="95"/>
  <c r="CN13" i="95"/>
  <c r="CO13" i="95"/>
  <c r="CP13" i="95"/>
  <c r="CL14" i="95"/>
  <c r="CM14" i="95"/>
  <c r="CN14" i="95"/>
  <c r="CO14" i="95"/>
  <c r="CP14" i="95"/>
  <c r="CL15" i="95"/>
  <c r="CM15" i="95"/>
  <c r="CN15" i="95"/>
  <c r="CN18" i="95" s="1"/>
  <c r="CO15" i="95"/>
  <c r="CP15" i="95"/>
  <c r="CL16" i="95"/>
  <c r="CM16" i="95"/>
  <c r="CN16" i="95"/>
  <c r="CO16" i="95"/>
  <c r="CP16" i="95"/>
  <c r="CF6" i="95"/>
  <c r="CG6" i="95"/>
  <c r="CH6" i="95"/>
  <c r="CI6" i="95"/>
  <c r="CJ6" i="95"/>
  <c r="CF7" i="95"/>
  <c r="CG7" i="95"/>
  <c r="CH7" i="95"/>
  <c r="CI7" i="95"/>
  <c r="CJ7" i="95"/>
  <c r="CF8" i="95"/>
  <c r="CG8" i="95"/>
  <c r="CH8" i="95"/>
  <c r="CI8" i="95"/>
  <c r="CJ8" i="95"/>
  <c r="CF9" i="95"/>
  <c r="CG9" i="95"/>
  <c r="CH9" i="95"/>
  <c r="CI9" i="95"/>
  <c r="CJ9" i="95"/>
  <c r="CF10" i="95"/>
  <c r="CG10" i="95"/>
  <c r="CH10" i="95"/>
  <c r="CI10" i="95"/>
  <c r="CJ10" i="95"/>
  <c r="CF11" i="95"/>
  <c r="CG11" i="95"/>
  <c r="CH11" i="95"/>
  <c r="CI11" i="95"/>
  <c r="CJ11" i="95"/>
  <c r="CF12" i="95"/>
  <c r="CG12" i="95"/>
  <c r="CH12" i="95"/>
  <c r="CI12" i="95"/>
  <c r="CJ12" i="95"/>
  <c r="CF13" i="95"/>
  <c r="CG13" i="95"/>
  <c r="CH13" i="95"/>
  <c r="CI13" i="95"/>
  <c r="CJ13" i="95"/>
  <c r="CF14" i="95"/>
  <c r="CG14" i="95"/>
  <c r="CH14" i="95"/>
  <c r="CI14" i="95"/>
  <c r="CJ14" i="95"/>
  <c r="CF15" i="95"/>
  <c r="CG15" i="95"/>
  <c r="CH15" i="95"/>
  <c r="CH18" i="95" s="1"/>
  <c r="CI15" i="95"/>
  <c r="CI18" i="95" s="1"/>
  <c r="CJ15" i="95"/>
  <c r="CJ18" i="95" s="1"/>
  <c r="CF16" i="95"/>
  <c r="CF18" i="95" s="1"/>
  <c r="CG16" i="95"/>
  <c r="CH16" i="95"/>
  <c r="CI16" i="95"/>
  <c r="CJ16" i="95"/>
  <c r="CA6" i="95"/>
  <c r="CB6" i="95"/>
  <c r="CC6" i="95"/>
  <c r="CD6" i="95"/>
  <c r="CE6" i="95"/>
  <c r="CA7" i="95"/>
  <c r="CB7" i="95"/>
  <c r="CC7" i="95"/>
  <c r="CD7" i="95"/>
  <c r="CE7" i="95"/>
  <c r="CA8" i="95"/>
  <c r="CB8" i="95"/>
  <c r="CC8" i="95"/>
  <c r="CD8" i="95"/>
  <c r="CE8" i="95"/>
  <c r="CA9" i="95"/>
  <c r="CB9" i="95"/>
  <c r="CC9" i="95"/>
  <c r="CD9" i="95"/>
  <c r="CE9" i="95"/>
  <c r="CA10" i="95"/>
  <c r="CB10" i="95"/>
  <c r="CC10" i="95"/>
  <c r="CD10" i="95"/>
  <c r="CE10" i="95"/>
  <c r="CA11" i="95"/>
  <c r="CB11" i="95"/>
  <c r="CC11" i="95"/>
  <c r="CD11" i="95"/>
  <c r="CE11" i="95"/>
  <c r="CA12" i="95"/>
  <c r="CB12" i="95"/>
  <c r="CC12" i="95"/>
  <c r="CD12" i="95"/>
  <c r="CE12" i="95"/>
  <c r="CA13" i="95"/>
  <c r="CB13" i="95"/>
  <c r="CB18" i="95" s="1"/>
  <c r="CC13" i="95"/>
  <c r="CD13" i="95"/>
  <c r="CD18" i="95" s="1"/>
  <c r="CE13" i="95"/>
  <c r="CA14" i="95"/>
  <c r="CB14" i="95"/>
  <c r="CC14" i="95"/>
  <c r="CD14" i="95"/>
  <c r="CE14" i="95"/>
  <c r="CA15" i="95"/>
  <c r="CA18" i="95" s="1"/>
  <c r="CB15" i="95"/>
  <c r="CC15" i="95"/>
  <c r="CC18" i="95" s="1"/>
  <c r="CD15" i="95"/>
  <c r="CE15" i="95"/>
  <c r="CA16" i="95"/>
  <c r="CB16" i="95"/>
  <c r="CC16" i="95"/>
  <c r="CD16" i="95"/>
  <c r="CE16" i="95"/>
  <c r="BU6" i="95"/>
  <c r="BV6" i="95"/>
  <c r="BW6" i="95"/>
  <c r="BX6" i="95"/>
  <c r="BY6" i="95"/>
  <c r="BU7" i="95"/>
  <c r="BV7" i="95"/>
  <c r="BW7" i="95"/>
  <c r="BX7" i="95"/>
  <c r="BY7" i="95"/>
  <c r="BU8" i="95"/>
  <c r="BV8" i="95"/>
  <c r="BW8" i="95"/>
  <c r="BX8" i="95"/>
  <c r="BY8" i="95"/>
  <c r="BU9" i="95"/>
  <c r="BV9" i="95"/>
  <c r="BW9" i="95"/>
  <c r="BX9" i="95"/>
  <c r="BY9" i="95"/>
  <c r="BU10" i="95"/>
  <c r="BV10" i="95"/>
  <c r="BW10" i="95"/>
  <c r="BX10" i="95"/>
  <c r="BY10" i="95"/>
  <c r="BU11" i="95"/>
  <c r="BV11" i="95"/>
  <c r="BW11" i="95"/>
  <c r="BX11" i="95"/>
  <c r="BY11" i="95"/>
  <c r="BU12" i="95"/>
  <c r="BV12" i="95"/>
  <c r="BW12" i="95"/>
  <c r="BX12" i="95"/>
  <c r="BY12" i="95"/>
  <c r="BU13" i="95"/>
  <c r="BU18" i="95" s="1"/>
  <c r="BV13" i="95"/>
  <c r="BW13" i="95"/>
  <c r="BX13" i="95"/>
  <c r="BY13" i="95"/>
  <c r="BU14" i="95"/>
  <c r="BV14" i="95"/>
  <c r="BW14" i="95"/>
  <c r="BX14" i="95"/>
  <c r="BY14" i="95"/>
  <c r="BU15" i="95"/>
  <c r="BV15" i="95"/>
  <c r="BV18" i="95" s="1"/>
  <c r="BW15" i="95"/>
  <c r="BW18" i="95" s="1"/>
  <c r="BX15" i="95"/>
  <c r="BY15" i="95"/>
  <c r="BY18" i="95" s="1"/>
  <c r="BU16" i="95"/>
  <c r="BV16" i="95"/>
  <c r="BW16" i="95"/>
  <c r="BX16" i="95"/>
  <c r="BY16" i="95"/>
  <c r="BP6" i="95"/>
  <c r="BQ6" i="95"/>
  <c r="BR6" i="95"/>
  <c r="BS6" i="95"/>
  <c r="BT6" i="95"/>
  <c r="BP7" i="95"/>
  <c r="BQ7" i="95"/>
  <c r="BR7" i="95"/>
  <c r="BS7" i="95"/>
  <c r="BT7" i="95"/>
  <c r="BP8" i="95"/>
  <c r="BQ8" i="95"/>
  <c r="BR8" i="95"/>
  <c r="BS8" i="95"/>
  <c r="BT8" i="95"/>
  <c r="BP9" i="95"/>
  <c r="BQ9" i="95"/>
  <c r="BR9" i="95"/>
  <c r="BS9" i="95"/>
  <c r="BT9" i="95"/>
  <c r="BP10" i="95"/>
  <c r="BQ10" i="95"/>
  <c r="BR10" i="95"/>
  <c r="BS10" i="95"/>
  <c r="BT10" i="95"/>
  <c r="BP11" i="95"/>
  <c r="BQ11" i="95"/>
  <c r="BR11" i="95"/>
  <c r="BS11" i="95"/>
  <c r="BT11" i="95"/>
  <c r="BP12" i="95"/>
  <c r="BQ12" i="95"/>
  <c r="BR12" i="95"/>
  <c r="BS12" i="95"/>
  <c r="BT12" i="95"/>
  <c r="BP13" i="95"/>
  <c r="BQ13" i="95"/>
  <c r="BR13" i="95"/>
  <c r="BS13" i="95"/>
  <c r="BT13" i="95"/>
  <c r="BP14" i="95"/>
  <c r="BQ14" i="95"/>
  <c r="BR14" i="95"/>
  <c r="BS14" i="95"/>
  <c r="BT14" i="95"/>
  <c r="BP15" i="95"/>
  <c r="BQ15" i="95"/>
  <c r="BR15" i="95"/>
  <c r="BS15" i="95"/>
  <c r="BS18" i="95" s="1"/>
  <c r="BT15" i="95"/>
  <c r="BP16" i="95"/>
  <c r="BP18" i="95" s="1"/>
  <c r="BQ16" i="95"/>
  <c r="BQ18" i="95" s="1"/>
  <c r="BR16" i="95"/>
  <c r="BS16" i="95"/>
  <c r="BT16" i="95"/>
  <c r="BJ6" i="95"/>
  <c r="BK6" i="95"/>
  <c r="BL6" i="95"/>
  <c r="BM6" i="95"/>
  <c r="BN6" i="95"/>
  <c r="BJ7" i="95"/>
  <c r="BK7" i="95"/>
  <c r="BL7" i="95"/>
  <c r="BM7" i="95"/>
  <c r="BN7" i="95"/>
  <c r="BJ8" i="95"/>
  <c r="BK8" i="95"/>
  <c r="BK18" i="95" s="1"/>
  <c r="BL8" i="95"/>
  <c r="BM8" i="95"/>
  <c r="BN8" i="95"/>
  <c r="BJ9" i="95"/>
  <c r="BK9" i="95"/>
  <c r="BL9" i="95"/>
  <c r="BM9" i="95"/>
  <c r="BN9" i="95"/>
  <c r="BJ10" i="95"/>
  <c r="BK10" i="95"/>
  <c r="BL10" i="95"/>
  <c r="BM10" i="95"/>
  <c r="BM18" i="95" s="1"/>
  <c r="BN10" i="95"/>
  <c r="BJ11" i="95"/>
  <c r="BK11" i="95"/>
  <c r="BL11" i="95"/>
  <c r="BM11" i="95"/>
  <c r="BN11" i="95"/>
  <c r="BJ12" i="95"/>
  <c r="BK12" i="95"/>
  <c r="BL12" i="95"/>
  <c r="BM12" i="95"/>
  <c r="BN12" i="95"/>
  <c r="BJ13" i="95"/>
  <c r="BJ18" i="95" s="1"/>
  <c r="BK13" i="95"/>
  <c r="BL13" i="95"/>
  <c r="BM13" i="95"/>
  <c r="BN13" i="95"/>
  <c r="BN18" i="95" s="1"/>
  <c r="BJ14" i="95"/>
  <c r="BK14" i="95"/>
  <c r="BL14" i="95"/>
  <c r="BM14" i="95"/>
  <c r="BN14" i="95"/>
  <c r="BJ15" i="95"/>
  <c r="BK15" i="95"/>
  <c r="BL15" i="95"/>
  <c r="BL18" i="95" s="1"/>
  <c r="BM15" i="95"/>
  <c r="BN15" i="95"/>
  <c r="BJ16" i="95"/>
  <c r="BK16" i="95"/>
  <c r="BL16" i="95"/>
  <c r="BM16" i="95"/>
  <c r="BN16" i="95"/>
  <c r="BE6" i="95"/>
  <c r="BF6" i="95"/>
  <c r="BG6" i="95"/>
  <c r="BH6" i="95"/>
  <c r="BI6" i="95"/>
  <c r="BE7" i="95"/>
  <c r="BF7" i="95"/>
  <c r="BG7" i="95"/>
  <c r="BH7" i="95"/>
  <c r="BI7" i="95"/>
  <c r="BE8" i="95"/>
  <c r="BF8" i="95"/>
  <c r="BF18" i="95" s="1"/>
  <c r="BG8" i="95"/>
  <c r="BH8" i="95"/>
  <c r="BI8" i="95"/>
  <c r="BE9" i="95"/>
  <c r="BF9" i="95"/>
  <c r="BG9" i="95"/>
  <c r="BH9" i="95"/>
  <c r="BI9" i="95"/>
  <c r="BE10" i="95"/>
  <c r="BF10" i="95"/>
  <c r="BG10" i="95"/>
  <c r="BG18" i="95" s="1"/>
  <c r="BH10" i="95"/>
  <c r="BI10" i="95"/>
  <c r="BE11" i="95"/>
  <c r="BF11" i="95"/>
  <c r="BG11" i="95"/>
  <c r="BH11" i="95"/>
  <c r="BI11" i="95"/>
  <c r="BE12" i="95"/>
  <c r="BF12" i="95"/>
  <c r="BG12" i="95"/>
  <c r="BH12" i="95"/>
  <c r="BI12" i="95"/>
  <c r="BE13" i="95"/>
  <c r="BE18" i="95" s="1"/>
  <c r="BF13" i="95"/>
  <c r="BG13" i="95"/>
  <c r="BH13" i="95"/>
  <c r="BI13" i="95"/>
  <c r="BE14" i="95"/>
  <c r="BF14" i="95"/>
  <c r="BG14" i="95"/>
  <c r="BH14" i="95"/>
  <c r="BI14" i="95"/>
  <c r="BE15" i="95"/>
  <c r="BF15" i="95"/>
  <c r="BG15" i="95"/>
  <c r="BH15" i="95"/>
  <c r="BI15" i="95"/>
  <c r="BE16" i="95"/>
  <c r="BF16" i="95"/>
  <c r="BG16" i="95"/>
  <c r="BH16" i="95"/>
  <c r="BI16" i="95"/>
  <c r="AY6" i="95"/>
  <c r="AZ6" i="95"/>
  <c r="BA6" i="95"/>
  <c r="BB6" i="95"/>
  <c r="BC6" i="95"/>
  <c r="AY7" i="95"/>
  <c r="AZ7" i="95"/>
  <c r="BA7" i="95"/>
  <c r="BB7" i="95"/>
  <c r="BC7" i="95"/>
  <c r="AY8" i="95"/>
  <c r="AZ8" i="95"/>
  <c r="BA8" i="95"/>
  <c r="BB8" i="95"/>
  <c r="BC8" i="95"/>
  <c r="AY9" i="95"/>
  <c r="AZ9" i="95"/>
  <c r="BA9" i="95"/>
  <c r="BB9" i="95"/>
  <c r="BC9" i="95"/>
  <c r="AY10" i="95"/>
  <c r="AZ10" i="95"/>
  <c r="BA10" i="95"/>
  <c r="BB10" i="95"/>
  <c r="BC10" i="95"/>
  <c r="AY11" i="95"/>
  <c r="AZ11" i="95"/>
  <c r="BA11" i="95"/>
  <c r="BB11" i="95"/>
  <c r="BC11" i="95"/>
  <c r="AY12" i="95"/>
  <c r="AZ12" i="95"/>
  <c r="BA12" i="95"/>
  <c r="BB12" i="95"/>
  <c r="BC12" i="95"/>
  <c r="AY13" i="95"/>
  <c r="AZ13" i="95"/>
  <c r="BA13" i="95"/>
  <c r="BB13" i="95"/>
  <c r="BC13" i="95"/>
  <c r="BC18" i="95" s="1"/>
  <c r="AY14" i="95"/>
  <c r="AZ14" i="95"/>
  <c r="BA14" i="95"/>
  <c r="BB14" i="95"/>
  <c r="BC14" i="95"/>
  <c r="AY15" i="95"/>
  <c r="AY18" i="95" s="1"/>
  <c r="AZ15" i="95"/>
  <c r="AZ18" i="95" s="1"/>
  <c r="BA15" i="95"/>
  <c r="BB15" i="95"/>
  <c r="BC15" i="95"/>
  <c r="AY16" i="95"/>
  <c r="AZ16" i="95"/>
  <c r="BA16" i="95"/>
  <c r="BB16" i="95"/>
  <c r="BC16" i="95"/>
  <c r="AT6" i="95"/>
  <c r="AU6" i="95"/>
  <c r="AV6" i="95"/>
  <c r="AW6" i="95"/>
  <c r="AX6" i="95"/>
  <c r="AT7" i="95"/>
  <c r="AU7" i="95"/>
  <c r="AV7" i="95"/>
  <c r="AW7" i="95"/>
  <c r="AX7" i="95"/>
  <c r="AT8" i="95"/>
  <c r="AU8" i="95"/>
  <c r="AV8" i="95"/>
  <c r="AW8" i="95"/>
  <c r="AX8" i="95"/>
  <c r="AT9" i="95"/>
  <c r="AU9" i="95"/>
  <c r="AV9" i="95"/>
  <c r="AW9" i="95"/>
  <c r="AX9" i="95"/>
  <c r="AT10" i="95"/>
  <c r="AU10" i="95"/>
  <c r="AV10" i="95"/>
  <c r="AW10" i="95"/>
  <c r="AX10" i="95"/>
  <c r="AT11" i="95"/>
  <c r="AU11" i="95"/>
  <c r="AV11" i="95"/>
  <c r="AW11" i="95"/>
  <c r="AX11" i="95"/>
  <c r="AT12" i="95"/>
  <c r="AU12" i="95"/>
  <c r="AV12" i="95"/>
  <c r="AW12" i="95"/>
  <c r="AX12" i="95"/>
  <c r="AT13" i="95"/>
  <c r="AU13" i="95"/>
  <c r="AV13" i="95"/>
  <c r="AW13" i="95"/>
  <c r="AX13" i="95"/>
  <c r="AT14" i="95"/>
  <c r="AU14" i="95"/>
  <c r="AV14" i="95"/>
  <c r="AW14" i="95"/>
  <c r="AX14" i="95"/>
  <c r="AT15" i="95"/>
  <c r="AT18" i="95" s="1"/>
  <c r="AU15" i="95"/>
  <c r="AV15" i="95"/>
  <c r="AV18" i="95" s="1"/>
  <c r="AW15" i="95"/>
  <c r="AX15" i="95"/>
  <c r="AT16" i="95"/>
  <c r="AU16" i="95"/>
  <c r="AV16" i="95"/>
  <c r="AW16" i="95"/>
  <c r="AW18" i="95" s="1"/>
  <c r="AX16" i="95"/>
  <c r="AN6" i="95"/>
  <c r="AO6" i="95"/>
  <c r="AP6" i="95"/>
  <c r="AQ6" i="95"/>
  <c r="AR6" i="95"/>
  <c r="AN7" i="95"/>
  <c r="AO7" i="95"/>
  <c r="AP7" i="95"/>
  <c r="AQ7" i="95"/>
  <c r="AR7" i="95"/>
  <c r="AN8" i="95"/>
  <c r="AO8" i="95"/>
  <c r="AP8" i="95"/>
  <c r="AQ8" i="95"/>
  <c r="AR8" i="95"/>
  <c r="AN9" i="95"/>
  <c r="AO9" i="95"/>
  <c r="AP9" i="95"/>
  <c r="AQ9" i="95"/>
  <c r="AR9" i="95"/>
  <c r="AN10" i="95"/>
  <c r="AO10" i="95"/>
  <c r="AP10" i="95"/>
  <c r="AQ10" i="95"/>
  <c r="AR10" i="95"/>
  <c r="AN11" i="95"/>
  <c r="AO11" i="95"/>
  <c r="AP11" i="95"/>
  <c r="AQ11" i="95"/>
  <c r="AR11" i="95"/>
  <c r="AN12" i="95"/>
  <c r="AO12" i="95"/>
  <c r="AP12" i="95"/>
  <c r="AQ12" i="95"/>
  <c r="AR12" i="95"/>
  <c r="AN13" i="95"/>
  <c r="AO13" i="95"/>
  <c r="AP13" i="95"/>
  <c r="AP18" i="95" s="1"/>
  <c r="AQ13" i="95"/>
  <c r="AR13" i="95"/>
  <c r="AN14" i="95"/>
  <c r="AO14" i="95"/>
  <c r="AO18" i="95" s="1"/>
  <c r="AP14" i="95"/>
  <c r="AQ14" i="95"/>
  <c r="AR14" i="95"/>
  <c r="AN15" i="95"/>
  <c r="AO15" i="95"/>
  <c r="AP15" i="95"/>
  <c r="AQ15" i="95"/>
  <c r="AQ18" i="95" s="1"/>
  <c r="AR15" i="95"/>
  <c r="AN16" i="95"/>
  <c r="AO16" i="95"/>
  <c r="AP16" i="95"/>
  <c r="AQ16" i="95"/>
  <c r="AR16" i="95"/>
  <c r="AI6" i="95"/>
  <c r="AJ6" i="95"/>
  <c r="AK6" i="95"/>
  <c r="AL6" i="95"/>
  <c r="AM6" i="95"/>
  <c r="AI7" i="95"/>
  <c r="AJ7" i="95"/>
  <c r="AK7" i="95"/>
  <c r="AL7" i="95"/>
  <c r="AM7" i="95"/>
  <c r="AI8" i="95"/>
  <c r="AJ8" i="95"/>
  <c r="AK8" i="95"/>
  <c r="AL8" i="95"/>
  <c r="AM8" i="95"/>
  <c r="AI9" i="95"/>
  <c r="AJ9" i="95"/>
  <c r="AK9" i="95"/>
  <c r="AL9" i="95"/>
  <c r="AM9" i="95"/>
  <c r="AI10" i="95"/>
  <c r="AJ10" i="95"/>
  <c r="AJ18" i="95" s="1"/>
  <c r="AK10" i="95"/>
  <c r="AL10" i="95"/>
  <c r="AM10" i="95"/>
  <c r="AI11" i="95"/>
  <c r="AJ11" i="95"/>
  <c r="AK11" i="95"/>
  <c r="AL11" i="95"/>
  <c r="AM11" i="95"/>
  <c r="AI12" i="95"/>
  <c r="AJ12" i="95"/>
  <c r="AK12" i="95"/>
  <c r="AL12" i="95"/>
  <c r="AL18" i="95" s="1"/>
  <c r="AM12" i="95"/>
  <c r="AI13" i="95"/>
  <c r="AJ13" i="95"/>
  <c r="AK13" i="95"/>
  <c r="AL13" i="95"/>
  <c r="AM13" i="95"/>
  <c r="AI14" i="95"/>
  <c r="AJ14" i="95"/>
  <c r="AK14" i="95"/>
  <c r="AL14" i="95"/>
  <c r="AM14" i="95"/>
  <c r="AI15" i="95"/>
  <c r="AI18" i="95" s="1"/>
  <c r="AJ15" i="95"/>
  <c r="AK15" i="95"/>
  <c r="AL15" i="95"/>
  <c r="AM15" i="95"/>
  <c r="AI16" i="95"/>
  <c r="AJ16" i="95"/>
  <c r="AK16" i="95"/>
  <c r="AL16" i="95"/>
  <c r="AM16" i="95"/>
  <c r="AC6" i="95"/>
  <c r="AD6" i="95"/>
  <c r="AE6" i="95"/>
  <c r="AF6" i="95"/>
  <c r="AG6" i="95"/>
  <c r="AC7" i="95"/>
  <c r="AD7" i="95"/>
  <c r="AE7" i="95"/>
  <c r="AF7" i="95"/>
  <c r="AG7" i="95"/>
  <c r="AC8" i="95"/>
  <c r="AD8" i="95"/>
  <c r="AE8" i="95"/>
  <c r="AF8" i="95"/>
  <c r="AG8" i="95"/>
  <c r="AC9" i="95"/>
  <c r="AD9" i="95"/>
  <c r="AE9" i="95"/>
  <c r="AF9" i="95"/>
  <c r="AG9" i="95"/>
  <c r="AC10" i="95"/>
  <c r="AD10" i="95"/>
  <c r="AE10" i="95"/>
  <c r="AF10" i="95"/>
  <c r="AG10" i="95"/>
  <c r="AC11" i="95"/>
  <c r="AD11" i="95"/>
  <c r="AE11" i="95"/>
  <c r="AF11" i="95"/>
  <c r="AG11" i="95"/>
  <c r="AC12" i="95"/>
  <c r="AD12" i="95"/>
  <c r="AE12" i="95"/>
  <c r="AF12" i="95"/>
  <c r="AG12" i="95"/>
  <c r="AC13" i="95"/>
  <c r="AD13" i="95"/>
  <c r="AE13" i="95"/>
  <c r="AF13" i="95"/>
  <c r="AG13" i="95"/>
  <c r="AC14" i="95"/>
  <c r="AD14" i="95"/>
  <c r="AE14" i="95"/>
  <c r="AF14" i="95"/>
  <c r="AG14" i="95"/>
  <c r="AC15" i="95"/>
  <c r="AD15" i="95"/>
  <c r="AD18" i="95" s="1"/>
  <c r="AE15" i="95"/>
  <c r="AF15" i="95"/>
  <c r="AG15" i="95"/>
  <c r="AC16" i="95"/>
  <c r="AD16" i="95"/>
  <c r="AE16" i="95"/>
  <c r="AF16" i="95"/>
  <c r="AF18" i="95" s="1"/>
  <c r="AG16" i="95"/>
  <c r="AG18" i="95" s="1"/>
  <c r="X6" i="95"/>
  <c r="Y6" i="95"/>
  <c r="Z6" i="95"/>
  <c r="AA6" i="95"/>
  <c r="AB6" i="95"/>
  <c r="X7" i="95"/>
  <c r="Y7" i="95"/>
  <c r="Z7" i="95"/>
  <c r="AA7" i="95"/>
  <c r="AB7" i="95"/>
  <c r="X8" i="95"/>
  <c r="Y8" i="95"/>
  <c r="Z8" i="95"/>
  <c r="AA8" i="95"/>
  <c r="AB8" i="95"/>
  <c r="X9" i="95"/>
  <c r="Y9" i="95"/>
  <c r="Z9" i="95"/>
  <c r="AA9" i="95"/>
  <c r="AB9" i="95"/>
  <c r="X10" i="95"/>
  <c r="Y10" i="95"/>
  <c r="Z10" i="95"/>
  <c r="AA10" i="95"/>
  <c r="AA18" i="95" s="1"/>
  <c r="AB10" i="95"/>
  <c r="X11" i="95"/>
  <c r="Y11" i="95"/>
  <c r="Z11" i="95"/>
  <c r="AA11" i="95"/>
  <c r="AB11" i="95"/>
  <c r="X12" i="95"/>
  <c r="Y12" i="95"/>
  <c r="Z12" i="95"/>
  <c r="AA12" i="95"/>
  <c r="AB12" i="95"/>
  <c r="X13" i="95"/>
  <c r="X18" i="95" s="1"/>
  <c r="Y13" i="95"/>
  <c r="Z13" i="95"/>
  <c r="AA13" i="95"/>
  <c r="AB13" i="95"/>
  <c r="X14" i="95"/>
  <c r="Y14" i="95"/>
  <c r="Z14" i="95"/>
  <c r="Z18" i="95" s="1"/>
  <c r="AA14" i="95"/>
  <c r="AB14" i="95"/>
  <c r="X15" i="95"/>
  <c r="Y15" i="95"/>
  <c r="Y18" i="95" s="1"/>
  <c r="Z15" i="95"/>
  <c r="AA15" i="95"/>
  <c r="AB15" i="95"/>
  <c r="X16" i="95"/>
  <c r="Y16" i="95"/>
  <c r="Z16" i="95"/>
  <c r="AA16" i="95"/>
  <c r="AB16" i="95"/>
  <c r="R6" i="95"/>
  <c r="S6" i="95"/>
  <c r="T6" i="95"/>
  <c r="U6" i="95"/>
  <c r="V6" i="95"/>
  <c r="R7" i="95"/>
  <c r="S7" i="95"/>
  <c r="T7" i="95"/>
  <c r="U7" i="95"/>
  <c r="V7" i="95"/>
  <c r="R8" i="95"/>
  <c r="S8" i="95"/>
  <c r="S18" i="95" s="1"/>
  <c r="T8" i="95"/>
  <c r="U8" i="95"/>
  <c r="V8" i="95"/>
  <c r="R9" i="95"/>
  <c r="S9" i="95"/>
  <c r="T9" i="95"/>
  <c r="U9" i="95"/>
  <c r="V9" i="95"/>
  <c r="R10" i="95"/>
  <c r="S10" i="95"/>
  <c r="T10" i="95"/>
  <c r="U10" i="95"/>
  <c r="U18" i="95" s="1"/>
  <c r="V10" i="95"/>
  <c r="R11" i="95"/>
  <c r="S11" i="95"/>
  <c r="T11" i="95"/>
  <c r="U11" i="95"/>
  <c r="V11" i="95"/>
  <c r="R12" i="95"/>
  <c r="S12" i="95"/>
  <c r="T12" i="95"/>
  <c r="U12" i="95"/>
  <c r="V12" i="95"/>
  <c r="R13" i="95"/>
  <c r="R18" i="95" s="1"/>
  <c r="S13" i="95"/>
  <c r="T13" i="95"/>
  <c r="U13" i="95"/>
  <c r="V13" i="95"/>
  <c r="R14" i="95"/>
  <c r="S14" i="95"/>
  <c r="T14" i="95"/>
  <c r="U14" i="95"/>
  <c r="V14" i="95"/>
  <c r="V18" i="95" s="1"/>
  <c r="R15" i="95"/>
  <c r="S15" i="95"/>
  <c r="T15" i="95"/>
  <c r="U15" i="95"/>
  <c r="V15" i="95"/>
  <c r="R16" i="95"/>
  <c r="S16" i="95"/>
  <c r="T16" i="95"/>
  <c r="U16" i="95"/>
  <c r="V16" i="95"/>
  <c r="M6" i="95"/>
  <c r="N6" i="95"/>
  <c r="O6" i="95"/>
  <c r="P6" i="95"/>
  <c r="Q6" i="95"/>
  <c r="M7" i="95"/>
  <c r="N7" i="95"/>
  <c r="O7" i="95"/>
  <c r="P7" i="95"/>
  <c r="Q7" i="95"/>
  <c r="M8" i="95"/>
  <c r="N8" i="95"/>
  <c r="O8" i="95"/>
  <c r="P8" i="95"/>
  <c r="Q8" i="95"/>
  <c r="M9" i="95"/>
  <c r="N9" i="95"/>
  <c r="O9" i="95"/>
  <c r="P9" i="95"/>
  <c r="Q9" i="95"/>
  <c r="M10" i="95"/>
  <c r="N10" i="95"/>
  <c r="O10" i="95"/>
  <c r="P10" i="95"/>
  <c r="Q10" i="95"/>
  <c r="M11" i="95"/>
  <c r="N11" i="95"/>
  <c r="O11" i="95"/>
  <c r="P11" i="95"/>
  <c r="Q11" i="95"/>
  <c r="Q18" i="95" s="1"/>
  <c r="M12" i="95"/>
  <c r="N12" i="95"/>
  <c r="O12" i="95"/>
  <c r="P12" i="95"/>
  <c r="Q12" i="95"/>
  <c r="M13" i="95"/>
  <c r="N13" i="95"/>
  <c r="O13" i="95"/>
  <c r="P13" i="95"/>
  <c r="Q13" i="95"/>
  <c r="M14" i="95"/>
  <c r="N14" i="95"/>
  <c r="N18" i="95" s="1"/>
  <c r="O14" i="95"/>
  <c r="P14" i="95"/>
  <c r="Q14" i="95"/>
  <c r="M15" i="95"/>
  <c r="N15" i="95"/>
  <c r="O15" i="95"/>
  <c r="O18" i="95" s="1"/>
  <c r="O21" i="95" s="1"/>
  <c r="P15" i="95"/>
  <c r="Q15" i="95"/>
  <c r="M16" i="95"/>
  <c r="N16" i="95"/>
  <c r="O16" i="95"/>
  <c r="P16" i="95"/>
  <c r="P18" i="95" s="1"/>
  <c r="Q16" i="95"/>
  <c r="G6" i="95"/>
  <c r="H6" i="95"/>
  <c r="I6" i="95"/>
  <c r="J6" i="95"/>
  <c r="K6" i="95"/>
  <c r="G7" i="95"/>
  <c r="H7" i="95"/>
  <c r="I7" i="95"/>
  <c r="J7" i="95"/>
  <c r="K7" i="95"/>
  <c r="G8" i="95"/>
  <c r="H8" i="95"/>
  <c r="I8" i="95"/>
  <c r="J8" i="95"/>
  <c r="K8" i="95"/>
  <c r="G9" i="95"/>
  <c r="H9" i="95"/>
  <c r="I9" i="95"/>
  <c r="J9" i="95"/>
  <c r="K9" i="95"/>
  <c r="G10" i="95"/>
  <c r="H10" i="95"/>
  <c r="I10" i="95"/>
  <c r="J10" i="95"/>
  <c r="K10" i="95"/>
  <c r="G11" i="95"/>
  <c r="H11" i="95"/>
  <c r="I11" i="95"/>
  <c r="J11" i="95"/>
  <c r="K11" i="95"/>
  <c r="G12" i="95"/>
  <c r="H12" i="95"/>
  <c r="I12" i="95"/>
  <c r="J12" i="95"/>
  <c r="J18" i="95" s="1"/>
  <c r="K12" i="95"/>
  <c r="G13" i="95"/>
  <c r="H13" i="95"/>
  <c r="H18" i="95" s="1"/>
  <c r="I13" i="95"/>
  <c r="J13" i="95"/>
  <c r="K13" i="95"/>
  <c r="G14" i="95"/>
  <c r="H14" i="95"/>
  <c r="I14" i="95"/>
  <c r="J14" i="95"/>
  <c r="K14" i="95"/>
  <c r="G15" i="95"/>
  <c r="H15" i="95"/>
  <c r="I15" i="95"/>
  <c r="I18" i="95" s="1"/>
  <c r="J15" i="95"/>
  <c r="K15" i="95"/>
  <c r="G16" i="95"/>
  <c r="H16" i="95"/>
  <c r="I16" i="95"/>
  <c r="J16" i="95"/>
  <c r="K16" i="95"/>
  <c r="B6" i="95"/>
  <c r="C6" i="95"/>
  <c r="D6" i="95"/>
  <c r="E6" i="95"/>
  <c r="F6" i="95"/>
  <c r="B7" i="95"/>
  <c r="C7" i="95"/>
  <c r="D7" i="95"/>
  <c r="E7" i="95"/>
  <c r="F7" i="95"/>
  <c r="B8" i="95"/>
  <c r="C8" i="95"/>
  <c r="C18" i="95" s="1"/>
  <c r="D8" i="95"/>
  <c r="E8" i="95"/>
  <c r="F8" i="95"/>
  <c r="B9" i="95"/>
  <c r="C9" i="95"/>
  <c r="D9" i="95"/>
  <c r="E9" i="95"/>
  <c r="F9" i="95"/>
  <c r="B10" i="95"/>
  <c r="C10" i="95"/>
  <c r="D10" i="95"/>
  <c r="E10" i="95"/>
  <c r="E18" i="95" s="1"/>
  <c r="F10" i="95"/>
  <c r="B11" i="95"/>
  <c r="C11" i="95"/>
  <c r="D11" i="95"/>
  <c r="E11" i="95"/>
  <c r="F11" i="95"/>
  <c r="B12" i="95"/>
  <c r="C12" i="95"/>
  <c r="D12" i="95"/>
  <c r="E12" i="95"/>
  <c r="F12" i="95"/>
  <c r="B13" i="95"/>
  <c r="B18" i="95" s="1"/>
  <c r="C13" i="95"/>
  <c r="D13" i="95"/>
  <c r="E13" i="95"/>
  <c r="F13" i="95"/>
  <c r="B14" i="95"/>
  <c r="C14" i="95"/>
  <c r="D14" i="95"/>
  <c r="E14" i="95"/>
  <c r="F14" i="95"/>
  <c r="B15" i="95"/>
  <c r="C15" i="95"/>
  <c r="D15" i="95"/>
  <c r="D18" i="95" s="1"/>
  <c r="E15" i="95"/>
  <c r="F15" i="95"/>
  <c r="B16" i="95"/>
  <c r="C16" i="95"/>
  <c r="D16" i="95"/>
  <c r="E16" i="95"/>
  <c r="F16" i="95"/>
  <c r="DX19" i="95"/>
  <c r="DX22" i="95" s="1"/>
  <c r="DS19" i="95"/>
  <c r="DM19" i="95"/>
  <c r="DM22" i="95" s="1"/>
  <c r="DH19" i="95"/>
  <c r="DH22" i="95" s="1"/>
  <c r="DB19" i="95"/>
  <c r="DB22" i="95" s="1"/>
  <c r="CW19" i="95"/>
  <c r="CW22" i="95" s="1"/>
  <c r="CQ19" i="95"/>
  <c r="CL19" i="95"/>
  <c r="CL22" i="95" s="1"/>
  <c r="CF19" i="95"/>
  <c r="CF22" i="95" s="1"/>
  <c r="CA19" i="95"/>
  <c r="BU19" i="95"/>
  <c r="BP19" i="95"/>
  <c r="BP22" i="95" s="1"/>
  <c r="BJ19" i="95"/>
  <c r="BJ22" i="95" s="1"/>
  <c r="BE19" i="95"/>
  <c r="BE22" i="95" s="1"/>
  <c r="AY19" i="95"/>
  <c r="AY22" i="95" s="1"/>
  <c r="AT19" i="95"/>
  <c r="AT22" i="95" s="1"/>
  <c r="AN19" i="95"/>
  <c r="AN22" i="95" s="1"/>
  <c r="AI19" i="95"/>
  <c r="AI22" i="95" s="1"/>
  <c r="AC19" i="95"/>
  <c r="X19" i="95"/>
  <c r="X22" i="95" s="1"/>
  <c r="R19" i="95"/>
  <c r="R22" i="95" s="1"/>
  <c r="M19" i="95"/>
  <c r="G19" i="95"/>
  <c r="B19" i="95"/>
  <c r="EB18" i="95"/>
  <c r="EA18" i="95"/>
  <c r="DZ18" i="95"/>
  <c r="DY18" i="95"/>
  <c r="DX18" i="95"/>
  <c r="DU18" i="95"/>
  <c r="DT18" i="95"/>
  <c r="DS18" i="95"/>
  <c r="DO18" i="95"/>
  <c r="DN18" i="95"/>
  <c r="DM18" i="95"/>
  <c r="CZ18" i="95"/>
  <c r="CY18" i="95"/>
  <c r="CX18" i="95"/>
  <c r="CW18" i="95"/>
  <c r="CT18" i="95"/>
  <c r="CS18" i="95"/>
  <c r="CR18" i="95"/>
  <c r="CQ18" i="95"/>
  <c r="CP18" i="95"/>
  <c r="CG18" i="95"/>
  <c r="CE18" i="95"/>
  <c r="BX18" i="95"/>
  <c r="BT18" i="95"/>
  <c r="BR18" i="95"/>
  <c r="BI18" i="95"/>
  <c r="BH18" i="95"/>
  <c r="BB18" i="95"/>
  <c r="BA18" i="95"/>
  <c r="AX18" i="95"/>
  <c r="AU18" i="95"/>
  <c r="AS6" i="95"/>
  <c r="AR18" i="95"/>
  <c r="AN18" i="95"/>
  <c r="AM18" i="95"/>
  <c r="AK18" i="95"/>
  <c r="AE18" i="95"/>
  <c r="AC18" i="95"/>
  <c r="AB18" i="95"/>
  <c r="T18" i="95"/>
  <c r="M18" i="95"/>
  <c r="K18" i="95"/>
  <c r="G18" i="95"/>
  <c r="F18" i="95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DU21" i="95" l="1"/>
  <c r="BJ21" i="95"/>
  <c r="AV21" i="95"/>
  <c r="BI21" i="95"/>
  <c r="BV21" i="95"/>
  <c r="CI21" i="95"/>
  <c r="DJ21" i="95"/>
  <c r="X21" i="95"/>
  <c r="DD21" i="95"/>
  <c r="DQ21" i="95"/>
  <c r="M22" i="95"/>
  <c r="CA22" i="95"/>
  <c r="AI21" i="95"/>
  <c r="CW21" i="95"/>
  <c r="Z21" i="95"/>
  <c r="AM21" i="95"/>
  <c r="BL21" i="95"/>
  <c r="BY21" i="95"/>
  <c r="CM21" i="95"/>
  <c r="CZ21" i="95"/>
  <c r="DZ21" i="95"/>
  <c r="DS22" i="95"/>
  <c r="AB21" i="95"/>
  <c r="AO21" i="95"/>
  <c r="BA21" i="95"/>
  <c r="BN21" i="95"/>
  <c r="DX21" i="95"/>
  <c r="AC22" i="95"/>
  <c r="CQ22" i="95"/>
  <c r="AJ21" i="95"/>
  <c r="CB21" i="95"/>
  <c r="CO21" i="95"/>
  <c r="AP21" i="95"/>
  <c r="BB21" i="95"/>
  <c r="CC21" i="95"/>
  <c r="CP21" i="95"/>
  <c r="DC21" i="95"/>
  <c r="DP21" i="95"/>
  <c r="D21" i="95"/>
  <c r="Q21" i="95"/>
  <c r="AD21" i="95"/>
  <c r="AQ21" i="95"/>
  <c r="BC21" i="95"/>
  <c r="BQ21" i="95"/>
  <c r="CD21" i="95"/>
  <c r="V21" i="95"/>
  <c r="R21" i="95"/>
  <c r="BE21" i="95"/>
  <c r="BR21" i="95"/>
  <c r="CE21" i="95"/>
  <c r="DS21" i="95"/>
  <c r="CF21" i="95"/>
  <c r="T21" i="95"/>
  <c r="AG21" i="95"/>
  <c r="AT21" i="95"/>
  <c r="BG21" i="95"/>
  <c r="BT21" i="95"/>
  <c r="CG21" i="95"/>
  <c r="CT21" i="95"/>
  <c r="DH21" i="95"/>
  <c r="BU22" i="95"/>
  <c r="I21" i="95"/>
  <c r="BU21" i="95"/>
  <c r="J21" i="95"/>
  <c r="K21" i="95"/>
  <c r="Y21" i="95"/>
  <c r="AL21" i="95"/>
  <c r="AX21" i="95"/>
  <c r="BK21" i="95"/>
  <c r="BX21" i="95"/>
  <c r="CL21" i="95"/>
  <c r="CY21" i="95"/>
  <c r="DL21" i="95"/>
  <c r="DY21" i="95"/>
  <c r="M21" i="95"/>
  <c r="AY21" i="95"/>
  <c r="DM21" i="95"/>
  <c r="N21" i="95"/>
  <c r="AA21" i="95"/>
  <c r="AN21" i="95"/>
  <c r="AZ21" i="95"/>
  <c r="BM21" i="95"/>
  <c r="CA21" i="95"/>
  <c r="CN21" i="95"/>
  <c r="DA21" i="95"/>
  <c r="EA21" i="95"/>
  <c r="DK21" i="95"/>
  <c r="DB21" i="95"/>
  <c r="EB21" i="95"/>
  <c r="AK21" i="95"/>
  <c r="C21" i="95"/>
  <c r="P21" i="95"/>
  <c r="AC21" i="95"/>
  <c r="BP21" i="95"/>
  <c r="H21" i="95"/>
  <c r="CX21" i="95"/>
  <c r="CQ21" i="95"/>
  <c r="U21" i="95"/>
  <c r="BW21" i="95"/>
  <c r="E21" i="95"/>
  <c r="AE21" i="95"/>
  <c r="AR21" i="95"/>
  <c r="CR21" i="95"/>
  <c r="DE21" i="95"/>
  <c r="CJ21" i="95"/>
  <c r="F21" i="95"/>
  <c r="S21" i="95"/>
  <c r="AF21" i="95"/>
  <c r="BF21" i="95"/>
  <c r="BS21" i="95"/>
  <c r="CS21" i="95"/>
  <c r="DF21" i="95"/>
  <c r="DT21" i="95"/>
  <c r="AW21" i="95"/>
  <c r="AU21" i="95"/>
  <c r="BH21" i="95"/>
  <c r="CH21" i="95"/>
  <c r="CU21" i="95"/>
  <c r="DI21" i="95"/>
  <c r="DV21" i="95"/>
  <c r="AC14" i="56"/>
  <c r="X14" i="56"/>
  <c r="AJ14" i="56"/>
  <c r="AI14" i="56"/>
  <c r="AG14" i="56"/>
  <c r="AF14" i="56"/>
  <c r="AD14" i="56"/>
  <c r="AA14" i="56"/>
  <c r="Z14" i="56"/>
  <c r="W14" i="56"/>
  <c r="Q14" i="56"/>
  <c r="O14" i="56"/>
  <c r="N14" i="56"/>
  <c r="K14" i="56"/>
  <c r="I14" i="56"/>
  <c r="H14" i="56"/>
  <c r="F14" i="56"/>
  <c r="L14" i="56" l="1"/>
  <c r="E14" i="56"/>
  <c r="R14" i="56"/>
  <c r="T14" i="56"/>
  <c r="U14" i="56"/>
  <c r="H5" i="56"/>
  <c r="AJ5" i="56"/>
  <c r="C14" i="56"/>
  <c r="B14" i="56"/>
  <c r="K5" i="56" l="1"/>
  <c r="B5" i="56"/>
  <c r="Z5" i="56"/>
  <c r="AC5" i="56"/>
  <c r="T5" i="56"/>
  <c r="I5" i="56"/>
  <c r="L5" i="56"/>
  <c r="C5" i="56"/>
  <c r="AA5" i="56"/>
  <c r="AD5" i="56"/>
  <c r="U5" i="56"/>
  <c r="N5" i="56"/>
  <c r="AF5" i="56"/>
  <c r="E5" i="56"/>
  <c r="O5" i="56"/>
  <c r="W5" i="56"/>
  <c r="AG5" i="56"/>
  <c r="Q5" i="56"/>
  <c r="F5" i="56"/>
  <c r="AI5" i="56"/>
  <c r="X5" i="56"/>
  <c r="R5" i="56"/>
  <c r="DX16" i="14"/>
  <c r="DS16" i="14"/>
  <c r="DM16" i="14"/>
  <c r="DH16" i="14"/>
  <c r="DB16" i="14"/>
  <c r="CW16" i="14"/>
  <c r="DZ6" i="14" l="1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AI16" i="14" l="1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95" l="1"/>
  <c r="A1" i="98"/>
  <c r="B4" i="49"/>
  <c r="B2" i="49"/>
  <c r="B3" i="49"/>
  <c r="G7" i="3"/>
  <c r="C3" i="49" s="1"/>
  <c r="A1" i="56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<sst xmlns="http://schemas.openxmlformats.org/spreadsheetml/2006/main" count="3355" uniqueCount="99">
  <si>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</si>
  <si>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</si>
  <si>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</si>
  <si>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</si>
  <si>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</si>
  <si>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</si>
  <si>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</si>
  <si>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</si>
  <si>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</si>
  <si>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</si>
  <si>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</si>
  <si>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</si>
  <si>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</si>
  <si>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</si>
  <si>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</si>
  <si>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</si>
  <si>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</si>
  <si>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</si>
  <si>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</si>
  <si>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</si>
  <si>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</si>
  <si>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</si>
  <si>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</si>
  <si>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</si>
  <si>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</si>
  <si>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</si>
  <si>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</si>
  <si>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</si>
  <si>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</si>
  <si>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</si>
  <si>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</si>
  <si>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</si>
  <si>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</si>
  <si>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</si>
  <si>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</si>
  <si>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</si>
  <si>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</si>
  <si>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</si>
  <si>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</si>
  <si>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</si>
  <si>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</si>
  <si>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</si>
  <si>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</si>
  <si>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</si>
  <si>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</si>
  <si>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</si>
  <si>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</si>
  <si>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</si>
  <si>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</si>
  <si>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</si>
  <si>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</si>
  <si>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</si>
  <si>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</si>
  <si>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</si>
  <si>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</si>
  <si>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</si>
  <si>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</si>
  <si>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</si>
  <si>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</si>
  <si>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</si>
  <si>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</si>
  <si>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</si>
  <si>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</si>
  <si>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</si>
  <si>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</si>
  <si>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</si>
  <si>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</si>
  <si>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</si>
  <si>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</si>
  <si>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</si>
  <si>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</si>
  <si>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</si>
  <si>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</si>
  <si>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</si>
  <si>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</si>
  <si>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</si>
  <si>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</si>
  <si>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</si>
  <si>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</si>
  <si>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</si>
  <si>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</si>
  <si>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</si>
  <si>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</si>
  <si>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</si>
  <si>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</si>
  <si>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</si>
  <si>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</si>
  <si>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</si>
  <si>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</si>
  <si>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</si>
  <si>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</si>
  <si>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</si>
  <si>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</si>
  <si>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</si>
  <si>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</si>
  <si>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</si>
  <si>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</si>
  <si>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Berikut adalah Resume WOW and MOM Performance Shipment 2024</t>
  </si>
  <si>
    <t>\\10.8.0.35\Bersama\IT\RPA 00\Monitoring Performance Shipment\Results\WOW and MOM\Resume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</si>
</sst>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12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0" fillId="19" borderId="0" xfId="0" applyFill="1"/>
    <xf numFmtId="0" fontId="14" fillId="19" borderId="0" xfId="0" applyFont="1" applyFill="1"/>
    <xf numFmtId="10" fontId="0" fillId="19" borderId="0" xfId="2" applyNumberFormat="1" applyFont="1" applyFill="1"/>
    <xf numFmtId="0" fontId="23" fillId="10" borderId="10" xfId="3" applyFont="1" applyFill="1" applyBorder="1" applyAlignment="1">
      <alignment horizontal="center" vertical="center"/>
    </xf>
    <xf numFmtId="10" fontId="17" fillId="15" borderId="18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168" fontId="0" fillId="0" borderId="0" xfId="0" applyNumberFormat="1"/>
    <xf numFmtId="0" fontId="0" fillId="0" borderId="0" xfId="0" applyNumberFormat="1"/>
    <xf numFmtId="0" fontId="23" fillId="11" borderId="7" xfId="3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0" fillId="17" borderId="0" xfId="2" applyNumberFormat="1" applyFont="1" applyFill="1" applyAlignment="1">
      <alignment horizontal="center"/>
    </xf>
    <xf numFmtId="0" fontId="15" fillId="17" borderId="0" xfId="0" applyFont="1" applyFill="1"/>
    <xf numFmtId="10" fontId="0" fillId="18" borderId="0" xfId="2" applyNumberFormat="1" applyFont="1" applyFill="1" applyAlignment="1">
      <alignment horizontal="center"/>
    </xf>
    <xf numFmtId="0" fontId="15" fillId="18" borderId="0" xfId="0" applyFont="1" applyFill="1"/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10"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6328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B6D6-B5BA-4369-A697-997E33FD3350}">
  <sheetPr codeName="Sheet9"/>
  <dimension ref="A1:AK2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ColWidth="9.140625" defaultRowHeight="16.5" x14ac:dyDescent="0.3"/>
  <cols>
    <col min="1" max="1" width="40.42578125" style="17" bestFit="1" customWidth="1"/>
    <col min="2" max="2" width="17.85546875" style="16" bestFit="1" customWidth="1"/>
    <col min="3" max="3" width="19.5703125" style="16" bestFit="1" customWidth="1"/>
    <col min="4" max="4" width="0.28515625" style="19" customWidth="1"/>
    <col min="5" max="5" width="17.85546875" style="16" bestFit="1" customWidth="1"/>
    <col min="6" max="6" width="19.5703125" style="16" bestFit="1" customWidth="1"/>
    <col min="7" max="7" width="0.28515625" style="19" customWidth="1"/>
    <col min="8" max="8" width="17.85546875" style="16" bestFit="1" customWidth="1"/>
    <col min="9" max="9" width="19.5703125" style="16" bestFit="1" customWidth="1"/>
    <col min="10" max="10" width="0.28515625" style="19" customWidth="1"/>
    <col min="11" max="11" width="17.85546875" style="16" bestFit="1" customWidth="1"/>
    <col min="12" max="12" width="19.5703125" style="16" bestFit="1" customWidth="1"/>
    <col min="13" max="13" width="0.28515625" style="19" customWidth="1"/>
    <col min="14" max="14" width="17.85546875" style="16" bestFit="1" customWidth="1"/>
    <col min="15" max="15" width="19.5703125" style="16" bestFit="1" customWidth="1"/>
    <col min="16" max="16" width="0.28515625" style="19" customWidth="1"/>
    <col min="17" max="17" width="17.85546875" style="16" bestFit="1" customWidth="1"/>
    <col min="18" max="18" width="20.7109375" style="16" bestFit="1" customWidth="1"/>
    <col min="19" max="19" width="0.28515625" style="19" customWidth="1"/>
    <col min="20" max="20" width="17.85546875" style="16" bestFit="1" customWidth="1"/>
    <col min="21" max="21" width="19.5703125" style="16" bestFit="1" customWidth="1"/>
    <col min="22" max="22" width="0.28515625" style="19" customWidth="1"/>
    <col min="23" max="23" width="17.85546875" style="16" bestFit="1" customWidth="1"/>
    <col min="24" max="24" width="19.5703125" style="16" bestFit="1" customWidth="1"/>
    <col min="25" max="25" width="0.28515625" style="19" customWidth="1"/>
    <col min="26" max="26" width="17.85546875" style="16" bestFit="1" customWidth="1"/>
    <col min="27" max="27" width="19.5703125" style="16" bestFit="1" customWidth="1"/>
    <col min="28" max="28" width="0.28515625" style="19" customWidth="1"/>
    <col min="29" max="29" width="17.85546875" style="16" bestFit="1" customWidth="1"/>
    <col min="30" max="30" width="19.5703125" style="16" bestFit="1" customWidth="1"/>
    <col min="31" max="31" width="0.28515625" style="19" customWidth="1"/>
    <col min="32" max="32" width="17.85546875" style="16" bestFit="1" customWidth="1"/>
    <col min="33" max="33" width="19.5703125" style="16" bestFit="1" customWidth="1"/>
    <col min="34" max="34" width="0.28515625" style="19" customWidth="1"/>
    <col min="35" max="35" width="17.85546875" style="16" bestFit="1" customWidth="1"/>
    <col min="36" max="36" width="19.5703125" style="16" bestFit="1" customWidth="1"/>
    <col min="37" max="37" width="0.28515625" style="19" customWidth="1"/>
    <col min="38" max="16384" width="9.140625" style="53"/>
  </cols>
  <sheetData>
    <row r="1" spans="1:37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</row>
    <row r="2" spans="1:37" ht="18" x14ac:dyDescent="0.3">
      <c r="A2" s="92" t="s">
        <v>56</v>
      </c>
      <c r="B2" s="90" t="s">
        <v>36</v>
      </c>
      <c r="C2" s="91"/>
      <c r="D2" s="21"/>
      <c r="E2" s="90" t="s">
        <v>34</v>
      </c>
      <c r="F2" s="91"/>
      <c r="G2" s="21"/>
      <c r="H2" s="90" t="s">
        <v>37</v>
      </c>
      <c r="I2" s="91"/>
      <c r="J2" s="21"/>
      <c r="K2" s="90" t="s">
        <v>38</v>
      </c>
      <c r="L2" s="91"/>
      <c r="M2" s="21"/>
      <c r="N2" s="90" t="s">
        <v>39</v>
      </c>
      <c r="O2" s="91"/>
      <c r="P2" s="21"/>
      <c r="Q2" s="90" t="s">
        <v>40</v>
      </c>
      <c r="R2" s="91"/>
      <c r="S2" s="21"/>
      <c r="T2" s="90" t="s">
        <v>41</v>
      </c>
      <c r="U2" s="91"/>
      <c r="V2" s="21"/>
      <c r="W2" s="90" t="s">
        <v>42</v>
      </c>
      <c r="X2" s="91"/>
      <c r="Y2" s="21"/>
      <c r="Z2" s="90" t="s">
        <v>43</v>
      </c>
      <c r="AA2" s="91"/>
      <c r="AB2" s="21"/>
      <c r="AC2" s="90" t="s">
        <v>44</v>
      </c>
      <c r="AD2" s="91"/>
      <c r="AE2" s="21"/>
      <c r="AF2" s="90" t="s">
        <v>45</v>
      </c>
      <c r="AG2" s="91"/>
      <c r="AH2" s="21"/>
      <c r="AI2" s="90" t="s">
        <v>46</v>
      </c>
      <c r="AJ2" s="91"/>
      <c r="AK2" s="21"/>
    </row>
    <row r="3" spans="1:37" ht="15.75" x14ac:dyDescent="0.3">
      <c r="A3" s="92"/>
      <c r="B3" s="73" t="s">
        <v>23</v>
      </c>
      <c r="C3" s="74" t="s">
        <v>24</v>
      </c>
      <c r="D3" s="28"/>
      <c r="E3" s="78" t="s">
        <v>23</v>
      </c>
      <c r="F3" s="74" t="s">
        <v>24</v>
      </c>
      <c r="G3" s="28"/>
      <c r="H3" s="73" t="s">
        <v>23</v>
      </c>
      <c r="I3" s="74" t="s">
        <v>24</v>
      </c>
      <c r="J3" s="28"/>
      <c r="K3" s="73" t="s">
        <v>23</v>
      </c>
      <c r="L3" s="74" t="s">
        <v>24</v>
      </c>
      <c r="M3" s="28"/>
      <c r="N3" s="73" t="s">
        <v>23</v>
      </c>
      <c r="O3" s="74" t="s">
        <v>24</v>
      </c>
      <c r="P3" s="28"/>
      <c r="Q3" s="73" t="s">
        <v>23</v>
      </c>
      <c r="R3" s="74" t="s">
        <v>24</v>
      </c>
      <c r="S3" s="28"/>
      <c r="T3" s="73" t="s">
        <v>23</v>
      </c>
      <c r="U3" s="74" t="s">
        <v>24</v>
      </c>
      <c r="V3" s="28"/>
      <c r="W3" s="73" t="s">
        <v>23</v>
      </c>
      <c r="X3" s="80" t="s">
        <v>24</v>
      </c>
      <c r="Y3" s="28"/>
      <c r="Z3" s="73" t="s">
        <v>23</v>
      </c>
      <c r="AA3" s="74" t="s">
        <v>24</v>
      </c>
      <c r="AB3" s="28"/>
      <c r="AC3" s="73" t="s">
        <v>23</v>
      </c>
      <c r="AD3" s="74" t="s">
        <v>24</v>
      </c>
      <c r="AE3" s="28"/>
      <c r="AF3" s="73" t="s">
        <v>23</v>
      </c>
      <c r="AG3" s="74" t="s">
        <v>24</v>
      </c>
      <c r="AH3" s="28"/>
      <c r="AI3" s="73" t="s">
        <v>23</v>
      </c>
      <c r="AJ3" s="74" t="s">
        <v>24</v>
      </c>
      <c r="AK3" s="28"/>
    </row>
    <row r="4" spans="1:37" ht="2.1" customHeight="1" x14ac:dyDescent="0.3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18"/>
      <c r="T4" s="27"/>
      <c r="U4" s="27"/>
      <c r="V4" s="18"/>
      <c r="W4" s="27"/>
      <c r="X4" s="27"/>
      <c r="Y4" s="18"/>
      <c r="Z4" s="27"/>
      <c r="AA4" s="27"/>
      <c r="AB4" s="18"/>
      <c r="AC4" s="27"/>
      <c r="AD4" s="27"/>
      <c r="AE4" s="18"/>
      <c r="AF4" s="27"/>
      <c r="AG4" s="27"/>
      <c r="AH4" s="18"/>
      <c r="AI4" s="27"/>
      <c r="AJ4" s="27"/>
      <c r="AK4" s="18"/>
    </row>
    <row r="5" spans="1:37" x14ac:dyDescent="0.3">
      <c r="A5" s="71"/>
      <c r="B5" s="23">
        <f>IFERROR(VLOOKUP($B$2&amp;"-"&amp;$A5,CC1_InputUser!$T:$Y,5,FALSE),0)</f>
        <v>0</v>
      </c>
      <c r="C5" s="23">
        <f>IFERROR(VLOOKUP($B$2&amp;"-"&amp;$A5,CC1_InputUser!$T:$Y,6,FALSE),0)</f>
        <v>0</v>
      </c>
      <c r="D5" s="24"/>
      <c r="E5" s="23">
        <f>IFERROR(VLOOKUP($E$2&amp;"-"&amp;$A5,CC1_InputUser!$T:$Y,5,FALSE),0)</f>
        <v>0</v>
      </c>
      <c r="F5" s="23">
        <f>IFERROR(VLOOKUP($E$2&amp;"-"&amp;$A5,CC1_InputUser!$T:$Y,6,FALSE),0)</f>
        <v>0</v>
      </c>
      <c r="G5" s="24"/>
      <c r="H5" s="23">
        <f>IFERROR(VLOOKUP($H$2&amp;"-"&amp;$A5,CC1_InputUser!$T:$Y,5,FALSE),0)</f>
        <v>0</v>
      </c>
      <c r="I5" s="23">
        <f>IFERROR(VLOOKUP($H$2&amp;"-"&amp;$A5,CC1_InputUser!$T:$Y,6,FALSE),0)</f>
        <v>0</v>
      </c>
      <c r="J5" s="24"/>
      <c r="K5" s="23">
        <f>IFERROR(VLOOKUP($K$2&amp;"-"&amp;$A5,CC1_InputUser!$T:$Y,5,FALSE),0)</f>
        <v>0</v>
      </c>
      <c r="L5" s="23">
        <f>IFERROR(VLOOKUP($K$2&amp;"-"&amp;$A5,CC1_InputUser!$T:$Y,6,FALSE),0)</f>
        <v>0</v>
      </c>
      <c r="M5" s="24"/>
      <c r="N5" s="23">
        <f>IFERROR(VLOOKUP($N$2&amp;"-"&amp;$A5,CC1_InputUser!$T:$Y,5,FALSE),0)</f>
        <v>0</v>
      </c>
      <c r="O5" s="23">
        <f>IFERROR(VLOOKUP($N$2&amp;"-"&amp;$A5,CC1_InputUser!$T:$Y,6,FALSE),0)</f>
        <v>0</v>
      </c>
      <c r="P5" s="24"/>
      <c r="Q5" s="23">
        <f>IFERROR(VLOOKUP(Q2&amp;"-"&amp;$A5,CC1_InputUser!$T:$Y,5,FALSE),0)</f>
        <v>0</v>
      </c>
      <c r="R5" s="23">
        <f>IFERROR(VLOOKUP(Q2&amp;"-"&amp;$A5,CC1_InputUser!$T:$Y,6,FALSE),0)</f>
        <v>0</v>
      </c>
      <c r="S5" s="24"/>
      <c r="T5" s="23">
        <f>IFERROR(VLOOKUP(T2&amp;"-"&amp;$A5,CC1_InputUser!$T:$Y,5,FALSE),0)</f>
        <v>0</v>
      </c>
      <c r="U5" s="23">
        <f>IFERROR(VLOOKUP(T2&amp;"-"&amp;$A5,CC1_InputUser!$T:$Y,6,FALSE),0)</f>
        <v>0</v>
      </c>
      <c r="V5" s="24"/>
      <c r="W5" s="23">
        <f>IFERROR(VLOOKUP(W2&amp;"-"&amp;$A5,CC1_InputUser!$T:$Y,5,FALSE),0)</f>
        <v>0</v>
      </c>
      <c r="X5" s="23">
        <f>IFERROR(VLOOKUP(W2&amp;"-"&amp;$A5,CC1_InputUser!$T:$Y,6,FALSE),0)</f>
        <v>0</v>
      </c>
      <c r="Y5" s="24"/>
      <c r="Z5" s="23">
        <f>IFERROR(VLOOKUP(Z2&amp;"-"&amp;$A5,CC1_InputUser!$T:$Y,5,FALSE),0)</f>
        <v>0</v>
      </c>
      <c r="AA5" s="23">
        <f>IFERROR(VLOOKUP(Z2&amp;"-"&amp;$A5,CC1_InputUser!$T:$Y,6,FALSE),0)</f>
        <v>0</v>
      </c>
      <c r="AB5" s="24"/>
      <c r="AC5" s="23">
        <f>IFERROR(VLOOKUP(AC2&amp;"-"&amp;$A5,CC1_InputUser!$T:$Y,5,FALSE),0)</f>
        <v>0</v>
      </c>
      <c r="AD5" s="23">
        <f>IFERROR(VLOOKUP(AC2&amp;"-"&amp;$A5,CC1_InputUser!$T:$Y,6,FALSE),0)</f>
        <v>0</v>
      </c>
      <c r="AE5" s="24"/>
      <c r="AF5" s="23">
        <f>IFERROR(VLOOKUP(AF2&amp;"-"&amp;$A5,CC1_InputUser!$T:$Y,5,FALSE),0)</f>
        <v>0</v>
      </c>
      <c r="AG5" s="23">
        <f>IFERROR(VLOOKUP(AF2&amp;"-"&amp;$A5,CC1_InputUser!$T:$Y,6,FALSE),0)</f>
        <v>0</v>
      </c>
      <c r="AH5" s="24" t="s">
        <v>65</v>
      </c>
      <c r="AI5" s="23">
        <f>IFERROR(VLOOKUP(AI2&amp;"-"&amp;$A5,CC1_InputUser!$T:$Y,5,FALSE),0)</f>
        <v>0</v>
      </c>
      <c r="AJ5" s="23">
        <f>IFERROR(VLOOKUP(AI2&amp;"-"&amp;$A5,CC1_InputUser!$T:$Y,6,FALSE),0)</f>
        <v>0</v>
      </c>
      <c r="AK5" s="24"/>
    </row>
    <row r="6" spans="1:37" x14ac:dyDescent="0.3">
      <c r="A6" s="72"/>
      <c r="B6" s="23"/>
      <c r="C6" s="23"/>
      <c r="D6" s="26"/>
      <c r="E6" s="23"/>
      <c r="F6" s="23"/>
      <c r="G6" s="26"/>
      <c r="H6" s="23"/>
      <c r="I6" s="23"/>
      <c r="J6" s="26"/>
      <c r="K6" s="23"/>
      <c r="L6" s="23"/>
      <c r="M6" s="26"/>
      <c r="N6" s="23"/>
      <c r="O6" s="23"/>
      <c r="P6" s="26"/>
      <c r="Q6" s="23"/>
      <c r="R6" s="23"/>
      <c r="S6" s="26"/>
      <c r="T6" s="23"/>
      <c r="U6" s="23"/>
      <c r="V6" s="26"/>
      <c r="W6" s="23"/>
      <c r="X6" s="23"/>
      <c r="Y6" s="26"/>
      <c r="Z6" s="23"/>
      <c r="AA6" s="23"/>
      <c r="AB6" s="26"/>
      <c r="AC6" s="23"/>
      <c r="AD6" s="23"/>
      <c r="AE6" s="26"/>
      <c r="AF6" s="23"/>
      <c r="AG6" s="23"/>
      <c r="AH6" s="26"/>
      <c r="AI6" s="23"/>
      <c r="AJ6" s="23"/>
      <c r="AK6" s="26"/>
    </row>
    <row r="7" spans="1:37" x14ac:dyDescent="0.3">
      <c r="A7" s="71"/>
      <c r="B7" s="23"/>
      <c r="C7" s="23"/>
      <c r="D7" s="24"/>
      <c r="E7" s="23"/>
      <c r="F7" s="23"/>
      <c r="G7" s="24"/>
      <c r="H7" s="23"/>
      <c r="I7" s="23"/>
      <c r="J7" s="24"/>
      <c r="K7" s="23"/>
      <c r="L7" s="23"/>
      <c r="M7" s="24"/>
      <c r="N7" s="23"/>
      <c r="O7" s="23"/>
      <c r="P7" s="24"/>
      <c r="Q7" s="23"/>
      <c r="R7" s="23"/>
      <c r="S7" s="24"/>
      <c r="T7" s="23"/>
      <c r="U7" s="23"/>
      <c r="V7" s="24"/>
      <c r="W7" s="23"/>
      <c r="X7" s="23"/>
      <c r="Y7" s="24"/>
      <c r="Z7" s="23"/>
      <c r="AA7" s="23"/>
      <c r="AB7" s="24"/>
      <c r="AC7" s="23"/>
      <c r="AD7" s="23"/>
      <c r="AE7" s="24"/>
      <c r="AF7" s="23"/>
      <c r="AG7" s="23"/>
      <c r="AH7" s="24"/>
      <c r="AI7" s="23"/>
      <c r="AJ7" s="23"/>
      <c r="AK7" s="24"/>
    </row>
    <row r="8" spans="1:37" x14ac:dyDescent="0.3">
      <c r="A8" s="72"/>
      <c r="B8" s="23"/>
      <c r="C8" s="23"/>
      <c r="D8" s="26"/>
      <c r="E8" s="23"/>
      <c r="F8" s="23"/>
      <c r="G8" s="26"/>
      <c r="H8" s="23"/>
      <c r="I8" s="23"/>
      <c r="J8" s="26"/>
      <c r="K8" s="23"/>
      <c r="L8" s="23"/>
      <c r="M8" s="26"/>
      <c r="N8" s="23"/>
      <c r="O8" s="23"/>
      <c r="P8" s="26"/>
      <c r="Q8" s="23"/>
      <c r="R8" s="23"/>
      <c r="S8" s="26"/>
      <c r="T8" s="23"/>
      <c r="U8" s="23"/>
      <c r="V8" s="26"/>
      <c r="W8" s="23"/>
      <c r="X8" s="23"/>
      <c r="Y8" s="26"/>
      <c r="Z8" s="23"/>
      <c r="AA8" s="23"/>
      <c r="AB8" s="26"/>
      <c r="AC8" s="23"/>
      <c r="AD8" s="23"/>
      <c r="AE8" s="26"/>
      <c r="AF8" s="23"/>
      <c r="AG8" s="23"/>
      <c r="AH8" s="26"/>
      <c r="AI8" s="23"/>
      <c r="AJ8" s="23"/>
      <c r="AK8" s="26"/>
    </row>
    <row r="9" spans="1:37" x14ac:dyDescent="0.3">
      <c r="A9" s="71"/>
      <c r="B9" s="23"/>
      <c r="C9" s="23"/>
      <c r="D9" s="24"/>
      <c r="E9" s="23"/>
      <c r="F9" s="23"/>
      <c r="G9" s="24"/>
      <c r="H9" s="23"/>
      <c r="I9" s="23"/>
      <c r="J9" s="24"/>
      <c r="K9" s="23"/>
      <c r="L9" s="23"/>
      <c r="M9" s="24"/>
      <c r="N9" s="23"/>
      <c r="O9" s="23"/>
      <c r="P9" s="24"/>
      <c r="Q9" s="23"/>
      <c r="R9" s="23"/>
      <c r="S9" s="24"/>
      <c r="T9" s="23"/>
      <c r="U9" s="23"/>
      <c r="V9" s="24"/>
      <c r="W9" s="23"/>
      <c r="X9" s="23"/>
      <c r="Y9" s="24"/>
      <c r="Z9" s="23"/>
      <c r="AA9" s="23"/>
      <c r="AB9" s="24"/>
      <c r="AC9" s="23"/>
      <c r="AD9" s="23"/>
      <c r="AE9" s="24"/>
      <c r="AF9" s="23"/>
      <c r="AG9" s="23"/>
      <c r="AH9" s="24"/>
      <c r="AI9" s="23"/>
      <c r="AJ9" s="23"/>
      <c r="AK9" s="24"/>
    </row>
    <row r="10" spans="1:37" x14ac:dyDescent="0.3">
      <c r="A10" s="72"/>
      <c r="B10" s="23"/>
      <c r="C10" s="23"/>
      <c r="D10" s="26"/>
      <c r="E10" s="23"/>
      <c r="F10" s="23"/>
      <c r="G10" s="26"/>
      <c r="H10" s="23"/>
      <c r="I10" s="23"/>
      <c r="J10" s="26"/>
      <c r="K10" s="23"/>
      <c r="L10" s="23"/>
      <c r="M10" s="26"/>
      <c r="N10" s="23"/>
      <c r="O10" s="23"/>
      <c r="P10" s="26"/>
      <c r="Q10" s="23"/>
      <c r="R10" s="23"/>
      <c r="S10" s="26"/>
      <c r="T10" s="23"/>
      <c r="U10" s="23"/>
      <c r="V10" s="26"/>
      <c r="W10" s="23"/>
      <c r="X10" s="23"/>
      <c r="Y10" s="26"/>
      <c r="Z10" s="23"/>
      <c r="AA10" s="23"/>
      <c r="AB10" s="26"/>
      <c r="AC10" s="23"/>
      <c r="AD10" s="23"/>
      <c r="AE10" s="26"/>
      <c r="AF10" s="23"/>
      <c r="AG10" s="23"/>
      <c r="AH10" s="26"/>
      <c r="AI10" s="23"/>
      <c r="AJ10" s="23"/>
      <c r="AK10" s="26"/>
    </row>
    <row r="11" spans="1:37" x14ac:dyDescent="0.3">
      <c r="A11" s="71"/>
      <c r="B11" s="23"/>
      <c r="C11" s="23"/>
      <c r="D11" s="24"/>
      <c r="E11" s="23"/>
      <c r="F11" s="23"/>
      <c r="G11" s="24"/>
      <c r="H11" s="23"/>
      <c r="I11" s="23"/>
      <c r="J11" s="24"/>
      <c r="K11" s="23"/>
      <c r="L11" s="23"/>
      <c r="M11" s="24"/>
      <c r="N11" s="23"/>
      <c r="O11" s="23"/>
      <c r="P11" s="24"/>
      <c r="Q11" s="23"/>
      <c r="R11" s="23"/>
      <c r="S11" s="24"/>
      <c r="T11" s="23"/>
      <c r="U11" s="23"/>
      <c r="V11" s="24"/>
      <c r="W11" s="23"/>
      <c r="X11" s="23"/>
      <c r="Y11" s="24"/>
      <c r="Z11" s="23"/>
      <c r="AA11" s="23"/>
      <c r="AB11" s="24"/>
      <c r="AC11" s="23"/>
      <c r="AD11" s="23"/>
      <c r="AE11" s="24"/>
      <c r="AF11" s="23"/>
      <c r="AG11" s="23"/>
      <c r="AH11" s="24"/>
      <c r="AI11" s="23"/>
      <c r="AJ11" s="23"/>
      <c r="AK11" s="24"/>
    </row>
    <row r="12" spans="1:37" x14ac:dyDescent="0.3">
      <c r="A12" s="72"/>
      <c r="B12" s="23"/>
      <c r="C12" s="23"/>
      <c r="D12" s="24"/>
      <c r="E12" s="23"/>
      <c r="F12" s="23"/>
      <c r="G12" s="24"/>
      <c r="H12" s="23"/>
      <c r="I12" s="23"/>
      <c r="J12" s="24"/>
      <c r="K12" s="23"/>
      <c r="L12" s="23"/>
      <c r="M12" s="24"/>
      <c r="N12" s="23"/>
      <c r="O12" s="23"/>
      <c r="P12" s="24"/>
      <c r="Q12" s="23"/>
      <c r="R12" s="23"/>
      <c r="S12" s="24"/>
      <c r="T12" s="23"/>
      <c r="U12" s="23"/>
      <c r="V12" s="24"/>
      <c r="W12" s="23"/>
      <c r="X12" s="23"/>
      <c r="Y12" s="24"/>
      <c r="Z12" s="23"/>
      <c r="AA12" s="23"/>
      <c r="AB12" s="24"/>
      <c r="AC12" s="23"/>
      <c r="AD12" s="23"/>
      <c r="AE12" s="24"/>
      <c r="AF12" s="23"/>
      <c r="AG12" s="23"/>
      <c r="AH12" s="24"/>
      <c r="AI12" s="23"/>
      <c r="AJ12" s="23"/>
      <c r="AK12" s="24"/>
    </row>
    <row r="13" spans="1:37" ht="2.1" customHeight="1" x14ac:dyDescent="0.3">
      <c r="A13" s="20"/>
      <c r="B13" s="20"/>
      <c r="C13" s="20"/>
      <c r="D13" s="18"/>
      <c r="E13" s="20"/>
      <c r="F13" s="20"/>
      <c r="G13" s="18"/>
      <c r="H13" s="20"/>
      <c r="I13" s="20"/>
      <c r="J13" s="18"/>
      <c r="K13" s="20"/>
      <c r="L13" s="20"/>
      <c r="M13" s="18"/>
      <c r="N13" s="20"/>
      <c r="O13" s="20"/>
      <c r="P13" s="18"/>
      <c r="Q13" s="20"/>
      <c r="R13" s="20"/>
      <c r="S13" s="18"/>
      <c r="T13" s="20"/>
      <c r="U13" s="20"/>
      <c r="V13" s="18"/>
      <c r="W13" s="20"/>
      <c r="X13" s="20"/>
      <c r="Y13" s="18"/>
      <c r="Z13" s="20"/>
      <c r="AA13" s="20"/>
      <c r="AB13" s="18"/>
      <c r="AC13" s="20"/>
      <c r="AD13" s="20"/>
      <c r="AE13" s="18"/>
      <c r="AF13" s="20"/>
      <c r="AG13" s="20"/>
      <c r="AH13" s="18"/>
      <c r="AI13" s="20"/>
      <c r="AJ13" s="20"/>
      <c r="AK13" s="18"/>
    </row>
    <row r="14" spans="1:37" s="55" customFormat="1" ht="24.95" customHeight="1" x14ac:dyDescent="0.25">
      <c r="A14" s="42" t="s">
        <v>49</v>
      </c>
      <c r="B14" s="57">
        <f>IFERROR(VLOOKUP(B2,CC1_InputUser!$A:$S,18,FALSE),0)</f>
        <v>5.224088957189732E-3</v>
      </c>
      <c r="C14" s="57">
        <f>IFERROR(VLOOKUP(B2,CC1_InputUser!$A:$S,19,FALSE),0)</f>
        <v>-9.3833673475188784E-3</v>
      </c>
      <c r="D14" s="62"/>
      <c r="E14" s="79">
        <f>IFERROR(VLOOKUP(E2,CC1_InputUser!$A:$S,18,FALSE),0)</f>
        <v>7.176418118578054E-3</v>
      </c>
      <c r="F14" s="57">
        <f>IFERROR(VLOOKUP(E2,CC1_InputUser!$A:$S,19,FALSE),0)</f>
        <v>-1.1270529910001548E-2</v>
      </c>
      <c r="G14" s="62"/>
      <c r="H14" s="57">
        <f>IFERROR(VLOOKUP(H2,CC1_InputUser!$A:$S,18,FALSE),0)</f>
        <v>9.5495260447391317E-3</v>
      </c>
      <c r="I14" s="57">
        <f>IFERROR(VLOOKUP(H2,CC1_InputUser!$A:$S,19,FALSE),0)</f>
        <v>-1.0776905499875533E-2</v>
      </c>
      <c r="J14" s="62"/>
      <c r="K14" s="57">
        <f>IFERROR(VLOOKUP(K2,CC1_InputUser!$A:$S,18,FALSE),0)</f>
        <v>8.9026266635268136E-3</v>
      </c>
      <c r="L14" s="57">
        <f>IFERROR(VLOOKUP(K2,CC1_InputUser!$A:$S,19,FALSE),0)</f>
        <v>-6.6662239774724075E-3</v>
      </c>
      <c r="M14" s="62"/>
      <c r="N14" s="57">
        <f>IFERROR(VLOOKUP(N2,CC1_InputUser!$A:$S,18,FALSE),0)</f>
        <v>3.3153865430988194E-3</v>
      </c>
      <c r="O14" s="57">
        <f>IFERROR(VLOOKUP(N2,CC1_InputUser!$A:$S,19,FALSE),0)</f>
        <v>-7.7471890375179209E-3</v>
      </c>
      <c r="P14" s="62"/>
      <c r="Q14" s="57">
        <f>IFERROR(VLOOKUP(Q2,CC1_InputUser!$A:$S,18,FALSE),0)</f>
        <v>-2.0960816085641154E-3</v>
      </c>
      <c r="R14" s="57">
        <f>IFERROR(VLOOKUP(Q2,CC1_InputUser!$A:$S,19,FALSE),0)</f>
        <v>-1.0462311934554047E-2</v>
      </c>
      <c r="S14" s="62"/>
      <c r="T14" s="57">
        <f>IFERROR(VLOOKUP(T2,CC1_InputUser!$A:$S,18,FALSE),0)</f>
        <v>-8.679282568110791E-3</v>
      </c>
      <c r="U14" s="57">
        <f>IFERROR(VLOOKUP(T2,CC1_InputUser!$A:$S,19,FALSE),0)</f>
        <v>-9.3901836983916187E-3</v>
      </c>
      <c r="V14" s="62"/>
      <c r="W14" s="57">
        <f>IFERROR(VLOOKUP(W2,CC1_InputUser!$A:$S,18,FALSE),0)</f>
        <v>7.3475885654907813E-3</v>
      </c>
      <c r="X14" s="79">
        <f>IFERROR(VLOOKUP(W2,CC1_InputUser!$A:$S,19,FALSE),0)</f>
        <v>-5.4420177320055885E-3</v>
      </c>
      <c r="Y14" s="62"/>
      <c r="Z14" s="57">
        <f>IFERROR(VLOOKUP(Z2,CC1_InputUser!$A:$S,18,FALSE),0)</f>
        <v>1.8897271237978686E-3</v>
      </c>
      <c r="AA14" s="57">
        <f>IFERROR(VLOOKUP(Z2,CC1_InputUser!$A:$S,19,FALSE),0)</f>
        <v>-4.8190622863065746E-3</v>
      </c>
      <c r="AB14" s="62"/>
      <c r="AC14" s="57">
        <f>IFERROR(VLOOKUP(AC2,CC1_InputUser!$A:$S,18,FALSE),0)</f>
        <v>-6.2906797289136174E-3</v>
      </c>
      <c r="AD14" s="57">
        <f>IFERROR(VLOOKUP(AC2,CC1_InputUser!$A:$S,19,FALSE),0)</f>
        <v>-8.4488653245008427E-3</v>
      </c>
      <c r="AE14" s="62"/>
      <c r="AF14" s="57">
        <f>IFERROR(VLOOKUP(AF2,CC1_InputUser!$A:$S,18,FALSE),0)</f>
        <v>0</v>
      </c>
      <c r="AG14" s="57">
        <f>IFERROR(VLOOKUP(AF2,CC1_InputUser!$A:$S,19,FALSE),0)</f>
        <v>0</v>
      </c>
      <c r="AH14" s="62"/>
      <c r="AI14" s="57">
        <f>IFERROR(VLOOKUP(AI2,CC1_InputUser!$A:$S,18,FALSE),0)</f>
        <v>0</v>
      </c>
      <c r="AJ14" s="57">
        <f>IFERROR(VLOOKUP(AI2,CC1_InputUser!$A:$S,19,FALSE),0)</f>
        <v>0</v>
      </c>
      <c r="AK14" s="60"/>
    </row>
    <row r="15" spans="1:37" ht="4.5" customHeight="1" x14ac:dyDescent="0.3">
      <c r="A15" s="20"/>
      <c r="B15" s="20"/>
      <c r="C15" s="20"/>
      <c r="D15" s="18"/>
      <c r="E15" s="20"/>
      <c r="F15" s="20"/>
      <c r="G15" s="18"/>
      <c r="H15" s="20"/>
      <c r="I15" s="20"/>
      <c r="J15" s="18"/>
      <c r="K15" s="20"/>
      <c r="L15" s="20"/>
      <c r="M15" s="18"/>
      <c r="N15" s="20"/>
      <c r="O15" s="20"/>
      <c r="P15" s="18"/>
      <c r="Q15" s="20"/>
      <c r="R15" s="20"/>
      <c r="S15" s="18"/>
      <c r="T15" s="20"/>
      <c r="U15" s="20"/>
      <c r="V15" s="18"/>
      <c r="W15" s="20"/>
      <c r="X15" s="20"/>
      <c r="Y15" s="18"/>
      <c r="Z15" s="20"/>
      <c r="AA15" s="20"/>
      <c r="AB15" s="18"/>
      <c r="AC15" s="20"/>
      <c r="AD15" s="20"/>
      <c r="AE15" s="18"/>
      <c r="AF15" s="20"/>
      <c r="AG15" s="20"/>
      <c r="AH15" s="18"/>
      <c r="AI15" s="20"/>
      <c r="AJ15" s="20"/>
      <c r="AK15" s="18"/>
    </row>
    <row r="16" spans="1:37" x14ac:dyDescent="0.3">
      <c r="D16" s="18"/>
      <c r="G16" s="18"/>
      <c r="J16" s="18"/>
      <c r="M16" s="18"/>
      <c r="P16" s="18"/>
      <c r="S16" s="18"/>
      <c r="V16" s="18"/>
      <c r="Y16" s="18"/>
      <c r="AB16" s="18"/>
      <c r="AE16" s="18"/>
      <c r="AH16" s="18"/>
      <c r="AK16" s="18"/>
    </row>
    <row r="17" spans="1:37" x14ac:dyDescent="0.3">
      <c r="D17" s="18"/>
      <c r="G17" s="18"/>
      <c r="J17" s="18"/>
      <c r="M17" s="18"/>
      <c r="P17" s="18"/>
      <c r="S17" s="18"/>
      <c r="V17" s="18"/>
      <c r="Y17" s="18"/>
      <c r="AB17" s="18"/>
      <c r="AE17" s="18"/>
      <c r="AH17" s="18"/>
      <c r="AK17" s="18"/>
    </row>
    <row r="18" spans="1:37" x14ac:dyDescent="0.3">
      <c r="A18" s="58" t="s">
        <v>61</v>
      </c>
      <c r="D18" s="18"/>
      <c r="G18" s="18"/>
      <c r="J18" s="18"/>
      <c r="M18" s="18"/>
      <c r="P18" s="18"/>
      <c r="S18" s="18"/>
      <c r="V18" s="18"/>
      <c r="Y18" s="18"/>
      <c r="AB18" s="18"/>
      <c r="AE18" s="18"/>
      <c r="AH18" s="18"/>
      <c r="AK18" s="18"/>
    </row>
    <row r="19" spans="1:37" x14ac:dyDescent="0.3">
      <c r="A19" t="s">
        <v>63</v>
      </c>
      <c r="D19" s="18"/>
      <c r="G19" s="18"/>
      <c r="J19" s="18"/>
      <c r="M19" s="18"/>
      <c r="P19" s="18"/>
      <c r="S19" s="18"/>
      <c r="V19" s="18"/>
      <c r="Y19" s="18"/>
      <c r="AB19" s="18"/>
      <c r="AE19" s="18"/>
      <c r="AH19" s="18"/>
      <c r="AK19" s="18"/>
    </row>
    <row r="20" spans="1:37" x14ac:dyDescent="0.3">
      <c r="D20" s="18"/>
      <c r="G20" s="18"/>
      <c r="J20" s="18"/>
      <c r="M20" s="18"/>
      <c r="P20" s="18"/>
      <c r="S20" s="18"/>
      <c r="V20" s="18"/>
      <c r="Y20" s="18"/>
      <c r="AB20" s="18"/>
      <c r="AE20" s="18"/>
      <c r="AH20" s="18"/>
      <c r="AK20" s="18"/>
    </row>
    <row r="21" spans="1:37" x14ac:dyDescent="0.3">
      <c r="A21" s="49" t="s">
        <v>62</v>
      </c>
      <c r="D21" s="18"/>
      <c r="G21" s="18"/>
      <c r="J21" s="18"/>
      <c r="M21" s="18"/>
      <c r="P21" s="18"/>
      <c r="S21" s="18"/>
      <c r="V21" s="18"/>
      <c r="Y21" s="18"/>
      <c r="AB21" s="18"/>
      <c r="AE21" s="18"/>
      <c r="AH21" s="18"/>
      <c r="AK21" s="18"/>
    </row>
    <row r="22" spans="1:37" x14ac:dyDescent="0.3">
      <c r="A22" t="s">
        <v>64</v>
      </c>
      <c r="D22" s="18"/>
      <c r="G22" s="18"/>
      <c r="J22" s="18"/>
      <c r="M22" s="18"/>
      <c r="P22" s="18"/>
      <c r="S22" s="18"/>
      <c r="V22" s="18"/>
      <c r="Y22" s="18"/>
      <c r="AB22" s="18"/>
      <c r="AE22" s="18"/>
      <c r="AH22" s="18"/>
      <c r="AK22" s="18"/>
    </row>
    <row r="23" spans="1:37" x14ac:dyDescent="0.3">
      <c r="D23" s="18"/>
      <c r="G23" s="18"/>
      <c r="J23" s="18"/>
      <c r="M23" s="18"/>
      <c r="P23" s="18"/>
      <c r="S23" s="18"/>
      <c r="V23" s="18"/>
      <c r="Y23" s="18"/>
      <c r="AB23" s="18"/>
      <c r="AE23" s="18"/>
      <c r="AH23" s="18"/>
      <c r="AK23" s="18"/>
    </row>
    <row r="24" spans="1:37" s="16" customFormat="1" x14ac:dyDescent="0.3">
      <c r="A24"/>
      <c r="D24" s="19"/>
      <c r="G24" s="19"/>
      <c r="J24" s="19"/>
      <c r="M24" s="19"/>
      <c r="P24" s="19"/>
      <c r="S24" s="19"/>
      <c r="V24" s="19"/>
      <c r="Y24" s="19"/>
      <c r="AB24" s="19"/>
      <c r="AE24" s="19"/>
      <c r="AH24" s="19"/>
      <c r="AK24" s="19"/>
    </row>
    <row r="25" spans="1:37" s="16" customFormat="1" x14ac:dyDescent="0.3">
      <c r="A25"/>
      <c r="D25" s="19"/>
      <c r="G25" s="19"/>
      <c r="J25" s="19"/>
      <c r="M25" s="19"/>
      <c r="P25" s="19"/>
      <c r="S25" s="19"/>
      <c r="V25" s="19"/>
      <c r="Y25" s="19"/>
      <c r="AB25" s="19"/>
      <c r="AE25" s="19"/>
      <c r="AH25" s="19"/>
      <c r="AK25" s="19"/>
    </row>
    <row r="26" spans="1:37" s="16" customFormat="1" x14ac:dyDescent="0.3">
      <c r="A26" s="17"/>
      <c r="B26" s="17"/>
      <c r="D26" s="19"/>
      <c r="G26" s="19"/>
      <c r="J26" s="19"/>
      <c r="M26" s="19"/>
      <c r="P26" s="19"/>
      <c r="S26" s="19"/>
      <c r="V26" s="19"/>
      <c r="Y26" s="19"/>
      <c r="AB26" s="19"/>
      <c r="AE26" s="19"/>
      <c r="AH26" s="19"/>
      <c r="AK26" s="19"/>
    </row>
  </sheetData>
  <mergeCells count="13">
    <mergeCell ref="N2:O2"/>
    <mergeCell ref="A2:A3"/>
    <mergeCell ref="B2:C2"/>
    <mergeCell ref="E2:F2"/>
    <mergeCell ref="H2:I2"/>
    <mergeCell ref="K2:L2"/>
    <mergeCell ref="AI2:AJ2"/>
    <mergeCell ref="Q2:R2"/>
    <mergeCell ref="T2:U2"/>
    <mergeCell ref="W2:X2"/>
    <mergeCell ref="Z2:AA2"/>
    <mergeCell ref="AC2:AD2"/>
    <mergeCell ref="AF2:AG2"/>
  </mergeCells>
  <conditionalFormatting sqref="B14:AJ14">
    <cfRule type="cellIs" dxfId="9" priority="1" operator="between">
      <formula>-0.00251</formula>
      <formula>-0.009</formula>
    </cfRule>
    <cfRule type="cellIs" dxfId="8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27371B35-D1D6-4452-868E-5063280208AB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E14</xm:sqref>
        </x14:conditionalFormatting>
        <x14:conditionalFormatting xmlns:xm="http://schemas.microsoft.com/office/excel/2006/main">
          <x14:cfRule type="iconSet" priority="4" id="{AF246A66-252D-4961-9EFC-4FD856F9CBE7}">
            <x14:iconSet iconSet="3Triangles">
              <x14:cfvo type="percent">
                <xm:f>0</xm:f>
              </x14:cfvo>
              <x14:cfvo type="formula">
                <xm:f>$C$14</xm:f>
              </x14:cfvo>
              <x14:cfvo type="formula" gte="0">
                <xm:f>$C$14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5" id="{294171ED-739E-45CA-AC69-D3C51FF2D169}">
            <x14:iconSet iconSet="3Triangles">
              <x14:cfvo type="percent">
                <xm:f>0</xm:f>
              </x14:cfvo>
              <x14:cfvo type="formula">
                <xm:f>$E$14</xm:f>
              </x14:cfvo>
              <x14:cfvo type="formula" gte="0">
                <xm:f>$E$14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6" id="{956C04B3-856E-435A-91FF-21014310D827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I14</xm:sqref>
        </x14:conditionalFormatting>
        <x14:conditionalFormatting xmlns:xm="http://schemas.microsoft.com/office/excel/2006/main">
          <x14:cfRule type="iconSet" priority="7" id="{7E937D48-6714-40F2-A085-3E65C97FC85C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K14</xm:sqref>
        </x14:conditionalFormatting>
        <x14:conditionalFormatting xmlns:xm="http://schemas.microsoft.com/office/excel/2006/main">
          <x14:cfRule type="iconSet" priority="8" id="{AE82E5D5-A59B-4225-9208-75651B282F09}">
            <x14:iconSet iconSet="3Triangles">
              <x14:cfvo type="percent">
                <xm:f>0</xm:f>
              </x14:cfvo>
              <x14:cfvo type="formula">
                <xm:f>$I$14</xm:f>
              </x14:cfvo>
              <x14:cfvo type="formula" gte="0">
                <xm:f>$I$14</xm:f>
              </x14:cfvo>
            </x14:iconSet>
          </x14:cfRule>
          <xm:sqref>L14</xm:sqref>
        </x14:conditionalFormatting>
        <x14:conditionalFormatting xmlns:xm="http://schemas.microsoft.com/office/excel/2006/main">
          <x14:cfRule type="iconSet" priority="9" id="{7AA0BF19-3761-4510-8B56-3DF5F7476023}">
            <x14:iconSet iconSet="3Triangles">
              <x14:cfvo type="percent">
                <xm:f>0</xm:f>
              </x14:cfvo>
              <x14:cfvo type="formula">
                <xm:f>$K$14</xm:f>
              </x14:cfvo>
              <x14:cfvo type="formula" gte="0">
                <xm:f>$K$14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10" id="{06E24B6F-900A-41F9-9F0B-1FF61DD28CD9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O14</xm:sqref>
        </x14:conditionalFormatting>
        <x14:conditionalFormatting xmlns:xm="http://schemas.microsoft.com/office/excel/2006/main">
          <x14:cfRule type="iconSet" priority="11" id="{46130C0D-D388-46E1-B7FD-171A89DE8F33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Q14</xm:sqref>
        </x14:conditionalFormatting>
        <x14:conditionalFormatting xmlns:xm="http://schemas.microsoft.com/office/excel/2006/main">
          <x14:cfRule type="iconSet" priority="13" id="{C9E1851C-2134-4A44-98BE-8016E8E18ADE}">
            <x14:iconSet iconSet="3Triangles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T14</xm:sqref>
        </x14:conditionalFormatting>
        <x14:conditionalFormatting xmlns:xm="http://schemas.microsoft.com/office/excel/2006/main">
          <x14:cfRule type="iconSet" priority="14" id="{A2AF2DDF-9365-481B-9D58-A3AB1011F605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U14</xm:sqref>
        </x14:conditionalFormatting>
        <x14:conditionalFormatting xmlns:xm="http://schemas.microsoft.com/office/excel/2006/main">
          <x14:cfRule type="iconSet" priority="15" id="{B8CD77F9-DE19-400C-9910-6E2ED2FF51C7}">
            <x14:iconSet iconSet="3Triangles">
              <x14:cfvo type="percent">
                <xm:f>0</xm:f>
              </x14:cfvo>
              <x14:cfvo type="formula">
                <xm:f>$T$14</xm:f>
              </x14:cfvo>
              <x14:cfvo type="formula" gte="0">
                <xm:f>$T$14</xm:f>
              </x14:cfvo>
            </x14:iconSet>
          </x14:cfRule>
          <xm:sqref>W14</xm:sqref>
        </x14:conditionalFormatting>
        <x14:conditionalFormatting xmlns:xm="http://schemas.microsoft.com/office/excel/2006/main">
          <x14:cfRule type="iconSet" priority="16" id="{DBB22FCC-04CB-4D1A-82A3-3E9E8A242D08}">
            <x14:iconSet iconSet="3Triangles">
              <x14:cfvo type="percent">
                <xm:f>0</xm:f>
              </x14:cfvo>
              <x14:cfvo type="formula">
                <xm:f>$U$14</xm:f>
              </x14:cfvo>
              <x14:cfvo type="formula" gte="0">
                <xm:f>$U$14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17" id="{682554D4-9596-4421-BB89-7D9464964DC4}">
            <x14:iconSet iconSet="3Triangles">
              <x14:cfvo type="percent">
                <xm:f>0</xm:f>
              </x14:cfvo>
              <x14:cfvo type="formula">
                <xm:f>$W$14</xm:f>
              </x14:cfvo>
              <x14:cfvo type="formula" gte="0">
                <xm:f>$W$14</xm:f>
              </x14:cfvo>
            </x14:iconSet>
          </x14:cfRule>
          <xm:sqref>Z14</xm:sqref>
        </x14:conditionalFormatting>
        <x14:conditionalFormatting xmlns:xm="http://schemas.microsoft.com/office/excel/2006/main">
          <x14:cfRule type="iconSet" priority="18" id="{B0ED4526-0451-4EE6-8A88-552BC6AF7C6A}">
            <x14:iconSet iconSet="3Triangles">
              <x14:cfvo type="percent">
                <xm:f>0</xm:f>
              </x14:cfvo>
              <x14:cfvo type="formula">
                <xm:f>$X$14</xm:f>
              </x14:cfvo>
              <x14:cfvo type="formula" gte="0">
                <xm:f>$X$14</xm:f>
              </x14:cfvo>
            </x14:iconSet>
          </x14:cfRule>
          <xm:sqref>AA14</xm:sqref>
        </x14:conditionalFormatting>
        <x14:conditionalFormatting xmlns:xm="http://schemas.microsoft.com/office/excel/2006/main">
          <x14:cfRule type="iconSet" priority="19" id="{D9A4A3E0-BA27-4A73-ACDE-67B73015BD18}">
            <x14:iconSet iconSet="3Triangles">
              <x14:cfvo type="percent">
                <xm:f>0</xm:f>
              </x14:cfvo>
              <x14:cfvo type="formula">
                <xm:f>$Z$14</xm:f>
              </x14:cfvo>
              <x14:cfvo type="formula" gte="0">
                <xm:f>$Z$14</xm:f>
              </x14:cfvo>
            </x14:iconSet>
          </x14:cfRule>
          <xm:sqref>AC14</xm:sqref>
        </x14:conditionalFormatting>
        <x14:conditionalFormatting xmlns:xm="http://schemas.microsoft.com/office/excel/2006/main">
          <x14:cfRule type="iconSet" priority="20" id="{E2799DFF-8356-499F-8967-FC1430F85A19}">
            <x14:iconSet iconSet="3Triangles">
              <x14:cfvo type="percent">
                <xm:f>0</xm:f>
              </x14:cfvo>
              <x14:cfvo type="formula">
                <xm:f>$AA$14</xm:f>
              </x14:cfvo>
              <x14:cfvo type="formula" gte="0">
                <xm:f>$AA$14</xm:f>
              </x14:cfvo>
            </x14:iconSet>
          </x14:cfRule>
          <xm:sqref>AD14</xm:sqref>
        </x14:conditionalFormatting>
        <x14:conditionalFormatting xmlns:xm="http://schemas.microsoft.com/office/excel/2006/main">
          <x14:cfRule type="iconSet" priority="21" id="{1C8AEA9B-7F70-4867-8366-166D545A4307}">
            <x14:iconSet iconSet="3Triangles">
              <x14:cfvo type="percent">
                <xm:f>0</xm:f>
              </x14:cfvo>
              <x14:cfvo type="formula">
                <xm:f>$AC$14</xm:f>
              </x14:cfvo>
              <x14:cfvo type="formula" gte="0">
                <xm:f>$AC$14</xm:f>
              </x14:cfvo>
            </x14:iconSet>
          </x14:cfRule>
          <xm:sqref>AF14</xm:sqref>
        </x14:conditionalFormatting>
        <x14:conditionalFormatting xmlns:xm="http://schemas.microsoft.com/office/excel/2006/main">
          <x14:cfRule type="iconSet" priority="22" id="{5B230070-6D0D-4E15-B117-D16BC16FFD02}">
            <x14:iconSet iconSet="3Triangles">
              <x14:cfvo type="percent">
                <xm:f>0</xm:f>
              </x14:cfvo>
              <x14:cfvo type="formula">
                <xm:f>$AD$14</xm:f>
              </x14:cfvo>
              <x14:cfvo type="formula" gte="0">
                <xm:f>$AD$14</xm:f>
              </x14:cfvo>
            </x14:iconSet>
          </x14:cfRule>
          <xm:sqref>AG14</xm:sqref>
        </x14:conditionalFormatting>
        <x14:conditionalFormatting xmlns:xm="http://schemas.microsoft.com/office/excel/2006/main">
          <x14:cfRule type="iconSet" priority="23" id="{811870FC-5A59-4C35-80A7-D923DDC88666}">
            <x14:iconSet iconSet="3Triangles">
              <x14:cfvo type="percent">
                <xm:f>0</xm:f>
              </x14:cfvo>
              <x14:cfvo type="formula">
                <xm:f>$AF$14</xm:f>
              </x14:cfvo>
              <x14:cfvo type="formula" gte="0">
                <xm:f>$AF$14</xm:f>
              </x14:cfvo>
            </x14:iconSet>
          </x14:cfRule>
          <xm:sqref>AI14</xm:sqref>
        </x14:conditionalFormatting>
        <x14:conditionalFormatting xmlns:xm="http://schemas.microsoft.com/office/excel/2006/main">
          <x14:cfRule type="iconSet" priority="24" id="{D78507D3-65A9-433E-A006-73F7AD99B463}">
            <x14:iconSet iconSet="3Triangles">
              <x14:cfvo type="percent">
                <xm:f>0</xm:f>
              </x14:cfvo>
              <x14:cfvo type="formula">
                <xm:f>$AG$14</xm:f>
              </x14:cfvo>
              <x14:cfvo type="formula" gte="0">
                <xm:f>$AG$14</xm:f>
              </x14:cfvo>
            </x14:iconSet>
          </x14:cfRule>
          <xm:sqref>AJ14</xm:sqref>
        </x14:conditionalFormatting>
        <x14:conditionalFormatting xmlns:xm="http://schemas.microsoft.com/office/excel/2006/main">
          <x14:cfRule type="iconSet" priority="335" id="{7263E71C-538C-4EA1-B2E5-07CA8170970C}">
            <x14:iconSet iconSet="3Triangles">
              <x14:cfvo type="percent">
                <xm:f>0</xm:f>
              </x14:cfvo>
              <x14:cfvo type="formula">
                <xm:f>$O$14</xm:f>
              </x14:cfvo>
              <x14:cfvo type="formula" gte="0">
                <xm:f>$O$14</xm:f>
              </x14:cfvo>
            </x14:iconSet>
          </x14:cfRule>
          <xm:sqref>R14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92" t="s">
        <v>56</v>
      </c>
      <c r="B2" s="90" t="s">
        <v>36</v>
      </c>
      <c r="C2" s="91"/>
      <c r="D2" s="91"/>
      <c r="E2" s="91"/>
      <c r="F2" s="91"/>
      <c r="G2" s="91"/>
      <c r="H2" s="91"/>
      <c r="I2" s="91"/>
      <c r="J2" s="91"/>
      <c r="K2" s="102"/>
      <c r="L2" s="21"/>
      <c r="M2" s="90" t="s">
        <v>34</v>
      </c>
      <c r="N2" s="91"/>
      <c r="O2" s="91"/>
      <c r="P2" s="91"/>
      <c r="Q2" s="91"/>
      <c r="R2" s="91"/>
      <c r="S2" s="91"/>
      <c r="T2" s="91"/>
      <c r="U2" s="91"/>
      <c r="V2" s="102"/>
      <c r="W2" s="21"/>
      <c r="X2" s="90" t="s">
        <v>37</v>
      </c>
      <c r="Y2" s="91"/>
      <c r="Z2" s="91"/>
      <c r="AA2" s="91"/>
      <c r="AB2" s="91"/>
      <c r="AC2" s="91"/>
      <c r="AD2" s="91"/>
      <c r="AE2" s="91"/>
      <c r="AF2" s="91"/>
      <c r="AG2" s="102"/>
      <c r="AH2" s="21"/>
      <c r="AI2" s="90" t="s">
        <v>38</v>
      </c>
      <c r="AJ2" s="91"/>
      <c r="AK2" s="91"/>
      <c r="AL2" s="91"/>
      <c r="AM2" s="91"/>
      <c r="AN2" s="91"/>
      <c r="AO2" s="91"/>
      <c r="AP2" s="91"/>
      <c r="AQ2" s="91"/>
      <c r="AR2" s="102"/>
      <c r="AS2" s="21"/>
      <c r="AT2" s="90" t="s">
        <v>39</v>
      </c>
      <c r="AU2" s="91"/>
      <c r="AV2" s="91"/>
      <c r="AW2" s="91"/>
      <c r="AX2" s="91"/>
      <c r="AY2" s="91"/>
      <c r="AZ2" s="91"/>
      <c r="BA2" s="91"/>
      <c r="BB2" s="91"/>
      <c r="BC2" s="102"/>
      <c r="BD2" s="21"/>
      <c r="BE2" s="90" t="s">
        <v>40</v>
      </c>
      <c r="BF2" s="91"/>
      <c r="BG2" s="91"/>
      <c r="BH2" s="91"/>
      <c r="BI2" s="91"/>
      <c r="BJ2" s="91"/>
      <c r="BK2" s="91"/>
      <c r="BL2" s="91"/>
      <c r="BM2" s="91"/>
      <c r="BN2" s="102"/>
      <c r="BO2" s="21"/>
      <c r="BP2" s="90" t="s">
        <v>41</v>
      </c>
      <c r="BQ2" s="91"/>
      <c r="BR2" s="91"/>
      <c r="BS2" s="91"/>
      <c r="BT2" s="91"/>
      <c r="BU2" s="91"/>
      <c r="BV2" s="91"/>
      <c r="BW2" s="91"/>
      <c r="BX2" s="91"/>
      <c r="BY2" s="102"/>
      <c r="BZ2" s="21"/>
      <c r="CA2" s="90" t="s">
        <v>42</v>
      </c>
      <c r="CB2" s="91"/>
      <c r="CC2" s="91"/>
      <c r="CD2" s="91"/>
      <c r="CE2" s="91"/>
      <c r="CF2" s="91"/>
      <c r="CG2" s="91"/>
      <c r="CH2" s="91"/>
      <c r="CI2" s="91"/>
      <c r="CJ2" s="102"/>
      <c r="CK2" s="21"/>
      <c r="CL2" s="90" t="s">
        <v>43</v>
      </c>
      <c r="CM2" s="91"/>
      <c r="CN2" s="91"/>
      <c r="CO2" s="91"/>
      <c r="CP2" s="91"/>
      <c r="CQ2" s="91"/>
      <c r="CR2" s="91"/>
      <c r="CS2" s="91"/>
      <c r="CT2" s="91"/>
      <c r="CU2" s="102"/>
      <c r="CV2" s="21"/>
      <c r="CW2" s="90" t="s">
        <v>44</v>
      </c>
      <c r="CX2" s="91"/>
      <c r="CY2" s="91"/>
      <c r="CZ2" s="91"/>
      <c r="DA2" s="91"/>
      <c r="DB2" s="91"/>
      <c r="DC2" s="91"/>
      <c r="DD2" s="91"/>
      <c r="DE2" s="91"/>
      <c r="DF2" s="102"/>
      <c r="DG2" s="21"/>
      <c r="DH2" s="90" t="s">
        <v>45</v>
      </c>
      <c r="DI2" s="91"/>
      <c r="DJ2" s="91"/>
      <c r="DK2" s="91"/>
      <c r="DL2" s="91"/>
      <c r="DM2" s="91"/>
      <c r="DN2" s="91"/>
      <c r="DO2" s="91"/>
      <c r="DP2" s="91"/>
      <c r="DQ2" s="102"/>
      <c r="DR2" s="21"/>
      <c r="DS2" s="90" t="s">
        <v>46</v>
      </c>
      <c r="DT2" s="91"/>
      <c r="DU2" s="91"/>
      <c r="DV2" s="91"/>
      <c r="DW2" s="91"/>
      <c r="DX2" s="91"/>
      <c r="DY2" s="91"/>
      <c r="DZ2" s="91"/>
      <c r="EA2" s="91"/>
      <c r="EB2" s="102"/>
      <c r="EC2" s="21"/>
    </row>
    <row r="3" spans="1:133" ht="15.75" x14ac:dyDescent="0.3">
      <c r="A3" s="92"/>
      <c r="B3" s="100" t="s">
        <v>23</v>
      </c>
      <c r="C3" s="100"/>
      <c r="D3" s="100"/>
      <c r="E3" s="100"/>
      <c r="F3" s="100"/>
      <c r="G3" s="101" t="s">
        <v>24</v>
      </c>
      <c r="H3" s="101"/>
      <c r="I3" s="101"/>
      <c r="J3" s="101"/>
      <c r="K3" s="101"/>
      <c r="L3" s="28"/>
      <c r="M3" s="100" t="s">
        <v>23</v>
      </c>
      <c r="N3" s="100"/>
      <c r="O3" s="100"/>
      <c r="P3" s="100"/>
      <c r="Q3" s="100"/>
      <c r="R3" s="101" t="s">
        <v>24</v>
      </c>
      <c r="S3" s="101"/>
      <c r="T3" s="101"/>
      <c r="U3" s="101"/>
      <c r="V3" s="101"/>
      <c r="W3" s="28"/>
      <c r="X3" s="100" t="s">
        <v>23</v>
      </c>
      <c r="Y3" s="100"/>
      <c r="Z3" s="100"/>
      <c r="AA3" s="100"/>
      <c r="AB3" s="100"/>
      <c r="AC3" s="101" t="s">
        <v>24</v>
      </c>
      <c r="AD3" s="101"/>
      <c r="AE3" s="101"/>
      <c r="AF3" s="101"/>
      <c r="AG3" s="101"/>
      <c r="AH3" s="28"/>
      <c r="AI3" s="100" t="s">
        <v>23</v>
      </c>
      <c r="AJ3" s="100"/>
      <c r="AK3" s="100"/>
      <c r="AL3" s="100"/>
      <c r="AM3" s="100"/>
      <c r="AN3" s="101" t="s">
        <v>24</v>
      </c>
      <c r="AO3" s="101"/>
      <c r="AP3" s="101"/>
      <c r="AQ3" s="101"/>
      <c r="AR3" s="101"/>
      <c r="AS3" s="28"/>
      <c r="AT3" s="100" t="s">
        <v>23</v>
      </c>
      <c r="AU3" s="100"/>
      <c r="AV3" s="100"/>
      <c r="AW3" s="100"/>
      <c r="AX3" s="100"/>
      <c r="AY3" s="101" t="s">
        <v>24</v>
      </c>
      <c r="AZ3" s="101"/>
      <c r="BA3" s="101"/>
      <c r="BB3" s="101"/>
      <c r="BC3" s="101"/>
      <c r="BD3" s="28"/>
      <c r="BE3" s="100" t="s">
        <v>23</v>
      </c>
      <c r="BF3" s="100"/>
      <c r="BG3" s="100"/>
      <c r="BH3" s="100"/>
      <c r="BI3" s="100"/>
      <c r="BJ3" s="101" t="s">
        <v>24</v>
      </c>
      <c r="BK3" s="101"/>
      <c r="BL3" s="101"/>
      <c r="BM3" s="101"/>
      <c r="BN3" s="101"/>
      <c r="BO3" s="28"/>
      <c r="BP3" s="100" t="s">
        <v>23</v>
      </c>
      <c r="BQ3" s="100"/>
      <c r="BR3" s="100"/>
      <c r="BS3" s="100"/>
      <c r="BT3" s="100"/>
      <c r="BU3" s="101" t="s">
        <v>24</v>
      </c>
      <c r="BV3" s="101"/>
      <c r="BW3" s="101"/>
      <c r="BX3" s="101"/>
      <c r="BY3" s="101"/>
      <c r="BZ3" s="28"/>
      <c r="CA3" s="100" t="s">
        <v>23</v>
      </c>
      <c r="CB3" s="100"/>
      <c r="CC3" s="100"/>
      <c r="CD3" s="100"/>
      <c r="CE3" s="100"/>
      <c r="CF3" s="101" t="s">
        <v>24</v>
      </c>
      <c r="CG3" s="101"/>
      <c r="CH3" s="101"/>
      <c r="CI3" s="101"/>
      <c r="CJ3" s="101"/>
      <c r="CK3" s="28"/>
      <c r="CL3" s="100" t="s">
        <v>23</v>
      </c>
      <c r="CM3" s="100"/>
      <c r="CN3" s="100"/>
      <c r="CO3" s="100"/>
      <c r="CP3" s="100"/>
      <c r="CQ3" s="101" t="s">
        <v>24</v>
      </c>
      <c r="CR3" s="101"/>
      <c r="CS3" s="101"/>
      <c r="CT3" s="101"/>
      <c r="CU3" s="101"/>
      <c r="CV3" s="28"/>
      <c r="CW3" s="100" t="s">
        <v>23</v>
      </c>
      <c r="CX3" s="100"/>
      <c r="CY3" s="100"/>
      <c r="CZ3" s="100"/>
      <c r="DA3" s="100"/>
      <c r="DB3" s="101" t="s">
        <v>24</v>
      </c>
      <c r="DC3" s="101"/>
      <c r="DD3" s="101"/>
      <c r="DE3" s="101"/>
      <c r="DF3" s="101"/>
      <c r="DG3" s="28"/>
      <c r="DH3" s="100" t="s">
        <v>23</v>
      </c>
      <c r="DI3" s="100"/>
      <c r="DJ3" s="100"/>
      <c r="DK3" s="100"/>
      <c r="DL3" s="100"/>
      <c r="DM3" s="101" t="s">
        <v>24</v>
      </c>
      <c r="DN3" s="101"/>
      <c r="DO3" s="101"/>
      <c r="DP3" s="101"/>
      <c r="DQ3" s="101"/>
      <c r="DR3" s="28"/>
      <c r="DS3" s="100" t="s">
        <v>23</v>
      </c>
      <c r="DT3" s="100"/>
      <c r="DU3" s="100"/>
      <c r="DV3" s="100"/>
      <c r="DW3" s="100"/>
      <c r="DX3" s="101" t="s">
        <v>24</v>
      </c>
      <c r="DY3" s="101"/>
      <c r="DZ3" s="101"/>
      <c r="EA3" s="101"/>
      <c r="EB3" s="101"/>
      <c r="EC3" s="28"/>
    </row>
    <row r="4" spans="1:133" s="54" customFormat="1" ht="15" x14ac:dyDescent="0.35">
      <c r="A4" s="103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5" customFormat="1" ht="24.95" customHeight="1" x14ac:dyDescent="0.25">
      <c r="A15" s="42" t="s">
        <v>48</v>
      </c>
      <c r="B15" s="57">
        <f t="shared" ref="B15:K15" si="0">SUM(B6:B13)</f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6">
        <f t="shared" si="0"/>
        <v>0</v>
      </c>
      <c r="H15" s="56">
        <f t="shared" si="0"/>
        <v>0</v>
      </c>
      <c r="I15" s="56">
        <f t="shared" si="0"/>
        <v>0</v>
      </c>
      <c r="J15" s="56">
        <f t="shared" si="0"/>
        <v>0</v>
      </c>
      <c r="K15" s="56">
        <f t="shared" si="0"/>
        <v>0</v>
      </c>
      <c r="L15" s="61"/>
      <c r="M15" s="59">
        <f t="shared" ref="M15:V15" si="1">SUM(M6:M13)</f>
        <v>0</v>
      </c>
      <c r="N15" s="59">
        <f t="shared" si="1"/>
        <v>0</v>
      </c>
      <c r="O15" s="59">
        <f t="shared" si="1"/>
        <v>0</v>
      </c>
      <c r="P15" s="59">
        <f t="shared" si="1"/>
        <v>0</v>
      </c>
      <c r="Q15" s="59">
        <f t="shared" si="1"/>
        <v>0</v>
      </c>
      <c r="R15" s="56">
        <f t="shared" si="1"/>
        <v>0</v>
      </c>
      <c r="S15" s="56">
        <f t="shared" si="1"/>
        <v>0</v>
      </c>
      <c r="T15" s="56">
        <f t="shared" si="1"/>
        <v>0</v>
      </c>
      <c r="U15" s="56">
        <f t="shared" si="1"/>
        <v>0</v>
      </c>
      <c r="V15" s="56">
        <f t="shared" si="1"/>
        <v>0</v>
      </c>
      <c r="W15" s="61"/>
      <c r="X15" s="59">
        <f t="shared" ref="X15:AG15" si="2">SUM(X6:X13)</f>
        <v>0</v>
      </c>
      <c r="Y15" s="59">
        <f t="shared" si="2"/>
        <v>0</v>
      </c>
      <c r="Z15" s="59">
        <f t="shared" si="2"/>
        <v>0</v>
      </c>
      <c r="AA15" s="59">
        <f t="shared" si="2"/>
        <v>0</v>
      </c>
      <c r="AB15" s="59">
        <f t="shared" si="2"/>
        <v>0</v>
      </c>
      <c r="AC15" s="56">
        <f t="shared" si="2"/>
        <v>0</v>
      </c>
      <c r="AD15" s="56">
        <f t="shared" si="2"/>
        <v>0</v>
      </c>
      <c r="AE15" s="56">
        <f t="shared" si="2"/>
        <v>0</v>
      </c>
      <c r="AF15" s="56">
        <f t="shared" si="2"/>
        <v>0</v>
      </c>
      <c r="AG15" s="56">
        <f t="shared" si="2"/>
        <v>0</v>
      </c>
      <c r="AH15" s="61"/>
      <c r="AI15" s="59">
        <f t="shared" ref="AI15:AR15" si="3">SUM(AI6:AI13)</f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6">
        <f t="shared" si="3"/>
        <v>0</v>
      </c>
      <c r="AO15" s="56">
        <f t="shared" si="3"/>
        <v>0</v>
      </c>
      <c r="AP15" s="56">
        <f t="shared" si="3"/>
        <v>0</v>
      </c>
      <c r="AQ15" s="56">
        <f t="shared" si="3"/>
        <v>0</v>
      </c>
      <c r="AR15" s="56">
        <f t="shared" si="3"/>
        <v>0</v>
      </c>
      <c r="AS15" s="61"/>
      <c r="AT15" s="59">
        <f t="shared" ref="AT15:BC15" si="4">SUM(AT6:AT13)</f>
        <v>0</v>
      </c>
      <c r="AU15" s="59">
        <f t="shared" si="4"/>
        <v>0</v>
      </c>
      <c r="AV15" s="59">
        <f t="shared" si="4"/>
        <v>0</v>
      </c>
      <c r="AW15" s="59">
        <f t="shared" si="4"/>
        <v>0</v>
      </c>
      <c r="AX15" s="59">
        <f t="shared" si="4"/>
        <v>0</v>
      </c>
      <c r="AY15" s="56">
        <f t="shared" si="4"/>
        <v>0</v>
      </c>
      <c r="AZ15" s="56">
        <f t="shared" si="4"/>
        <v>0</v>
      </c>
      <c r="BA15" s="56">
        <f t="shared" si="4"/>
        <v>0</v>
      </c>
      <c r="BB15" s="56">
        <f t="shared" si="4"/>
        <v>0</v>
      </c>
      <c r="BC15" s="56">
        <f t="shared" si="4"/>
        <v>0</v>
      </c>
      <c r="BD15" s="61"/>
      <c r="BE15" s="59">
        <f t="shared" ref="BE15:BN15" si="5">SUM(BE6:BE13)</f>
        <v>0</v>
      </c>
      <c r="BF15" s="59">
        <f t="shared" si="5"/>
        <v>0</v>
      </c>
      <c r="BG15" s="59">
        <f t="shared" si="5"/>
        <v>0</v>
      </c>
      <c r="BH15" s="59">
        <f t="shared" si="5"/>
        <v>0</v>
      </c>
      <c r="BI15" s="59">
        <f t="shared" si="5"/>
        <v>0</v>
      </c>
      <c r="BJ15" s="56">
        <f t="shared" si="5"/>
        <v>0</v>
      </c>
      <c r="BK15" s="56">
        <f t="shared" si="5"/>
        <v>0</v>
      </c>
      <c r="BL15" s="56">
        <f t="shared" si="5"/>
        <v>0</v>
      </c>
      <c r="BM15" s="56">
        <f t="shared" si="5"/>
        <v>0</v>
      </c>
      <c r="BN15" s="56">
        <f t="shared" si="5"/>
        <v>0</v>
      </c>
      <c r="BO15" s="61"/>
      <c r="BP15" s="59">
        <f t="shared" ref="BP15:BY15" si="6">SUM(BP6:BP13)</f>
        <v>0</v>
      </c>
      <c r="BQ15" s="59">
        <f t="shared" si="6"/>
        <v>0</v>
      </c>
      <c r="BR15" s="59">
        <f t="shared" si="6"/>
        <v>0</v>
      </c>
      <c r="BS15" s="59">
        <f t="shared" si="6"/>
        <v>0</v>
      </c>
      <c r="BT15" s="59">
        <f t="shared" si="6"/>
        <v>0</v>
      </c>
      <c r="BU15" s="56">
        <f t="shared" si="6"/>
        <v>0</v>
      </c>
      <c r="BV15" s="56">
        <f t="shared" si="6"/>
        <v>0</v>
      </c>
      <c r="BW15" s="56">
        <f t="shared" si="6"/>
        <v>0</v>
      </c>
      <c r="BX15" s="56">
        <f t="shared" si="6"/>
        <v>0</v>
      </c>
      <c r="BY15" s="56">
        <f t="shared" si="6"/>
        <v>0</v>
      </c>
      <c r="BZ15" s="61"/>
      <c r="CA15" s="59">
        <f t="shared" ref="CA15:CJ15" si="7">SUM(CA6:CA13)</f>
        <v>0</v>
      </c>
      <c r="CB15" s="59">
        <f t="shared" si="7"/>
        <v>0</v>
      </c>
      <c r="CC15" s="59">
        <f t="shared" si="7"/>
        <v>0</v>
      </c>
      <c r="CD15" s="59">
        <f t="shared" si="7"/>
        <v>0</v>
      </c>
      <c r="CE15" s="59">
        <f t="shared" si="7"/>
        <v>0</v>
      </c>
      <c r="CF15" s="56">
        <f t="shared" si="7"/>
        <v>0</v>
      </c>
      <c r="CG15" s="56">
        <f t="shared" si="7"/>
        <v>0</v>
      </c>
      <c r="CH15" s="56">
        <f t="shared" si="7"/>
        <v>0</v>
      </c>
      <c r="CI15" s="56">
        <f t="shared" si="7"/>
        <v>0</v>
      </c>
      <c r="CJ15" s="56">
        <f t="shared" si="7"/>
        <v>0</v>
      </c>
      <c r="CK15" s="61"/>
      <c r="CL15" s="59">
        <f t="shared" ref="CL15:CU15" si="8">SUM(CL6:CL13)</f>
        <v>0</v>
      </c>
      <c r="CM15" s="59">
        <f t="shared" si="8"/>
        <v>0</v>
      </c>
      <c r="CN15" s="59">
        <f t="shared" si="8"/>
        <v>0</v>
      </c>
      <c r="CO15" s="59">
        <f t="shared" si="8"/>
        <v>0</v>
      </c>
      <c r="CP15" s="59">
        <f t="shared" si="8"/>
        <v>0</v>
      </c>
      <c r="CQ15" s="56">
        <f t="shared" si="8"/>
        <v>0</v>
      </c>
      <c r="CR15" s="56">
        <f t="shared" si="8"/>
        <v>0</v>
      </c>
      <c r="CS15" s="56">
        <f t="shared" si="8"/>
        <v>0</v>
      </c>
      <c r="CT15" s="56">
        <f t="shared" si="8"/>
        <v>0</v>
      </c>
      <c r="CU15" s="56">
        <f t="shared" si="8"/>
        <v>0</v>
      </c>
      <c r="CV15" s="61"/>
      <c r="CW15" s="59">
        <f t="shared" ref="CW15:DF15" si="9">SUM(CW6:CW13)</f>
        <v>0</v>
      </c>
      <c r="CX15" s="59">
        <f t="shared" si="9"/>
        <v>0</v>
      </c>
      <c r="CY15" s="59">
        <f t="shared" si="9"/>
        <v>0</v>
      </c>
      <c r="CZ15" s="59">
        <f t="shared" si="9"/>
        <v>0</v>
      </c>
      <c r="DA15" s="59">
        <f t="shared" si="9"/>
        <v>0</v>
      </c>
      <c r="DB15" s="56">
        <f t="shared" si="9"/>
        <v>0</v>
      </c>
      <c r="DC15" s="56">
        <f t="shared" si="9"/>
        <v>0</v>
      </c>
      <c r="DD15" s="56">
        <f t="shared" si="9"/>
        <v>0</v>
      </c>
      <c r="DE15" s="56">
        <f t="shared" si="9"/>
        <v>0</v>
      </c>
      <c r="DF15" s="56">
        <f t="shared" si="9"/>
        <v>0</v>
      </c>
      <c r="DG15" s="61"/>
      <c r="DH15" s="59">
        <f t="shared" ref="DH15:DQ15" si="10">SUM(DH6:DH13)</f>
        <v>0</v>
      </c>
      <c r="DI15" s="59">
        <f t="shared" si="10"/>
        <v>0</v>
      </c>
      <c r="DJ15" s="59">
        <f t="shared" si="10"/>
        <v>0</v>
      </c>
      <c r="DK15" s="59">
        <f t="shared" si="10"/>
        <v>0</v>
      </c>
      <c r="DL15" s="59">
        <f t="shared" si="10"/>
        <v>0</v>
      </c>
      <c r="DM15" s="56">
        <f t="shared" si="10"/>
        <v>0</v>
      </c>
      <c r="DN15" s="56">
        <f t="shared" si="10"/>
        <v>0</v>
      </c>
      <c r="DO15" s="56">
        <f t="shared" si="10"/>
        <v>0</v>
      </c>
      <c r="DP15" s="56">
        <f t="shared" si="10"/>
        <v>0</v>
      </c>
      <c r="DQ15" s="56">
        <f t="shared" si="10"/>
        <v>0</v>
      </c>
      <c r="DR15" s="61"/>
      <c r="DS15" s="59">
        <f t="shared" ref="DS15:EB15" si="11">SUM(DS6:DS13)</f>
        <v>0</v>
      </c>
      <c r="DT15" s="59">
        <f t="shared" si="11"/>
        <v>0</v>
      </c>
      <c r="DU15" s="59">
        <f t="shared" si="11"/>
        <v>0</v>
      </c>
      <c r="DV15" s="59">
        <f t="shared" si="11"/>
        <v>0</v>
      </c>
      <c r="DW15" s="59">
        <f t="shared" si="11"/>
        <v>0</v>
      </c>
      <c r="DX15" s="56">
        <f t="shared" si="11"/>
        <v>0</v>
      </c>
      <c r="DY15" s="56">
        <f t="shared" si="11"/>
        <v>0</v>
      </c>
      <c r="DZ15" s="56">
        <f t="shared" si="11"/>
        <v>0</v>
      </c>
      <c r="EA15" s="56">
        <f t="shared" si="11"/>
        <v>0</v>
      </c>
      <c r="EB15" s="56">
        <f t="shared" si="11"/>
        <v>0</v>
      </c>
      <c r="EC15" s="60"/>
    </row>
    <row r="16" spans="1:133" s="55" customFormat="1" ht="24.95" customHeight="1" x14ac:dyDescent="0.25">
      <c r="A16" s="42" t="s">
        <v>49</v>
      </c>
      <c r="B16" s="95">
        <f>IFERROR(VLOOKUP(B2,CC1_InputUser!$A:$S,18,FALSE),0)</f>
        <v>5.224088957189732E-3</v>
      </c>
      <c r="C16" s="95"/>
      <c r="D16" s="95"/>
      <c r="E16" s="95"/>
      <c r="F16" s="95"/>
      <c r="G16" s="95">
        <f>IFERROR(VLOOKUP(B2,CC1_InputUser!$A:$S,19,FALSE),0)</f>
        <v>-9.3833673475188784E-3</v>
      </c>
      <c r="H16" s="95"/>
      <c r="I16" s="95"/>
      <c r="J16" s="95"/>
      <c r="K16" s="95"/>
      <c r="L16" s="62"/>
      <c r="M16" s="95">
        <f>IFERROR(VLOOKUP(M2,CC1_InputUser!$A:$S,18,FALSE),0)</f>
        <v>7.176418118578054E-3</v>
      </c>
      <c r="N16" s="95"/>
      <c r="O16" s="95"/>
      <c r="P16" s="95"/>
      <c r="Q16" s="95"/>
      <c r="R16" s="95">
        <f>IFERROR(VLOOKUP(M2,CC1_InputUser!$A:$S,19,FALSE),0)</f>
        <v>-1.1270529910001548E-2</v>
      </c>
      <c r="S16" s="95"/>
      <c r="T16" s="95"/>
      <c r="U16" s="95"/>
      <c r="V16" s="95"/>
      <c r="W16" s="62"/>
      <c r="X16" s="95">
        <f>IFERROR(VLOOKUP(X2,CC1_InputUser!$A:$S,18,FALSE),0)</f>
        <v>9.5495260447391317E-3</v>
      </c>
      <c r="Y16" s="95"/>
      <c r="Z16" s="95"/>
      <c r="AA16" s="95"/>
      <c r="AB16" s="95"/>
      <c r="AC16" s="95">
        <f>IFERROR(VLOOKUP(X2,CC1_InputUser!$A:$S,19,FALSE),0)</f>
        <v>-1.0776905499875533E-2</v>
      </c>
      <c r="AD16" s="95"/>
      <c r="AE16" s="95"/>
      <c r="AF16" s="95"/>
      <c r="AG16" s="95"/>
      <c r="AH16" s="62"/>
      <c r="AI16" s="95">
        <f>IFERROR(VLOOKUP(AI2,CC1_InputUser!$A:$S,18,FALSE),0)</f>
        <v>8.9026266635268136E-3</v>
      </c>
      <c r="AJ16" s="95"/>
      <c r="AK16" s="95"/>
      <c r="AL16" s="95"/>
      <c r="AM16" s="95"/>
      <c r="AN16" s="95">
        <f>IFERROR(VLOOKUP(AI2,CC1_InputUser!$A:$S,19,FALSE),0)</f>
        <v>-6.6662239774724075E-3</v>
      </c>
      <c r="AO16" s="95"/>
      <c r="AP16" s="95"/>
      <c r="AQ16" s="95"/>
      <c r="AR16" s="95"/>
      <c r="AS16" s="62"/>
      <c r="AT16" s="95">
        <f>IFERROR(VLOOKUP(AT2,CC1_InputUser!$A:$S,18,FALSE),0)</f>
        <v>3.3153865430988194E-3</v>
      </c>
      <c r="AU16" s="95"/>
      <c r="AV16" s="95"/>
      <c r="AW16" s="95"/>
      <c r="AX16" s="95"/>
      <c r="AY16" s="95">
        <f>IFERROR(VLOOKUP(AT2,CC1_InputUser!$A:$S,19,FALSE),0)</f>
        <v>-7.7471890375179209E-3</v>
      </c>
      <c r="AZ16" s="95"/>
      <c r="BA16" s="95"/>
      <c r="BB16" s="95"/>
      <c r="BC16" s="95"/>
      <c r="BD16" s="62"/>
      <c r="BE16" s="95">
        <f>IFERROR(VLOOKUP(BE2,CC1_InputUser!$A:$S,18,FALSE),0)</f>
        <v>-2.0960816085641154E-3</v>
      </c>
      <c r="BF16" s="95"/>
      <c r="BG16" s="95"/>
      <c r="BH16" s="95"/>
      <c r="BI16" s="95"/>
      <c r="BJ16" s="95">
        <f>IFERROR(VLOOKUP(BE2,CC1_InputUser!$A:$S,19,FALSE),0)</f>
        <v>-1.0462311934554047E-2</v>
      </c>
      <c r="BK16" s="95"/>
      <c r="BL16" s="95"/>
      <c r="BM16" s="95"/>
      <c r="BN16" s="95"/>
      <c r="BO16" s="62"/>
      <c r="BP16" s="95">
        <f>IFERROR(VLOOKUP(BP2,CC1_InputUser!$A:$S,18,FALSE),0)</f>
        <v>-8.679282568110791E-3</v>
      </c>
      <c r="BQ16" s="95"/>
      <c r="BR16" s="95"/>
      <c r="BS16" s="95"/>
      <c r="BT16" s="95"/>
      <c r="BU16" s="95">
        <f>IFERROR(VLOOKUP(BP2,CC1_InputUser!$A:$S,19,FALSE),0)</f>
        <v>-9.3901836983916187E-3</v>
      </c>
      <c r="BV16" s="95"/>
      <c r="BW16" s="95"/>
      <c r="BX16" s="95"/>
      <c r="BY16" s="95"/>
      <c r="BZ16" s="62"/>
      <c r="CA16" s="95">
        <f>IFERROR(VLOOKUP(CA2,CC1_InputUser!$A:$S,18,FALSE),0)</f>
        <v>7.3475885654907813E-3</v>
      </c>
      <c r="CB16" s="95"/>
      <c r="CC16" s="95"/>
      <c r="CD16" s="95"/>
      <c r="CE16" s="95"/>
      <c r="CF16" s="95">
        <f>IFERROR(VLOOKUP(CA2,CC1_InputUser!$A:$S,19,FALSE),0)</f>
        <v>-5.4420177320055885E-3</v>
      </c>
      <c r="CG16" s="95"/>
      <c r="CH16" s="95"/>
      <c r="CI16" s="95"/>
      <c r="CJ16" s="95"/>
      <c r="CK16" s="62"/>
      <c r="CL16" s="95">
        <f>IFERROR(VLOOKUP(CL2,CC1_InputUser!$A:$S,18,FALSE),0)</f>
        <v>1.8897271237978686E-3</v>
      </c>
      <c r="CM16" s="95"/>
      <c r="CN16" s="95"/>
      <c r="CO16" s="95"/>
      <c r="CP16" s="95"/>
      <c r="CQ16" s="95">
        <f>IFERROR(VLOOKUP(CL2,CC1_InputUser!$A:$S,19,FALSE),0)</f>
        <v>-4.8190622863065746E-3</v>
      </c>
      <c r="CR16" s="95"/>
      <c r="CS16" s="95"/>
      <c r="CT16" s="95"/>
      <c r="CU16" s="95"/>
      <c r="CV16" s="62"/>
      <c r="CW16" s="95">
        <f>IFERROR(VLOOKUP(CW2,CC1_InputUser!$A:$S,18,FALSE),0)</f>
        <v>-6.2906797289136174E-3</v>
      </c>
      <c r="CX16" s="95"/>
      <c r="CY16" s="95"/>
      <c r="CZ16" s="95"/>
      <c r="DA16" s="95"/>
      <c r="DB16" s="95">
        <f>IFERROR(VLOOKUP(CW2,CC1_InputUser!$A:$S,19,FALSE),0)</f>
        <v>-8.4488653245008427E-3</v>
      </c>
      <c r="DC16" s="95"/>
      <c r="DD16" s="95"/>
      <c r="DE16" s="95"/>
      <c r="DF16" s="95"/>
      <c r="DG16" s="62"/>
      <c r="DH16" s="95">
        <f>IFERROR(VLOOKUP(DH2,CC1_InputUser!$A:$S,18,FALSE),0)</f>
        <v>0</v>
      </c>
      <c r="DI16" s="95"/>
      <c r="DJ16" s="95"/>
      <c r="DK16" s="95"/>
      <c r="DL16" s="95"/>
      <c r="DM16" s="95">
        <f>IFERROR(VLOOKUP(DH2,CC1_InputUser!$A:$S,19,FALSE),0)</f>
        <v>0</v>
      </c>
      <c r="DN16" s="95"/>
      <c r="DO16" s="95"/>
      <c r="DP16" s="95"/>
      <c r="DQ16" s="95"/>
      <c r="DR16" s="62"/>
      <c r="DS16" s="95">
        <f>IFERROR(VLOOKUP(DS2,CC1_InputUser!$A:$S,18,FALSE),0)</f>
        <v>0</v>
      </c>
      <c r="DT16" s="95"/>
      <c r="DU16" s="95"/>
      <c r="DV16" s="95"/>
      <c r="DW16" s="95"/>
      <c r="DX16" s="95">
        <f>IFERROR(VLOOKUP(DS2,CC1_InputUser!$A:$S,19,FALSE),0)</f>
        <v>0</v>
      </c>
      <c r="DY16" s="95"/>
      <c r="DZ16" s="95"/>
      <c r="EA16" s="95"/>
      <c r="EB16" s="95"/>
      <c r="EC16" s="60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51</v>
      </c>
      <c r="B18" s="50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1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5" customFormat="1" ht="24.95" customHeight="1" x14ac:dyDescent="0.25">
      <c r="A19" s="42" t="s">
        <v>52</v>
      </c>
      <c r="B19" s="96" t="s">
        <v>60</v>
      </c>
      <c r="C19" s="96"/>
      <c r="D19" s="96"/>
      <c r="E19" s="96"/>
      <c r="F19" s="96"/>
      <c r="G19" s="97" t="s">
        <v>60</v>
      </c>
      <c r="H19" s="97"/>
      <c r="I19" s="97"/>
      <c r="J19" s="97"/>
      <c r="K19" s="97"/>
      <c r="L19" s="36"/>
      <c r="M19" s="93">
        <f>IFERROR(M16/B16-1,0)</f>
        <v>0.37371667622569849</v>
      </c>
      <c r="N19" s="93"/>
      <c r="O19" s="93"/>
      <c r="P19" s="93"/>
      <c r="Q19" s="93"/>
      <c r="R19" s="94">
        <f>IFERROR(R16/G16-1,0)</f>
        <v>0.20111783889412238</v>
      </c>
      <c r="S19" s="94"/>
      <c r="T19" s="94"/>
      <c r="U19" s="94"/>
      <c r="V19" s="94"/>
      <c r="W19" s="36"/>
      <c r="X19" s="98">
        <f>IFERROR(X16/M16-1,0)</f>
        <v>0.33068139104348737</v>
      </c>
      <c r="Y19" s="98"/>
      <c r="Z19" s="98"/>
      <c r="AA19" s="98"/>
      <c r="AB19" s="98"/>
      <c r="AC19" s="99">
        <f>IFERROR(AC16/R16-1,0)</f>
        <v>-4.3797799577104946E-2</v>
      </c>
      <c r="AD19" s="99"/>
      <c r="AE19" s="99"/>
      <c r="AF19" s="99"/>
      <c r="AG19" s="99"/>
      <c r="AH19" s="36"/>
      <c r="AI19" s="93">
        <f>IFERROR(AI16/X16-1,0)</f>
        <v>-6.7741517032533505E-2</v>
      </c>
      <c r="AJ19" s="93"/>
      <c r="AK19" s="93"/>
      <c r="AL19" s="93"/>
      <c r="AM19" s="93"/>
      <c r="AN19" s="94">
        <f>IFERROR(AN16/AC16-1,0)</f>
        <v>-0.38143431084652279</v>
      </c>
      <c r="AO19" s="94"/>
      <c r="AP19" s="94"/>
      <c r="AQ19" s="94"/>
      <c r="AR19" s="94"/>
      <c r="AS19" s="36"/>
      <c r="AT19" s="93">
        <f>IFERROR(AT16/AI16-1,0)</f>
        <v>-0.62759456636751576</v>
      </c>
      <c r="AU19" s="93"/>
      <c r="AV19" s="93"/>
      <c r="AW19" s="93"/>
      <c r="AX19" s="93"/>
      <c r="AY19" s="94">
        <f>IFERROR(AY16/AN16-1,0)</f>
        <v>0.16215552668174471</v>
      </c>
      <c r="AZ19" s="94"/>
      <c r="BA19" s="94"/>
      <c r="BB19" s="94"/>
      <c r="BC19" s="94"/>
      <c r="BD19" s="36"/>
      <c r="BE19" s="93">
        <f>IFERROR(BE16/AT16-1,0)</f>
        <v>-1.6322284238401215</v>
      </c>
      <c r="BF19" s="93"/>
      <c r="BG19" s="93"/>
      <c r="BH19" s="93"/>
      <c r="BI19" s="93"/>
      <c r="BJ19" s="94">
        <f>IFERROR(BJ16/AY16-1,0)</f>
        <v>0.35046555387862455</v>
      </c>
      <c r="BK19" s="94"/>
      <c r="BL19" s="94"/>
      <c r="BM19" s="94"/>
      <c r="BN19" s="94"/>
      <c r="BO19" s="36"/>
      <c r="BP19" s="93">
        <f>IFERROR(BP16/BE16-1,0)</f>
        <v>3.1407178674003937</v>
      </c>
      <c r="BQ19" s="93"/>
      <c r="BR19" s="93"/>
      <c r="BS19" s="93"/>
      <c r="BT19" s="93"/>
      <c r="BU19" s="94">
        <f>IFERROR(BU16/BJ16-1,0)</f>
        <v>-0.10247526960283926</v>
      </c>
      <c r="BV19" s="94"/>
      <c r="BW19" s="94"/>
      <c r="BX19" s="94"/>
      <c r="BY19" s="94"/>
      <c r="BZ19" s="36"/>
      <c r="CA19" s="93">
        <f>IFERROR(CA16/BP16-1,0)</f>
        <v>-1.8465663501367167</v>
      </c>
      <c r="CB19" s="93"/>
      <c r="CC19" s="93"/>
      <c r="CD19" s="93"/>
      <c r="CE19" s="93"/>
      <c r="CF19" s="94">
        <f>IFERROR(CF16/BU16-1,0)</f>
        <v>-0.42045673366989456</v>
      </c>
      <c r="CG19" s="94"/>
      <c r="CH19" s="94"/>
      <c r="CI19" s="94"/>
      <c r="CJ19" s="94"/>
      <c r="CK19" s="36"/>
      <c r="CL19" s="93">
        <f>IFERROR(CL16/CA16-1,0)</f>
        <v>-0.74280988831175199</v>
      </c>
      <c r="CM19" s="93"/>
      <c r="CN19" s="93"/>
      <c r="CO19" s="93"/>
      <c r="CP19" s="93"/>
      <c r="CQ19" s="94">
        <f>IFERROR(CQ16/CF16-1,0)</f>
        <v>-0.11447141049087162</v>
      </c>
      <c r="CR19" s="94"/>
      <c r="CS19" s="94"/>
      <c r="CT19" s="94"/>
      <c r="CU19" s="94"/>
      <c r="CV19" s="36"/>
      <c r="CW19" s="93">
        <f>IFERROR(CW16/CL16-1,0)</f>
        <v>-4.3288825935201469</v>
      </c>
      <c r="CX19" s="93"/>
      <c r="CY19" s="93"/>
      <c r="CZ19" s="93"/>
      <c r="DA19" s="93"/>
      <c r="DB19" s="94">
        <f>IFERROR(DB16/CQ16-1,0)</f>
        <v>0.7532177055499778</v>
      </c>
      <c r="DC19" s="94"/>
      <c r="DD19" s="94"/>
      <c r="DE19" s="94"/>
      <c r="DF19" s="94"/>
      <c r="DG19" s="36"/>
      <c r="DH19" s="93">
        <f>IFERROR(DH16/CW16-1,0)</f>
        <v>-1</v>
      </c>
      <c r="DI19" s="93"/>
      <c r="DJ19" s="93"/>
      <c r="DK19" s="93"/>
      <c r="DL19" s="93"/>
      <c r="DM19" s="94">
        <f>IFERROR(DM16/DB16-1,0)</f>
        <v>-1</v>
      </c>
      <c r="DN19" s="94"/>
      <c r="DO19" s="94"/>
      <c r="DP19" s="94"/>
      <c r="DQ19" s="94"/>
      <c r="DR19" s="36"/>
      <c r="DS19" s="93">
        <f>IFERROR(DS16/DH16-1,0)</f>
        <v>0</v>
      </c>
      <c r="DT19" s="93"/>
      <c r="DU19" s="93"/>
      <c r="DV19" s="93"/>
      <c r="DW19" s="93"/>
      <c r="DX19" s="94">
        <f>IFERROR(DX16/DM16-1,0)</f>
        <v>0</v>
      </c>
      <c r="DY19" s="94"/>
      <c r="DZ19" s="94"/>
      <c r="EA19" s="94"/>
      <c r="EB19" s="94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58" t="s">
        <v>61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63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49" t="s">
        <v>62</v>
      </c>
      <c r="D25"/>
      <c r="E25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64</v>
      </c>
      <c r="D26"/>
      <c r="E26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/>
      <c r="E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conditionalFormatting sqref="B16:EB16">
    <cfRule type="cellIs" dxfId="7" priority="25" operator="between">
      <formula>-0.00251</formula>
      <formula>-0.009</formula>
    </cfRule>
    <cfRule type="cellIs" dxfId="6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104"/>
      <c r="B1" s="104"/>
      <c r="C1" s="105" t="s">
        <v>1</v>
      </c>
      <c r="D1" s="105"/>
      <c r="E1" s="105"/>
      <c r="F1" s="105"/>
      <c r="G1" s="105"/>
      <c r="H1" s="105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104"/>
      <c r="B3" s="109"/>
      <c r="C3" s="2" t="s">
        <v>7</v>
      </c>
      <c r="D3" s="3" t="s">
        <v>5</v>
      </c>
      <c r="E3" s="110" t="s">
        <v>4</v>
      </c>
      <c r="F3" s="111"/>
      <c r="G3" s="3" t="s">
        <v>6</v>
      </c>
      <c r="H3" s="6" t="s">
        <v>2</v>
      </c>
    </row>
    <row r="4" spans="1:11" ht="15" customHeight="1" x14ac:dyDescent="0.25">
      <c r="A4" s="104"/>
      <c r="B4" s="109"/>
      <c r="C4" s="106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07" t="s">
        <v>3</v>
      </c>
      <c r="K4" s="10"/>
    </row>
    <row r="5" spans="1:11" x14ac:dyDescent="0.25">
      <c r="A5" s="104"/>
      <c r="B5" s="109"/>
      <c r="C5" s="106"/>
      <c r="D5" s="7" t="s">
        <v>50</v>
      </c>
      <c r="E5" s="1" t="s">
        <v>0</v>
      </c>
      <c r="F5" s="45" t="str">
        <f ca="1">TEXT(NOW(),"[$-EN-EN]YYYY")</f>
        <v>2024</v>
      </c>
      <c r="G5" s="46"/>
      <c r="H5" s="108"/>
    </row>
    <row r="6" spans="1:11" x14ac:dyDescent="0.25">
      <c r="A6" s="104"/>
      <c r="B6" s="109"/>
      <c r="C6" s="106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08"/>
    </row>
    <row r="7" spans="1:11" x14ac:dyDescent="0.25">
      <c r="A7" s="104"/>
      <c r="B7" s="109"/>
      <c r="C7" s="106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08"/>
    </row>
    <row r="8" spans="1:11" x14ac:dyDescent="0.25">
      <c r="A8" s="104"/>
      <c r="B8" s="109"/>
      <c r="C8" s="106"/>
      <c r="D8" s="8"/>
      <c r="E8" s="1" t="s">
        <v>0</v>
      </c>
      <c r="F8" s="47"/>
      <c r="G8" s="48"/>
      <c r="H8" s="108"/>
    </row>
    <row r="9" spans="1:11" ht="1.5" customHeight="1" x14ac:dyDescent="0.25">
      <c r="A9" s="104"/>
      <c r="B9" s="109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90</v>
      </c>
    </row>
    <row r="16" spans="1:11" x14ac:dyDescent="0.2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420"/>
  <sheetViews>
    <sheetView zoomScale="90" zoomScaleNormal="90" workbookViewId="0"/>
  </sheetViews>
  <sheetFormatPr defaultRowHeight="15" x14ac:dyDescent="0.25"/>
  <cols>
    <col min="1" max="1" width="11.140625" bestFit="1" customWidth="1"/>
    <col min="2" max="2" width="8.5703125" bestFit="1" customWidth="1"/>
    <col min="3" max="3" width="12.57031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70" bestFit="1" customWidth="1"/>
    <col min="10" max="10" width="23.5703125" style="70" bestFit="1" customWidth="1"/>
    <col min="11" max="11" width="19.28515625" bestFit="1" customWidth="1"/>
    <col min="12" max="12" width="24" bestFit="1" customWidth="1"/>
    <col min="13" max="13" width="29.7109375" style="70" bestFit="1" customWidth="1"/>
    <col min="14" max="14" width="31.5703125" style="70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  <col min="20" max="20" width="22.28515625" bestFit="1" customWidth="1"/>
    <col min="21" max="21" width="28.28515625" bestFit="1" customWidth="1"/>
    <col min="22" max="22" width="26.7109375" bestFit="1" customWidth="1"/>
    <col min="23" max="23" width="25.42578125" bestFit="1" customWidth="1"/>
    <col min="24" max="24" width="32.85546875" style="33" bestFit="1" customWidth="1"/>
    <col min="25" max="25" width="34.5703125" style="33" bestFit="1" customWidth="1"/>
  </cols>
  <sheetData>
    <row r="1" spans="1:25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5" t="s">
        <v>82</v>
      </c>
      <c r="U1" s="76" t="s">
        <v>83</v>
      </c>
      <c r="V1" s="76" t="s">
        <v>84</v>
      </c>
      <c r="W1" s="76" t="s">
        <v>85</v>
      </c>
      <c r="X1" s="77" t="s">
        <v>86</v>
      </c>
      <c r="Y1" s="77" t="s">
        <v>87</v>
      </c>
    </row>
    <row r="2" spans="1:25" x14ac:dyDescent="0.25">
      <c r="A2" t="s">
        <v>36</v>
      </c>
      <c r="B2" s="63">
        <v>1</v>
      </c>
      <c r="C2" t="s">
        <v>10</v>
      </c>
      <c r="D2" s="64">
        <v>50</v>
      </c>
      <c r="E2" s="64">
        <v>50</v>
      </c>
      <c r="F2" s="65">
        <v>50</v>
      </c>
      <c r="G2" s="13">
        <f t="shared" ref="G2:G65" si="0">F2-E2</f>
        <v>0</v>
      </c>
      <c r="H2" s="13">
        <f t="shared" ref="H2:H65" si="1">F2-D2</f>
        <v>0</v>
      </c>
      <c r="I2" s="70">
        <f t="shared" ref="I2:I65" si="2">F2/D2-1</f>
        <v>0</v>
      </c>
      <c r="J2" s="70">
        <f t="shared" ref="J2:J65" si="3">F2/E2-1</f>
        <v>0</v>
      </c>
      <c r="K2" s="82" t="str">
        <f>_xlfn.IFNA(VLOOKUP(CLEAN(SUBSTITUTE(C2," ","")),Ref_Factory!$A:$B,2,FALSE),CLEAN(SUBSTITUTE(C2," ","")))</f>
        <v>CNJ2</v>
      </c>
      <c r="L2" s="82" t="str">
        <f t="shared" ref="L2:L65" si="4">A2&amp;"-"&amp;B2&amp;"-"&amp;K2</f>
        <v>JANUARY-1-CNJ2</v>
      </c>
      <c r="M2" s="70">
        <f t="shared" ref="M2:M65" si="5">SUMIF($L$2:$L$1420,L2,$I$2:$I$1420)</f>
        <v>0</v>
      </c>
      <c r="N2" s="70">
        <f t="shared" ref="N2:N65" si="6">SUMIF($L$2:$L$1420,L2,$J$2:$J$1420)</f>
        <v>-0.15254237288135597</v>
      </c>
      <c r="O2" s="13">
        <f t="shared" ref="O2:O65" si="7">SUMIF($A$2:$A$1420,A2,$D$2:$D$1420)</f>
        <v>866754</v>
      </c>
      <c r="P2" s="13">
        <f t="shared" ref="P2:P65" si="8">SUMIF($A$2:$A$1420,A2,$E$2:$E$1420)</f>
        <v>879535</v>
      </c>
      <c r="Q2" s="13">
        <f t="shared" ref="Q2:Q65" si="9">SUMIF($A$2:$A$1420,A2,$F$2:$F$1420)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SUMIF($T$2:$T$1420,T2,$D$2:$D$1420)</f>
        <v>62929</v>
      </c>
      <c r="V2">
        <f t="shared" ref="V2:V65" si="14">SUMIF($T$2:$T$1420,T2,$E$2:$E$1420)</f>
        <v>63194</v>
      </c>
      <c r="W2">
        <f t="shared" ref="W2:W65" si="15">SUMIF($T$2:$T$1420,T2,$F$2:$F$1420)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25">
      <c r="A3" t="s">
        <v>36</v>
      </c>
      <c r="B3" s="63">
        <v>1</v>
      </c>
      <c r="C3" t="s">
        <v>10</v>
      </c>
      <c r="D3" s="64">
        <v>350</v>
      </c>
      <c r="E3" s="64">
        <v>413</v>
      </c>
      <c r="F3" s="65">
        <v>350</v>
      </c>
      <c r="G3" s="13">
        <f t="shared" si="0"/>
        <v>-63</v>
      </c>
      <c r="H3" s="13">
        <f t="shared" si="1"/>
        <v>0</v>
      </c>
      <c r="I3" s="70">
        <f t="shared" si="2"/>
        <v>0</v>
      </c>
      <c r="J3" s="70">
        <f t="shared" si="3"/>
        <v>-0.15254237288135597</v>
      </c>
      <c r="K3" s="82" t="str">
        <f>_xlfn.IFNA(VLOOKUP(CLEAN(SUBSTITUTE(C3," ","")),Ref_Factory!$A:$B,2,FALSE),CLEAN(SUBSTITUTE(C3," ","")))</f>
        <v>CNJ2</v>
      </c>
      <c r="L3" s="82" t="str">
        <f t="shared" si="4"/>
        <v>JANUARY-1-CNJ2</v>
      </c>
      <c r="M3" s="70">
        <f t="shared" si="5"/>
        <v>0</v>
      </c>
      <c r="N3" s="70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25">
      <c r="A4" t="s">
        <v>36</v>
      </c>
      <c r="B4" s="63">
        <v>1</v>
      </c>
      <c r="C4" t="s">
        <v>10</v>
      </c>
      <c r="D4" s="64">
        <v>125</v>
      </c>
      <c r="E4" s="64">
        <v>125</v>
      </c>
      <c r="F4" s="65">
        <v>125</v>
      </c>
      <c r="G4" s="13">
        <f t="shared" si="0"/>
        <v>0</v>
      </c>
      <c r="H4" s="13">
        <f t="shared" si="1"/>
        <v>0</v>
      </c>
      <c r="I4" s="70">
        <f t="shared" si="2"/>
        <v>0</v>
      </c>
      <c r="J4" s="70">
        <f t="shared" si="3"/>
        <v>0</v>
      </c>
      <c r="K4" s="82" t="str">
        <f>_xlfn.IFNA(VLOOKUP(CLEAN(SUBSTITUTE(C4," ","")),Ref_Factory!$A:$B,2,FALSE),CLEAN(SUBSTITUTE(C4," ","")))</f>
        <v>CNJ2</v>
      </c>
      <c r="L4" s="82" t="str">
        <f t="shared" si="4"/>
        <v>JANUARY-1-CNJ2</v>
      </c>
      <c r="M4" s="70">
        <f t="shared" si="5"/>
        <v>0</v>
      </c>
      <c r="N4" s="70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25">
      <c r="A5" t="s">
        <v>36</v>
      </c>
      <c r="B5" s="63">
        <v>1</v>
      </c>
      <c r="C5" t="s">
        <v>11</v>
      </c>
      <c r="D5" s="64">
        <v>400</v>
      </c>
      <c r="E5" s="64">
        <v>404</v>
      </c>
      <c r="F5" s="65">
        <v>400</v>
      </c>
      <c r="G5" s="13">
        <f t="shared" si="0"/>
        <v>-4</v>
      </c>
      <c r="H5" s="13">
        <f t="shared" si="1"/>
        <v>0</v>
      </c>
      <c r="I5" s="70">
        <f t="shared" si="2"/>
        <v>0</v>
      </c>
      <c r="J5" s="70">
        <f t="shared" si="3"/>
        <v>-9.9009900990099098E-3</v>
      </c>
      <c r="K5" s="82" t="str">
        <f>_xlfn.IFNA(VLOOKUP(CLEAN(SUBSTITUTE(C5," ","")),Ref_Factory!$A:$B,2,FALSE),CLEAN(SUBSTITUTE(C5," ","")))</f>
        <v>GM1</v>
      </c>
      <c r="L5" s="82" t="str">
        <f t="shared" si="4"/>
        <v>JANUARY-1-GM1</v>
      </c>
      <c r="M5" s="70">
        <f t="shared" si="5"/>
        <v>0</v>
      </c>
      <c r="N5" s="70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25">
      <c r="A6" t="s">
        <v>36</v>
      </c>
      <c r="B6" s="63">
        <v>1</v>
      </c>
      <c r="C6" t="s">
        <v>11</v>
      </c>
      <c r="D6" s="64">
        <v>1000</v>
      </c>
      <c r="E6" s="64">
        <v>1005</v>
      </c>
      <c r="F6" s="65">
        <v>1000</v>
      </c>
      <c r="G6" s="13">
        <f t="shared" si="0"/>
        <v>-5</v>
      </c>
      <c r="H6" s="13">
        <f t="shared" si="1"/>
        <v>0</v>
      </c>
      <c r="I6" s="70">
        <f t="shared" si="2"/>
        <v>0</v>
      </c>
      <c r="J6" s="70">
        <f t="shared" si="3"/>
        <v>-4.9751243781094301E-3</v>
      </c>
      <c r="K6" s="82" t="str">
        <f>_xlfn.IFNA(VLOOKUP(CLEAN(SUBSTITUTE(C6," ","")),Ref_Factory!$A:$B,2,FALSE),CLEAN(SUBSTITUTE(C6," ","")))</f>
        <v>GM1</v>
      </c>
      <c r="L6" s="82" t="str">
        <f t="shared" si="4"/>
        <v>JANUARY-1-GM1</v>
      </c>
      <c r="M6" s="70">
        <f t="shared" si="5"/>
        <v>0</v>
      </c>
      <c r="N6" s="70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25">
      <c r="A7" t="s">
        <v>36</v>
      </c>
      <c r="B7" s="63">
        <v>1</v>
      </c>
      <c r="C7" t="s">
        <v>11</v>
      </c>
      <c r="D7" s="64">
        <v>465</v>
      </c>
      <c r="E7" s="64">
        <v>469</v>
      </c>
      <c r="F7" s="65">
        <v>465</v>
      </c>
      <c r="G7" s="13">
        <f t="shared" si="0"/>
        <v>-4</v>
      </c>
      <c r="H7" s="13">
        <f t="shared" si="1"/>
        <v>0</v>
      </c>
      <c r="I7" s="70">
        <f t="shared" si="2"/>
        <v>0</v>
      </c>
      <c r="J7" s="70">
        <f t="shared" si="3"/>
        <v>-8.5287846481876262E-3</v>
      </c>
      <c r="K7" s="82" t="str">
        <f>_xlfn.IFNA(VLOOKUP(CLEAN(SUBSTITUTE(C7," ","")),Ref_Factory!$A:$B,2,FALSE),CLEAN(SUBSTITUTE(C7," ","")))</f>
        <v>GM1</v>
      </c>
      <c r="L7" s="82" t="str">
        <f t="shared" si="4"/>
        <v>JANUARY-1-GM1</v>
      </c>
      <c r="M7" s="70">
        <f t="shared" si="5"/>
        <v>0</v>
      </c>
      <c r="N7" s="70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25">
      <c r="A8" t="s">
        <v>36</v>
      </c>
      <c r="B8" s="63">
        <v>2</v>
      </c>
      <c r="C8" t="s">
        <v>10</v>
      </c>
      <c r="D8" s="64">
        <v>80</v>
      </c>
      <c r="E8" s="64">
        <v>80</v>
      </c>
      <c r="F8" s="65">
        <v>80</v>
      </c>
      <c r="G8" s="13">
        <f t="shared" si="0"/>
        <v>0</v>
      </c>
      <c r="H8" s="13">
        <f t="shared" si="1"/>
        <v>0</v>
      </c>
      <c r="I8" s="70">
        <f t="shared" si="2"/>
        <v>0</v>
      </c>
      <c r="J8" s="70">
        <f t="shared" si="3"/>
        <v>0</v>
      </c>
      <c r="K8" s="82" t="str">
        <f>_xlfn.IFNA(VLOOKUP(CLEAN(SUBSTITUTE(C8," ","")),Ref_Factory!$A:$B,2,FALSE),CLEAN(SUBSTITUTE(C8," ","")))</f>
        <v>CNJ2</v>
      </c>
      <c r="L8" s="82" t="str">
        <f t="shared" si="4"/>
        <v>JANUARY-2-CNJ2</v>
      </c>
      <c r="M8" s="70">
        <f t="shared" si="5"/>
        <v>0</v>
      </c>
      <c r="N8" s="70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25">
      <c r="A9" t="s">
        <v>36</v>
      </c>
      <c r="B9" s="63">
        <v>2</v>
      </c>
      <c r="C9" t="s">
        <v>10</v>
      </c>
      <c r="D9" s="64">
        <v>6255</v>
      </c>
      <c r="E9" s="64">
        <v>6355</v>
      </c>
      <c r="F9" s="65">
        <v>6255</v>
      </c>
      <c r="G9" s="13">
        <f t="shared" si="0"/>
        <v>-100</v>
      </c>
      <c r="H9" s="13">
        <f t="shared" si="1"/>
        <v>0</v>
      </c>
      <c r="I9" s="70">
        <f t="shared" si="2"/>
        <v>0</v>
      </c>
      <c r="J9" s="70">
        <f t="shared" si="3"/>
        <v>-1.5735641227380026E-2</v>
      </c>
      <c r="K9" s="82" t="str">
        <f>_xlfn.IFNA(VLOOKUP(CLEAN(SUBSTITUTE(C9," ","")),Ref_Factory!$A:$B,2,FALSE),CLEAN(SUBSTITUTE(C9," ","")))</f>
        <v>CNJ2</v>
      </c>
      <c r="L9" s="82" t="str">
        <f t="shared" si="4"/>
        <v>JANUARY-2-CNJ2</v>
      </c>
      <c r="M9" s="70">
        <f t="shared" si="5"/>
        <v>0</v>
      </c>
      <c r="N9" s="70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25">
      <c r="A10" t="s">
        <v>36</v>
      </c>
      <c r="B10" s="63">
        <v>2</v>
      </c>
      <c r="C10" t="s">
        <v>10</v>
      </c>
      <c r="D10" s="64">
        <v>135</v>
      </c>
      <c r="E10" s="64">
        <v>135</v>
      </c>
      <c r="F10" s="65">
        <v>135</v>
      </c>
      <c r="G10" s="13">
        <f t="shared" si="0"/>
        <v>0</v>
      </c>
      <c r="H10" s="13">
        <f t="shared" si="1"/>
        <v>0</v>
      </c>
      <c r="I10" s="70">
        <f t="shared" si="2"/>
        <v>0</v>
      </c>
      <c r="J10" s="70">
        <f t="shared" si="3"/>
        <v>0</v>
      </c>
      <c r="K10" s="82" t="str">
        <f>_xlfn.IFNA(VLOOKUP(CLEAN(SUBSTITUTE(C10," ","")),Ref_Factory!$A:$B,2,FALSE),CLEAN(SUBSTITUTE(C10," ","")))</f>
        <v>CNJ2</v>
      </c>
      <c r="L10" s="82" t="str">
        <f t="shared" si="4"/>
        <v>JANUARY-2-CNJ2</v>
      </c>
      <c r="M10" s="70">
        <f t="shared" si="5"/>
        <v>0</v>
      </c>
      <c r="N10" s="70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25">
      <c r="A11" t="s">
        <v>36</v>
      </c>
      <c r="B11" s="63">
        <v>2</v>
      </c>
      <c r="C11" t="s">
        <v>11</v>
      </c>
      <c r="D11" s="64">
        <v>702</v>
      </c>
      <c r="E11" s="64">
        <v>739</v>
      </c>
      <c r="F11" s="65">
        <v>702</v>
      </c>
      <c r="G11" s="13">
        <f t="shared" si="0"/>
        <v>-37</v>
      </c>
      <c r="H11" s="13">
        <f t="shared" si="1"/>
        <v>0</v>
      </c>
      <c r="I11" s="70">
        <f t="shared" si="2"/>
        <v>0</v>
      </c>
      <c r="J11" s="70">
        <f t="shared" si="3"/>
        <v>-5.0067658998646847E-2</v>
      </c>
      <c r="K11" s="82" t="str">
        <f>_xlfn.IFNA(VLOOKUP(CLEAN(SUBSTITUTE(C11," ","")),Ref_Factory!$A:$B,2,FALSE),CLEAN(SUBSTITUTE(C11," ","")))</f>
        <v>GM1</v>
      </c>
      <c r="L11" s="82" t="str">
        <f t="shared" si="4"/>
        <v>JANUARY-2-GM1</v>
      </c>
      <c r="M11" s="70">
        <f t="shared" si="5"/>
        <v>0</v>
      </c>
      <c r="N11" s="70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25">
      <c r="A12" t="s">
        <v>36</v>
      </c>
      <c r="B12" s="63">
        <v>2</v>
      </c>
      <c r="C12" t="s">
        <v>12</v>
      </c>
      <c r="D12" s="64">
        <v>4000</v>
      </c>
      <c r="E12" s="64">
        <v>4000</v>
      </c>
      <c r="F12" s="65">
        <v>4000</v>
      </c>
      <c r="G12" s="13">
        <f t="shared" si="0"/>
        <v>0</v>
      </c>
      <c r="H12" s="13">
        <f t="shared" si="1"/>
        <v>0</v>
      </c>
      <c r="I12" s="70">
        <f t="shared" si="2"/>
        <v>0</v>
      </c>
      <c r="J12" s="70">
        <f t="shared" si="3"/>
        <v>0</v>
      </c>
      <c r="K12" s="82" t="str">
        <f>_xlfn.IFNA(VLOOKUP(CLEAN(SUBSTITUTE(C12," ","")),Ref_Factory!$A:$B,2,FALSE),CLEAN(SUBSTITUTE(C12," ","")))</f>
        <v>BBT</v>
      </c>
      <c r="L12" s="82" t="str">
        <f t="shared" si="4"/>
        <v>JANUARY-2-BBT</v>
      </c>
      <c r="M12" s="70">
        <f t="shared" si="5"/>
        <v>0</v>
      </c>
      <c r="N12" s="70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25">
      <c r="A13" t="s">
        <v>36</v>
      </c>
      <c r="B13" s="63">
        <v>3</v>
      </c>
      <c r="C13" t="s">
        <v>10</v>
      </c>
      <c r="D13" s="64">
        <v>480</v>
      </c>
      <c r="E13" s="64">
        <v>480</v>
      </c>
      <c r="F13" s="65">
        <v>480</v>
      </c>
      <c r="G13" s="13">
        <f t="shared" si="0"/>
        <v>0</v>
      </c>
      <c r="H13" s="13">
        <f t="shared" si="1"/>
        <v>0</v>
      </c>
      <c r="I13" s="70">
        <f t="shared" si="2"/>
        <v>0</v>
      </c>
      <c r="J13" s="70">
        <f t="shared" si="3"/>
        <v>0</v>
      </c>
      <c r="K13" s="82" t="str">
        <f>_xlfn.IFNA(VLOOKUP(CLEAN(SUBSTITUTE(C13," ","")),Ref_Factory!$A:$B,2,FALSE),CLEAN(SUBSTITUTE(C13," ","")))</f>
        <v>CNJ2</v>
      </c>
      <c r="L13" s="82" t="str">
        <f t="shared" si="4"/>
        <v>JANUARY-3-CNJ2</v>
      </c>
      <c r="M13" s="70">
        <f t="shared" si="5"/>
        <v>-1.1549999999999949E-2</v>
      </c>
      <c r="N13" s="70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25">
      <c r="A14" t="s">
        <v>36</v>
      </c>
      <c r="B14" s="63">
        <v>3</v>
      </c>
      <c r="C14" t="s">
        <v>10</v>
      </c>
      <c r="D14" s="64">
        <v>1020</v>
      </c>
      <c r="E14" s="64">
        <v>1020</v>
      </c>
      <c r="F14" s="65">
        <v>1020</v>
      </c>
      <c r="G14" s="13">
        <f t="shared" si="0"/>
        <v>0</v>
      </c>
      <c r="H14" s="13">
        <f t="shared" si="1"/>
        <v>0</v>
      </c>
      <c r="I14" s="70">
        <f t="shared" si="2"/>
        <v>0</v>
      </c>
      <c r="J14" s="70">
        <f t="shared" si="3"/>
        <v>0</v>
      </c>
      <c r="K14" s="82" t="str">
        <f>_xlfn.IFNA(VLOOKUP(CLEAN(SUBSTITUTE(C14," ","")),Ref_Factory!$A:$B,2,FALSE),CLEAN(SUBSTITUTE(C14," ","")))</f>
        <v>CNJ2</v>
      </c>
      <c r="L14" s="82" t="str">
        <f t="shared" si="4"/>
        <v>JANUARY-3-CNJ2</v>
      </c>
      <c r="M14" s="70">
        <f t="shared" si="5"/>
        <v>-1.1549999999999949E-2</v>
      </c>
      <c r="N14" s="70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25">
      <c r="A15" t="s">
        <v>36</v>
      </c>
      <c r="B15" s="63">
        <v>3</v>
      </c>
      <c r="C15" t="s">
        <v>10</v>
      </c>
      <c r="D15" s="64">
        <v>875</v>
      </c>
      <c r="E15" s="64">
        <v>875</v>
      </c>
      <c r="F15" s="65">
        <v>875</v>
      </c>
      <c r="G15" s="13">
        <f t="shared" si="0"/>
        <v>0</v>
      </c>
      <c r="H15" s="13">
        <f t="shared" si="1"/>
        <v>0</v>
      </c>
      <c r="I15" s="70">
        <f t="shared" si="2"/>
        <v>0</v>
      </c>
      <c r="J15" s="70">
        <f t="shared" si="3"/>
        <v>0</v>
      </c>
      <c r="K15" s="82" t="str">
        <f>_xlfn.IFNA(VLOOKUP(CLEAN(SUBSTITUTE(C15," ","")),Ref_Factory!$A:$B,2,FALSE),CLEAN(SUBSTITUTE(C15," ","")))</f>
        <v>CNJ2</v>
      </c>
      <c r="L15" s="82" t="str">
        <f t="shared" si="4"/>
        <v>JANUARY-3-CNJ2</v>
      </c>
      <c r="M15" s="70">
        <f t="shared" si="5"/>
        <v>-1.1549999999999949E-2</v>
      </c>
      <c r="N15" s="70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25">
      <c r="A16" t="s">
        <v>36</v>
      </c>
      <c r="B16" s="63">
        <v>3</v>
      </c>
      <c r="C16" t="s">
        <v>11</v>
      </c>
      <c r="D16" s="64">
        <v>608</v>
      </c>
      <c r="E16" s="64">
        <v>608</v>
      </c>
      <c r="F16" s="65">
        <v>608</v>
      </c>
      <c r="G16" s="13">
        <f t="shared" si="0"/>
        <v>0</v>
      </c>
      <c r="H16" s="13">
        <f t="shared" si="1"/>
        <v>0</v>
      </c>
      <c r="I16" s="70">
        <f t="shared" si="2"/>
        <v>0</v>
      </c>
      <c r="J16" s="70">
        <f t="shared" si="3"/>
        <v>0</v>
      </c>
      <c r="K16" s="82" t="str">
        <f>_xlfn.IFNA(VLOOKUP(CLEAN(SUBSTITUTE(C16," ","")),Ref_Factory!$A:$B,2,FALSE),CLEAN(SUBSTITUTE(C16," ","")))</f>
        <v>GM1</v>
      </c>
      <c r="L16" s="82" t="str">
        <f t="shared" si="4"/>
        <v>JANUARY-3-GM1</v>
      </c>
      <c r="M16" s="70">
        <f t="shared" si="5"/>
        <v>2.6122148638704878E-2</v>
      </c>
      <c r="N16" s="70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25">
      <c r="A17" t="s">
        <v>36</v>
      </c>
      <c r="B17" s="63">
        <v>3</v>
      </c>
      <c r="C17" t="s">
        <v>11</v>
      </c>
      <c r="D17" s="64">
        <v>426</v>
      </c>
      <c r="E17" s="64">
        <v>426</v>
      </c>
      <c r="F17" s="65">
        <v>426</v>
      </c>
      <c r="G17" s="13">
        <f t="shared" si="0"/>
        <v>0</v>
      </c>
      <c r="H17" s="13">
        <f t="shared" si="1"/>
        <v>0</v>
      </c>
      <c r="I17" s="70">
        <f t="shared" si="2"/>
        <v>0</v>
      </c>
      <c r="J17" s="70">
        <f t="shared" si="3"/>
        <v>0</v>
      </c>
      <c r="K17" s="82" t="str">
        <f>_xlfn.IFNA(VLOOKUP(CLEAN(SUBSTITUTE(C17," ","")),Ref_Factory!$A:$B,2,FALSE),CLEAN(SUBSTITUTE(C17," ","")))</f>
        <v>GM1</v>
      </c>
      <c r="L17" s="82" t="str">
        <f t="shared" si="4"/>
        <v>JANUARY-3-GM1</v>
      </c>
      <c r="M17" s="70">
        <f t="shared" si="5"/>
        <v>2.6122148638704878E-2</v>
      </c>
      <c r="N17" s="70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25">
      <c r="A18" t="s">
        <v>36</v>
      </c>
      <c r="B18" s="63">
        <v>3</v>
      </c>
      <c r="C18" t="s">
        <v>13</v>
      </c>
      <c r="D18" s="64">
        <v>71496</v>
      </c>
      <c r="E18" s="64">
        <v>73641</v>
      </c>
      <c r="F18" s="65">
        <v>73446</v>
      </c>
      <c r="G18" s="13">
        <f t="shared" si="0"/>
        <v>-195</v>
      </c>
      <c r="H18" s="13">
        <f t="shared" si="1"/>
        <v>1950</v>
      </c>
      <c r="I18" s="70">
        <f t="shared" si="2"/>
        <v>2.7274253105068924E-2</v>
      </c>
      <c r="J18" s="70">
        <f t="shared" si="3"/>
        <v>-2.6479814233918431E-3</v>
      </c>
      <c r="K18" s="82" t="str">
        <f>_xlfn.IFNA(VLOOKUP(CLEAN(SUBSTITUTE(C18," ","")),Ref_Factory!$A:$B,2,FALSE),CLEAN(SUBSTITUTE(C18," ","")))</f>
        <v>KALIBENDA</v>
      </c>
      <c r="L18" s="82" t="str">
        <f t="shared" si="4"/>
        <v>JANUARY-3-KALIBENDA</v>
      </c>
      <c r="M18" s="70">
        <f t="shared" si="5"/>
        <v>0.17226860165633451</v>
      </c>
      <c r="N18" s="70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25">
      <c r="A19" t="s">
        <v>36</v>
      </c>
      <c r="B19" s="63">
        <v>3</v>
      </c>
      <c r="C19" t="s">
        <v>13</v>
      </c>
      <c r="D19" s="64">
        <v>1728</v>
      </c>
      <c r="E19" s="64">
        <v>1780</v>
      </c>
      <c r="F19" s="65">
        <v>1773</v>
      </c>
      <c r="G19" s="13">
        <f t="shared" si="0"/>
        <v>-7</v>
      </c>
      <c r="H19" s="13">
        <f t="shared" si="1"/>
        <v>45</v>
      </c>
      <c r="I19" s="70">
        <f t="shared" si="2"/>
        <v>2.6041666666666741E-2</v>
      </c>
      <c r="J19" s="70">
        <f t="shared" si="3"/>
        <v>-3.9325842696629199E-3</v>
      </c>
      <c r="K19" s="82" t="str">
        <f>_xlfn.IFNA(VLOOKUP(CLEAN(SUBSTITUTE(C19," ","")),Ref_Factory!$A:$B,2,FALSE),CLEAN(SUBSTITUTE(C19," ","")))</f>
        <v>KALIBENDA</v>
      </c>
      <c r="L19" s="82" t="str">
        <f t="shared" si="4"/>
        <v>JANUARY-3-KALIBENDA</v>
      </c>
      <c r="M19" s="70">
        <f t="shared" si="5"/>
        <v>0.17226860165633451</v>
      </c>
      <c r="N19" s="70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25">
      <c r="A20" t="s">
        <v>36</v>
      </c>
      <c r="B20" s="63">
        <v>3</v>
      </c>
      <c r="C20" t="s">
        <v>13</v>
      </c>
      <c r="D20" s="64">
        <v>25164</v>
      </c>
      <c r="E20" s="64">
        <v>25749</v>
      </c>
      <c r="F20" s="65">
        <v>25635</v>
      </c>
      <c r="G20" s="13">
        <f t="shared" si="0"/>
        <v>-114</v>
      </c>
      <c r="H20" s="13">
        <f t="shared" si="1"/>
        <v>471</v>
      </c>
      <c r="I20" s="70">
        <f t="shared" si="2"/>
        <v>1.8717215069146365E-2</v>
      </c>
      <c r="J20" s="70">
        <f t="shared" si="3"/>
        <v>-4.4273564021903855E-3</v>
      </c>
      <c r="K20" s="82" t="str">
        <f>_xlfn.IFNA(VLOOKUP(CLEAN(SUBSTITUTE(C20," ","")),Ref_Factory!$A:$B,2,FALSE),CLEAN(SUBSTITUTE(C20," ","")))</f>
        <v>KALIBENDA</v>
      </c>
      <c r="L20" s="82" t="str">
        <f t="shared" si="4"/>
        <v>JANUARY-3-KALIBENDA</v>
      </c>
      <c r="M20" s="70">
        <f t="shared" si="5"/>
        <v>0.17226860165633451</v>
      </c>
      <c r="N20" s="70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25">
      <c r="A21" t="s">
        <v>36</v>
      </c>
      <c r="B21" s="63">
        <v>3</v>
      </c>
      <c r="C21" t="s">
        <v>13</v>
      </c>
      <c r="D21" s="64">
        <v>540</v>
      </c>
      <c r="E21" s="64">
        <v>558</v>
      </c>
      <c r="F21" s="65">
        <v>558</v>
      </c>
      <c r="G21" s="13">
        <f t="shared" si="0"/>
        <v>0</v>
      </c>
      <c r="H21" s="13">
        <f t="shared" si="1"/>
        <v>18</v>
      </c>
      <c r="I21" s="70">
        <f t="shared" si="2"/>
        <v>3.3333333333333437E-2</v>
      </c>
      <c r="J21" s="70">
        <f t="shared" si="3"/>
        <v>0</v>
      </c>
      <c r="K21" s="82" t="str">
        <f>_xlfn.IFNA(VLOOKUP(CLEAN(SUBSTITUTE(C21," ","")),Ref_Factory!$A:$B,2,FALSE),CLEAN(SUBSTITUTE(C21," ","")))</f>
        <v>KALIBENDA</v>
      </c>
      <c r="L21" s="82" t="str">
        <f t="shared" si="4"/>
        <v>JANUARY-3-KALIBENDA</v>
      </c>
      <c r="M21" s="70">
        <f t="shared" si="5"/>
        <v>0.17226860165633451</v>
      </c>
      <c r="N21" s="70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25">
      <c r="A22" t="s">
        <v>36</v>
      </c>
      <c r="B22" s="63">
        <v>3</v>
      </c>
      <c r="C22" t="s">
        <v>13</v>
      </c>
      <c r="D22" s="64">
        <v>3240</v>
      </c>
      <c r="E22" s="64">
        <v>3330</v>
      </c>
      <c r="F22" s="65">
        <v>3315</v>
      </c>
      <c r="G22" s="13">
        <f t="shared" si="0"/>
        <v>-15</v>
      </c>
      <c r="H22" s="13">
        <f t="shared" si="1"/>
        <v>75</v>
      </c>
      <c r="I22" s="70">
        <f t="shared" si="2"/>
        <v>2.314814814814814E-2</v>
      </c>
      <c r="J22" s="70">
        <f t="shared" si="3"/>
        <v>-4.5045045045044585E-3</v>
      </c>
      <c r="K22" s="82" t="str">
        <f>_xlfn.IFNA(VLOOKUP(CLEAN(SUBSTITUTE(C22," ","")),Ref_Factory!$A:$B,2,FALSE),CLEAN(SUBSTITUTE(C22," ","")))</f>
        <v>KALIBENDA</v>
      </c>
      <c r="L22" s="82" t="str">
        <f t="shared" si="4"/>
        <v>JANUARY-3-KALIBENDA</v>
      </c>
      <c r="M22" s="70">
        <f t="shared" si="5"/>
        <v>0.17226860165633451</v>
      </c>
      <c r="N22" s="70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25">
      <c r="A23" t="s">
        <v>36</v>
      </c>
      <c r="B23" s="63">
        <v>3</v>
      </c>
      <c r="C23" t="s">
        <v>13</v>
      </c>
      <c r="D23" s="64">
        <v>1728</v>
      </c>
      <c r="E23" s="64">
        <v>1728</v>
      </c>
      <c r="F23" s="65">
        <v>1722</v>
      </c>
      <c r="G23" s="13">
        <f t="shared" si="0"/>
        <v>-6</v>
      </c>
      <c r="H23" s="13">
        <f t="shared" si="1"/>
        <v>-6</v>
      </c>
      <c r="I23" s="70">
        <f t="shared" si="2"/>
        <v>-3.4722222222222099E-3</v>
      </c>
      <c r="J23" s="70">
        <f t="shared" si="3"/>
        <v>-3.4722222222222099E-3</v>
      </c>
      <c r="K23" s="82" t="str">
        <f>_xlfn.IFNA(VLOOKUP(CLEAN(SUBSTITUTE(C23," ","")),Ref_Factory!$A:$B,2,FALSE),CLEAN(SUBSTITUTE(C23," ","")))</f>
        <v>KALIBENDA</v>
      </c>
      <c r="L23" s="82" t="str">
        <f t="shared" si="4"/>
        <v>JANUARY-3-KALIBENDA</v>
      </c>
      <c r="M23" s="70">
        <f t="shared" si="5"/>
        <v>0.17226860165633451</v>
      </c>
      <c r="N23" s="70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25">
      <c r="A24" t="s">
        <v>36</v>
      </c>
      <c r="B24" s="63">
        <v>3</v>
      </c>
      <c r="C24" t="s">
        <v>13</v>
      </c>
      <c r="D24" s="64">
        <v>8856</v>
      </c>
      <c r="E24" s="64">
        <v>9066</v>
      </c>
      <c r="F24" s="65">
        <v>9021</v>
      </c>
      <c r="G24" s="13">
        <f t="shared" si="0"/>
        <v>-45</v>
      </c>
      <c r="H24" s="13">
        <f t="shared" si="1"/>
        <v>165</v>
      </c>
      <c r="I24" s="70">
        <f t="shared" si="2"/>
        <v>1.8631436314363148E-2</v>
      </c>
      <c r="J24" s="70">
        <f t="shared" si="3"/>
        <v>-4.9636002647253097E-3</v>
      </c>
      <c r="K24" s="82" t="str">
        <f>_xlfn.IFNA(VLOOKUP(CLEAN(SUBSTITUTE(C24," ","")),Ref_Factory!$A:$B,2,FALSE),CLEAN(SUBSTITUTE(C24," ","")))</f>
        <v>KALIBENDA</v>
      </c>
      <c r="L24" s="82" t="str">
        <f t="shared" si="4"/>
        <v>JANUARY-3-KALIBENDA</v>
      </c>
      <c r="M24" s="70">
        <f t="shared" si="5"/>
        <v>0.17226860165633451</v>
      </c>
      <c r="N24" s="70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25">
      <c r="A25" t="s">
        <v>36</v>
      </c>
      <c r="B25" s="63">
        <v>3</v>
      </c>
      <c r="C25" t="s">
        <v>14</v>
      </c>
      <c r="D25" s="64">
        <v>15660</v>
      </c>
      <c r="E25" s="64">
        <v>15816</v>
      </c>
      <c r="F25" s="65">
        <v>15660</v>
      </c>
      <c r="G25" s="13">
        <f t="shared" si="0"/>
        <v>-156</v>
      </c>
      <c r="H25" s="13">
        <f t="shared" si="1"/>
        <v>0</v>
      </c>
      <c r="I25" s="70">
        <f t="shared" si="2"/>
        <v>0</v>
      </c>
      <c r="J25" s="70">
        <f t="shared" si="3"/>
        <v>-9.8634294385432364E-3</v>
      </c>
      <c r="K25" s="82" t="str">
        <f>_xlfn.IFNA(VLOOKUP(CLEAN(SUBSTITUTE(C25," ","")),Ref_Factory!$A:$B,2,FALSE),CLEAN(SUBSTITUTE(C25," ","")))</f>
        <v>GM2</v>
      </c>
      <c r="L25" s="82" t="str">
        <f t="shared" si="4"/>
        <v>JANUARY-3-GM2</v>
      </c>
      <c r="M25" s="70">
        <f t="shared" si="5"/>
        <v>0.10707603294098766</v>
      </c>
      <c r="N25" s="70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25">
      <c r="A26" t="s">
        <v>36</v>
      </c>
      <c r="B26" s="63">
        <v>3</v>
      </c>
      <c r="C26" t="s">
        <v>13</v>
      </c>
      <c r="D26" s="64">
        <v>18360</v>
      </c>
      <c r="E26" s="64">
        <v>18909</v>
      </c>
      <c r="F26" s="65">
        <v>18885</v>
      </c>
      <c r="G26" s="13">
        <f t="shared" si="0"/>
        <v>-24</v>
      </c>
      <c r="H26" s="13">
        <f t="shared" si="1"/>
        <v>525</v>
      </c>
      <c r="I26" s="70">
        <f t="shared" si="2"/>
        <v>2.8594771241829964E-2</v>
      </c>
      <c r="J26" s="70">
        <f t="shared" si="3"/>
        <v>-1.2692368713310698E-3</v>
      </c>
      <c r="K26" s="82" t="str">
        <f>_xlfn.IFNA(VLOOKUP(CLEAN(SUBSTITUTE(C26," ","")),Ref_Factory!$A:$B,2,FALSE),CLEAN(SUBSTITUTE(C26," ","")))</f>
        <v>KALIBENDA</v>
      </c>
      <c r="L26" s="82" t="str">
        <f t="shared" si="4"/>
        <v>JANUARY-3-KALIBENDA</v>
      </c>
      <c r="M26" s="70">
        <f t="shared" si="5"/>
        <v>0.17226860165633451</v>
      </c>
      <c r="N26" s="70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25">
      <c r="A27" t="s">
        <v>36</v>
      </c>
      <c r="B27" s="63">
        <v>3</v>
      </c>
      <c r="C27" t="s">
        <v>14</v>
      </c>
      <c r="D27" s="64">
        <v>2916</v>
      </c>
      <c r="E27" s="64">
        <v>2973</v>
      </c>
      <c r="F27" s="65">
        <v>2916</v>
      </c>
      <c r="G27" s="13">
        <f t="shared" si="0"/>
        <v>-57</v>
      </c>
      <c r="H27" s="13">
        <f t="shared" si="1"/>
        <v>0</v>
      </c>
      <c r="I27" s="70">
        <f t="shared" si="2"/>
        <v>0</v>
      </c>
      <c r="J27" s="70">
        <f t="shared" si="3"/>
        <v>-1.9172552976791102E-2</v>
      </c>
      <c r="K27" s="82" t="str">
        <f>_xlfn.IFNA(VLOOKUP(CLEAN(SUBSTITUTE(C27," ","")),Ref_Factory!$A:$B,2,FALSE),CLEAN(SUBSTITUTE(C27," ","")))</f>
        <v>GM2</v>
      </c>
      <c r="L27" s="82" t="str">
        <f t="shared" si="4"/>
        <v>JANUARY-3-GM2</v>
      </c>
      <c r="M27" s="70">
        <f t="shared" si="5"/>
        <v>0.10707603294098766</v>
      </c>
      <c r="N27" s="70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25">
      <c r="A28" t="s">
        <v>36</v>
      </c>
      <c r="B28" s="63">
        <v>3</v>
      </c>
      <c r="C28" t="s">
        <v>14</v>
      </c>
      <c r="D28" s="64">
        <v>1080</v>
      </c>
      <c r="E28" s="64">
        <v>1113</v>
      </c>
      <c r="F28" s="65">
        <v>1080</v>
      </c>
      <c r="G28" s="13">
        <f t="shared" si="0"/>
        <v>-33</v>
      </c>
      <c r="H28" s="13">
        <f t="shared" si="1"/>
        <v>0</v>
      </c>
      <c r="I28" s="70">
        <f t="shared" si="2"/>
        <v>0</v>
      </c>
      <c r="J28" s="70">
        <f t="shared" si="3"/>
        <v>-2.9649595687331498E-2</v>
      </c>
      <c r="K28" s="82" t="str">
        <f>_xlfn.IFNA(VLOOKUP(CLEAN(SUBSTITUTE(C28," ","")),Ref_Factory!$A:$B,2,FALSE),CLEAN(SUBSTITUTE(C28," ","")))</f>
        <v>GM2</v>
      </c>
      <c r="L28" s="82" t="str">
        <f t="shared" si="4"/>
        <v>JANUARY-3-GM2</v>
      </c>
      <c r="M28" s="70">
        <f t="shared" si="5"/>
        <v>0.10707603294098766</v>
      </c>
      <c r="N28" s="70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25">
      <c r="A29" t="s">
        <v>36</v>
      </c>
      <c r="B29" s="63">
        <v>3</v>
      </c>
      <c r="C29" t="s">
        <v>14</v>
      </c>
      <c r="D29" s="64">
        <v>20304</v>
      </c>
      <c r="E29" s="64">
        <v>20305</v>
      </c>
      <c r="F29" s="65">
        <v>20154</v>
      </c>
      <c r="G29" s="13">
        <f t="shared" si="0"/>
        <v>-151</v>
      </c>
      <c r="H29" s="13">
        <f t="shared" si="1"/>
        <v>-150</v>
      </c>
      <c r="I29" s="70">
        <f t="shared" si="2"/>
        <v>-7.3877068557919312E-3</v>
      </c>
      <c r="J29" s="70">
        <f t="shared" si="3"/>
        <v>-7.4365919724206364E-3</v>
      </c>
      <c r="K29" s="82" t="str">
        <f>_xlfn.IFNA(VLOOKUP(CLEAN(SUBSTITUTE(C29," ","")),Ref_Factory!$A:$B,2,FALSE),CLEAN(SUBSTITUTE(C29," ","")))</f>
        <v>GM2</v>
      </c>
      <c r="L29" s="82" t="str">
        <f t="shared" si="4"/>
        <v>JANUARY-3-GM2</v>
      </c>
      <c r="M29" s="70">
        <f t="shared" si="5"/>
        <v>0.10707603294098766</v>
      </c>
      <c r="N29" s="70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25">
      <c r="A30" t="s">
        <v>36</v>
      </c>
      <c r="B30" s="63">
        <v>3</v>
      </c>
      <c r="C30" t="s">
        <v>14</v>
      </c>
      <c r="D30" s="64">
        <v>18144</v>
      </c>
      <c r="E30" s="64">
        <v>18158</v>
      </c>
      <c r="F30" s="65">
        <v>18144</v>
      </c>
      <c r="G30" s="13">
        <f t="shared" si="0"/>
        <v>-14</v>
      </c>
      <c r="H30" s="13">
        <f t="shared" si="1"/>
        <v>0</v>
      </c>
      <c r="I30" s="70">
        <f t="shared" si="2"/>
        <v>0</v>
      </c>
      <c r="J30" s="70">
        <f t="shared" si="3"/>
        <v>-7.7101002313029188E-4</v>
      </c>
      <c r="K30" s="82" t="str">
        <f>_xlfn.IFNA(VLOOKUP(CLEAN(SUBSTITUTE(C30," ","")),Ref_Factory!$A:$B,2,FALSE),CLEAN(SUBSTITUTE(C30," ","")))</f>
        <v>GM2</v>
      </c>
      <c r="L30" s="82" t="str">
        <f t="shared" si="4"/>
        <v>JANUARY-3-GM2</v>
      </c>
      <c r="M30" s="70">
        <f t="shared" si="5"/>
        <v>0.10707603294098766</v>
      </c>
      <c r="N30" s="70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25">
      <c r="A31" t="s">
        <v>36</v>
      </c>
      <c r="B31" s="63">
        <v>3</v>
      </c>
      <c r="C31" t="s">
        <v>14</v>
      </c>
      <c r="D31" s="64">
        <v>19548</v>
      </c>
      <c r="E31" s="64">
        <v>19674</v>
      </c>
      <c r="F31" s="65">
        <v>19743</v>
      </c>
      <c r="G31" s="13">
        <f t="shared" si="0"/>
        <v>69</v>
      </c>
      <c r="H31" s="13">
        <f t="shared" si="1"/>
        <v>195</v>
      </c>
      <c r="I31" s="70">
        <f t="shared" si="2"/>
        <v>9.9754450583180443E-3</v>
      </c>
      <c r="J31" s="70">
        <f t="shared" si="3"/>
        <v>3.5071668191521965E-3</v>
      </c>
      <c r="K31" s="82" t="str">
        <f>_xlfn.IFNA(VLOOKUP(CLEAN(SUBSTITUTE(C31," ","")),Ref_Factory!$A:$B,2,FALSE),CLEAN(SUBSTITUTE(C31," ","")))</f>
        <v>GM2</v>
      </c>
      <c r="L31" s="82" t="str">
        <f t="shared" si="4"/>
        <v>JANUARY-3-GM2</v>
      </c>
      <c r="M31" s="70">
        <f t="shared" si="5"/>
        <v>0.10707603294098766</v>
      </c>
      <c r="N31" s="70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25">
      <c r="A32" t="s">
        <v>36</v>
      </c>
      <c r="B32" s="63">
        <v>3</v>
      </c>
      <c r="C32" t="s">
        <v>14</v>
      </c>
      <c r="D32" s="64">
        <v>1728</v>
      </c>
      <c r="E32" s="64">
        <v>1730</v>
      </c>
      <c r="F32" s="65">
        <v>1728</v>
      </c>
      <c r="G32" s="13">
        <f t="shared" si="0"/>
        <v>-2</v>
      </c>
      <c r="H32" s="13">
        <f t="shared" si="1"/>
        <v>0</v>
      </c>
      <c r="I32" s="70">
        <f t="shared" si="2"/>
        <v>0</v>
      </c>
      <c r="J32" s="70">
        <f t="shared" si="3"/>
        <v>-1.1560693641619046E-3</v>
      </c>
      <c r="K32" s="82" t="str">
        <f>_xlfn.IFNA(VLOOKUP(CLEAN(SUBSTITUTE(C32," ","")),Ref_Factory!$A:$B,2,FALSE),CLEAN(SUBSTITUTE(C32," ","")))</f>
        <v>GM2</v>
      </c>
      <c r="L32" s="82" t="str">
        <f t="shared" si="4"/>
        <v>JANUARY-3-GM2</v>
      </c>
      <c r="M32" s="70">
        <f t="shared" si="5"/>
        <v>0.10707603294098766</v>
      </c>
      <c r="N32" s="70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25">
      <c r="A33" t="s">
        <v>36</v>
      </c>
      <c r="B33" s="63">
        <v>3</v>
      </c>
      <c r="C33" t="s">
        <v>14</v>
      </c>
      <c r="D33" s="64">
        <v>4104</v>
      </c>
      <c r="E33" s="64">
        <v>4233</v>
      </c>
      <c r="F33" s="65">
        <v>4104</v>
      </c>
      <c r="G33" s="13">
        <f t="shared" si="0"/>
        <v>-129</v>
      </c>
      <c r="H33" s="13">
        <f t="shared" si="1"/>
        <v>0</v>
      </c>
      <c r="I33" s="70">
        <f t="shared" si="2"/>
        <v>0</v>
      </c>
      <c r="J33" s="70">
        <f t="shared" si="3"/>
        <v>-3.0474840538625037E-2</v>
      </c>
      <c r="K33" s="82" t="str">
        <f>_xlfn.IFNA(VLOOKUP(CLEAN(SUBSTITUTE(C33," ","")),Ref_Factory!$A:$B,2,FALSE),CLEAN(SUBSTITUTE(C33," ","")))</f>
        <v>GM2</v>
      </c>
      <c r="L33" s="82" t="str">
        <f t="shared" si="4"/>
        <v>JANUARY-3-GM2</v>
      </c>
      <c r="M33" s="70">
        <f t="shared" si="5"/>
        <v>0.10707603294098766</v>
      </c>
      <c r="N33" s="70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25">
      <c r="A34" t="s">
        <v>36</v>
      </c>
      <c r="B34" s="63">
        <v>3</v>
      </c>
      <c r="C34" t="s">
        <v>14</v>
      </c>
      <c r="D34" s="64">
        <v>16416</v>
      </c>
      <c r="E34" s="64">
        <v>17049</v>
      </c>
      <c r="F34" s="65">
        <v>16593</v>
      </c>
      <c r="G34" s="13">
        <f t="shared" si="0"/>
        <v>-456</v>
      </c>
      <c r="H34" s="13">
        <f t="shared" si="1"/>
        <v>177</v>
      </c>
      <c r="I34" s="70">
        <f t="shared" si="2"/>
        <v>1.0782163742690143E-2</v>
      </c>
      <c r="J34" s="70">
        <f t="shared" si="3"/>
        <v>-2.6746436741157842E-2</v>
      </c>
      <c r="K34" s="82" t="str">
        <f>_xlfn.IFNA(VLOOKUP(CLEAN(SUBSTITUTE(C34," ","")),Ref_Factory!$A:$B,2,FALSE),CLEAN(SUBSTITUTE(C34," ","")))</f>
        <v>GM2</v>
      </c>
      <c r="L34" s="82" t="str">
        <f t="shared" si="4"/>
        <v>JANUARY-3-GM2</v>
      </c>
      <c r="M34" s="70">
        <f t="shared" si="5"/>
        <v>0.10707603294098766</v>
      </c>
      <c r="N34" s="70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25">
      <c r="A35" t="s">
        <v>36</v>
      </c>
      <c r="B35" s="63">
        <v>3</v>
      </c>
      <c r="C35" t="s">
        <v>14</v>
      </c>
      <c r="D35" s="64">
        <v>1296</v>
      </c>
      <c r="E35" s="64">
        <v>1322</v>
      </c>
      <c r="F35" s="65">
        <v>1314</v>
      </c>
      <c r="G35" s="13">
        <f t="shared" si="0"/>
        <v>-8</v>
      </c>
      <c r="H35" s="13">
        <f t="shared" si="1"/>
        <v>18</v>
      </c>
      <c r="I35" s="70">
        <f t="shared" si="2"/>
        <v>1.388888888888884E-2</v>
      </c>
      <c r="J35" s="70">
        <f t="shared" si="3"/>
        <v>-6.0514372163388286E-3</v>
      </c>
      <c r="K35" s="82" t="str">
        <f>_xlfn.IFNA(VLOOKUP(CLEAN(SUBSTITUTE(C35," ","")),Ref_Factory!$A:$B,2,FALSE),CLEAN(SUBSTITUTE(C35," ","")))</f>
        <v>GM2</v>
      </c>
      <c r="L35" s="82" t="str">
        <f t="shared" si="4"/>
        <v>JANUARY-3-GM2</v>
      </c>
      <c r="M35" s="70">
        <f t="shared" si="5"/>
        <v>0.10707603294098766</v>
      </c>
      <c r="N35" s="70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25">
      <c r="A36" t="s">
        <v>36</v>
      </c>
      <c r="B36" s="63">
        <v>3</v>
      </c>
      <c r="C36" t="s">
        <v>11</v>
      </c>
      <c r="D36" s="64">
        <v>16308</v>
      </c>
      <c r="E36" s="64">
        <v>16800</v>
      </c>
      <c r="F36" s="65">
        <v>16734</v>
      </c>
      <c r="G36" s="13">
        <f t="shared" si="0"/>
        <v>-66</v>
      </c>
      <c r="H36" s="13">
        <f t="shared" si="1"/>
        <v>426</v>
      </c>
      <c r="I36" s="70">
        <f t="shared" si="2"/>
        <v>2.6122148638704878E-2</v>
      </c>
      <c r="J36" s="70">
        <f t="shared" si="3"/>
        <v>-3.9285714285713924E-3</v>
      </c>
      <c r="K36" s="82" t="str">
        <f>_xlfn.IFNA(VLOOKUP(CLEAN(SUBSTITUTE(C36," ","")),Ref_Factory!$A:$B,2,FALSE),CLEAN(SUBSTITUTE(C36," ","")))</f>
        <v>GM1</v>
      </c>
      <c r="L36" s="82" t="str">
        <f t="shared" si="4"/>
        <v>JANUARY-3-GM1</v>
      </c>
      <c r="M36" s="70">
        <f t="shared" si="5"/>
        <v>2.6122148638704878E-2</v>
      </c>
      <c r="N36" s="70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25">
      <c r="A37" t="s">
        <v>36</v>
      </c>
      <c r="B37" s="63">
        <v>3</v>
      </c>
      <c r="C37" t="s">
        <v>14</v>
      </c>
      <c r="D37" s="64">
        <v>25344</v>
      </c>
      <c r="E37" s="64">
        <v>25766</v>
      </c>
      <c r="F37" s="65">
        <v>25704</v>
      </c>
      <c r="G37" s="13">
        <f t="shared" si="0"/>
        <v>-62</v>
      </c>
      <c r="H37" s="13">
        <f t="shared" si="1"/>
        <v>360</v>
      </c>
      <c r="I37" s="70">
        <f t="shared" si="2"/>
        <v>1.4204545454545414E-2</v>
      </c>
      <c r="J37" s="70">
        <f t="shared" si="3"/>
        <v>-2.406271831095208E-3</v>
      </c>
      <c r="K37" s="82" t="str">
        <f>_xlfn.IFNA(VLOOKUP(CLEAN(SUBSTITUTE(C37," ","")),Ref_Factory!$A:$B,2,FALSE),CLEAN(SUBSTITUTE(C37," ","")))</f>
        <v>GM2</v>
      </c>
      <c r="L37" s="82" t="str">
        <f t="shared" si="4"/>
        <v>JANUARY-3-GM2</v>
      </c>
      <c r="M37" s="70">
        <f t="shared" si="5"/>
        <v>0.10707603294098766</v>
      </c>
      <c r="N37" s="70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25">
      <c r="A38" t="s">
        <v>36</v>
      </c>
      <c r="B38" s="63">
        <v>3</v>
      </c>
      <c r="C38" t="s">
        <v>14</v>
      </c>
      <c r="D38" s="64">
        <v>6624</v>
      </c>
      <c r="E38" s="64">
        <v>6828</v>
      </c>
      <c r="F38" s="65">
        <v>6796</v>
      </c>
      <c r="G38" s="13">
        <f t="shared" si="0"/>
        <v>-32</v>
      </c>
      <c r="H38" s="13">
        <f t="shared" si="1"/>
        <v>172</v>
      </c>
      <c r="I38" s="70">
        <f t="shared" si="2"/>
        <v>2.5966183574879231E-2</v>
      </c>
      <c r="J38" s="70">
        <f t="shared" si="3"/>
        <v>-4.6865846514352327E-3</v>
      </c>
      <c r="K38" s="82" t="str">
        <f>_xlfn.IFNA(VLOOKUP(CLEAN(SUBSTITUTE(C38," ","")),Ref_Factory!$A:$B,2,FALSE),CLEAN(SUBSTITUTE(C38," ","")))</f>
        <v>GM2</v>
      </c>
      <c r="L38" s="82" t="str">
        <f t="shared" si="4"/>
        <v>JANUARY-3-GM2</v>
      </c>
      <c r="M38" s="70">
        <f t="shared" si="5"/>
        <v>0.10707603294098766</v>
      </c>
      <c r="N38" s="70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25">
      <c r="A39" t="s">
        <v>36</v>
      </c>
      <c r="B39" s="63">
        <v>3</v>
      </c>
      <c r="C39" t="s">
        <v>14</v>
      </c>
      <c r="D39" s="64">
        <v>16992</v>
      </c>
      <c r="E39" s="64">
        <v>17192</v>
      </c>
      <c r="F39" s="65">
        <v>17000</v>
      </c>
      <c r="G39" s="13">
        <f t="shared" si="0"/>
        <v>-192</v>
      </c>
      <c r="H39" s="13">
        <f t="shared" si="1"/>
        <v>8</v>
      </c>
      <c r="I39" s="70">
        <f t="shared" si="2"/>
        <v>4.7080979284364055E-4</v>
      </c>
      <c r="J39" s="70">
        <f t="shared" si="3"/>
        <v>-1.116798510935324E-2</v>
      </c>
      <c r="K39" s="82" t="str">
        <f>_xlfn.IFNA(VLOOKUP(CLEAN(SUBSTITUTE(C39," ","")),Ref_Factory!$A:$B,2,FALSE),CLEAN(SUBSTITUTE(C39," ","")))</f>
        <v>GM2</v>
      </c>
      <c r="L39" s="82" t="str">
        <f t="shared" si="4"/>
        <v>JANUARY-3-GM2</v>
      </c>
      <c r="M39" s="70">
        <f t="shared" si="5"/>
        <v>0.10707603294098766</v>
      </c>
      <c r="N39" s="70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25">
      <c r="A40" t="s">
        <v>36</v>
      </c>
      <c r="B40" s="63">
        <v>3</v>
      </c>
      <c r="C40" t="s">
        <v>14</v>
      </c>
      <c r="D40" s="64">
        <v>9792</v>
      </c>
      <c r="E40" s="64">
        <v>9954</v>
      </c>
      <c r="F40" s="65">
        <v>9792</v>
      </c>
      <c r="G40" s="13">
        <f t="shared" si="0"/>
        <v>-162</v>
      </c>
      <c r="H40" s="13">
        <f t="shared" si="1"/>
        <v>0</v>
      </c>
      <c r="I40" s="70">
        <f t="shared" si="2"/>
        <v>0</v>
      </c>
      <c r="J40" s="70">
        <f t="shared" si="3"/>
        <v>-1.6274864376130238E-2</v>
      </c>
      <c r="K40" s="82" t="str">
        <f>_xlfn.IFNA(VLOOKUP(CLEAN(SUBSTITUTE(C40," ","")),Ref_Factory!$A:$B,2,FALSE),CLEAN(SUBSTITUTE(C40," ","")))</f>
        <v>GM2</v>
      </c>
      <c r="L40" s="82" t="str">
        <f t="shared" si="4"/>
        <v>JANUARY-3-GM2</v>
      </c>
      <c r="M40" s="70">
        <f t="shared" si="5"/>
        <v>0.10707603294098766</v>
      </c>
      <c r="N40" s="70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25">
      <c r="A41" t="s">
        <v>36</v>
      </c>
      <c r="B41" s="63">
        <v>3</v>
      </c>
      <c r="C41" t="s">
        <v>14</v>
      </c>
      <c r="D41" s="64">
        <v>21816</v>
      </c>
      <c r="E41" s="64">
        <v>22105</v>
      </c>
      <c r="F41" s="65">
        <v>22056</v>
      </c>
      <c r="G41" s="13">
        <f t="shared" si="0"/>
        <v>-49</v>
      </c>
      <c r="H41" s="13">
        <f t="shared" si="1"/>
        <v>240</v>
      </c>
      <c r="I41" s="70">
        <f t="shared" si="2"/>
        <v>1.1001100110010986E-2</v>
      </c>
      <c r="J41" s="70">
        <f t="shared" si="3"/>
        <v>-2.2166930558696896E-3</v>
      </c>
      <c r="K41" s="82" t="str">
        <f>_xlfn.IFNA(VLOOKUP(CLEAN(SUBSTITUTE(C41," ","")),Ref_Factory!$A:$B,2,FALSE),CLEAN(SUBSTITUTE(C41," ","")))</f>
        <v>GM2</v>
      </c>
      <c r="L41" s="82" t="str">
        <f t="shared" si="4"/>
        <v>JANUARY-3-GM2</v>
      </c>
      <c r="M41" s="70">
        <f t="shared" si="5"/>
        <v>0.10707603294098766</v>
      </c>
      <c r="N41" s="70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25">
      <c r="A42" t="s">
        <v>36</v>
      </c>
      <c r="B42" s="63">
        <v>3</v>
      </c>
      <c r="C42" t="s">
        <v>14</v>
      </c>
      <c r="D42" s="64">
        <v>30240</v>
      </c>
      <c r="E42" s="64">
        <v>30852</v>
      </c>
      <c r="F42" s="65">
        <v>30597</v>
      </c>
      <c r="G42" s="13">
        <f t="shared" si="0"/>
        <v>-255</v>
      </c>
      <c r="H42" s="13">
        <f t="shared" si="1"/>
        <v>357</v>
      </c>
      <c r="I42" s="70">
        <f t="shared" si="2"/>
        <v>1.1805555555555625E-2</v>
      </c>
      <c r="J42" s="70">
        <f t="shared" si="3"/>
        <v>-8.2652664332943937E-3</v>
      </c>
      <c r="K42" s="82" t="str">
        <f>_xlfn.IFNA(VLOOKUP(CLEAN(SUBSTITUTE(C42," ","")),Ref_Factory!$A:$B,2,FALSE),CLEAN(SUBSTITUTE(C42," ","")))</f>
        <v>GM2</v>
      </c>
      <c r="L42" s="82" t="str">
        <f t="shared" si="4"/>
        <v>JANUARY-3-GM2</v>
      </c>
      <c r="M42" s="70">
        <f t="shared" si="5"/>
        <v>0.10707603294098766</v>
      </c>
      <c r="N42" s="70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25">
      <c r="A43" t="s">
        <v>36</v>
      </c>
      <c r="B43" s="63">
        <v>3</v>
      </c>
      <c r="C43" t="s">
        <v>14</v>
      </c>
      <c r="D43" s="64">
        <v>30240</v>
      </c>
      <c r="E43" s="64">
        <v>30787</v>
      </c>
      <c r="F43" s="65">
        <v>30735</v>
      </c>
      <c r="G43" s="13">
        <f t="shared" si="0"/>
        <v>-52</v>
      </c>
      <c r="H43" s="13">
        <f t="shared" si="1"/>
        <v>495</v>
      </c>
      <c r="I43" s="70">
        <f t="shared" si="2"/>
        <v>1.6369047619047672E-2</v>
      </c>
      <c r="J43" s="70">
        <f t="shared" si="3"/>
        <v>-1.6890245883002253E-3</v>
      </c>
      <c r="K43" s="82" t="str">
        <f>_xlfn.IFNA(VLOOKUP(CLEAN(SUBSTITUTE(C43," ","")),Ref_Factory!$A:$B,2,FALSE),CLEAN(SUBSTITUTE(C43," ","")))</f>
        <v>GM2</v>
      </c>
      <c r="L43" s="82" t="str">
        <f t="shared" si="4"/>
        <v>JANUARY-3-GM2</v>
      </c>
      <c r="M43" s="70">
        <f t="shared" si="5"/>
        <v>0.10707603294098766</v>
      </c>
      <c r="N43" s="70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25">
      <c r="A44" t="s">
        <v>36</v>
      </c>
      <c r="B44" s="63">
        <v>3</v>
      </c>
      <c r="C44" t="s">
        <v>15</v>
      </c>
      <c r="D44" s="64">
        <v>2440</v>
      </c>
      <c r="E44" s="64">
        <v>2440</v>
      </c>
      <c r="F44" s="65">
        <v>2440</v>
      </c>
      <c r="G44" s="13">
        <f t="shared" si="0"/>
        <v>0</v>
      </c>
      <c r="H44" s="13">
        <f t="shared" si="1"/>
        <v>0</v>
      </c>
      <c r="I44" s="70">
        <f t="shared" si="2"/>
        <v>0</v>
      </c>
      <c r="J44" s="70">
        <f t="shared" si="3"/>
        <v>0</v>
      </c>
      <c r="K44" s="82" t="str">
        <f>_xlfn.IFNA(VLOOKUP(CLEAN(SUBSTITUTE(C44," ","")),Ref_Factory!$A:$B,2,FALSE),CLEAN(SUBSTITUTE(C44," ","")))</f>
        <v>CHAWAN</v>
      </c>
      <c r="L44" s="82" t="str">
        <f t="shared" si="4"/>
        <v>JANUARY-3-CHAWAN</v>
      </c>
      <c r="M44" s="70">
        <f t="shared" si="5"/>
        <v>0</v>
      </c>
      <c r="N44" s="70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25">
      <c r="A45" t="s">
        <v>36</v>
      </c>
      <c r="B45" s="63">
        <v>3</v>
      </c>
      <c r="C45" t="s">
        <v>15</v>
      </c>
      <c r="D45" s="64">
        <v>177</v>
      </c>
      <c r="E45" s="64">
        <v>177</v>
      </c>
      <c r="F45" s="65">
        <v>177</v>
      </c>
      <c r="G45" s="13">
        <f t="shared" si="0"/>
        <v>0</v>
      </c>
      <c r="H45" s="13">
        <f t="shared" si="1"/>
        <v>0</v>
      </c>
      <c r="I45" s="70">
        <f t="shared" si="2"/>
        <v>0</v>
      </c>
      <c r="J45" s="70">
        <f t="shared" si="3"/>
        <v>0</v>
      </c>
      <c r="K45" s="82" t="str">
        <f>_xlfn.IFNA(VLOOKUP(CLEAN(SUBSTITUTE(C45," ","")),Ref_Factory!$A:$B,2,FALSE),CLEAN(SUBSTITUTE(C45," ","")))</f>
        <v>CHAWAN</v>
      </c>
      <c r="L45" s="82" t="str">
        <f t="shared" si="4"/>
        <v>JANUARY-3-CHAWAN</v>
      </c>
      <c r="M45" s="70">
        <f t="shared" si="5"/>
        <v>0</v>
      </c>
      <c r="N45" s="70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25">
      <c r="A46" t="s">
        <v>36</v>
      </c>
      <c r="B46" s="63">
        <v>3</v>
      </c>
      <c r="C46" t="s">
        <v>10</v>
      </c>
      <c r="D46" s="64">
        <v>40000</v>
      </c>
      <c r="E46" s="64">
        <v>40000</v>
      </c>
      <c r="F46" s="65">
        <v>39538</v>
      </c>
      <c r="G46" s="13">
        <f t="shared" si="0"/>
        <v>-462</v>
      </c>
      <c r="H46" s="13">
        <f t="shared" si="1"/>
        <v>-462</v>
      </c>
      <c r="I46" s="70">
        <f t="shared" si="2"/>
        <v>-1.1549999999999949E-2</v>
      </c>
      <c r="J46" s="70">
        <f t="shared" si="3"/>
        <v>-1.1549999999999949E-2</v>
      </c>
      <c r="K46" s="82" t="str">
        <f>_xlfn.IFNA(VLOOKUP(CLEAN(SUBSTITUTE(C46," ","")),Ref_Factory!$A:$B,2,FALSE),CLEAN(SUBSTITUTE(C46," ","")))</f>
        <v>CNJ2</v>
      </c>
      <c r="L46" s="82" t="str">
        <f t="shared" si="4"/>
        <v>JANUARY-3-CNJ2</v>
      </c>
      <c r="M46" s="70">
        <f t="shared" si="5"/>
        <v>-1.1549999999999949E-2</v>
      </c>
      <c r="N46" s="70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25">
      <c r="A47" t="s">
        <v>36</v>
      </c>
      <c r="B47" s="63">
        <v>3</v>
      </c>
      <c r="C47" t="s">
        <v>11</v>
      </c>
      <c r="D47" s="64">
        <v>205</v>
      </c>
      <c r="E47" s="64">
        <v>205</v>
      </c>
      <c r="F47" s="65">
        <v>205</v>
      </c>
      <c r="G47" s="13">
        <f t="shared" si="0"/>
        <v>0</v>
      </c>
      <c r="H47" s="13">
        <f t="shared" si="1"/>
        <v>0</v>
      </c>
      <c r="I47" s="70">
        <f t="shared" si="2"/>
        <v>0</v>
      </c>
      <c r="J47" s="70">
        <f t="shared" si="3"/>
        <v>0</v>
      </c>
      <c r="K47" s="82" t="str">
        <f>_xlfn.IFNA(VLOOKUP(CLEAN(SUBSTITUTE(C47," ","")),Ref_Factory!$A:$B,2,FALSE),CLEAN(SUBSTITUTE(C47," ","")))</f>
        <v>GM1</v>
      </c>
      <c r="L47" s="82" t="str">
        <f t="shared" si="4"/>
        <v>JANUARY-3-GM1</v>
      </c>
      <c r="M47" s="70">
        <f t="shared" si="5"/>
        <v>2.6122148638704878E-2</v>
      </c>
      <c r="N47" s="70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25">
      <c r="A48" t="s">
        <v>36</v>
      </c>
      <c r="B48" s="63">
        <v>3</v>
      </c>
      <c r="C48" t="s">
        <v>11</v>
      </c>
      <c r="D48" s="64">
        <v>295</v>
      </c>
      <c r="E48" s="64">
        <v>295</v>
      </c>
      <c r="F48" s="65">
        <v>295</v>
      </c>
      <c r="G48" s="13">
        <f t="shared" si="0"/>
        <v>0</v>
      </c>
      <c r="H48" s="13">
        <f t="shared" si="1"/>
        <v>0</v>
      </c>
      <c r="I48" s="70">
        <f t="shared" si="2"/>
        <v>0</v>
      </c>
      <c r="J48" s="70">
        <f t="shared" si="3"/>
        <v>0</v>
      </c>
      <c r="K48" s="82" t="str">
        <f>_xlfn.IFNA(VLOOKUP(CLEAN(SUBSTITUTE(C48," ","")),Ref_Factory!$A:$B,2,FALSE),CLEAN(SUBSTITUTE(C48," ","")))</f>
        <v>GM1</v>
      </c>
      <c r="L48" s="82" t="str">
        <f t="shared" si="4"/>
        <v>JANUARY-3-GM1</v>
      </c>
      <c r="M48" s="70">
        <f t="shared" si="5"/>
        <v>2.6122148638704878E-2</v>
      </c>
      <c r="N48" s="70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25">
      <c r="A49" t="s">
        <v>36</v>
      </c>
      <c r="B49" s="63">
        <v>3</v>
      </c>
      <c r="C49" t="s">
        <v>16</v>
      </c>
      <c r="D49" s="64">
        <v>48000</v>
      </c>
      <c r="E49" s="64">
        <v>48017</v>
      </c>
      <c r="F49" s="65">
        <v>46662</v>
      </c>
      <c r="G49" s="13">
        <f t="shared" si="0"/>
        <v>-1355</v>
      </c>
      <c r="H49" s="13">
        <f t="shared" si="1"/>
        <v>-1338</v>
      </c>
      <c r="I49" s="70">
        <f t="shared" si="2"/>
        <v>-2.7874999999999983E-2</v>
      </c>
      <c r="J49" s="70">
        <f t="shared" si="3"/>
        <v>-2.8219172376449997E-2</v>
      </c>
      <c r="K49" s="82" t="str">
        <f>_xlfn.IFNA(VLOOKUP(CLEAN(SUBSTITUTE(C49," ","")),Ref_Factory!$A:$B,2,FALSE),CLEAN(SUBSTITUTE(C49," ","")))</f>
        <v>ANUGERAH</v>
      </c>
      <c r="L49" s="82" t="str">
        <f t="shared" si="4"/>
        <v>JANUARY-3-ANUGERAH</v>
      </c>
      <c r="M49" s="70">
        <f t="shared" si="5"/>
        <v>-8.2981238141079161E-2</v>
      </c>
      <c r="N49" s="70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25">
      <c r="A50" t="s">
        <v>36</v>
      </c>
      <c r="B50" s="63">
        <v>3</v>
      </c>
      <c r="C50" t="s">
        <v>16</v>
      </c>
      <c r="D50" s="64">
        <v>12000</v>
      </c>
      <c r="E50" s="64">
        <v>13058</v>
      </c>
      <c r="F50" s="65">
        <v>12000</v>
      </c>
      <c r="G50" s="13">
        <f t="shared" si="0"/>
        <v>-1058</v>
      </c>
      <c r="H50" s="13">
        <f t="shared" si="1"/>
        <v>0</v>
      </c>
      <c r="I50" s="70">
        <f t="shared" si="2"/>
        <v>0</v>
      </c>
      <c r="J50" s="70">
        <f t="shared" si="3"/>
        <v>-8.102312758462249E-2</v>
      </c>
      <c r="K50" s="82" t="str">
        <f>_xlfn.IFNA(VLOOKUP(CLEAN(SUBSTITUTE(C50," ","")),Ref_Factory!$A:$B,2,FALSE),CLEAN(SUBSTITUTE(C50," ","")))</f>
        <v>ANUGERAH</v>
      </c>
      <c r="L50" s="82" t="str">
        <f t="shared" si="4"/>
        <v>JANUARY-3-ANUGERAH</v>
      </c>
      <c r="M50" s="70">
        <f t="shared" si="5"/>
        <v>-8.2981238141079161E-2</v>
      </c>
      <c r="N50" s="70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25">
      <c r="A51" t="s">
        <v>36</v>
      </c>
      <c r="B51" s="63">
        <v>3</v>
      </c>
      <c r="C51" t="s">
        <v>16</v>
      </c>
      <c r="D51" s="64">
        <v>19200</v>
      </c>
      <c r="E51" s="64">
        <v>19167</v>
      </c>
      <c r="F51" s="65">
        <v>18967</v>
      </c>
      <c r="G51" s="13">
        <f t="shared" si="0"/>
        <v>-200</v>
      </c>
      <c r="H51" s="13">
        <f t="shared" si="1"/>
        <v>-233</v>
      </c>
      <c r="I51" s="70">
        <f t="shared" si="2"/>
        <v>-1.2135416666666621E-2</v>
      </c>
      <c r="J51" s="70">
        <f t="shared" si="3"/>
        <v>-1.0434601137371491E-2</v>
      </c>
      <c r="K51" s="82" t="str">
        <f>_xlfn.IFNA(VLOOKUP(CLEAN(SUBSTITUTE(C51," ","")),Ref_Factory!$A:$B,2,FALSE),CLEAN(SUBSTITUTE(C51," ","")))</f>
        <v>ANUGERAH</v>
      </c>
      <c r="L51" s="82" t="str">
        <f t="shared" si="4"/>
        <v>JANUARY-3-ANUGERAH</v>
      </c>
      <c r="M51" s="70">
        <f t="shared" si="5"/>
        <v>-8.2981238141079161E-2</v>
      </c>
      <c r="N51" s="70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25">
      <c r="A52" t="s">
        <v>36</v>
      </c>
      <c r="B52" s="63">
        <v>3</v>
      </c>
      <c r="C52" t="s">
        <v>16</v>
      </c>
      <c r="D52" s="64">
        <v>72000</v>
      </c>
      <c r="E52" s="64">
        <v>72031</v>
      </c>
      <c r="F52" s="65">
        <v>71374</v>
      </c>
      <c r="G52" s="13">
        <f t="shared" si="0"/>
        <v>-657</v>
      </c>
      <c r="H52" s="13">
        <f t="shared" si="1"/>
        <v>-626</v>
      </c>
      <c r="I52" s="70">
        <f t="shared" si="2"/>
        <v>-8.6944444444444491E-3</v>
      </c>
      <c r="J52" s="70">
        <f t="shared" si="3"/>
        <v>-9.1210728714026246E-3</v>
      </c>
      <c r="K52" s="82" t="str">
        <f>_xlfn.IFNA(VLOOKUP(CLEAN(SUBSTITUTE(C52," ","")),Ref_Factory!$A:$B,2,FALSE),CLEAN(SUBSTITUTE(C52," ","")))</f>
        <v>ANUGERAH</v>
      </c>
      <c r="L52" s="82" t="str">
        <f t="shared" si="4"/>
        <v>JANUARY-3-ANUGERAH</v>
      </c>
      <c r="M52" s="70">
        <f t="shared" si="5"/>
        <v>-8.2981238141079161E-2</v>
      </c>
      <c r="N52" s="70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25">
      <c r="A53" t="s">
        <v>36</v>
      </c>
      <c r="B53" s="63">
        <v>3</v>
      </c>
      <c r="C53" t="s">
        <v>16</v>
      </c>
      <c r="D53" s="64">
        <v>5351</v>
      </c>
      <c r="E53" s="64">
        <v>5473</v>
      </c>
      <c r="F53" s="65">
        <v>5351</v>
      </c>
      <c r="G53" s="13">
        <f t="shared" si="0"/>
        <v>-122</v>
      </c>
      <c r="H53" s="13">
        <f t="shared" si="1"/>
        <v>0</v>
      </c>
      <c r="I53" s="70">
        <f t="shared" si="2"/>
        <v>0</v>
      </c>
      <c r="J53" s="70">
        <f t="shared" si="3"/>
        <v>-2.2291247944454584E-2</v>
      </c>
      <c r="K53" s="82" t="str">
        <f>_xlfn.IFNA(VLOOKUP(CLEAN(SUBSTITUTE(C53," ","")),Ref_Factory!$A:$B,2,FALSE),CLEAN(SUBSTITUTE(C53," ","")))</f>
        <v>ANUGERAH</v>
      </c>
      <c r="L53" s="82" t="str">
        <f t="shared" si="4"/>
        <v>JANUARY-3-ANUGERAH</v>
      </c>
      <c r="M53" s="70">
        <f t="shared" si="5"/>
        <v>-8.2981238141079161E-2</v>
      </c>
      <c r="N53" s="70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25">
      <c r="A54" t="s">
        <v>36</v>
      </c>
      <c r="B54" s="63">
        <v>3</v>
      </c>
      <c r="C54" t="s">
        <v>16</v>
      </c>
      <c r="D54" s="64">
        <v>19800</v>
      </c>
      <c r="E54" s="64">
        <v>19813</v>
      </c>
      <c r="F54" s="65">
        <v>19434</v>
      </c>
      <c r="G54" s="13">
        <f t="shared" si="0"/>
        <v>-379</v>
      </c>
      <c r="H54" s="13">
        <f t="shared" si="1"/>
        <v>-366</v>
      </c>
      <c r="I54" s="70">
        <f t="shared" si="2"/>
        <v>-1.8484848484848437E-2</v>
      </c>
      <c r="J54" s="70">
        <f t="shared" si="3"/>
        <v>-1.9128854792308081E-2</v>
      </c>
      <c r="K54" s="82" t="str">
        <f>_xlfn.IFNA(VLOOKUP(CLEAN(SUBSTITUTE(C54," ","")),Ref_Factory!$A:$B,2,FALSE),CLEAN(SUBSTITUTE(C54," ","")))</f>
        <v>ANUGERAH</v>
      </c>
      <c r="L54" s="82" t="str">
        <f t="shared" si="4"/>
        <v>JANUARY-3-ANUGERAH</v>
      </c>
      <c r="M54" s="70">
        <f t="shared" si="5"/>
        <v>-8.2981238141079161E-2</v>
      </c>
      <c r="N54" s="70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25">
      <c r="A55" t="s">
        <v>36</v>
      </c>
      <c r="B55" s="63">
        <v>3</v>
      </c>
      <c r="C55" t="s">
        <v>16</v>
      </c>
      <c r="D55" s="64">
        <v>7500</v>
      </c>
      <c r="E55" s="64">
        <v>7529</v>
      </c>
      <c r="F55" s="65">
        <v>7423</v>
      </c>
      <c r="G55" s="13">
        <f t="shared" si="0"/>
        <v>-106</v>
      </c>
      <c r="H55" s="13">
        <f t="shared" si="1"/>
        <v>-77</v>
      </c>
      <c r="I55" s="70">
        <f t="shared" si="2"/>
        <v>-1.0266666666666646E-2</v>
      </c>
      <c r="J55" s="70">
        <f t="shared" si="3"/>
        <v>-1.4078894939567044E-2</v>
      </c>
      <c r="K55" s="82" t="str">
        <f>_xlfn.IFNA(VLOOKUP(CLEAN(SUBSTITUTE(C55," ","")),Ref_Factory!$A:$B,2,FALSE),CLEAN(SUBSTITUTE(C55," ","")))</f>
        <v>ANUGERAH</v>
      </c>
      <c r="L55" s="82" t="str">
        <f t="shared" si="4"/>
        <v>JANUARY-3-ANUGERAH</v>
      </c>
      <c r="M55" s="70">
        <f t="shared" si="5"/>
        <v>-8.2981238141079161E-2</v>
      </c>
      <c r="N55" s="70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25">
      <c r="A56" t="s">
        <v>36</v>
      </c>
      <c r="B56" s="63">
        <v>3</v>
      </c>
      <c r="C56" t="s">
        <v>16</v>
      </c>
      <c r="D56" s="64">
        <v>5430</v>
      </c>
      <c r="E56" s="64">
        <v>5430</v>
      </c>
      <c r="F56" s="65">
        <v>5400</v>
      </c>
      <c r="G56" s="13">
        <f t="shared" si="0"/>
        <v>-30</v>
      </c>
      <c r="H56" s="13">
        <f t="shared" si="1"/>
        <v>-30</v>
      </c>
      <c r="I56" s="70">
        <f t="shared" si="2"/>
        <v>-5.5248618784530246E-3</v>
      </c>
      <c r="J56" s="70">
        <f t="shared" si="3"/>
        <v>-5.5248618784530246E-3</v>
      </c>
      <c r="K56" s="82" t="str">
        <f>_xlfn.IFNA(VLOOKUP(CLEAN(SUBSTITUTE(C56," ","")),Ref_Factory!$A:$B,2,FALSE),CLEAN(SUBSTITUTE(C56," ","")))</f>
        <v>ANUGERAH</v>
      </c>
      <c r="L56" s="82" t="str">
        <f t="shared" si="4"/>
        <v>JANUARY-3-ANUGERAH</v>
      </c>
      <c r="M56" s="70">
        <f t="shared" si="5"/>
        <v>-8.2981238141079161E-2</v>
      </c>
      <c r="N56" s="70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25">
      <c r="A57" t="s">
        <v>36</v>
      </c>
      <c r="B57" s="63">
        <v>4</v>
      </c>
      <c r="C57" t="s">
        <v>11</v>
      </c>
      <c r="D57" s="64">
        <v>4320</v>
      </c>
      <c r="E57" s="64">
        <v>4455</v>
      </c>
      <c r="F57" s="65">
        <v>4383</v>
      </c>
      <c r="G57" s="13">
        <f t="shared" si="0"/>
        <v>-72</v>
      </c>
      <c r="H57" s="13">
        <f t="shared" si="1"/>
        <v>63</v>
      </c>
      <c r="I57" s="70">
        <f t="shared" si="2"/>
        <v>1.4583333333333393E-2</v>
      </c>
      <c r="J57" s="70">
        <f t="shared" si="3"/>
        <v>-1.6161616161616155E-2</v>
      </c>
      <c r="K57" s="82" t="str">
        <f>_xlfn.IFNA(VLOOKUP(CLEAN(SUBSTITUTE(C57," ","")),Ref_Factory!$A:$B,2,FALSE),CLEAN(SUBSTITUTE(C57," ","")))</f>
        <v>GM1</v>
      </c>
      <c r="L57" s="82" t="str">
        <f t="shared" si="4"/>
        <v>JANUARY-4-GM1</v>
      </c>
      <c r="M57" s="70">
        <f t="shared" si="5"/>
        <v>2.1179757343550598E-2</v>
      </c>
      <c r="N57" s="70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25">
      <c r="A58" t="s">
        <v>36</v>
      </c>
      <c r="B58" s="63">
        <v>4</v>
      </c>
      <c r="C58" t="s">
        <v>13</v>
      </c>
      <c r="D58" s="64">
        <v>40176</v>
      </c>
      <c r="E58" s="64">
        <v>40687</v>
      </c>
      <c r="F58" s="65">
        <v>40647</v>
      </c>
      <c r="G58" s="13">
        <f t="shared" si="0"/>
        <v>-40</v>
      </c>
      <c r="H58" s="13">
        <f t="shared" si="1"/>
        <v>471</v>
      </c>
      <c r="I58" s="70">
        <f t="shared" si="2"/>
        <v>1.1723416965352396E-2</v>
      </c>
      <c r="J58" s="70">
        <f t="shared" si="3"/>
        <v>-9.8311499987713269E-4</v>
      </c>
      <c r="K58" s="82" t="str">
        <f>_xlfn.IFNA(VLOOKUP(CLEAN(SUBSTITUTE(C58," ","")),Ref_Factory!$A:$B,2,FALSE),CLEAN(SUBSTITUTE(C58," ","")))</f>
        <v>KALIBENDA</v>
      </c>
      <c r="L58" s="82" t="str">
        <f t="shared" si="4"/>
        <v>JANUARY-4-KALIBENDA</v>
      </c>
      <c r="M58" s="70">
        <f t="shared" si="5"/>
        <v>0.17649768968488622</v>
      </c>
      <c r="N58" s="70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25">
      <c r="A59" t="s">
        <v>36</v>
      </c>
      <c r="B59" s="63">
        <v>4</v>
      </c>
      <c r="C59" t="s">
        <v>13</v>
      </c>
      <c r="D59" s="64">
        <v>6912</v>
      </c>
      <c r="E59" s="64">
        <v>7050</v>
      </c>
      <c r="F59" s="65">
        <v>7035</v>
      </c>
      <c r="G59" s="13">
        <f t="shared" si="0"/>
        <v>-15</v>
      </c>
      <c r="H59" s="13">
        <f t="shared" si="1"/>
        <v>123</v>
      </c>
      <c r="I59" s="70">
        <f t="shared" si="2"/>
        <v>1.779513888888884E-2</v>
      </c>
      <c r="J59" s="70">
        <f t="shared" si="3"/>
        <v>-2.1276595744680327E-3</v>
      </c>
      <c r="K59" s="82" t="str">
        <f>_xlfn.IFNA(VLOOKUP(CLEAN(SUBSTITUTE(C59," ","")),Ref_Factory!$A:$B,2,FALSE),CLEAN(SUBSTITUTE(C59," ","")))</f>
        <v>KALIBENDA</v>
      </c>
      <c r="L59" s="82" t="str">
        <f t="shared" si="4"/>
        <v>JANUARY-4-KALIBENDA</v>
      </c>
      <c r="M59" s="70">
        <f t="shared" si="5"/>
        <v>0.17649768968488622</v>
      </c>
      <c r="N59" s="70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25">
      <c r="A60" t="s">
        <v>36</v>
      </c>
      <c r="B60" s="63">
        <v>4</v>
      </c>
      <c r="C60" t="s">
        <v>13</v>
      </c>
      <c r="D60" s="64">
        <v>9180</v>
      </c>
      <c r="E60" s="64">
        <v>9360</v>
      </c>
      <c r="F60" s="65">
        <v>9321</v>
      </c>
      <c r="G60" s="13">
        <f t="shared" si="0"/>
        <v>-39</v>
      </c>
      <c r="H60" s="13">
        <f t="shared" si="1"/>
        <v>141</v>
      </c>
      <c r="I60" s="70">
        <f t="shared" si="2"/>
        <v>1.5359477124182952E-2</v>
      </c>
      <c r="J60" s="70">
        <f t="shared" si="3"/>
        <v>-4.1666666666666519E-3</v>
      </c>
      <c r="K60" s="82" t="str">
        <f>_xlfn.IFNA(VLOOKUP(CLEAN(SUBSTITUTE(C60," ","")),Ref_Factory!$A:$B,2,FALSE),CLEAN(SUBSTITUTE(C60," ","")))</f>
        <v>KALIBENDA</v>
      </c>
      <c r="L60" s="82" t="str">
        <f t="shared" si="4"/>
        <v>JANUARY-4-KALIBENDA</v>
      </c>
      <c r="M60" s="70">
        <f t="shared" si="5"/>
        <v>0.17649768968488622</v>
      </c>
      <c r="N60" s="70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25">
      <c r="A61" t="s">
        <v>36</v>
      </c>
      <c r="B61" s="63">
        <v>4</v>
      </c>
      <c r="C61" t="s">
        <v>13</v>
      </c>
      <c r="D61" s="64">
        <v>2916</v>
      </c>
      <c r="E61" s="64">
        <v>2973</v>
      </c>
      <c r="F61" s="65">
        <v>2973</v>
      </c>
      <c r="G61" s="13">
        <f t="shared" si="0"/>
        <v>0</v>
      </c>
      <c r="H61" s="13">
        <f t="shared" si="1"/>
        <v>57</v>
      </c>
      <c r="I61" s="70">
        <f t="shared" si="2"/>
        <v>1.9547325102880597E-2</v>
      </c>
      <c r="J61" s="70">
        <f t="shared" si="3"/>
        <v>0</v>
      </c>
      <c r="K61" s="82" t="str">
        <f>_xlfn.IFNA(VLOOKUP(CLEAN(SUBSTITUTE(C61," ","")),Ref_Factory!$A:$B,2,FALSE),CLEAN(SUBSTITUTE(C61," ","")))</f>
        <v>KALIBENDA</v>
      </c>
      <c r="L61" s="82" t="str">
        <f t="shared" si="4"/>
        <v>JANUARY-4-KALIBENDA</v>
      </c>
      <c r="M61" s="70">
        <f t="shared" si="5"/>
        <v>0.17649768968488622</v>
      </c>
      <c r="N61" s="70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25">
      <c r="A62" t="s">
        <v>36</v>
      </c>
      <c r="B62" s="63">
        <v>4</v>
      </c>
      <c r="C62" t="s">
        <v>13</v>
      </c>
      <c r="D62" s="64">
        <v>3240</v>
      </c>
      <c r="E62" s="64">
        <v>3303</v>
      </c>
      <c r="F62" s="65">
        <v>3297</v>
      </c>
      <c r="G62" s="13">
        <f t="shared" si="0"/>
        <v>-6</v>
      </c>
      <c r="H62" s="13">
        <f t="shared" si="1"/>
        <v>57</v>
      </c>
      <c r="I62" s="70">
        <f t="shared" si="2"/>
        <v>1.7592592592592604E-2</v>
      </c>
      <c r="J62" s="70">
        <f t="shared" si="3"/>
        <v>-1.8165304268846771E-3</v>
      </c>
      <c r="K62" s="82" t="str">
        <f>_xlfn.IFNA(VLOOKUP(CLEAN(SUBSTITUTE(C62," ","")),Ref_Factory!$A:$B,2,FALSE),CLEAN(SUBSTITUTE(C62," ","")))</f>
        <v>KALIBENDA</v>
      </c>
      <c r="L62" s="82" t="str">
        <f t="shared" si="4"/>
        <v>JANUARY-4-KALIBENDA</v>
      </c>
      <c r="M62" s="70">
        <f t="shared" si="5"/>
        <v>0.17649768968488622</v>
      </c>
      <c r="N62" s="70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25">
      <c r="A63" t="s">
        <v>36</v>
      </c>
      <c r="B63" s="63">
        <v>4</v>
      </c>
      <c r="C63" t="s">
        <v>13</v>
      </c>
      <c r="D63" s="64">
        <v>1080</v>
      </c>
      <c r="E63" s="64">
        <v>1101</v>
      </c>
      <c r="F63" s="65">
        <v>1098</v>
      </c>
      <c r="G63" s="13">
        <f t="shared" si="0"/>
        <v>-3</v>
      </c>
      <c r="H63" s="13">
        <f t="shared" si="1"/>
        <v>18</v>
      </c>
      <c r="I63" s="70">
        <f t="shared" si="2"/>
        <v>1.6666666666666607E-2</v>
      </c>
      <c r="J63" s="70">
        <f t="shared" si="3"/>
        <v>-2.7247956403270157E-3</v>
      </c>
      <c r="K63" s="82" t="str">
        <f>_xlfn.IFNA(VLOOKUP(CLEAN(SUBSTITUTE(C63," ","")),Ref_Factory!$A:$B,2,FALSE),CLEAN(SUBSTITUTE(C63," ","")))</f>
        <v>KALIBENDA</v>
      </c>
      <c r="L63" s="82" t="str">
        <f t="shared" si="4"/>
        <v>JANUARY-4-KALIBENDA</v>
      </c>
      <c r="M63" s="70">
        <f t="shared" si="5"/>
        <v>0.17649768968488622</v>
      </c>
      <c r="N63" s="70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25">
      <c r="A64" t="s">
        <v>36</v>
      </c>
      <c r="B64" s="63">
        <v>4</v>
      </c>
      <c r="C64" t="s">
        <v>13</v>
      </c>
      <c r="D64" s="64">
        <v>9828</v>
      </c>
      <c r="E64" s="64">
        <v>10026</v>
      </c>
      <c r="F64" s="65">
        <v>9993</v>
      </c>
      <c r="G64" s="13">
        <f t="shared" si="0"/>
        <v>-33</v>
      </c>
      <c r="H64" s="13">
        <f t="shared" si="1"/>
        <v>165</v>
      </c>
      <c r="I64" s="70">
        <f t="shared" si="2"/>
        <v>1.6788766788766729E-2</v>
      </c>
      <c r="J64" s="70">
        <f t="shared" si="3"/>
        <v>-3.2914422501496565E-3</v>
      </c>
      <c r="K64" s="82" t="str">
        <f>_xlfn.IFNA(VLOOKUP(CLEAN(SUBSTITUTE(C64," ","")),Ref_Factory!$A:$B,2,FALSE),CLEAN(SUBSTITUTE(C64," ","")))</f>
        <v>KALIBENDA</v>
      </c>
      <c r="L64" s="82" t="str">
        <f t="shared" si="4"/>
        <v>JANUARY-4-KALIBENDA</v>
      </c>
      <c r="M64" s="70">
        <f t="shared" si="5"/>
        <v>0.17649768968488622</v>
      </c>
      <c r="N64" s="70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25">
      <c r="A65" t="s">
        <v>36</v>
      </c>
      <c r="B65" s="63">
        <v>4</v>
      </c>
      <c r="C65" t="s">
        <v>13</v>
      </c>
      <c r="D65" s="64">
        <v>6912</v>
      </c>
      <c r="E65" s="64">
        <v>7050</v>
      </c>
      <c r="F65" s="65">
        <v>7017</v>
      </c>
      <c r="G65" s="13">
        <f t="shared" si="0"/>
        <v>-33</v>
      </c>
      <c r="H65" s="13">
        <f t="shared" si="1"/>
        <v>105</v>
      </c>
      <c r="I65" s="70">
        <f t="shared" si="2"/>
        <v>1.5190972222222321E-2</v>
      </c>
      <c r="J65" s="70">
        <f t="shared" si="3"/>
        <v>-4.6808510638297607E-3</v>
      </c>
      <c r="K65" s="82" t="str">
        <f>_xlfn.IFNA(VLOOKUP(CLEAN(SUBSTITUTE(C65," ","")),Ref_Factory!$A:$B,2,FALSE),CLEAN(SUBSTITUTE(C65," ","")))</f>
        <v>KALIBENDA</v>
      </c>
      <c r="L65" s="82" t="str">
        <f t="shared" si="4"/>
        <v>JANUARY-4-KALIBENDA</v>
      </c>
      <c r="M65" s="70">
        <f t="shared" si="5"/>
        <v>0.17649768968488622</v>
      </c>
      <c r="N65" s="70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25">
      <c r="A66" t="s">
        <v>36</v>
      </c>
      <c r="B66" s="63">
        <v>4</v>
      </c>
      <c r="C66" t="s">
        <v>13</v>
      </c>
      <c r="D66" s="64">
        <v>1080</v>
      </c>
      <c r="E66" s="64">
        <v>1101</v>
      </c>
      <c r="F66" s="65">
        <v>1098</v>
      </c>
      <c r="G66" s="13">
        <f t="shared" ref="G66:G129" si="18">F66-E66</f>
        <v>-3</v>
      </c>
      <c r="H66" s="13">
        <f t="shared" ref="H66:H129" si="19">F66-D66</f>
        <v>18</v>
      </c>
      <c r="I66" s="70">
        <f t="shared" ref="I66:I129" si="20">F66/D66-1</f>
        <v>1.6666666666666607E-2</v>
      </c>
      <c r="J66" s="70">
        <f t="shared" ref="J66:J129" si="21">F66/E66-1</f>
        <v>-2.7247956403270157E-3</v>
      </c>
      <c r="K66" s="82" t="str">
        <f>_xlfn.IFNA(VLOOKUP(CLEAN(SUBSTITUTE(C66," ","")),Ref_Factory!$A:$B,2,FALSE),CLEAN(SUBSTITUTE(C66," ","")))</f>
        <v>KALIBENDA</v>
      </c>
      <c r="L66" s="82" t="str">
        <f t="shared" ref="L66:L129" si="22">A66&amp;"-"&amp;B66&amp;"-"&amp;K66</f>
        <v>JANUARY-4-KALIBENDA</v>
      </c>
      <c r="M66" s="70">
        <f t="shared" ref="M66:M129" si="23">SUMIF($L$2:$L$1420,L66,$I$2:$I$1420)</f>
        <v>0.17649768968488622</v>
      </c>
      <c r="N66" s="70">
        <f t="shared" ref="N66:N129" si="24">SUMIF($L$2:$L$1420,L66,$J$2:$J$1420)</f>
        <v>-2.3863565157408617E-2</v>
      </c>
      <c r="O66" s="13">
        <f t="shared" ref="O66:O129" si="25">SUMIF($A$2:$A$1420,A66,$D$2:$D$1420)</f>
        <v>866754</v>
      </c>
      <c r="P66" s="13">
        <f t="shared" ref="P66:P129" si="26">SUMIF($A$2:$A$1420,A66,$E$2:$E$1420)</f>
        <v>879535</v>
      </c>
      <c r="Q66" s="13">
        <f t="shared" ref="Q66:Q129" si="27">SUMIF($A$2:$A$1420,A66,$F$2:$F$1420)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SUMIF($T$2:$T$1420,T66,$D$2:$D$1420)</f>
        <v>214596</v>
      </c>
      <c r="V66">
        <f t="shared" ref="V66:V129" si="32">SUMIF($T$2:$T$1420,T66,$E$2:$E$1420)</f>
        <v>219638</v>
      </c>
      <c r="W66">
        <f t="shared" ref="W66:W129" si="33">SUMIF($T$2:$T$1420,T66,$F$2:$F$1420)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25">
      <c r="A67" t="s">
        <v>36</v>
      </c>
      <c r="B67" s="63">
        <v>4</v>
      </c>
      <c r="C67" t="s">
        <v>11</v>
      </c>
      <c r="D67" s="64">
        <v>720</v>
      </c>
      <c r="E67" s="64">
        <v>740</v>
      </c>
      <c r="F67" s="65">
        <v>722</v>
      </c>
      <c r="G67" s="13">
        <f t="shared" si="18"/>
        <v>-18</v>
      </c>
      <c r="H67" s="13">
        <f t="shared" si="19"/>
        <v>2</v>
      </c>
      <c r="I67" s="70">
        <f t="shared" si="20"/>
        <v>2.7777777777777679E-3</v>
      </c>
      <c r="J67" s="70">
        <f t="shared" si="21"/>
        <v>-2.4324324324324298E-2</v>
      </c>
      <c r="K67" s="82" t="str">
        <f>_xlfn.IFNA(VLOOKUP(CLEAN(SUBSTITUTE(C67," ","")),Ref_Factory!$A:$B,2,FALSE),CLEAN(SUBSTITUTE(C67," ","")))</f>
        <v>GM1</v>
      </c>
      <c r="L67" s="82" t="str">
        <f t="shared" si="22"/>
        <v>JANUARY-4-GM1</v>
      </c>
      <c r="M67" s="70">
        <f t="shared" si="23"/>
        <v>2.1179757343550598E-2</v>
      </c>
      <c r="N67" s="70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25">
      <c r="A68" t="s">
        <v>36</v>
      </c>
      <c r="B68" s="63">
        <v>4</v>
      </c>
      <c r="C68" t="s">
        <v>11</v>
      </c>
      <c r="D68" s="64">
        <v>1440</v>
      </c>
      <c r="E68" s="64">
        <v>1509</v>
      </c>
      <c r="F68" s="65">
        <v>1440</v>
      </c>
      <c r="G68" s="13">
        <f t="shared" si="18"/>
        <v>-69</v>
      </c>
      <c r="H68" s="13">
        <f t="shared" si="19"/>
        <v>0</v>
      </c>
      <c r="I68" s="70">
        <f t="shared" si="20"/>
        <v>0</v>
      </c>
      <c r="J68" s="70">
        <f t="shared" si="21"/>
        <v>-4.5725646123260466E-2</v>
      </c>
      <c r="K68" s="82" t="str">
        <f>_xlfn.IFNA(VLOOKUP(CLEAN(SUBSTITUTE(C68," ","")),Ref_Factory!$A:$B,2,FALSE),CLEAN(SUBSTITUTE(C68," ","")))</f>
        <v>GM1</v>
      </c>
      <c r="L68" s="82" t="str">
        <f t="shared" si="22"/>
        <v>JANUARY-4-GM1</v>
      </c>
      <c r="M68" s="70">
        <f t="shared" si="23"/>
        <v>2.1179757343550598E-2</v>
      </c>
      <c r="N68" s="70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25">
      <c r="A69" t="s">
        <v>36</v>
      </c>
      <c r="B69" s="63">
        <v>4</v>
      </c>
      <c r="C69" t="s">
        <v>11</v>
      </c>
      <c r="D69" s="64">
        <v>3600</v>
      </c>
      <c r="E69" s="64">
        <v>3605</v>
      </c>
      <c r="F69" s="65">
        <v>3508</v>
      </c>
      <c r="G69" s="13">
        <f t="shared" si="18"/>
        <v>-97</v>
      </c>
      <c r="H69" s="13">
        <f t="shared" si="19"/>
        <v>-92</v>
      </c>
      <c r="I69" s="70">
        <f t="shared" si="20"/>
        <v>-2.5555555555555554E-2</v>
      </c>
      <c r="J69" s="70">
        <f t="shared" si="21"/>
        <v>-2.6907073509015222E-2</v>
      </c>
      <c r="K69" s="82" t="str">
        <f>_xlfn.IFNA(VLOOKUP(CLEAN(SUBSTITUTE(C69," ","")),Ref_Factory!$A:$B,2,FALSE),CLEAN(SUBSTITUTE(C69," ","")))</f>
        <v>GM1</v>
      </c>
      <c r="L69" s="82" t="str">
        <f t="shared" si="22"/>
        <v>JANUARY-4-GM1</v>
      </c>
      <c r="M69" s="70">
        <f t="shared" si="23"/>
        <v>2.1179757343550598E-2</v>
      </c>
      <c r="N69" s="70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25">
      <c r="A70" t="s">
        <v>36</v>
      </c>
      <c r="B70" s="63">
        <v>4</v>
      </c>
      <c r="C70" t="s">
        <v>14</v>
      </c>
      <c r="D70" s="64">
        <v>13284</v>
      </c>
      <c r="E70" s="64">
        <v>13295</v>
      </c>
      <c r="F70" s="65">
        <v>13284</v>
      </c>
      <c r="G70" s="13">
        <f t="shared" si="18"/>
        <v>-11</v>
      </c>
      <c r="H70" s="13">
        <f t="shared" si="19"/>
        <v>0</v>
      </c>
      <c r="I70" s="70">
        <f t="shared" si="20"/>
        <v>0</v>
      </c>
      <c r="J70" s="70">
        <f t="shared" si="21"/>
        <v>-8.2737871380222927E-4</v>
      </c>
      <c r="K70" s="82" t="str">
        <f>_xlfn.IFNA(VLOOKUP(CLEAN(SUBSTITUTE(C70," ","")),Ref_Factory!$A:$B,2,FALSE),CLEAN(SUBSTITUTE(C70," ","")))</f>
        <v>GM2</v>
      </c>
      <c r="L70" s="82" t="str">
        <f t="shared" si="22"/>
        <v>JANUARY-4-GM2</v>
      </c>
      <c r="M70" s="70">
        <f t="shared" si="23"/>
        <v>0.1179952108944553</v>
      </c>
      <c r="N70" s="70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25">
      <c r="A71" t="s">
        <v>36</v>
      </c>
      <c r="B71" s="63">
        <v>4</v>
      </c>
      <c r="C71" t="s">
        <v>14</v>
      </c>
      <c r="D71" s="64">
        <v>1080</v>
      </c>
      <c r="E71" s="64">
        <v>1081</v>
      </c>
      <c r="F71" s="65">
        <v>1080</v>
      </c>
      <c r="G71" s="13">
        <f t="shared" si="18"/>
        <v>-1</v>
      </c>
      <c r="H71" s="13">
        <f t="shared" si="19"/>
        <v>0</v>
      </c>
      <c r="I71" s="70">
        <f t="shared" si="20"/>
        <v>0</v>
      </c>
      <c r="J71" s="70">
        <f t="shared" si="21"/>
        <v>-9.2506938020353591E-4</v>
      </c>
      <c r="K71" s="82" t="str">
        <f>_xlfn.IFNA(VLOOKUP(CLEAN(SUBSTITUTE(C71," ","")),Ref_Factory!$A:$B,2,FALSE),CLEAN(SUBSTITUTE(C71," ","")))</f>
        <v>GM2</v>
      </c>
      <c r="L71" s="82" t="str">
        <f t="shared" si="22"/>
        <v>JANUARY-4-GM2</v>
      </c>
      <c r="M71" s="70">
        <f t="shared" si="23"/>
        <v>0.1179952108944553</v>
      </c>
      <c r="N71" s="70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25">
      <c r="A72" t="s">
        <v>36</v>
      </c>
      <c r="B72" s="63">
        <v>4</v>
      </c>
      <c r="C72" t="s">
        <v>14</v>
      </c>
      <c r="D72" s="64">
        <v>6372</v>
      </c>
      <c r="E72" s="64">
        <v>6381</v>
      </c>
      <c r="F72" s="65">
        <v>6372</v>
      </c>
      <c r="G72" s="13">
        <f t="shared" si="18"/>
        <v>-9</v>
      </c>
      <c r="H72" s="13">
        <f t="shared" si="19"/>
        <v>0</v>
      </c>
      <c r="I72" s="70">
        <f t="shared" si="20"/>
        <v>0</v>
      </c>
      <c r="J72" s="70">
        <f t="shared" si="21"/>
        <v>-1.4104372355430161E-3</v>
      </c>
      <c r="K72" s="82" t="str">
        <f>_xlfn.IFNA(VLOOKUP(CLEAN(SUBSTITUTE(C72," ","")),Ref_Factory!$A:$B,2,FALSE),CLEAN(SUBSTITUTE(C72," ","")))</f>
        <v>GM2</v>
      </c>
      <c r="L72" s="82" t="str">
        <f t="shared" si="22"/>
        <v>JANUARY-4-GM2</v>
      </c>
      <c r="M72" s="70">
        <f t="shared" si="23"/>
        <v>0.1179952108944553</v>
      </c>
      <c r="N72" s="70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25">
      <c r="A73" t="s">
        <v>36</v>
      </c>
      <c r="B73" s="63">
        <v>4</v>
      </c>
      <c r="C73" t="s">
        <v>14</v>
      </c>
      <c r="D73" s="64">
        <v>1080</v>
      </c>
      <c r="E73" s="64">
        <v>1081</v>
      </c>
      <c r="F73" s="65">
        <v>1080</v>
      </c>
      <c r="G73" s="13">
        <f t="shared" si="18"/>
        <v>-1</v>
      </c>
      <c r="H73" s="13">
        <f t="shared" si="19"/>
        <v>0</v>
      </c>
      <c r="I73" s="70">
        <f t="shared" si="20"/>
        <v>0</v>
      </c>
      <c r="J73" s="70">
        <f t="shared" si="21"/>
        <v>-9.2506938020353591E-4</v>
      </c>
      <c r="K73" s="82" t="str">
        <f>_xlfn.IFNA(VLOOKUP(CLEAN(SUBSTITUTE(C73," ","")),Ref_Factory!$A:$B,2,FALSE),CLEAN(SUBSTITUTE(C73," ","")))</f>
        <v>GM2</v>
      </c>
      <c r="L73" s="82" t="str">
        <f t="shared" si="22"/>
        <v>JANUARY-4-GM2</v>
      </c>
      <c r="M73" s="70">
        <f t="shared" si="23"/>
        <v>0.1179952108944553</v>
      </c>
      <c r="N73" s="70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25">
      <c r="A74" t="s">
        <v>36</v>
      </c>
      <c r="B74" s="63">
        <v>4</v>
      </c>
      <c r="C74" t="s">
        <v>14</v>
      </c>
      <c r="D74" s="64">
        <v>9504</v>
      </c>
      <c r="E74" s="64">
        <v>9517</v>
      </c>
      <c r="F74" s="65">
        <v>9504</v>
      </c>
      <c r="G74" s="13">
        <f t="shared" si="18"/>
        <v>-13</v>
      </c>
      <c r="H74" s="13">
        <f t="shared" si="19"/>
        <v>0</v>
      </c>
      <c r="I74" s="70">
        <f t="shared" si="20"/>
        <v>0</v>
      </c>
      <c r="J74" s="70">
        <f t="shared" si="21"/>
        <v>-1.3659766733213896E-3</v>
      </c>
      <c r="K74" s="82" t="str">
        <f>_xlfn.IFNA(VLOOKUP(CLEAN(SUBSTITUTE(C74," ","")),Ref_Factory!$A:$B,2,FALSE),CLEAN(SUBSTITUTE(C74," ","")))</f>
        <v>GM2</v>
      </c>
      <c r="L74" s="82" t="str">
        <f t="shared" si="22"/>
        <v>JANUARY-4-GM2</v>
      </c>
      <c r="M74" s="70">
        <f t="shared" si="23"/>
        <v>0.1179952108944553</v>
      </c>
      <c r="N74" s="70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25">
      <c r="A75" t="s">
        <v>36</v>
      </c>
      <c r="B75" s="63">
        <v>4</v>
      </c>
      <c r="C75" t="s">
        <v>14</v>
      </c>
      <c r="D75" s="64">
        <v>1080</v>
      </c>
      <c r="E75" s="64">
        <v>1080</v>
      </c>
      <c r="F75" s="65">
        <v>1080</v>
      </c>
      <c r="G75" s="13">
        <f t="shared" si="18"/>
        <v>0</v>
      </c>
      <c r="H75" s="13">
        <f t="shared" si="19"/>
        <v>0</v>
      </c>
      <c r="I75" s="70">
        <f t="shared" si="20"/>
        <v>0</v>
      </c>
      <c r="J75" s="70">
        <f t="shared" si="21"/>
        <v>0</v>
      </c>
      <c r="K75" s="82" t="str">
        <f>_xlfn.IFNA(VLOOKUP(CLEAN(SUBSTITUTE(C75," ","")),Ref_Factory!$A:$B,2,FALSE),CLEAN(SUBSTITUTE(C75," ","")))</f>
        <v>GM2</v>
      </c>
      <c r="L75" s="82" t="str">
        <f t="shared" si="22"/>
        <v>JANUARY-4-GM2</v>
      </c>
      <c r="M75" s="70">
        <f t="shared" si="23"/>
        <v>0.1179952108944553</v>
      </c>
      <c r="N75" s="70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25">
      <c r="A76" t="s">
        <v>36</v>
      </c>
      <c r="B76" s="63">
        <v>4</v>
      </c>
      <c r="C76" t="s">
        <v>14</v>
      </c>
      <c r="D76" s="64">
        <v>6372</v>
      </c>
      <c r="E76" s="64">
        <v>6394</v>
      </c>
      <c r="F76" s="65">
        <v>6372</v>
      </c>
      <c r="G76" s="13">
        <f t="shared" si="18"/>
        <v>-22</v>
      </c>
      <c r="H76" s="13">
        <f t="shared" si="19"/>
        <v>0</v>
      </c>
      <c r="I76" s="70">
        <f t="shared" si="20"/>
        <v>0</v>
      </c>
      <c r="J76" s="70">
        <f t="shared" si="21"/>
        <v>-3.4407256803252739E-3</v>
      </c>
      <c r="K76" s="82" t="str">
        <f>_xlfn.IFNA(VLOOKUP(CLEAN(SUBSTITUTE(C76," ","")),Ref_Factory!$A:$B,2,FALSE),CLEAN(SUBSTITUTE(C76," ","")))</f>
        <v>GM2</v>
      </c>
      <c r="L76" s="82" t="str">
        <f t="shared" si="22"/>
        <v>JANUARY-4-GM2</v>
      </c>
      <c r="M76" s="70">
        <f t="shared" si="23"/>
        <v>0.1179952108944553</v>
      </c>
      <c r="N76" s="70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25">
      <c r="A77" t="s">
        <v>36</v>
      </c>
      <c r="B77" s="63">
        <v>4</v>
      </c>
      <c r="C77" t="s">
        <v>14</v>
      </c>
      <c r="D77" s="64">
        <v>1080</v>
      </c>
      <c r="E77" s="64">
        <v>1080</v>
      </c>
      <c r="F77" s="65">
        <v>1080</v>
      </c>
      <c r="G77" s="13">
        <f t="shared" si="18"/>
        <v>0</v>
      </c>
      <c r="H77" s="13">
        <f t="shared" si="19"/>
        <v>0</v>
      </c>
      <c r="I77" s="70">
        <f t="shared" si="20"/>
        <v>0</v>
      </c>
      <c r="J77" s="70">
        <f t="shared" si="21"/>
        <v>0</v>
      </c>
      <c r="K77" s="82" t="str">
        <f>_xlfn.IFNA(VLOOKUP(CLEAN(SUBSTITUTE(C77," ","")),Ref_Factory!$A:$B,2,FALSE),CLEAN(SUBSTITUTE(C77," ","")))</f>
        <v>GM2</v>
      </c>
      <c r="L77" s="82" t="str">
        <f t="shared" si="22"/>
        <v>JANUARY-4-GM2</v>
      </c>
      <c r="M77" s="70">
        <f t="shared" si="23"/>
        <v>0.1179952108944553</v>
      </c>
      <c r="N77" s="70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25">
      <c r="A78" t="s">
        <v>36</v>
      </c>
      <c r="B78" s="63">
        <v>4</v>
      </c>
      <c r="C78" t="s">
        <v>14</v>
      </c>
      <c r="D78" s="64">
        <v>4320</v>
      </c>
      <c r="E78" s="64">
        <v>4341</v>
      </c>
      <c r="F78" s="65">
        <v>4320</v>
      </c>
      <c r="G78" s="13">
        <f t="shared" si="18"/>
        <v>-21</v>
      </c>
      <c r="H78" s="13">
        <f t="shared" si="19"/>
        <v>0</v>
      </c>
      <c r="I78" s="70">
        <f t="shared" si="20"/>
        <v>0</v>
      </c>
      <c r="J78" s="70">
        <f t="shared" si="21"/>
        <v>-4.8375950241880128E-3</v>
      </c>
      <c r="K78" s="82" t="str">
        <f>_xlfn.IFNA(VLOOKUP(CLEAN(SUBSTITUTE(C78," ","")),Ref_Factory!$A:$B,2,FALSE),CLEAN(SUBSTITUTE(C78," ","")))</f>
        <v>GM2</v>
      </c>
      <c r="L78" s="82" t="str">
        <f t="shared" si="22"/>
        <v>JANUARY-4-GM2</v>
      </c>
      <c r="M78" s="70">
        <f t="shared" si="23"/>
        <v>0.1179952108944553</v>
      </c>
      <c r="N78" s="70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25">
      <c r="A79" t="s">
        <v>36</v>
      </c>
      <c r="B79" s="63">
        <v>4</v>
      </c>
      <c r="C79" t="s">
        <v>13</v>
      </c>
      <c r="D79" s="64">
        <v>2160</v>
      </c>
      <c r="E79" s="64">
        <v>2226</v>
      </c>
      <c r="F79" s="65">
        <v>2223</v>
      </c>
      <c r="G79" s="13">
        <f t="shared" si="18"/>
        <v>-3</v>
      </c>
      <c r="H79" s="13">
        <f t="shared" si="19"/>
        <v>63</v>
      </c>
      <c r="I79" s="70">
        <f t="shared" si="20"/>
        <v>2.9166666666666563E-2</v>
      </c>
      <c r="J79" s="70">
        <f t="shared" si="21"/>
        <v>-1.3477088948786742E-3</v>
      </c>
      <c r="K79" s="82" t="str">
        <f>_xlfn.IFNA(VLOOKUP(CLEAN(SUBSTITUTE(C79," ","")),Ref_Factory!$A:$B,2,FALSE),CLEAN(SUBSTITUTE(C79," ","")))</f>
        <v>KALIBENDA</v>
      </c>
      <c r="L79" s="82" t="str">
        <f t="shared" si="22"/>
        <v>JANUARY-4-KALIBENDA</v>
      </c>
      <c r="M79" s="70">
        <f t="shared" si="23"/>
        <v>0.17649768968488622</v>
      </c>
      <c r="N79" s="70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25">
      <c r="A80" t="s">
        <v>36</v>
      </c>
      <c r="B80" s="63">
        <v>4</v>
      </c>
      <c r="C80" t="s">
        <v>11</v>
      </c>
      <c r="D80" s="64">
        <v>9396</v>
      </c>
      <c r="E80" s="64">
        <v>9688</v>
      </c>
      <c r="F80" s="65">
        <v>9672</v>
      </c>
      <c r="G80" s="13">
        <f t="shared" si="18"/>
        <v>-16</v>
      </c>
      <c r="H80" s="13">
        <f t="shared" si="19"/>
        <v>276</v>
      </c>
      <c r="I80" s="70">
        <f t="shared" si="20"/>
        <v>2.9374201787994991E-2</v>
      </c>
      <c r="J80" s="70">
        <f t="shared" si="21"/>
        <v>-1.6515276630884035E-3</v>
      </c>
      <c r="K80" s="82" t="str">
        <f>_xlfn.IFNA(VLOOKUP(CLEAN(SUBSTITUTE(C80," ","")),Ref_Factory!$A:$B,2,FALSE),CLEAN(SUBSTITUTE(C80," ","")))</f>
        <v>GM1</v>
      </c>
      <c r="L80" s="82" t="str">
        <f t="shared" si="22"/>
        <v>JANUARY-4-GM1</v>
      </c>
      <c r="M80" s="70">
        <f t="shared" si="23"/>
        <v>2.1179757343550598E-2</v>
      </c>
      <c r="N80" s="70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25">
      <c r="A81" t="s">
        <v>36</v>
      </c>
      <c r="B81" s="63">
        <v>4</v>
      </c>
      <c r="C81" t="s">
        <v>14</v>
      </c>
      <c r="D81" s="64">
        <v>1440</v>
      </c>
      <c r="E81" s="64">
        <v>1490</v>
      </c>
      <c r="F81" s="65">
        <v>1472</v>
      </c>
      <c r="G81" s="13">
        <f t="shared" si="18"/>
        <v>-18</v>
      </c>
      <c r="H81" s="13">
        <f t="shared" si="19"/>
        <v>32</v>
      </c>
      <c r="I81" s="70">
        <f t="shared" si="20"/>
        <v>2.2222222222222143E-2</v>
      </c>
      <c r="J81" s="70">
        <f t="shared" si="21"/>
        <v>-1.2080536912751683E-2</v>
      </c>
      <c r="K81" s="82" t="str">
        <f>_xlfn.IFNA(VLOOKUP(CLEAN(SUBSTITUTE(C81," ","")),Ref_Factory!$A:$B,2,FALSE),CLEAN(SUBSTITUTE(C81," ","")))</f>
        <v>GM2</v>
      </c>
      <c r="L81" s="82" t="str">
        <f t="shared" si="22"/>
        <v>JANUARY-4-GM2</v>
      </c>
      <c r="M81" s="70">
        <f t="shared" si="23"/>
        <v>0.1179952108944553</v>
      </c>
      <c r="N81" s="70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25">
      <c r="A82" t="s">
        <v>36</v>
      </c>
      <c r="B82" s="63">
        <v>4</v>
      </c>
      <c r="C82" t="s">
        <v>14</v>
      </c>
      <c r="D82" s="64">
        <v>4032</v>
      </c>
      <c r="E82" s="64">
        <v>4147</v>
      </c>
      <c r="F82" s="65">
        <v>4032</v>
      </c>
      <c r="G82" s="13">
        <f t="shared" si="18"/>
        <v>-115</v>
      </c>
      <c r="H82" s="13">
        <f t="shared" si="19"/>
        <v>0</v>
      </c>
      <c r="I82" s="70">
        <f t="shared" si="20"/>
        <v>0</v>
      </c>
      <c r="J82" s="70">
        <f t="shared" si="21"/>
        <v>-2.7730889799855274E-2</v>
      </c>
      <c r="K82" s="82" t="str">
        <f>_xlfn.IFNA(VLOOKUP(CLEAN(SUBSTITUTE(C82," ","")),Ref_Factory!$A:$B,2,FALSE),CLEAN(SUBSTITUTE(C82," ","")))</f>
        <v>GM2</v>
      </c>
      <c r="L82" s="82" t="str">
        <f t="shared" si="22"/>
        <v>JANUARY-4-GM2</v>
      </c>
      <c r="M82" s="70">
        <f t="shared" si="23"/>
        <v>0.1179952108944553</v>
      </c>
      <c r="N82" s="70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25">
      <c r="A83" t="s">
        <v>36</v>
      </c>
      <c r="B83" s="63">
        <v>4</v>
      </c>
      <c r="C83" t="s">
        <v>14</v>
      </c>
      <c r="D83" s="64">
        <v>10512</v>
      </c>
      <c r="E83" s="64">
        <v>10830</v>
      </c>
      <c r="F83" s="65">
        <v>10748</v>
      </c>
      <c r="G83" s="13">
        <f t="shared" si="18"/>
        <v>-82</v>
      </c>
      <c r="H83" s="13">
        <f t="shared" si="19"/>
        <v>236</v>
      </c>
      <c r="I83" s="70">
        <f t="shared" si="20"/>
        <v>2.2450532724505257E-2</v>
      </c>
      <c r="J83" s="70">
        <f t="shared" si="21"/>
        <v>-7.5715604801477321E-3</v>
      </c>
      <c r="K83" s="82" t="str">
        <f>_xlfn.IFNA(VLOOKUP(CLEAN(SUBSTITUTE(C83," ","")),Ref_Factory!$A:$B,2,FALSE),CLEAN(SUBSTITUTE(C83," ","")))</f>
        <v>GM2</v>
      </c>
      <c r="L83" s="82" t="str">
        <f t="shared" si="22"/>
        <v>JANUARY-4-GM2</v>
      </c>
      <c r="M83" s="70">
        <f t="shared" si="23"/>
        <v>0.1179952108944553</v>
      </c>
      <c r="N83" s="70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25">
      <c r="A84" t="s">
        <v>36</v>
      </c>
      <c r="B84" s="63">
        <v>4</v>
      </c>
      <c r="C84" t="s">
        <v>14</v>
      </c>
      <c r="D84" s="64">
        <v>3600</v>
      </c>
      <c r="E84" s="64">
        <v>3720</v>
      </c>
      <c r="F84" s="65">
        <v>3700</v>
      </c>
      <c r="G84" s="13">
        <f t="shared" si="18"/>
        <v>-20</v>
      </c>
      <c r="H84" s="13">
        <f t="shared" si="19"/>
        <v>100</v>
      </c>
      <c r="I84" s="70">
        <f t="shared" si="20"/>
        <v>2.7777777777777679E-2</v>
      </c>
      <c r="J84" s="70">
        <f t="shared" si="21"/>
        <v>-5.3763440860215006E-3</v>
      </c>
      <c r="K84" s="82" t="str">
        <f>_xlfn.IFNA(VLOOKUP(CLEAN(SUBSTITUTE(C84," ","")),Ref_Factory!$A:$B,2,FALSE),CLEAN(SUBSTITUTE(C84," ","")))</f>
        <v>GM2</v>
      </c>
      <c r="L84" s="82" t="str">
        <f t="shared" si="22"/>
        <v>JANUARY-4-GM2</v>
      </c>
      <c r="M84" s="70">
        <f t="shared" si="23"/>
        <v>0.1179952108944553</v>
      </c>
      <c r="N84" s="70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25">
      <c r="A85" t="s">
        <v>36</v>
      </c>
      <c r="B85" s="63">
        <v>4</v>
      </c>
      <c r="C85" t="s">
        <v>14</v>
      </c>
      <c r="D85" s="64">
        <v>10656</v>
      </c>
      <c r="E85" s="64">
        <v>10951</v>
      </c>
      <c r="F85" s="65">
        <v>10712</v>
      </c>
      <c r="G85" s="13">
        <f t="shared" si="18"/>
        <v>-239</v>
      </c>
      <c r="H85" s="13">
        <f t="shared" si="19"/>
        <v>56</v>
      </c>
      <c r="I85" s="70">
        <f t="shared" si="20"/>
        <v>5.2552552552551646E-3</v>
      </c>
      <c r="J85" s="70">
        <f t="shared" si="21"/>
        <v>-2.1824490914071792E-2</v>
      </c>
      <c r="K85" s="82" t="str">
        <f>_xlfn.IFNA(VLOOKUP(CLEAN(SUBSTITUTE(C85," ","")),Ref_Factory!$A:$B,2,FALSE),CLEAN(SUBSTITUTE(C85," ","")))</f>
        <v>GM2</v>
      </c>
      <c r="L85" s="82" t="str">
        <f t="shared" si="22"/>
        <v>JANUARY-4-GM2</v>
      </c>
      <c r="M85" s="70">
        <f t="shared" si="23"/>
        <v>0.1179952108944553</v>
      </c>
      <c r="N85" s="70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25">
      <c r="A86" t="s">
        <v>36</v>
      </c>
      <c r="B86" s="63">
        <v>4</v>
      </c>
      <c r="C86" t="s">
        <v>14</v>
      </c>
      <c r="D86" s="64">
        <v>11664</v>
      </c>
      <c r="E86" s="64">
        <v>11792</v>
      </c>
      <c r="F86" s="65">
        <v>11708</v>
      </c>
      <c r="G86" s="13">
        <f t="shared" si="18"/>
        <v>-84</v>
      </c>
      <c r="H86" s="13">
        <f t="shared" si="19"/>
        <v>44</v>
      </c>
      <c r="I86" s="70">
        <f t="shared" si="20"/>
        <v>3.7722908093278384E-3</v>
      </c>
      <c r="J86" s="70">
        <f t="shared" si="21"/>
        <v>-7.1234735413839845E-3</v>
      </c>
      <c r="K86" s="82" t="str">
        <f>_xlfn.IFNA(VLOOKUP(CLEAN(SUBSTITUTE(C86," ","")),Ref_Factory!$A:$B,2,FALSE),CLEAN(SUBSTITUTE(C86," ","")))</f>
        <v>GM2</v>
      </c>
      <c r="L86" s="82" t="str">
        <f t="shared" si="22"/>
        <v>JANUARY-4-GM2</v>
      </c>
      <c r="M86" s="70">
        <f t="shared" si="23"/>
        <v>0.1179952108944553</v>
      </c>
      <c r="N86" s="70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25">
      <c r="A87" t="s">
        <v>36</v>
      </c>
      <c r="B87" s="63">
        <v>4</v>
      </c>
      <c r="C87" t="s">
        <v>14</v>
      </c>
      <c r="D87" s="64">
        <v>4896</v>
      </c>
      <c r="E87" s="64">
        <v>5022</v>
      </c>
      <c r="F87" s="65">
        <v>4980</v>
      </c>
      <c r="G87" s="13">
        <f t="shared" si="18"/>
        <v>-42</v>
      </c>
      <c r="H87" s="13">
        <f t="shared" si="19"/>
        <v>84</v>
      </c>
      <c r="I87" s="70">
        <f t="shared" si="20"/>
        <v>1.7156862745097978E-2</v>
      </c>
      <c r="J87" s="70">
        <f t="shared" si="21"/>
        <v>-8.3632019115890133E-3</v>
      </c>
      <c r="K87" s="82" t="str">
        <f>_xlfn.IFNA(VLOOKUP(CLEAN(SUBSTITUTE(C87," ","")),Ref_Factory!$A:$B,2,FALSE),CLEAN(SUBSTITUTE(C87," ","")))</f>
        <v>GM2</v>
      </c>
      <c r="L87" s="82" t="str">
        <f t="shared" si="22"/>
        <v>JANUARY-4-GM2</v>
      </c>
      <c r="M87" s="70">
        <f t="shared" si="23"/>
        <v>0.1179952108944553</v>
      </c>
      <c r="N87" s="70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25">
      <c r="A88" t="s">
        <v>36</v>
      </c>
      <c r="B88" s="63">
        <v>4</v>
      </c>
      <c r="C88" t="s">
        <v>14</v>
      </c>
      <c r="D88" s="64">
        <v>3456</v>
      </c>
      <c r="E88" s="64">
        <v>3534</v>
      </c>
      <c r="F88" s="65">
        <v>3504</v>
      </c>
      <c r="G88" s="13">
        <f t="shared" si="18"/>
        <v>-30</v>
      </c>
      <c r="H88" s="13">
        <f t="shared" si="19"/>
        <v>48</v>
      </c>
      <c r="I88" s="70">
        <f t="shared" si="20"/>
        <v>1.388888888888884E-2</v>
      </c>
      <c r="J88" s="70">
        <f t="shared" si="21"/>
        <v>-8.4889643463497144E-3</v>
      </c>
      <c r="K88" s="82" t="str">
        <f>_xlfn.IFNA(VLOOKUP(CLEAN(SUBSTITUTE(C88," ","")),Ref_Factory!$A:$B,2,FALSE),CLEAN(SUBSTITUTE(C88," ","")))</f>
        <v>GM2</v>
      </c>
      <c r="L88" s="82" t="str">
        <f t="shared" si="22"/>
        <v>JANUARY-4-GM2</v>
      </c>
      <c r="M88" s="70">
        <f t="shared" si="23"/>
        <v>0.1179952108944553</v>
      </c>
      <c r="N88" s="70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25">
      <c r="A89" t="s">
        <v>36</v>
      </c>
      <c r="B89" s="63">
        <v>4</v>
      </c>
      <c r="C89" t="s">
        <v>14</v>
      </c>
      <c r="D89" s="64">
        <v>9504</v>
      </c>
      <c r="E89" s="64">
        <v>9718</v>
      </c>
      <c r="F89" s="65">
        <v>9556</v>
      </c>
      <c r="G89" s="13">
        <f t="shared" si="18"/>
        <v>-162</v>
      </c>
      <c r="H89" s="13">
        <f t="shared" si="19"/>
        <v>52</v>
      </c>
      <c r="I89" s="70">
        <f t="shared" si="20"/>
        <v>5.4713804713804048E-3</v>
      </c>
      <c r="J89" s="70">
        <f t="shared" si="21"/>
        <v>-1.6670096727721795E-2</v>
      </c>
      <c r="K89" s="82" t="str">
        <f>_xlfn.IFNA(VLOOKUP(CLEAN(SUBSTITUTE(C89," ","")),Ref_Factory!$A:$B,2,FALSE),CLEAN(SUBSTITUTE(C89," ","")))</f>
        <v>GM2</v>
      </c>
      <c r="L89" s="82" t="str">
        <f t="shared" si="22"/>
        <v>JANUARY-4-GM2</v>
      </c>
      <c r="M89" s="70">
        <f t="shared" si="23"/>
        <v>0.1179952108944553</v>
      </c>
      <c r="N89" s="70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25">
      <c r="A90" t="s">
        <v>36</v>
      </c>
      <c r="B90" s="63">
        <v>4</v>
      </c>
      <c r="C90" t="s">
        <v>11</v>
      </c>
      <c r="D90" s="64">
        <v>400</v>
      </c>
      <c r="E90" s="64">
        <v>402</v>
      </c>
      <c r="F90" s="65">
        <v>400</v>
      </c>
      <c r="G90" s="13">
        <f t="shared" si="18"/>
        <v>-2</v>
      </c>
      <c r="H90" s="13">
        <f t="shared" si="19"/>
        <v>0</v>
      </c>
      <c r="I90" s="70">
        <f t="shared" si="20"/>
        <v>0</v>
      </c>
      <c r="J90" s="70">
        <f t="shared" si="21"/>
        <v>-4.9751243781094301E-3</v>
      </c>
      <c r="K90" s="82" t="str">
        <f>_xlfn.IFNA(VLOOKUP(CLEAN(SUBSTITUTE(C90," ","")),Ref_Factory!$A:$B,2,FALSE),CLEAN(SUBSTITUTE(C90," ","")))</f>
        <v>GM1</v>
      </c>
      <c r="L90" s="82" t="str">
        <f t="shared" si="22"/>
        <v>JANUARY-4-GM1</v>
      </c>
      <c r="M90" s="70">
        <f t="shared" si="23"/>
        <v>2.1179757343550598E-2</v>
      </c>
      <c r="N90" s="70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25">
      <c r="A91" t="s">
        <v>36</v>
      </c>
      <c r="B91" s="63">
        <v>4</v>
      </c>
      <c r="C91" t="s">
        <v>11</v>
      </c>
      <c r="D91" s="64">
        <v>30</v>
      </c>
      <c r="E91" s="64">
        <v>30</v>
      </c>
      <c r="F91" s="65">
        <v>30</v>
      </c>
      <c r="G91" s="13">
        <f t="shared" si="18"/>
        <v>0</v>
      </c>
      <c r="H91" s="13">
        <f t="shared" si="19"/>
        <v>0</v>
      </c>
      <c r="I91" s="70">
        <f t="shared" si="20"/>
        <v>0</v>
      </c>
      <c r="J91" s="70">
        <f t="shared" si="21"/>
        <v>0</v>
      </c>
      <c r="K91" s="82" t="str">
        <f>_xlfn.IFNA(VLOOKUP(CLEAN(SUBSTITUTE(C91," ","")),Ref_Factory!$A:$B,2,FALSE),CLEAN(SUBSTITUTE(C91," ","")))</f>
        <v>GM1</v>
      </c>
      <c r="L91" s="82" t="str">
        <f t="shared" si="22"/>
        <v>JANUARY-4-GM1</v>
      </c>
      <c r="M91" s="70">
        <f t="shared" si="23"/>
        <v>2.1179757343550598E-2</v>
      </c>
      <c r="N91" s="70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25">
      <c r="A92" t="s">
        <v>36</v>
      </c>
      <c r="B92" s="63">
        <v>4</v>
      </c>
      <c r="C92" t="s">
        <v>11</v>
      </c>
      <c r="D92" s="64">
        <v>190</v>
      </c>
      <c r="E92" s="64">
        <v>191</v>
      </c>
      <c r="F92" s="65">
        <v>190</v>
      </c>
      <c r="G92" s="13">
        <f t="shared" si="18"/>
        <v>-1</v>
      </c>
      <c r="H92" s="13">
        <f t="shared" si="19"/>
        <v>0</v>
      </c>
      <c r="I92" s="70">
        <f t="shared" si="20"/>
        <v>0</v>
      </c>
      <c r="J92" s="70">
        <f t="shared" si="21"/>
        <v>-5.2356020942407877E-3</v>
      </c>
      <c r="K92" s="82" t="str">
        <f>_xlfn.IFNA(VLOOKUP(CLEAN(SUBSTITUTE(C92," ","")),Ref_Factory!$A:$B,2,FALSE),CLEAN(SUBSTITUTE(C92," ","")))</f>
        <v>GM1</v>
      </c>
      <c r="L92" s="82" t="str">
        <f t="shared" si="22"/>
        <v>JANUARY-4-GM1</v>
      </c>
      <c r="M92" s="70">
        <f t="shared" si="23"/>
        <v>2.1179757343550598E-2</v>
      </c>
      <c r="N92" s="70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25">
      <c r="A93" t="s">
        <v>36</v>
      </c>
      <c r="B93" s="63">
        <v>4</v>
      </c>
      <c r="C93" t="s">
        <v>11</v>
      </c>
      <c r="D93" s="64">
        <v>310</v>
      </c>
      <c r="E93" s="64">
        <v>310</v>
      </c>
      <c r="F93" s="65">
        <v>310</v>
      </c>
      <c r="G93" s="13">
        <f t="shared" si="18"/>
        <v>0</v>
      </c>
      <c r="H93" s="13">
        <f t="shared" si="19"/>
        <v>0</v>
      </c>
      <c r="I93" s="70">
        <f t="shared" si="20"/>
        <v>0</v>
      </c>
      <c r="J93" s="70">
        <f t="shared" si="21"/>
        <v>0</v>
      </c>
      <c r="K93" s="82" t="str">
        <f>_xlfn.IFNA(VLOOKUP(CLEAN(SUBSTITUTE(C93," ","")),Ref_Factory!$A:$B,2,FALSE),CLEAN(SUBSTITUTE(C93," ","")))</f>
        <v>GM1</v>
      </c>
      <c r="L93" s="82" t="str">
        <f t="shared" si="22"/>
        <v>JANUARY-4-GM1</v>
      </c>
      <c r="M93" s="70">
        <f t="shared" si="23"/>
        <v>2.1179757343550598E-2</v>
      </c>
      <c r="N93" s="70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25">
      <c r="A94" t="s">
        <v>36</v>
      </c>
      <c r="B94" s="63">
        <v>4</v>
      </c>
      <c r="C94" t="s">
        <v>11</v>
      </c>
      <c r="D94" s="64">
        <v>70</v>
      </c>
      <c r="E94" s="64">
        <v>70</v>
      </c>
      <c r="F94" s="65">
        <v>70</v>
      </c>
      <c r="G94" s="13">
        <f t="shared" si="18"/>
        <v>0</v>
      </c>
      <c r="H94" s="13">
        <f t="shared" si="19"/>
        <v>0</v>
      </c>
      <c r="I94" s="70">
        <f t="shared" si="20"/>
        <v>0</v>
      </c>
      <c r="J94" s="70">
        <f t="shared" si="21"/>
        <v>0</v>
      </c>
      <c r="K94" s="82" t="str">
        <f>_xlfn.IFNA(VLOOKUP(CLEAN(SUBSTITUTE(C94," ","")),Ref_Factory!$A:$B,2,FALSE),CLEAN(SUBSTITUTE(C94," ","")))</f>
        <v>GM1</v>
      </c>
      <c r="L94" s="82" t="str">
        <f t="shared" si="22"/>
        <v>JANUARY-4-GM1</v>
      </c>
      <c r="M94" s="70">
        <f t="shared" si="23"/>
        <v>2.1179757343550598E-2</v>
      </c>
      <c r="N94" s="70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25">
      <c r="A95" t="s">
        <v>36</v>
      </c>
      <c r="B95" s="63">
        <v>4</v>
      </c>
      <c r="C95" t="s">
        <v>17</v>
      </c>
      <c r="D95" s="64">
        <v>3770</v>
      </c>
      <c r="E95" s="64">
        <v>3783</v>
      </c>
      <c r="F95" s="65">
        <v>3770</v>
      </c>
      <c r="G95" s="13">
        <f t="shared" si="18"/>
        <v>-13</v>
      </c>
      <c r="H95" s="13">
        <f t="shared" si="19"/>
        <v>0</v>
      </c>
      <c r="I95" s="70">
        <f t="shared" si="20"/>
        <v>0</v>
      </c>
      <c r="J95" s="70">
        <f t="shared" si="21"/>
        <v>-3.4364261168384758E-3</v>
      </c>
      <c r="K95" s="82" t="str">
        <f>_xlfn.IFNA(VLOOKUP(CLEAN(SUBSTITUTE(C95," ","")),Ref_Factory!$A:$B,2,FALSE),CLEAN(SUBSTITUTE(C95," ","")))</f>
        <v>CBA</v>
      </c>
      <c r="L95" s="82" t="str">
        <f t="shared" si="22"/>
        <v>JANUARY-4-CBA</v>
      </c>
      <c r="M95" s="70">
        <f t="shared" si="23"/>
        <v>0</v>
      </c>
      <c r="N95" s="70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25">
      <c r="A96" t="s">
        <v>36</v>
      </c>
      <c r="B96" s="63" t="s">
        <v>65</v>
      </c>
      <c r="C96" t="s">
        <v>10</v>
      </c>
      <c r="D96" s="64">
        <v>980</v>
      </c>
      <c r="E96" s="64">
        <v>986</v>
      </c>
      <c r="F96" s="65">
        <v>980</v>
      </c>
      <c r="G96" s="13">
        <f t="shared" si="18"/>
        <v>-6</v>
      </c>
      <c r="H96" s="13">
        <f t="shared" si="19"/>
        <v>0</v>
      </c>
      <c r="I96" s="70">
        <f t="shared" si="20"/>
        <v>0</v>
      </c>
      <c r="J96" s="70">
        <f t="shared" si="21"/>
        <v>-6.0851926977687487E-3</v>
      </c>
      <c r="K96" s="82" t="str">
        <f>_xlfn.IFNA(VLOOKUP(CLEAN(SUBSTITUTE(C96," ","")),Ref_Factory!$A:$B,2,FALSE),CLEAN(SUBSTITUTE(C96," ","")))</f>
        <v>CNJ2</v>
      </c>
      <c r="L96" s="82" t="str">
        <f t="shared" si="22"/>
        <v>JANUARY-`-CNJ2</v>
      </c>
      <c r="M96" s="70">
        <f t="shared" si="23"/>
        <v>0</v>
      </c>
      <c r="N96" s="70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25">
      <c r="A97" t="s">
        <v>36</v>
      </c>
      <c r="B97" s="63">
        <v>4</v>
      </c>
      <c r="C97" t="s">
        <v>10</v>
      </c>
      <c r="D97" s="64">
        <v>2250</v>
      </c>
      <c r="E97" s="64">
        <v>2264</v>
      </c>
      <c r="F97" s="65">
        <v>2250</v>
      </c>
      <c r="G97" s="13">
        <f t="shared" si="18"/>
        <v>-14</v>
      </c>
      <c r="H97" s="13">
        <f t="shared" si="19"/>
        <v>0</v>
      </c>
      <c r="I97" s="70">
        <f t="shared" si="20"/>
        <v>0</v>
      </c>
      <c r="J97" s="70">
        <f t="shared" si="21"/>
        <v>-6.1837455830389132E-3</v>
      </c>
      <c r="K97" s="82" t="str">
        <f>_xlfn.IFNA(VLOOKUP(CLEAN(SUBSTITUTE(C97," ","")),Ref_Factory!$A:$B,2,FALSE),CLEAN(SUBSTITUTE(C97," ","")))</f>
        <v>CNJ2</v>
      </c>
      <c r="L97" s="82" t="str">
        <f t="shared" si="22"/>
        <v>JANUARY-4-CNJ2</v>
      </c>
      <c r="M97" s="70">
        <f t="shared" si="23"/>
        <v>0</v>
      </c>
      <c r="N97" s="70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25">
      <c r="A98" t="s">
        <v>36</v>
      </c>
      <c r="B98" s="63">
        <v>4</v>
      </c>
      <c r="C98" t="s">
        <v>10</v>
      </c>
      <c r="D98" s="64">
        <v>750</v>
      </c>
      <c r="E98" s="64">
        <v>750</v>
      </c>
      <c r="F98" s="65">
        <v>750</v>
      </c>
      <c r="G98" s="13">
        <f t="shared" si="18"/>
        <v>0</v>
      </c>
      <c r="H98" s="13">
        <f t="shared" si="19"/>
        <v>0</v>
      </c>
      <c r="I98" s="70">
        <f t="shared" si="20"/>
        <v>0</v>
      </c>
      <c r="J98" s="70">
        <f t="shared" si="21"/>
        <v>0</v>
      </c>
      <c r="K98" s="82" t="str">
        <f>_xlfn.IFNA(VLOOKUP(CLEAN(SUBSTITUTE(C98," ","")),Ref_Factory!$A:$B,2,FALSE),CLEAN(SUBSTITUTE(C98," ","")))</f>
        <v>CNJ2</v>
      </c>
      <c r="L98" s="82" t="str">
        <f t="shared" si="22"/>
        <v>JANUARY-4-CNJ2</v>
      </c>
      <c r="M98" s="70">
        <f t="shared" si="23"/>
        <v>0</v>
      </c>
      <c r="N98" s="70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25">
      <c r="A99" t="s">
        <v>36</v>
      </c>
      <c r="B99" s="63">
        <v>4</v>
      </c>
      <c r="C99" t="s">
        <v>10</v>
      </c>
      <c r="D99" s="64">
        <v>520</v>
      </c>
      <c r="E99" s="64">
        <v>520</v>
      </c>
      <c r="F99" s="65">
        <v>520</v>
      </c>
      <c r="G99" s="13">
        <f t="shared" si="18"/>
        <v>0</v>
      </c>
      <c r="H99" s="13">
        <f t="shared" si="19"/>
        <v>0</v>
      </c>
      <c r="I99" s="70">
        <f t="shared" si="20"/>
        <v>0</v>
      </c>
      <c r="J99" s="70">
        <f t="shared" si="21"/>
        <v>0</v>
      </c>
      <c r="K99" s="82" t="str">
        <f>_xlfn.IFNA(VLOOKUP(CLEAN(SUBSTITUTE(C99," ","")),Ref_Factory!$A:$B,2,FALSE),CLEAN(SUBSTITUTE(C99," ","")))</f>
        <v>CNJ2</v>
      </c>
      <c r="L99" s="82" t="str">
        <f t="shared" si="22"/>
        <v>JANUARY-4-CNJ2</v>
      </c>
      <c r="M99" s="70">
        <f t="shared" si="23"/>
        <v>0</v>
      </c>
      <c r="N99" s="70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25">
      <c r="A100" t="s">
        <v>36</v>
      </c>
      <c r="B100" s="63">
        <v>4</v>
      </c>
      <c r="C100" t="s">
        <v>10</v>
      </c>
      <c r="D100" s="64">
        <v>2100</v>
      </c>
      <c r="E100" s="64">
        <v>2121</v>
      </c>
      <c r="F100" s="65">
        <v>2100</v>
      </c>
      <c r="G100" s="13">
        <f t="shared" si="18"/>
        <v>-21</v>
      </c>
      <c r="H100" s="13">
        <f t="shared" si="19"/>
        <v>0</v>
      </c>
      <c r="I100" s="70">
        <f t="shared" si="20"/>
        <v>0</v>
      </c>
      <c r="J100" s="70">
        <f t="shared" si="21"/>
        <v>-9.9009900990099098E-3</v>
      </c>
      <c r="K100" s="82" t="str">
        <f>_xlfn.IFNA(VLOOKUP(CLEAN(SUBSTITUTE(C100," ","")),Ref_Factory!$A:$B,2,FALSE),CLEAN(SUBSTITUTE(C100," ","")))</f>
        <v>CNJ2</v>
      </c>
      <c r="L100" s="82" t="str">
        <f t="shared" si="22"/>
        <v>JANUARY-4-CNJ2</v>
      </c>
      <c r="M100" s="70">
        <f t="shared" si="23"/>
        <v>0</v>
      </c>
      <c r="N100" s="70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25">
      <c r="A101" t="s">
        <v>36</v>
      </c>
      <c r="B101" s="63">
        <v>4</v>
      </c>
      <c r="C101" t="s">
        <v>10</v>
      </c>
      <c r="D101" s="64">
        <v>2000</v>
      </c>
      <c r="E101" s="64">
        <v>2020</v>
      </c>
      <c r="F101" s="65">
        <v>2000</v>
      </c>
      <c r="G101" s="13">
        <f t="shared" si="18"/>
        <v>-20</v>
      </c>
      <c r="H101" s="13">
        <f t="shared" si="19"/>
        <v>0</v>
      </c>
      <c r="I101" s="70">
        <f t="shared" si="20"/>
        <v>0</v>
      </c>
      <c r="J101" s="70">
        <f t="shared" si="21"/>
        <v>-9.9009900990099098E-3</v>
      </c>
      <c r="K101" s="82" t="str">
        <f>_xlfn.IFNA(VLOOKUP(CLEAN(SUBSTITUTE(C101," ","")),Ref_Factory!$A:$B,2,FALSE),CLEAN(SUBSTITUTE(C101," ","")))</f>
        <v>CNJ2</v>
      </c>
      <c r="L101" s="82" t="str">
        <f t="shared" si="22"/>
        <v>JANUARY-4-CNJ2</v>
      </c>
      <c r="M101" s="70">
        <f t="shared" si="23"/>
        <v>0</v>
      </c>
      <c r="N101" s="70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25">
      <c r="A102" t="s">
        <v>36</v>
      </c>
      <c r="B102" s="63">
        <v>4</v>
      </c>
      <c r="C102" t="s">
        <v>17</v>
      </c>
      <c r="D102" s="64">
        <v>1440</v>
      </c>
      <c r="E102" s="64">
        <v>1449</v>
      </c>
      <c r="F102" s="65">
        <v>1440</v>
      </c>
      <c r="G102" s="13">
        <f t="shared" si="18"/>
        <v>-9</v>
      </c>
      <c r="H102" s="13">
        <f t="shared" si="19"/>
        <v>0</v>
      </c>
      <c r="I102" s="70">
        <f t="shared" si="20"/>
        <v>0</v>
      </c>
      <c r="J102" s="70">
        <f t="shared" si="21"/>
        <v>-6.2111801242236142E-3</v>
      </c>
      <c r="K102" s="82" t="str">
        <f>_xlfn.IFNA(VLOOKUP(CLEAN(SUBSTITUTE(C102," ","")),Ref_Factory!$A:$B,2,FALSE),CLEAN(SUBSTITUTE(C102," ","")))</f>
        <v>CBA</v>
      </c>
      <c r="L102" s="82" t="str">
        <f t="shared" si="22"/>
        <v>JANUARY-4-CBA</v>
      </c>
      <c r="M102" s="70">
        <f t="shared" si="23"/>
        <v>0</v>
      </c>
      <c r="N102" s="70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25">
      <c r="A103" t="s">
        <v>36</v>
      </c>
      <c r="B103" s="63">
        <v>4</v>
      </c>
      <c r="C103" t="s">
        <v>10</v>
      </c>
      <c r="D103" s="64">
        <v>3750</v>
      </c>
      <c r="E103" s="64">
        <v>3768</v>
      </c>
      <c r="F103" s="65">
        <v>3750</v>
      </c>
      <c r="G103" s="13">
        <f t="shared" si="18"/>
        <v>-18</v>
      </c>
      <c r="H103" s="13">
        <f t="shared" si="19"/>
        <v>0</v>
      </c>
      <c r="I103" s="70">
        <f t="shared" si="20"/>
        <v>0</v>
      </c>
      <c r="J103" s="70">
        <f t="shared" si="21"/>
        <v>-4.777070063694322E-3</v>
      </c>
      <c r="K103" s="82" t="str">
        <f>_xlfn.IFNA(VLOOKUP(CLEAN(SUBSTITUTE(C103," ","")),Ref_Factory!$A:$B,2,FALSE),CLEAN(SUBSTITUTE(C103," ","")))</f>
        <v>CNJ2</v>
      </c>
      <c r="L103" s="82" t="str">
        <f t="shared" si="22"/>
        <v>JANUARY-4-CNJ2</v>
      </c>
      <c r="M103" s="70">
        <f t="shared" si="23"/>
        <v>0</v>
      </c>
      <c r="N103" s="70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25">
      <c r="A104" t="s">
        <v>36</v>
      </c>
      <c r="B104" s="63">
        <v>4</v>
      </c>
      <c r="C104" t="s">
        <v>10</v>
      </c>
      <c r="D104" s="64">
        <v>403</v>
      </c>
      <c r="E104" s="64">
        <v>405</v>
      </c>
      <c r="F104" s="65">
        <v>403</v>
      </c>
      <c r="G104" s="13">
        <f t="shared" si="18"/>
        <v>-2</v>
      </c>
      <c r="H104" s="13">
        <f t="shared" si="19"/>
        <v>0</v>
      </c>
      <c r="I104" s="70">
        <f t="shared" si="20"/>
        <v>0</v>
      </c>
      <c r="J104" s="70">
        <f t="shared" si="21"/>
        <v>-4.9382716049383157E-3</v>
      </c>
      <c r="K104" s="82" t="str">
        <f>_xlfn.IFNA(VLOOKUP(CLEAN(SUBSTITUTE(C104," ","")),Ref_Factory!$A:$B,2,FALSE),CLEAN(SUBSTITUTE(C104," ","")))</f>
        <v>CNJ2</v>
      </c>
      <c r="L104" s="82" t="str">
        <f t="shared" si="22"/>
        <v>JANUARY-4-CNJ2</v>
      </c>
      <c r="M104" s="70">
        <f t="shared" si="23"/>
        <v>0</v>
      </c>
      <c r="N104" s="70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25">
      <c r="A105" t="s">
        <v>36</v>
      </c>
      <c r="B105" s="63">
        <v>4</v>
      </c>
      <c r="C105" t="s">
        <v>10</v>
      </c>
      <c r="D105" s="64">
        <v>403</v>
      </c>
      <c r="E105" s="64">
        <v>422</v>
      </c>
      <c r="F105" s="65">
        <v>403</v>
      </c>
      <c r="G105" s="13">
        <f t="shared" si="18"/>
        <v>-19</v>
      </c>
      <c r="H105" s="13">
        <f t="shared" si="19"/>
        <v>0</v>
      </c>
      <c r="I105" s="70">
        <f t="shared" si="20"/>
        <v>0</v>
      </c>
      <c r="J105" s="70">
        <f t="shared" si="21"/>
        <v>-4.502369668246442E-2</v>
      </c>
      <c r="K105" s="82" t="str">
        <f>_xlfn.IFNA(VLOOKUP(CLEAN(SUBSTITUTE(C105," ","")),Ref_Factory!$A:$B,2,FALSE),CLEAN(SUBSTITUTE(C105," ","")))</f>
        <v>CNJ2</v>
      </c>
      <c r="L105" s="82" t="str">
        <f t="shared" si="22"/>
        <v>JANUARY-4-CNJ2</v>
      </c>
      <c r="M105" s="70">
        <f t="shared" si="23"/>
        <v>0</v>
      </c>
      <c r="N105" s="70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25">
      <c r="A106" t="s">
        <v>36</v>
      </c>
      <c r="B106" s="63">
        <v>4</v>
      </c>
      <c r="C106" t="s">
        <v>10</v>
      </c>
      <c r="D106" s="64">
        <v>342</v>
      </c>
      <c r="E106" s="64">
        <v>343</v>
      </c>
      <c r="F106" s="65">
        <v>342</v>
      </c>
      <c r="G106" s="13">
        <f t="shared" si="18"/>
        <v>-1</v>
      </c>
      <c r="H106" s="13">
        <f t="shared" si="19"/>
        <v>0</v>
      </c>
      <c r="I106" s="70">
        <f t="shared" si="20"/>
        <v>0</v>
      </c>
      <c r="J106" s="70">
        <f t="shared" si="21"/>
        <v>-2.9154518950437192E-3</v>
      </c>
      <c r="K106" s="82" t="str">
        <f>_xlfn.IFNA(VLOOKUP(CLEAN(SUBSTITUTE(C106," ","")),Ref_Factory!$A:$B,2,FALSE),CLEAN(SUBSTITUTE(C106," ","")))</f>
        <v>CNJ2</v>
      </c>
      <c r="L106" s="82" t="str">
        <f t="shared" si="22"/>
        <v>JANUARY-4-CNJ2</v>
      </c>
      <c r="M106" s="70">
        <f t="shared" si="23"/>
        <v>0</v>
      </c>
      <c r="N106" s="70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25">
      <c r="A107" t="s">
        <v>36</v>
      </c>
      <c r="B107" s="63">
        <v>4</v>
      </c>
      <c r="C107" t="s">
        <v>10</v>
      </c>
      <c r="D107" s="64">
        <v>61</v>
      </c>
      <c r="E107" s="64">
        <v>62</v>
      </c>
      <c r="F107" s="65">
        <v>61</v>
      </c>
      <c r="G107" s="13">
        <f t="shared" si="18"/>
        <v>-1</v>
      </c>
      <c r="H107" s="13">
        <f t="shared" si="19"/>
        <v>0</v>
      </c>
      <c r="I107" s="70">
        <f t="shared" si="20"/>
        <v>0</v>
      </c>
      <c r="J107" s="70">
        <f t="shared" si="21"/>
        <v>-1.6129032258064502E-2</v>
      </c>
      <c r="K107" s="82" t="str">
        <f>_xlfn.IFNA(VLOOKUP(CLEAN(SUBSTITUTE(C107," ","")),Ref_Factory!$A:$B,2,FALSE),CLEAN(SUBSTITUTE(C107," ","")))</f>
        <v>CNJ2</v>
      </c>
      <c r="L107" s="82" t="str">
        <f t="shared" si="22"/>
        <v>JANUARY-4-CNJ2</v>
      </c>
      <c r="M107" s="70">
        <f t="shared" si="23"/>
        <v>0</v>
      </c>
      <c r="N107" s="70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25">
      <c r="A108" t="s">
        <v>36</v>
      </c>
      <c r="B108" s="63">
        <v>4</v>
      </c>
      <c r="C108" t="s">
        <v>17</v>
      </c>
      <c r="D108" s="64">
        <v>1060</v>
      </c>
      <c r="E108" s="64">
        <v>1074</v>
      </c>
      <c r="F108" s="65">
        <v>1060</v>
      </c>
      <c r="G108" s="13">
        <f t="shared" si="18"/>
        <v>-14</v>
      </c>
      <c r="H108" s="13">
        <f t="shared" si="19"/>
        <v>0</v>
      </c>
      <c r="I108" s="70">
        <f t="shared" si="20"/>
        <v>0</v>
      </c>
      <c r="J108" s="70">
        <f t="shared" si="21"/>
        <v>-1.3035381750465591E-2</v>
      </c>
      <c r="K108" s="82" t="str">
        <f>_xlfn.IFNA(VLOOKUP(CLEAN(SUBSTITUTE(C108," ","")),Ref_Factory!$A:$B,2,FALSE),CLEAN(SUBSTITUTE(C108," ","")))</f>
        <v>CBA</v>
      </c>
      <c r="L108" s="82" t="str">
        <f t="shared" si="22"/>
        <v>JANUARY-4-CBA</v>
      </c>
      <c r="M108" s="70">
        <f t="shared" si="23"/>
        <v>0</v>
      </c>
      <c r="N108" s="70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25">
      <c r="A109" s="9" t="s">
        <v>34</v>
      </c>
      <c r="B109" s="63">
        <v>1</v>
      </c>
      <c r="C109" t="s">
        <v>10</v>
      </c>
      <c r="D109" s="65">
        <v>315</v>
      </c>
      <c r="E109" s="65">
        <v>315</v>
      </c>
      <c r="F109" s="65">
        <v>315</v>
      </c>
      <c r="G109" s="13">
        <f t="shared" si="18"/>
        <v>0</v>
      </c>
      <c r="H109" s="13">
        <f t="shared" si="19"/>
        <v>0</v>
      </c>
      <c r="I109" s="70">
        <f t="shared" si="20"/>
        <v>0</v>
      </c>
      <c r="J109" s="70">
        <f t="shared" si="21"/>
        <v>0</v>
      </c>
      <c r="K109" s="82" t="str">
        <f>_xlfn.IFNA(VLOOKUP(CLEAN(SUBSTITUTE(C109," ","")),Ref_Factory!$A:$B,2,FALSE),CLEAN(SUBSTITUTE(C109," ","")))</f>
        <v>CNJ2</v>
      </c>
      <c r="L109" s="82" t="str">
        <f t="shared" si="22"/>
        <v>FEBRUARY-1-CNJ2</v>
      </c>
      <c r="M109" s="70">
        <f t="shared" si="23"/>
        <v>0</v>
      </c>
      <c r="N109" s="70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25">
      <c r="A110" s="9" t="s">
        <v>34</v>
      </c>
      <c r="B110" s="63">
        <v>1</v>
      </c>
      <c r="C110" t="s">
        <v>10</v>
      </c>
      <c r="D110" s="65">
        <v>115</v>
      </c>
      <c r="E110" s="65">
        <v>115</v>
      </c>
      <c r="F110" s="65">
        <v>115</v>
      </c>
      <c r="G110" s="13">
        <f t="shared" si="18"/>
        <v>0</v>
      </c>
      <c r="H110" s="13">
        <f t="shared" si="19"/>
        <v>0</v>
      </c>
      <c r="I110" s="70">
        <f t="shared" si="20"/>
        <v>0</v>
      </c>
      <c r="J110" s="70">
        <f t="shared" si="21"/>
        <v>0</v>
      </c>
      <c r="K110" s="82" t="str">
        <f>_xlfn.IFNA(VLOOKUP(CLEAN(SUBSTITUTE(C110," ","")),Ref_Factory!$A:$B,2,FALSE),CLEAN(SUBSTITUTE(C110," ","")))</f>
        <v>CNJ2</v>
      </c>
      <c r="L110" s="82" t="str">
        <f t="shared" si="22"/>
        <v>FEBRUARY-1-CNJ2</v>
      </c>
      <c r="M110" s="70">
        <f t="shared" si="23"/>
        <v>0</v>
      </c>
      <c r="N110" s="70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25">
      <c r="A111" s="9" t="s">
        <v>34</v>
      </c>
      <c r="B111" s="63">
        <v>1</v>
      </c>
      <c r="C111" t="s">
        <v>16</v>
      </c>
      <c r="D111" s="65">
        <v>67000</v>
      </c>
      <c r="E111" s="65">
        <v>67023</v>
      </c>
      <c r="F111" s="65">
        <v>67000</v>
      </c>
      <c r="G111" s="13">
        <f t="shared" si="18"/>
        <v>-23</v>
      </c>
      <c r="H111" s="13">
        <f t="shared" si="19"/>
        <v>0</v>
      </c>
      <c r="I111" s="70">
        <f t="shared" si="20"/>
        <v>0</v>
      </c>
      <c r="J111" s="70">
        <f t="shared" si="21"/>
        <v>-3.4316577891169153E-4</v>
      </c>
      <c r="K111" s="82" t="str">
        <f>_xlfn.IFNA(VLOOKUP(CLEAN(SUBSTITUTE(C111," ","")),Ref_Factory!$A:$B,2,FALSE),CLEAN(SUBSTITUTE(C111," ","")))</f>
        <v>ANUGERAH</v>
      </c>
      <c r="L111" s="82" t="str">
        <f t="shared" si="22"/>
        <v>FEBRUARY-1-ANUGERAH</v>
      </c>
      <c r="M111" s="70">
        <f t="shared" si="23"/>
        <v>-7.0585494505494339E-2</v>
      </c>
      <c r="N111" s="70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25">
      <c r="A112" s="9" t="s">
        <v>34</v>
      </c>
      <c r="B112" s="63">
        <v>1</v>
      </c>
      <c r="C112" t="s">
        <v>16</v>
      </c>
      <c r="D112" s="65">
        <v>30000</v>
      </c>
      <c r="E112" s="65">
        <v>29526</v>
      </c>
      <c r="F112" s="65">
        <v>28963</v>
      </c>
      <c r="G112" s="13">
        <f t="shared" si="18"/>
        <v>-563</v>
      </c>
      <c r="H112" s="13">
        <f t="shared" si="19"/>
        <v>-1037</v>
      </c>
      <c r="I112" s="70">
        <f t="shared" si="20"/>
        <v>-3.4566666666666634E-2</v>
      </c>
      <c r="J112" s="70">
        <f t="shared" si="21"/>
        <v>-1.9067940120571669E-2</v>
      </c>
      <c r="K112" s="82" t="str">
        <f>_xlfn.IFNA(VLOOKUP(CLEAN(SUBSTITUTE(C112," ","")),Ref_Factory!$A:$B,2,FALSE),CLEAN(SUBSTITUTE(C112," ","")))</f>
        <v>ANUGERAH</v>
      </c>
      <c r="L112" s="82" t="str">
        <f t="shared" si="22"/>
        <v>FEBRUARY-1-ANUGERAH</v>
      </c>
      <c r="M112" s="70">
        <f t="shared" si="23"/>
        <v>-7.0585494505494339E-2</v>
      </c>
      <c r="N112" s="70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25">
      <c r="A113" s="9" t="s">
        <v>34</v>
      </c>
      <c r="B113" s="63">
        <v>1</v>
      </c>
      <c r="C113" t="s">
        <v>16</v>
      </c>
      <c r="D113" s="65">
        <v>25000</v>
      </c>
      <c r="E113" s="65">
        <v>25065</v>
      </c>
      <c r="F113" s="65">
        <v>24932</v>
      </c>
      <c r="G113" s="13">
        <f t="shared" si="18"/>
        <v>-133</v>
      </c>
      <c r="H113" s="13">
        <f t="shared" si="19"/>
        <v>-68</v>
      </c>
      <c r="I113" s="70">
        <f t="shared" si="20"/>
        <v>-2.7199999999999447E-3</v>
      </c>
      <c r="J113" s="70">
        <f t="shared" si="21"/>
        <v>-5.3062038699381864E-3</v>
      </c>
      <c r="K113" s="82" t="str">
        <f>_xlfn.IFNA(VLOOKUP(CLEAN(SUBSTITUTE(C113," ","")),Ref_Factory!$A:$B,2,FALSE),CLEAN(SUBSTITUTE(C113," ","")))</f>
        <v>ANUGERAH</v>
      </c>
      <c r="L113" s="82" t="str">
        <f t="shared" si="22"/>
        <v>FEBRUARY-1-ANUGERAH</v>
      </c>
      <c r="M113" s="70">
        <f t="shared" si="23"/>
        <v>-7.0585494505494339E-2</v>
      </c>
      <c r="N113" s="70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25">
      <c r="A114" s="9" t="s">
        <v>34</v>
      </c>
      <c r="B114" s="63">
        <v>1</v>
      </c>
      <c r="C114" t="s">
        <v>16</v>
      </c>
      <c r="D114" s="65">
        <v>25000</v>
      </c>
      <c r="E114" s="65">
        <v>25000</v>
      </c>
      <c r="F114" s="65">
        <v>24756</v>
      </c>
      <c r="G114" s="13">
        <f t="shared" si="18"/>
        <v>-244</v>
      </c>
      <c r="H114" s="13">
        <f t="shared" si="19"/>
        <v>-244</v>
      </c>
      <c r="I114" s="70">
        <f t="shared" si="20"/>
        <v>-9.7599999999999909E-3</v>
      </c>
      <c r="J114" s="70">
        <f t="shared" si="21"/>
        <v>-9.7599999999999909E-3</v>
      </c>
      <c r="K114" s="82" t="str">
        <f>_xlfn.IFNA(VLOOKUP(CLEAN(SUBSTITUTE(C114," ","")),Ref_Factory!$A:$B,2,FALSE),CLEAN(SUBSTITUTE(C114," ","")))</f>
        <v>ANUGERAH</v>
      </c>
      <c r="L114" s="82" t="str">
        <f t="shared" si="22"/>
        <v>FEBRUARY-1-ANUGERAH</v>
      </c>
      <c r="M114" s="70">
        <f t="shared" si="23"/>
        <v>-7.0585494505494339E-2</v>
      </c>
      <c r="N114" s="70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25">
      <c r="A115" s="9" t="s">
        <v>34</v>
      </c>
      <c r="B115" s="63">
        <v>1</v>
      </c>
      <c r="C115" t="s">
        <v>16</v>
      </c>
      <c r="D115" s="65">
        <v>14000</v>
      </c>
      <c r="E115" s="65">
        <v>13864</v>
      </c>
      <c r="F115" s="65">
        <v>13735</v>
      </c>
      <c r="G115" s="13">
        <f t="shared" si="18"/>
        <v>-129</v>
      </c>
      <c r="H115" s="13">
        <f t="shared" si="19"/>
        <v>-265</v>
      </c>
      <c r="I115" s="70">
        <f t="shared" si="20"/>
        <v>-1.8928571428571406E-2</v>
      </c>
      <c r="J115" s="70">
        <f t="shared" si="21"/>
        <v>-9.3046739757646213E-3</v>
      </c>
      <c r="K115" s="82" t="str">
        <f>_xlfn.IFNA(VLOOKUP(CLEAN(SUBSTITUTE(C115," ","")),Ref_Factory!$A:$B,2,FALSE),CLEAN(SUBSTITUTE(C115," ","")))</f>
        <v>ANUGERAH</v>
      </c>
      <c r="L115" s="82" t="str">
        <f t="shared" si="22"/>
        <v>FEBRUARY-1-ANUGERAH</v>
      </c>
      <c r="M115" s="70">
        <f t="shared" si="23"/>
        <v>-7.0585494505494339E-2</v>
      </c>
      <c r="N115" s="70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25">
      <c r="A116" s="9" t="s">
        <v>34</v>
      </c>
      <c r="B116" s="63">
        <v>1</v>
      </c>
      <c r="C116" t="s">
        <v>16</v>
      </c>
      <c r="D116" s="65">
        <v>19500</v>
      </c>
      <c r="E116" s="65">
        <v>19522</v>
      </c>
      <c r="F116" s="65">
        <v>19492</v>
      </c>
      <c r="G116" s="13">
        <f t="shared" si="18"/>
        <v>-30</v>
      </c>
      <c r="H116" s="13">
        <f t="shared" si="19"/>
        <v>-8</v>
      </c>
      <c r="I116" s="70">
        <f t="shared" si="20"/>
        <v>-4.1025641025638215E-4</v>
      </c>
      <c r="J116" s="70">
        <f t="shared" si="21"/>
        <v>-1.5367277942833768E-3</v>
      </c>
      <c r="K116" s="82" t="str">
        <f>_xlfn.IFNA(VLOOKUP(CLEAN(SUBSTITUTE(C116," ","")),Ref_Factory!$A:$B,2,FALSE),CLEAN(SUBSTITUTE(C116," ","")))</f>
        <v>ANUGERAH</v>
      </c>
      <c r="L116" s="82" t="str">
        <f t="shared" si="22"/>
        <v>FEBRUARY-1-ANUGERAH</v>
      </c>
      <c r="M116" s="70">
        <f t="shared" si="23"/>
        <v>-7.0585494505494339E-2</v>
      </c>
      <c r="N116" s="70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25">
      <c r="A117" s="9" t="s">
        <v>34</v>
      </c>
      <c r="B117" s="63">
        <v>1</v>
      </c>
      <c r="C117" t="s">
        <v>16</v>
      </c>
      <c r="D117" s="65">
        <v>15000</v>
      </c>
      <c r="E117" s="65">
        <v>15000</v>
      </c>
      <c r="F117" s="65">
        <v>14937</v>
      </c>
      <c r="G117" s="13">
        <f t="shared" si="18"/>
        <v>-63</v>
      </c>
      <c r="H117" s="13">
        <f t="shared" si="19"/>
        <v>-63</v>
      </c>
      <c r="I117" s="70">
        <f t="shared" si="20"/>
        <v>-4.1999999999999815E-3</v>
      </c>
      <c r="J117" s="70">
        <f t="shared" si="21"/>
        <v>-4.1999999999999815E-3</v>
      </c>
      <c r="K117" s="82" t="str">
        <f>_xlfn.IFNA(VLOOKUP(CLEAN(SUBSTITUTE(C117," ","")),Ref_Factory!$A:$B,2,FALSE),CLEAN(SUBSTITUTE(C117," ","")))</f>
        <v>ANUGERAH</v>
      </c>
      <c r="L117" s="82" t="str">
        <f t="shared" si="22"/>
        <v>FEBRUARY-1-ANUGERAH</v>
      </c>
      <c r="M117" s="70">
        <f t="shared" si="23"/>
        <v>-7.0585494505494339E-2</v>
      </c>
      <c r="N117" s="70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25">
      <c r="A118" s="9" t="s">
        <v>34</v>
      </c>
      <c r="B118" s="63">
        <v>1</v>
      </c>
      <c r="C118" t="s">
        <v>11</v>
      </c>
      <c r="D118" s="65">
        <v>760</v>
      </c>
      <c r="E118" s="65">
        <v>760</v>
      </c>
      <c r="F118" s="65">
        <v>760</v>
      </c>
      <c r="G118" s="13">
        <f t="shared" si="18"/>
        <v>0</v>
      </c>
      <c r="H118" s="13">
        <f t="shared" si="19"/>
        <v>0</v>
      </c>
      <c r="I118" s="70">
        <f t="shared" si="20"/>
        <v>0</v>
      </c>
      <c r="J118" s="70">
        <f t="shared" si="21"/>
        <v>0</v>
      </c>
      <c r="K118" s="82" t="str">
        <f>_xlfn.IFNA(VLOOKUP(CLEAN(SUBSTITUTE(C118," ","")),Ref_Factory!$A:$B,2,FALSE),CLEAN(SUBSTITUTE(C118," ","")))</f>
        <v>GM1</v>
      </c>
      <c r="L118" s="82" t="str">
        <f t="shared" si="22"/>
        <v>FEBRUARY-1-GM1</v>
      </c>
      <c r="M118" s="70">
        <f t="shared" si="23"/>
        <v>0</v>
      </c>
      <c r="N118" s="70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25">
      <c r="A119" s="9" t="s">
        <v>34</v>
      </c>
      <c r="B119" s="63">
        <v>1</v>
      </c>
      <c r="C119" t="s">
        <v>11</v>
      </c>
      <c r="D119" s="65">
        <v>449</v>
      </c>
      <c r="E119" s="65">
        <v>449</v>
      </c>
      <c r="F119" s="65">
        <v>449</v>
      </c>
      <c r="G119" s="13">
        <f t="shared" si="18"/>
        <v>0</v>
      </c>
      <c r="H119" s="13">
        <f t="shared" si="19"/>
        <v>0</v>
      </c>
      <c r="I119" s="70">
        <f t="shared" si="20"/>
        <v>0</v>
      </c>
      <c r="J119" s="70">
        <f t="shared" si="21"/>
        <v>0</v>
      </c>
      <c r="K119" s="82" t="str">
        <f>_xlfn.IFNA(VLOOKUP(CLEAN(SUBSTITUTE(C119," ","")),Ref_Factory!$A:$B,2,FALSE),CLEAN(SUBSTITUTE(C119," ","")))</f>
        <v>GM1</v>
      </c>
      <c r="L119" s="82" t="str">
        <f t="shared" si="22"/>
        <v>FEBRUARY-1-GM1</v>
      </c>
      <c r="M119" s="70">
        <f t="shared" si="23"/>
        <v>0</v>
      </c>
      <c r="N119" s="70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25">
      <c r="A120" s="9" t="s">
        <v>34</v>
      </c>
      <c r="B120" s="63">
        <v>1</v>
      </c>
      <c r="C120" t="s">
        <v>11</v>
      </c>
      <c r="D120" s="65">
        <v>190</v>
      </c>
      <c r="E120" s="65">
        <v>191</v>
      </c>
      <c r="F120" s="65">
        <v>190</v>
      </c>
      <c r="G120" s="13">
        <f t="shared" si="18"/>
        <v>-1</v>
      </c>
      <c r="H120" s="13">
        <f t="shared" si="19"/>
        <v>0</v>
      </c>
      <c r="I120" s="70">
        <f t="shared" si="20"/>
        <v>0</v>
      </c>
      <c r="J120" s="70">
        <f t="shared" si="21"/>
        <v>-5.2356020942407877E-3</v>
      </c>
      <c r="K120" s="82" t="str">
        <f>_xlfn.IFNA(VLOOKUP(CLEAN(SUBSTITUTE(C120," ","")),Ref_Factory!$A:$B,2,FALSE),CLEAN(SUBSTITUTE(C120," ","")))</f>
        <v>GM1</v>
      </c>
      <c r="L120" s="82" t="str">
        <f t="shared" si="22"/>
        <v>FEBRUARY-1-GM1</v>
      </c>
      <c r="M120" s="70">
        <f t="shared" si="23"/>
        <v>0</v>
      </c>
      <c r="N120" s="70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25">
      <c r="A121" s="9" t="s">
        <v>34</v>
      </c>
      <c r="B121" s="63">
        <v>1</v>
      </c>
      <c r="C121" t="s">
        <v>11</v>
      </c>
      <c r="D121" s="65">
        <v>30</v>
      </c>
      <c r="E121" s="65">
        <v>30</v>
      </c>
      <c r="F121" s="65">
        <v>30</v>
      </c>
      <c r="G121" s="13">
        <f t="shared" si="18"/>
        <v>0</v>
      </c>
      <c r="H121" s="13">
        <f t="shared" si="19"/>
        <v>0</v>
      </c>
      <c r="I121" s="70">
        <f t="shared" si="20"/>
        <v>0</v>
      </c>
      <c r="J121" s="70">
        <f t="shared" si="21"/>
        <v>0</v>
      </c>
      <c r="K121" s="82" t="str">
        <f>_xlfn.IFNA(VLOOKUP(CLEAN(SUBSTITUTE(C121," ","")),Ref_Factory!$A:$B,2,FALSE),CLEAN(SUBSTITUTE(C121," ","")))</f>
        <v>GM1</v>
      </c>
      <c r="L121" s="82" t="str">
        <f t="shared" si="22"/>
        <v>FEBRUARY-1-GM1</v>
      </c>
      <c r="M121" s="70">
        <f t="shared" si="23"/>
        <v>0</v>
      </c>
      <c r="N121" s="70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25">
      <c r="A122" s="9" t="s">
        <v>34</v>
      </c>
      <c r="B122" s="63">
        <v>1</v>
      </c>
      <c r="C122" t="s">
        <v>11</v>
      </c>
      <c r="D122" s="65">
        <v>70</v>
      </c>
      <c r="E122" s="65">
        <v>70</v>
      </c>
      <c r="F122" s="65">
        <v>70</v>
      </c>
      <c r="G122" s="13">
        <f t="shared" si="18"/>
        <v>0</v>
      </c>
      <c r="H122" s="13">
        <f t="shared" si="19"/>
        <v>0</v>
      </c>
      <c r="I122" s="70">
        <f t="shared" si="20"/>
        <v>0</v>
      </c>
      <c r="J122" s="70">
        <f t="shared" si="21"/>
        <v>0</v>
      </c>
      <c r="K122" s="82" t="str">
        <f>_xlfn.IFNA(VLOOKUP(CLEAN(SUBSTITUTE(C122," ","")),Ref_Factory!$A:$B,2,FALSE),CLEAN(SUBSTITUTE(C122," ","")))</f>
        <v>GM1</v>
      </c>
      <c r="L122" s="82" t="str">
        <f t="shared" si="22"/>
        <v>FEBRUARY-1-GM1</v>
      </c>
      <c r="M122" s="70">
        <f t="shared" si="23"/>
        <v>0</v>
      </c>
      <c r="N122" s="70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25">
      <c r="A123" s="9" t="s">
        <v>34</v>
      </c>
      <c r="B123" s="63">
        <v>1</v>
      </c>
      <c r="C123" t="s">
        <v>11</v>
      </c>
      <c r="D123" s="65">
        <v>310</v>
      </c>
      <c r="E123" s="65">
        <v>310</v>
      </c>
      <c r="F123" s="65">
        <v>310</v>
      </c>
      <c r="G123" s="13">
        <f t="shared" si="18"/>
        <v>0</v>
      </c>
      <c r="H123" s="13">
        <f t="shared" si="19"/>
        <v>0</v>
      </c>
      <c r="I123" s="70">
        <f t="shared" si="20"/>
        <v>0</v>
      </c>
      <c r="J123" s="70">
        <f t="shared" si="21"/>
        <v>0</v>
      </c>
      <c r="K123" s="82" t="str">
        <f>_xlfn.IFNA(VLOOKUP(CLEAN(SUBSTITUTE(C123," ","")),Ref_Factory!$A:$B,2,FALSE),CLEAN(SUBSTITUTE(C123," ","")))</f>
        <v>GM1</v>
      </c>
      <c r="L123" s="82" t="str">
        <f t="shared" si="22"/>
        <v>FEBRUARY-1-GM1</v>
      </c>
      <c r="M123" s="70">
        <f t="shared" si="23"/>
        <v>0</v>
      </c>
      <c r="N123" s="70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25">
      <c r="A124" s="9" t="s">
        <v>34</v>
      </c>
      <c r="B124" s="63">
        <v>1</v>
      </c>
      <c r="C124" t="s">
        <v>17</v>
      </c>
      <c r="D124" s="65">
        <v>3020</v>
      </c>
      <c r="E124" s="65">
        <v>3052</v>
      </c>
      <c r="F124" s="65">
        <v>3042</v>
      </c>
      <c r="G124" s="13">
        <f t="shared" si="18"/>
        <v>-10</v>
      </c>
      <c r="H124" s="13">
        <f t="shared" si="19"/>
        <v>22</v>
      </c>
      <c r="I124" s="70">
        <f t="shared" si="20"/>
        <v>7.2847682119205892E-3</v>
      </c>
      <c r="J124" s="70">
        <f t="shared" si="21"/>
        <v>-3.2765399737876288E-3</v>
      </c>
      <c r="K124" s="82" t="str">
        <f>_xlfn.IFNA(VLOOKUP(CLEAN(SUBSTITUTE(C124," ","")),Ref_Factory!$A:$B,2,FALSE),CLEAN(SUBSTITUTE(C124," ","")))</f>
        <v>CBA</v>
      </c>
      <c r="L124" s="82" t="str">
        <f t="shared" si="22"/>
        <v>FEBRUARY-1-CBA</v>
      </c>
      <c r="M124" s="70">
        <f t="shared" si="23"/>
        <v>7.2847682119205892E-3</v>
      </c>
      <c r="N124" s="70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25">
      <c r="A125" s="9" t="s">
        <v>34</v>
      </c>
      <c r="B125" s="63">
        <v>2</v>
      </c>
      <c r="C125" t="s">
        <v>10</v>
      </c>
      <c r="D125" s="65">
        <v>9925</v>
      </c>
      <c r="E125" s="65">
        <v>10220</v>
      </c>
      <c r="F125" s="65">
        <v>9925</v>
      </c>
      <c r="G125" s="13">
        <f t="shared" si="18"/>
        <v>-295</v>
      </c>
      <c r="H125" s="13">
        <f t="shared" si="19"/>
        <v>0</v>
      </c>
      <c r="I125" s="70">
        <f t="shared" si="20"/>
        <v>0</v>
      </c>
      <c r="J125" s="70">
        <f t="shared" si="21"/>
        <v>-2.886497064579252E-2</v>
      </c>
      <c r="K125" s="82" t="str">
        <f>_xlfn.IFNA(VLOOKUP(CLEAN(SUBSTITUTE(C125," ","")),Ref_Factory!$A:$B,2,FALSE),CLEAN(SUBSTITUTE(C125," ","")))</f>
        <v>CNJ2</v>
      </c>
      <c r="L125" s="82" t="str">
        <f t="shared" si="22"/>
        <v>FEBRUARY-2-CNJ2</v>
      </c>
      <c r="M125" s="70">
        <f t="shared" si="23"/>
        <v>0</v>
      </c>
      <c r="N125" s="70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25">
      <c r="A126" s="9" t="s">
        <v>34</v>
      </c>
      <c r="B126" s="63">
        <v>2</v>
      </c>
      <c r="C126" t="s">
        <v>10</v>
      </c>
      <c r="D126" s="65">
        <v>1065</v>
      </c>
      <c r="E126" s="65">
        <v>1065</v>
      </c>
      <c r="F126" s="65">
        <v>1065</v>
      </c>
      <c r="G126" s="13">
        <f t="shared" si="18"/>
        <v>0</v>
      </c>
      <c r="H126" s="13">
        <f t="shared" si="19"/>
        <v>0</v>
      </c>
      <c r="I126" s="70">
        <f t="shared" si="20"/>
        <v>0</v>
      </c>
      <c r="J126" s="70">
        <f t="shared" si="21"/>
        <v>0</v>
      </c>
      <c r="K126" s="82" t="str">
        <f>_xlfn.IFNA(VLOOKUP(CLEAN(SUBSTITUTE(C126," ","")),Ref_Factory!$A:$B,2,FALSE),CLEAN(SUBSTITUTE(C126," ","")))</f>
        <v>CNJ2</v>
      </c>
      <c r="L126" s="82" t="str">
        <f t="shared" si="22"/>
        <v>FEBRUARY-2-CNJ2</v>
      </c>
      <c r="M126" s="70">
        <f t="shared" si="23"/>
        <v>0</v>
      </c>
      <c r="N126" s="70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25">
      <c r="A127" s="9" t="s">
        <v>34</v>
      </c>
      <c r="B127" s="63">
        <v>2</v>
      </c>
      <c r="C127" t="s">
        <v>11</v>
      </c>
      <c r="D127" s="65">
        <v>1250</v>
      </c>
      <c r="E127" s="65">
        <v>1250</v>
      </c>
      <c r="F127" s="65">
        <v>1250</v>
      </c>
      <c r="G127" s="13">
        <f t="shared" si="18"/>
        <v>0</v>
      </c>
      <c r="H127" s="13">
        <f t="shared" si="19"/>
        <v>0</v>
      </c>
      <c r="I127" s="70">
        <f t="shared" si="20"/>
        <v>0</v>
      </c>
      <c r="J127" s="70">
        <f t="shared" si="21"/>
        <v>0</v>
      </c>
      <c r="K127" s="82" t="str">
        <f>_xlfn.IFNA(VLOOKUP(CLEAN(SUBSTITUTE(C127," ","")),Ref_Factory!$A:$B,2,FALSE),CLEAN(SUBSTITUTE(C127," ","")))</f>
        <v>GM1</v>
      </c>
      <c r="L127" s="82" t="str">
        <f t="shared" si="22"/>
        <v>FEBRUARY-2-GM1</v>
      </c>
      <c r="M127" s="70">
        <f t="shared" si="23"/>
        <v>-1.4115067350108701E-2</v>
      </c>
      <c r="N127" s="70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25">
      <c r="A128" s="9" t="s">
        <v>34</v>
      </c>
      <c r="B128" s="63">
        <v>2</v>
      </c>
      <c r="C128" t="s">
        <v>11</v>
      </c>
      <c r="D128" s="65">
        <v>2600</v>
      </c>
      <c r="E128" s="65">
        <v>2628</v>
      </c>
      <c r="F128" s="65">
        <v>2563</v>
      </c>
      <c r="G128" s="13">
        <f t="shared" si="18"/>
        <v>-65</v>
      </c>
      <c r="H128" s="13">
        <f t="shared" si="19"/>
        <v>-37</v>
      </c>
      <c r="I128" s="70">
        <f t="shared" si="20"/>
        <v>-1.4230769230769269E-2</v>
      </c>
      <c r="J128" s="70">
        <f t="shared" si="21"/>
        <v>-2.473363774733639E-2</v>
      </c>
      <c r="K128" s="82" t="str">
        <f>_xlfn.IFNA(VLOOKUP(CLEAN(SUBSTITUTE(C128," ","")),Ref_Factory!$A:$B,2,FALSE),CLEAN(SUBSTITUTE(C128," ","")))</f>
        <v>GM1</v>
      </c>
      <c r="L128" s="82" t="str">
        <f t="shared" si="22"/>
        <v>FEBRUARY-2-GM1</v>
      </c>
      <c r="M128" s="70">
        <f t="shared" si="23"/>
        <v>-1.4115067350108701E-2</v>
      </c>
      <c r="N128" s="70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25">
      <c r="A129" s="9" t="s">
        <v>34</v>
      </c>
      <c r="B129" s="63">
        <v>2</v>
      </c>
      <c r="C129" t="s">
        <v>11</v>
      </c>
      <c r="D129" s="65">
        <v>1030</v>
      </c>
      <c r="E129" s="65">
        <v>1042</v>
      </c>
      <c r="F129" s="65">
        <v>1033</v>
      </c>
      <c r="G129" s="13">
        <f t="shared" si="18"/>
        <v>-9</v>
      </c>
      <c r="H129" s="13">
        <f t="shared" si="19"/>
        <v>3</v>
      </c>
      <c r="I129" s="70">
        <f t="shared" si="20"/>
        <v>2.9126213592232109E-3</v>
      </c>
      <c r="J129" s="70">
        <f t="shared" si="21"/>
        <v>-8.6372360844529927E-3</v>
      </c>
      <c r="K129" s="82" t="str">
        <f>_xlfn.IFNA(VLOOKUP(CLEAN(SUBSTITUTE(C129," ","")),Ref_Factory!$A:$B,2,FALSE),CLEAN(SUBSTITUTE(C129," ","")))</f>
        <v>GM1</v>
      </c>
      <c r="L129" s="82" t="str">
        <f t="shared" si="22"/>
        <v>FEBRUARY-2-GM1</v>
      </c>
      <c r="M129" s="70">
        <f t="shared" si="23"/>
        <v>-1.4115067350108701E-2</v>
      </c>
      <c r="N129" s="70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25">
      <c r="A130" s="9" t="s">
        <v>34</v>
      </c>
      <c r="B130" s="63">
        <v>2</v>
      </c>
      <c r="C130" t="s">
        <v>11</v>
      </c>
      <c r="D130" s="65">
        <v>1140</v>
      </c>
      <c r="E130" s="65">
        <v>1151</v>
      </c>
      <c r="F130" s="65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70">
        <f t="shared" ref="I130:I193" si="38">F130/D130-1</f>
        <v>-2.6315789473684292E-3</v>
      </c>
      <c r="J130" s="70">
        <f t="shared" ref="J130:J193" si="39">F130/E130-1</f>
        <v>-1.2163336229365718E-2</v>
      </c>
      <c r="K130" s="82" t="str">
        <f>_xlfn.IFNA(VLOOKUP(CLEAN(SUBSTITUTE(C130," ","")),Ref_Factory!$A:$B,2,FALSE),CLEAN(SUBSTITUTE(C130," ","")))</f>
        <v>GM1</v>
      </c>
      <c r="L130" s="82" t="str">
        <f t="shared" ref="L130:L193" si="40">A130&amp;"-"&amp;B130&amp;"-"&amp;K130</f>
        <v>FEBRUARY-2-GM1</v>
      </c>
      <c r="M130" s="70">
        <f t="shared" ref="M130:M193" si="41">SUMIF($L$2:$L$1420,L130,$I$2:$I$1420)</f>
        <v>-1.4115067350108701E-2</v>
      </c>
      <c r="N130" s="70">
        <f t="shared" ref="N130:N193" si="42">SUMIF($L$2:$L$1420,L130,$J$2:$J$1420)</f>
        <v>-0.41646017702597238</v>
      </c>
      <c r="O130" s="13">
        <f t="shared" ref="O130:O193" si="43">SUMIF($A$2:$A$1420,A130,$D$2:$D$1420)</f>
        <v>1504511</v>
      </c>
      <c r="P130" s="13">
        <f t="shared" ref="P130:P193" si="44">SUMIF($A$2:$A$1420,A130,$E$2:$E$1420)</f>
        <v>1532581</v>
      </c>
      <c r="Q130" s="13">
        <f t="shared" ref="Q130:Q193" si="45">SUMIF($A$2:$A$1420,A130,$F$2:$F$1420)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SUMIF($T$2:$T$1420,T130,$D$2:$D$1420)</f>
        <v>175819</v>
      </c>
      <c r="V130">
        <f t="shared" ref="V130:V193" si="50">SUMIF($T$2:$T$1420,T130,$E$2:$E$1420)</f>
        <v>180451</v>
      </c>
      <c r="W130">
        <f t="shared" ref="W130:W193" si="51">SUMIF($T$2:$T$1420,T130,$F$2:$F$1420)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25">
      <c r="A131" s="9" t="s">
        <v>34</v>
      </c>
      <c r="B131" s="63">
        <v>2</v>
      </c>
      <c r="C131" t="s">
        <v>11</v>
      </c>
      <c r="D131" s="65">
        <v>1350</v>
      </c>
      <c r="E131" s="65">
        <v>1367</v>
      </c>
      <c r="F131" s="65">
        <v>1358</v>
      </c>
      <c r="G131" s="13">
        <f t="shared" si="36"/>
        <v>-9</v>
      </c>
      <c r="H131" s="13">
        <f t="shared" si="37"/>
        <v>8</v>
      </c>
      <c r="I131" s="70">
        <f t="shared" si="38"/>
        <v>5.9259259259258901E-3</v>
      </c>
      <c r="J131" s="70">
        <f t="shared" si="39"/>
        <v>-6.5837600585223477E-3</v>
      </c>
      <c r="K131" s="82" t="str">
        <f>_xlfn.IFNA(VLOOKUP(CLEAN(SUBSTITUTE(C131," ","")),Ref_Factory!$A:$B,2,FALSE),CLEAN(SUBSTITUTE(C131," ","")))</f>
        <v>GM1</v>
      </c>
      <c r="L131" s="82" t="str">
        <f t="shared" si="40"/>
        <v>FEBRUARY-2-GM1</v>
      </c>
      <c r="M131" s="70">
        <f t="shared" si="41"/>
        <v>-1.4115067350108701E-2</v>
      </c>
      <c r="N131" s="70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25">
      <c r="A132" s="9" t="s">
        <v>34</v>
      </c>
      <c r="B132" s="63">
        <v>2</v>
      </c>
      <c r="C132" t="s">
        <v>11</v>
      </c>
      <c r="D132" s="65">
        <v>2600</v>
      </c>
      <c r="E132" s="65">
        <v>2639</v>
      </c>
      <c r="F132" s="65">
        <v>2611</v>
      </c>
      <c r="G132" s="13">
        <f t="shared" si="36"/>
        <v>-28</v>
      </c>
      <c r="H132" s="13">
        <f t="shared" si="37"/>
        <v>11</v>
      </c>
      <c r="I132" s="70">
        <f t="shared" si="38"/>
        <v>4.2307692307692601E-3</v>
      </c>
      <c r="J132" s="70">
        <f t="shared" si="39"/>
        <v>-1.0610079575596787E-2</v>
      </c>
      <c r="K132" s="82" t="str">
        <f>_xlfn.IFNA(VLOOKUP(CLEAN(SUBSTITUTE(C132," ","")),Ref_Factory!$A:$B,2,FALSE),CLEAN(SUBSTITUTE(C132," ","")))</f>
        <v>GM1</v>
      </c>
      <c r="L132" s="82" t="str">
        <f t="shared" si="40"/>
        <v>FEBRUARY-2-GM1</v>
      </c>
      <c r="M132" s="70">
        <f t="shared" si="41"/>
        <v>-1.4115067350108701E-2</v>
      </c>
      <c r="N132" s="70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25">
      <c r="A133" s="9" t="s">
        <v>34</v>
      </c>
      <c r="B133" s="63">
        <v>2</v>
      </c>
      <c r="C133" t="s">
        <v>11</v>
      </c>
      <c r="D133" s="65">
        <v>1968</v>
      </c>
      <c r="E133" s="65">
        <v>1990</v>
      </c>
      <c r="F133" s="65">
        <v>1981</v>
      </c>
      <c r="G133" s="13">
        <f t="shared" si="36"/>
        <v>-9</v>
      </c>
      <c r="H133" s="13">
        <f t="shared" si="37"/>
        <v>13</v>
      </c>
      <c r="I133" s="70">
        <f t="shared" si="38"/>
        <v>6.6056910569105565E-3</v>
      </c>
      <c r="J133" s="70">
        <f t="shared" si="39"/>
        <v>-4.5226130653266416E-3</v>
      </c>
      <c r="K133" s="82" t="str">
        <f>_xlfn.IFNA(VLOOKUP(CLEAN(SUBSTITUTE(C133," ","")),Ref_Factory!$A:$B,2,FALSE),CLEAN(SUBSTITUTE(C133," ","")))</f>
        <v>GM1</v>
      </c>
      <c r="L133" s="82" t="str">
        <f t="shared" si="40"/>
        <v>FEBRUARY-2-GM1</v>
      </c>
      <c r="M133" s="70">
        <f t="shared" si="41"/>
        <v>-1.4115067350108701E-2</v>
      </c>
      <c r="N133" s="70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25">
      <c r="A134" s="9" t="s">
        <v>34</v>
      </c>
      <c r="B134" s="63">
        <v>2</v>
      </c>
      <c r="C134" t="s">
        <v>10</v>
      </c>
      <c r="D134" s="65">
        <v>860</v>
      </c>
      <c r="E134" s="65">
        <v>860</v>
      </c>
      <c r="F134" s="65">
        <v>860</v>
      </c>
      <c r="G134" s="13">
        <f t="shared" si="36"/>
        <v>0</v>
      </c>
      <c r="H134" s="13">
        <f t="shared" si="37"/>
        <v>0</v>
      </c>
      <c r="I134" s="70">
        <f t="shared" si="38"/>
        <v>0</v>
      </c>
      <c r="J134" s="70">
        <f t="shared" si="39"/>
        <v>0</v>
      </c>
      <c r="K134" s="82" t="str">
        <f>_xlfn.IFNA(VLOOKUP(CLEAN(SUBSTITUTE(C134," ","")),Ref_Factory!$A:$B,2,FALSE),CLEAN(SUBSTITUTE(C134," ","")))</f>
        <v>CNJ2</v>
      </c>
      <c r="L134" s="82" t="str">
        <f t="shared" si="40"/>
        <v>FEBRUARY-2-CNJ2</v>
      </c>
      <c r="M134" s="70">
        <f t="shared" si="41"/>
        <v>0</v>
      </c>
      <c r="N134" s="70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25">
      <c r="A135" s="9" t="s">
        <v>34</v>
      </c>
      <c r="B135" s="63">
        <v>2</v>
      </c>
      <c r="C135" t="s">
        <v>10</v>
      </c>
      <c r="D135" s="65">
        <v>2080</v>
      </c>
      <c r="E135" s="65">
        <v>2092</v>
      </c>
      <c r="F135" s="65">
        <v>2080</v>
      </c>
      <c r="G135" s="13">
        <f t="shared" si="36"/>
        <v>-12</v>
      </c>
      <c r="H135" s="13">
        <f t="shared" si="37"/>
        <v>0</v>
      </c>
      <c r="I135" s="70">
        <f t="shared" si="38"/>
        <v>0</v>
      </c>
      <c r="J135" s="70">
        <f t="shared" si="39"/>
        <v>-5.7361376673039643E-3</v>
      </c>
      <c r="K135" s="82" t="str">
        <f>_xlfn.IFNA(VLOOKUP(CLEAN(SUBSTITUTE(C135," ","")),Ref_Factory!$A:$B,2,FALSE),CLEAN(SUBSTITUTE(C135," ","")))</f>
        <v>CNJ2</v>
      </c>
      <c r="L135" s="82" t="str">
        <f t="shared" si="40"/>
        <v>FEBRUARY-2-CNJ2</v>
      </c>
      <c r="M135" s="70">
        <f t="shared" si="41"/>
        <v>0</v>
      </c>
      <c r="N135" s="70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25">
      <c r="A136" s="9" t="s">
        <v>34</v>
      </c>
      <c r="B136" s="63">
        <v>2</v>
      </c>
      <c r="C136" t="s">
        <v>10</v>
      </c>
      <c r="D136" s="65">
        <v>3710</v>
      </c>
      <c r="E136" s="65">
        <v>3762</v>
      </c>
      <c r="F136" s="65">
        <v>3710</v>
      </c>
      <c r="G136" s="13">
        <f t="shared" si="36"/>
        <v>-52</v>
      </c>
      <c r="H136" s="13">
        <f t="shared" si="37"/>
        <v>0</v>
      </c>
      <c r="I136" s="70">
        <f t="shared" si="38"/>
        <v>0</v>
      </c>
      <c r="J136" s="70">
        <f t="shared" si="39"/>
        <v>-1.3822434875066403E-2</v>
      </c>
      <c r="K136" s="82" t="str">
        <f>_xlfn.IFNA(VLOOKUP(CLEAN(SUBSTITUTE(C136," ","")),Ref_Factory!$A:$B,2,FALSE),CLEAN(SUBSTITUTE(C136," ","")))</f>
        <v>CNJ2</v>
      </c>
      <c r="L136" s="82" t="str">
        <f t="shared" si="40"/>
        <v>FEBRUARY-2-CNJ2</v>
      </c>
      <c r="M136" s="70">
        <f t="shared" si="41"/>
        <v>0</v>
      </c>
      <c r="N136" s="70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25">
      <c r="A137" s="9" t="s">
        <v>34</v>
      </c>
      <c r="B137" s="63">
        <v>2</v>
      </c>
      <c r="C137" t="s">
        <v>10</v>
      </c>
      <c r="D137" s="65">
        <v>1510</v>
      </c>
      <c r="E137" s="65">
        <v>1516</v>
      </c>
      <c r="F137" s="65">
        <v>1510</v>
      </c>
      <c r="G137" s="13">
        <f t="shared" si="36"/>
        <v>-6</v>
      </c>
      <c r="H137" s="13">
        <f t="shared" si="37"/>
        <v>0</v>
      </c>
      <c r="I137" s="70">
        <f t="shared" si="38"/>
        <v>0</v>
      </c>
      <c r="J137" s="70">
        <f t="shared" si="39"/>
        <v>-3.9577836411609502E-3</v>
      </c>
      <c r="K137" s="82" t="str">
        <f>_xlfn.IFNA(VLOOKUP(CLEAN(SUBSTITUTE(C137," ","")),Ref_Factory!$A:$B,2,FALSE),CLEAN(SUBSTITUTE(C137," ","")))</f>
        <v>CNJ2</v>
      </c>
      <c r="L137" s="82" t="str">
        <f t="shared" si="40"/>
        <v>FEBRUARY-2-CNJ2</v>
      </c>
      <c r="M137" s="70">
        <f t="shared" si="41"/>
        <v>0</v>
      </c>
      <c r="N137" s="70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25">
      <c r="A138" s="9" t="s">
        <v>34</v>
      </c>
      <c r="B138" s="63">
        <v>2</v>
      </c>
      <c r="C138" t="s">
        <v>10</v>
      </c>
      <c r="D138" s="65">
        <v>2620</v>
      </c>
      <c r="E138" s="65">
        <v>2643</v>
      </c>
      <c r="F138" s="65">
        <v>2620</v>
      </c>
      <c r="G138" s="13">
        <f t="shared" si="36"/>
        <v>-23</v>
      </c>
      <c r="H138" s="13">
        <f t="shared" si="37"/>
        <v>0</v>
      </c>
      <c r="I138" s="70">
        <f t="shared" si="38"/>
        <v>0</v>
      </c>
      <c r="J138" s="70">
        <f t="shared" si="39"/>
        <v>-8.702232311766922E-3</v>
      </c>
      <c r="K138" s="82" t="str">
        <f>_xlfn.IFNA(VLOOKUP(CLEAN(SUBSTITUTE(C138," ","")),Ref_Factory!$A:$B,2,FALSE),CLEAN(SUBSTITUTE(C138," ","")))</f>
        <v>CNJ2</v>
      </c>
      <c r="L138" s="82" t="str">
        <f t="shared" si="40"/>
        <v>FEBRUARY-2-CNJ2</v>
      </c>
      <c r="M138" s="70">
        <f t="shared" si="41"/>
        <v>0</v>
      </c>
      <c r="N138" s="70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25">
      <c r="A139" s="9" t="s">
        <v>34</v>
      </c>
      <c r="B139" s="63">
        <v>2</v>
      </c>
      <c r="C139" t="s">
        <v>10</v>
      </c>
      <c r="D139" s="65">
        <v>682</v>
      </c>
      <c r="E139" s="65">
        <v>748</v>
      </c>
      <c r="F139" s="65">
        <v>682</v>
      </c>
      <c r="G139" s="13">
        <f t="shared" si="36"/>
        <v>-66</v>
      </c>
      <c r="H139" s="13">
        <f t="shared" si="37"/>
        <v>0</v>
      </c>
      <c r="I139" s="70">
        <f t="shared" si="38"/>
        <v>0</v>
      </c>
      <c r="J139" s="70">
        <f t="shared" si="39"/>
        <v>-8.8235294117647078E-2</v>
      </c>
      <c r="K139" s="82" t="str">
        <f>_xlfn.IFNA(VLOOKUP(CLEAN(SUBSTITUTE(C139," ","")),Ref_Factory!$A:$B,2,FALSE),CLEAN(SUBSTITUTE(C139," ","")))</f>
        <v>CNJ2</v>
      </c>
      <c r="L139" s="82" t="str">
        <f t="shared" si="40"/>
        <v>FEBRUARY-2-CNJ2</v>
      </c>
      <c r="M139" s="70">
        <f t="shared" si="41"/>
        <v>0</v>
      </c>
      <c r="N139" s="70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25">
      <c r="A140" s="9" t="s">
        <v>34</v>
      </c>
      <c r="B140" s="63">
        <v>2</v>
      </c>
      <c r="C140" t="s">
        <v>10</v>
      </c>
      <c r="D140" s="65">
        <v>1189</v>
      </c>
      <c r="E140" s="65">
        <v>1215</v>
      </c>
      <c r="F140" s="65">
        <v>1189</v>
      </c>
      <c r="G140" s="13">
        <f t="shared" si="36"/>
        <v>-26</v>
      </c>
      <c r="H140" s="13">
        <f t="shared" si="37"/>
        <v>0</v>
      </c>
      <c r="I140" s="70">
        <f t="shared" si="38"/>
        <v>0</v>
      </c>
      <c r="J140" s="70">
        <f t="shared" si="39"/>
        <v>-2.1399176954732479E-2</v>
      </c>
      <c r="K140" s="82" t="str">
        <f>_xlfn.IFNA(VLOOKUP(CLEAN(SUBSTITUTE(C140," ","")),Ref_Factory!$A:$B,2,FALSE),CLEAN(SUBSTITUTE(C140," ","")))</f>
        <v>CNJ2</v>
      </c>
      <c r="L140" s="82" t="str">
        <f t="shared" si="40"/>
        <v>FEBRUARY-2-CNJ2</v>
      </c>
      <c r="M140" s="70">
        <f t="shared" si="41"/>
        <v>0</v>
      </c>
      <c r="N140" s="70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25">
      <c r="A141" s="9" t="s">
        <v>34</v>
      </c>
      <c r="B141" s="63">
        <v>2</v>
      </c>
      <c r="C141" t="s">
        <v>10</v>
      </c>
      <c r="D141" s="65">
        <v>612</v>
      </c>
      <c r="E141" s="65">
        <v>675</v>
      </c>
      <c r="F141" s="65">
        <v>612</v>
      </c>
      <c r="G141" s="13">
        <f t="shared" si="36"/>
        <v>-63</v>
      </c>
      <c r="H141" s="13">
        <f t="shared" si="37"/>
        <v>0</v>
      </c>
      <c r="I141" s="70">
        <f t="shared" si="38"/>
        <v>0</v>
      </c>
      <c r="J141" s="70">
        <f t="shared" si="39"/>
        <v>-9.3333333333333379E-2</v>
      </c>
      <c r="K141" s="82" t="str">
        <f>_xlfn.IFNA(VLOOKUP(CLEAN(SUBSTITUTE(C141," ","")),Ref_Factory!$A:$B,2,FALSE),CLEAN(SUBSTITUTE(C141," ","")))</f>
        <v>CNJ2</v>
      </c>
      <c r="L141" s="82" t="str">
        <f t="shared" si="40"/>
        <v>FEBRUARY-2-CNJ2</v>
      </c>
      <c r="M141" s="70">
        <f t="shared" si="41"/>
        <v>0</v>
      </c>
      <c r="N141" s="70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25">
      <c r="A142" s="9" t="s">
        <v>34</v>
      </c>
      <c r="B142" s="63">
        <v>2</v>
      </c>
      <c r="C142" t="s">
        <v>10</v>
      </c>
      <c r="D142" s="65">
        <v>309</v>
      </c>
      <c r="E142" s="65">
        <v>330</v>
      </c>
      <c r="F142" s="65">
        <v>309</v>
      </c>
      <c r="G142" s="13">
        <f t="shared" si="36"/>
        <v>-21</v>
      </c>
      <c r="H142" s="13">
        <f t="shared" si="37"/>
        <v>0</v>
      </c>
      <c r="I142" s="70">
        <f t="shared" si="38"/>
        <v>0</v>
      </c>
      <c r="J142" s="70">
        <f t="shared" si="39"/>
        <v>-6.3636363636363602E-2</v>
      </c>
      <c r="K142" s="82" t="str">
        <f>_xlfn.IFNA(VLOOKUP(CLEAN(SUBSTITUTE(C142," ","")),Ref_Factory!$A:$B,2,FALSE),CLEAN(SUBSTITUTE(C142," ","")))</f>
        <v>CNJ2</v>
      </c>
      <c r="L142" s="82" t="str">
        <f t="shared" si="40"/>
        <v>FEBRUARY-2-CNJ2</v>
      </c>
      <c r="M142" s="70">
        <f t="shared" si="41"/>
        <v>0</v>
      </c>
      <c r="N142" s="70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25">
      <c r="A143" s="9" t="s">
        <v>34</v>
      </c>
      <c r="B143" s="63">
        <v>2</v>
      </c>
      <c r="C143" t="s">
        <v>11</v>
      </c>
      <c r="D143" s="65">
        <v>7200</v>
      </c>
      <c r="E143" s="65">
        <v>7215</v>
      </c>
      <c r="F143" s="65">
        <v>7072</v>
      </c>
      <c r="G143" s="13">
        <f t="shared" si="36"/>
        <v>-143</v>
      </c>
      <c r="H143" s="13">
        <f t="shared" si="37"/>
        <v>-128</v>
      </c>
      <c r="I143" s="70">
        <f t="shared" si="38"/>
        <v>-1.7777777777777781E-2</v>
      </c>
      <c r="J143" s="70">
        <f t="shared" si="39"/>
        <v>-1.9819819819819839E-2</v>
      </c>
      <c r="K143" s="82" t="str">
        <f>_xlfn.IFNA(VLOOKUP(CLEAN(SUBSTITUTE(C143," ","")),Ref_Factory!$A:$B,2,FALSE),CLEAN(SUBSTITUTE(C143," ","")))</f>
        <v>GM1</v>
      </c>
      <c r="L143" s="82" t="str">
        <f t="shared" si="40"/>
        <v>FEBRUARY-2-GM1</v>
      </c>
      <c r="M143" s="70">
        <f t="shared" si="41"/>
        <v>-1.4115067350108701E-2</v>
      </c>
      <c r="N143" s="70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25">
      <c r="A144" s="9" t="s">
        <v>34</v>
      </c>
      <c r="B144" s="63">
        <v>2</v>
      </c>
      <c r="C144" t="s">
        <v>11</v>
      </c>
      <c r="D144" s="65">
        <v>360</v>
      </c>
      <c r="E144" s="65">
        <v>347</v>
      </c>
      <c r="F144" s="65">
        <v>342</v>
      </c>
      <c r="G144" s="13">
        <f t="shared" si="36"/>
        <v>-5</v>
      </c>
      <c r="H144" s="13">
        <f t="shared" si="37"/>
        <v>-18</v>
      </c>
      <c r="I144" s="70">
        <f t="shared" si="38"/>
        <v>-5.0000000000000044E-2</v>
      </c>
      <c r="J144" s="70">
        <f t="shared" si="39"/>
        <v>-1.4409221902017322E-2</v>
      </c>
      <c r="K144" s="82" t="str">
        <f>_xlfn.IFNA(VLOOKUP(CLEAN(SUBSTITUTE(C144," ","")),Ref_Factory!$A:$B,2,FALSE),CLEAN(SUBSTITUTE(C144," ","")))</f>
        <v>GM1</v>
      </c>
      <c r="L144" s="82" t="str">
        <f t="shared" si="40"/>
        <v>FEBRUARY-2-GM1</v>
      </c>
      <c r="M144" s="70">
        <f t="shared" si="41"/>
        <v>-1.4115067350108701E-2</v>
      </c>
      <c r="N144" s="70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25">
      <c r="A145" s="9" t="s">
        <v>34</v>
      </c>
      <c r="B145" s="63">
        <v>2</v>
      </c>
      <c r="C145" t="s">
        <v>11</v>
      </c>
      <c r="D145" s="65">
        <v>1800</v>
      </c>
      <c r="E145" s="65">
        <v>1852</v>
      </c>
      <c r="F145" s="65">
        <v>1800</v>
      </c>
      <c r="G145" s="13">
        <f t="shared" si="36"/>
        <v>-52</v>
      </c>
      <c r="H145" s="13">
        <f t="shared" si="37"/>
        <v>0</v>
      </c>
      <c r="I145" s="70">
        <f t="shared" si="38"/>
        <v>0</v>
      </c>
      <c r="J145" s="70">
        <f t="shared" si="39"/>
        <v>-2.8077753779697678E-2</v>
      </c>
      <c r="K145" s="82" t="str">
        <f>_xlfn.IFNA(VLOOKUP(CLEAN(SUBSTITUTE(C145," ","")),Ref_Factory!$A:$B,2,FALSE),CLEAN(SUBSTITUTE(C145," ","")))</f>
        <v>GM1</v>
      </c>
      <c r="L145" s="82" t="str">
        <f t="shared" si="40"/>
        <v>FEBRUARY-2-GM1</v>
      </c>
      <c r="M145" s="70">
        <f t="shared" si="41"/>
        <v>-1.4115067350108701E-2</v>
      </c>
      <c r="N145" s="70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25">
      <c r="A146" s="9" t="s">
        <v>34</v>
      </c>
      <c r="B146" s="63">
        <v>2</v>
      </c>
      <c r="C146" t="s">
        <v>11</v>
      </c>
      <c r="D146" s="65">
        <v>1836</v>
      </c>
      <c r="E146" s="65">
        <v>1920</v>
      </c>
      <c r="F146" s="65">
        <v>1836</v>
      </c>
      <c r="G146" s="13">
        <f t="shared" si="36"/>
        <v>-84</v>
      </c>
      <c r="H146" s="13">
        <f t="shared" si="37"/>
        <v>0</v>
      </c>
      <c r="I146" s="70">
        <f t="shared" si="38"/>
        <v>0</v>
      </c>
      <c r="J146" s="70">
        <f t="shared" si="39"/>
        <v>-4.3749999999999956E-2</v>
      </c>
      <c r="K146" s="82" t="str">
        <f>_xlfn.IFNA(VLOOKUP(CLEAN(SUBSTITUTE(C146," ","")),Ref_Factory!$A:$B,2,FALSE),CLEAN(SUBSTITUTE(C146," ","")))</f>
        <v>GM1</v>
      </c>
      <c r="L146" s="82" t="str">
        <f t="shared" si="40"/>
        <v>FEBRUARY-2-GM1</v>
      </c>
      <c r="M146" s="70">
        <f t="shared" si="41"/>
        <v>-1.4115067350108701E-2</v>
      </c>
      <c r="N146" s="70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25">
      <c r="A147" s="9" t="s">
        <v>34</v>
      </c>
      <c r="B147" s="63">
        <v>2</v>
      </c>
      <c r="C147" t="s">
        <v>11</v>
      </c>
      <c r="D147" s="65">
        <v>1800</v>
      </c>
      <c r="E147" s="65">
        <v>1873</v>
      </c>
      <c r="F147" s="65">
        <v>1800</v>
      </c>
      <c r="G147" s="13">
        <f t="shared" si="36"/>
        <v>-73</v>
      </c>
      <c r="H147" s="13">
        <f t="shared" si="37"/>
        <v>0</v>
      </c>
      <c r="I147" s="70">
        <f t="shared" si="38"/>
        <v>0</v>
      </c>
      <c r="J147" s="70">
        <f t="shared" si="39"/>
        <v>-3.8974906567004752E-2</v>
      </c>
      <c r="K147" s="82" t="str">
        <f>_xlfn.IFNA(VLOOKUP(CLEAN(SUBSTITUTE(C147," ","")),Ref_Factory!$A:$B,2,FALSE),CLEAN(SUBSTITUTE(C147," ","")))</f>
        <v>GM1</v>
      </c>
      <c r="L147" s="82" t="str">
        <f t="shared" si="40"/>
        <v>FEBRUARY-2-GM1</v>
      </c>
      <c r="M147" s="70">
        <f t="shared" si="41"/>
        <v>-1.4115067350108701E-2</v>
      </c>
      <c r="N147" s="70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25">
      <c r="A148" s="9" t="s">
        <v>34</v>
      </c>
      <c r="B148" s="63">
        <v>2</v>
      </c>
      <c r="C148" t="s">
        <v>11</v>
      </c>
      <c r="D148" s="65">
        <v>1800</v>
      </c>
      <c r="E148" s="65">
        <v>1874</v>
      </c>
      <c r="F148" s="65">
        <v>1800</v>
      </c>
      <c r="G148" s="13">
        <f t="shared" si="36"/>
        <v>-74</v>
      </c>
      <c r="H148" s="13">
        <f t="shared" si="37"/>
        <v>0</v>
      </c>
      <c r="I148" s="70">
        <f t="shared" si="38"/>
        <v>0</v>
      </c>
      <c r="J148" s="70">
        <f t="shared" si="39"/>
        <v>-3.9487726787620026E-2</v>
      </c>
      <c r="K148" s="82" t="str">
        <f>_xlfn.IFNA(VLOOKUP(CLEAN(SUBSTITUTE(C148," ","")),Ref_Factory!$A:$B,2,FALSE),CLEAN(SUBSTITUTE(C148," ","")))</f>
        <v>GM1</v>
      </c>
      <c r="L148" s="82" t="str">
        <f t="shared" si="40"/>
        <v>FEBRUARY-2-GM1</v>
      </c>
      <c r="M148" s="70">
        <f t="shared" si="41"/>
        <v>-1.4115067350108701E-2</v>
      </c>
      <c r="N148" s="70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25">
      <c r="A149" s="9" t="s">
        <v>34</v>
      </c>
      <c r="B149" s="63">
        <v>2</v>
      </c>
      <c r="C149" t="s">
        <v>14</v>
      </c>
      <c r="D149" s="65">
        <v>4536</v>
      </c>
      <c r="E149" s="65">
        <v>4553</v>
      </c>
      <c r="F149" s="65">
        <v>4536</v>
      </c>
      <c r="G149" s="13">
        <f t="shared" si="36"/>
        <v>-17</v>
      </c>
      <c r="H149" s="13">
        <f t="shared" si="37"/>
        <v>0</v>
      </c>
      <c r="I149" s="70">
        <f t="shared" si="38"/>
        <v>0</v>
      </c>
      <c r="J149" s="70">
        <f t="shared" si="39"/>
        <v>-3.7338018888645186E-3</v>
      </c>
      <c r="K149" s="82" t="str">
        <f>_xlfn.IFNA(VLOOKUP(CLEAN(SUBSTITUTE(C149," ","")),Ref_Factory!$A:$B,2,FALSE),CLEAN(SUBSTITUTE(C149," ","")))</f>
        <v>GM2</v>
      </c>
      <c r="L149" s="82" t="str">
        <f t="shared" si="40"/>
        <v>FEBRUARY-2-GM2</v>
      </c>
      <c r="M149" s="70">
        <f t="shared" si="41"/>
        <v>0.33919502201993978</v>
      </c>
      <c r="N149" s="70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25">
      <c r="A150" s="9" t="s">
        <v>34</v>
      </c>
      <c r="B150" s="63">
        <v>2</v>
      </c>
      <c r="C150" t="s">
        <v>14</v>
      </c>
      <c r="D150" s="65">
        <v>4644</v>
      </c>
      <c r="E150" s="65">
        <v>4653</v>
      </c>
      <c r="F150" s="65">
        <v>4644</v>
      </c>
      <c r="G150" s="13">
        <f t="shared" si="36"/>
        <v>-9</v>
      </c>
      <c r="H150" s="13">
        <f t="shared" si="37"/>
        <v>0</v>
      </c>
      <c r="I150" s="70">
        <f t="shared" si="38"/>
        <v>0</v>
      </c>
      <c r="J150" s="70">
        <f t="shared" si="39"/>
        <v>-1.9342359767892114E-3</v>
      </c>
      <c r="K150" s="82" t="str">
        <f>_xlfn.IFNA(VLOOKUP(CLEAN(SUBSTITUTE(C150," ","")),Ref_Factory!$A:$B,2,FALSE),CLEAN(SUBSTITUTE(C150," ","")))</f>
        <v>GM2</v>
      </c>
      <c r="L150" s="82" t="str">
        <f t="shared" si="40"/>
        <v>FEBRUARY-2-GM2</v>
      </c>
      <c r="M150" s="70">
        <f t="shared" si="41"/>
        <v>0.33919502201993978</v>
      </c>
      <c r="N150" s="70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25">
      <c r="A151" s="9" t="s">
        <v>34</v>
      </c>
      <c r="B151" s="63">
        <v>2</v>
      </c>
      <c r="C151" t="s">
        <v>14</v>
      </c>
      <c r="D151" s="65">
        <v>1080</v>
      </c>
      <c r="E151" s="65">
        <v>1080</v>
      </c>
      <c r="F151" s="65">
        <v>1080</v>
      </c>
      <c r="G151" s="13">
        <f t="shared" si="36"/>
        <v>0</v>
      </c>
      <c r="H151" s="13">
        <f t="shared" si="37"/>
        <v>0</v>
      </c>
      <c r="I151" s="70">
        <f t="shared" si="38"/>
        <v>0</v>
      </c>
      <c r="J151" s="70">
        <f t="shared" si="39"/>
        <v>0</v>
      </c>
      <c r="K151" s="82" t="str">
        <f>_xlfn.IFNA(VLOOKUP(CLEAN(SUBSTITUTE(C151," ","")),Ref_Factory!$A:$B,2,FALSE),CLEAN(SUBSTITUTE(C151," ","")))</f>
        <v>GM2</v>
      </c>
      <c r="L151" s="82" t="str">
        <f t="shared" si="40"/>
        <v>FEBRUARY-2-GM2</v>
      </c>
      <c r="M151" s="70">
        <f t="shared" si="41"/>
        <v>0.33919502201993978</v>
      </c>
      <c r="N151" s="70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25">
      <c r="A152" s="9" t="s">
        <v>34</v>
      </c>
      <c r="B152" s="63">
        <v>2</v>
      </c>
      <c r="C152" t="s">
        <v>14</v>
      </c>
      <c r="D152" s="65">
        <v>5940</v>
      </c>
      <c r="E152" s="65">
        <v>6057</v>
      </c>
      <c r="F152" s="65">
        <v>6009</v>
      </c>
      <c r="G152" s="13">
        <f t="shared" si="36"/>
        <v>-48</v>
      </c>
      <c r="H152" s="13">
        <f t="shared" si="37"/>
        <v>69</v>
      </c>
      <c r="I152" s="70">
        <f t="shared" si="38"/>
        <v>1.1616161616161635E-2</v>
      </c>
      <c r="J152" s="70">
        <f t="shared" si="39"/>
        <v>-7.9247152055472725E-3</v>
      </c>
      <c r="K152" s="82" t="str">
        <f>_xlfn.IFNA(VLOOKUP(CLEAN(SUBSTITUTE(C152," ","")),Ref_Factory!$A:$B,2,FALSE),CLEAN(SUBSTITUTE(C152," ","")))</f>
        <v>GM2</v>
      </c>
      <c r="L152" s="82" t="str">
        <f t="shared" si="40"/>
        <v>FEBRUARY-2-GM2</v>
      </c>
      <c r="M152" s="70">
        <f t="shared" si="41"/>
        <v>0.33919502201993978</v>
      </c>
      <c r="N152" s="70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25">
      <c r="A153" s="9" t="s">
        <v>34</v>
      </c>
      <c r="B153" s="63">
        <v>2</v>
      </c>
      <c r="C153" t="s">
        <v>14</v>
      </c>
      <c r="D153" s="65">
        <v>1080</v>
      </c>
      <c r="E153" s="65">
        <v>1101</v>
      </c>
      <c r="F153" s="65">
        <v>1101</v>
      </c>
      <c r="G153" s="13">
        <f t="shared" si="36"/>
        <v>0</v>
      </c>
      <c r="H153" s="13">
        <f t="shared" si="37"/>
        <v>21</v>
      </c>
      <c r="I153" s="70">
        <f t="shared" si="38"/>
        <v>1.9444444444444375E-2</v>
      </c>
      <c r="J153" s="70">
        <f t="shared" si="39"/>
        <v>0</v>
      </c>
      <c r="K153" s="82" t="str">
        <f>_xlfn.IFNA(VLOOKUP(CLEAN(SUBSTITUTE(C153," ","")),Ref_Factory!$A:$B,2,FALSE),CLEAN(SUBSTITUTE(C153," ","")))</f>
        <v>GM2</v>
      </c>
      <c r="L153" s="82" t="str">
        <f t="shared" si="40"/>
        <v>FEBRUARY-2-GM2</v>
      </c>
      <c r="M153" s="70">
        <f t="shared" si="41"/>
        <v>0.33919502201993978</v>
      </c>
      <c r="N153" s="70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25">
      <c r="A154" s="9" t="s">
        <v>34</v>
      </c>
      <c r="B154" s="63">
        <v>2</v>
      </c>
      <c r="C154" t="s">
        <v>14</v>
      </c>
      <c r="D154" s="65">
        <v>7020</v>
      </c>
      <c r="E154" s="65">
        <v>7166</v>
      </c>
      <c r="F154" s="65">
        <v>7098</v>
      </c>
      <c r="G154" s="13">
        <f t="shared" si="36"/>
        <v>-68</v>
      </c>
      <c r="H154" s="13">
        <f t="shared" si="37"/>
        <v>78</v>
      </c>
      <c r="I154" s="70">
        <f t="shared" si="38"/>
        <v>1.1111111111111072E-2</v>
      </c>
      <c r="J154" s="70">
        <f t="shared" si="39"/>
        <v>-9.4892548144013267E-3</v>
      </c>
      <c r="K154" s="82" t="str">
        <f>_xlfn.IFNA(VLOOKUP(CLEAN(SUBSTITUTE(C154," ","")),Ref_Factory!$A:$B,2,FALSE),CLEAN(SUBSTITUTE(C154," ","")))</f>
        <v>GM2</v>
      </c>
      <c r="L154" s="82" t="str">
        <f t="shared" si="40"/>
        <v>FEBRUARY-2-GM2</v>
      </c>
      <c r="M154" s="70">
        <f t="shared" si="41"/>
        <v>0.33919502201993978</v>
      </c>
      <c r="N154" s="70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25">
      <c r="A155" s="9" t="s">
        <v>34</v>
      </c>
      <c r="B155" s="63">
        <v>2</v>
      </c>
      <c r="C155" t="s">
        <v>14</v>
      </c>
      <c r="D155" s="65">
        <v>4320</v>
      </c>
      <c r="E155" s="65">
        <v>4404</v>
      </c>
      <c r="F155" s="65">
        <v>4377</v>
      </c>
      <c r="G155" s="13">
        <f t="shared" si="36"/>
        <v>-27</v>
      </c>
      <c r="H155" s="13">
        <f t="shared" si="37"/>
        <v>57</v>
      </c>
      <c r="I155" s="70">
        <f t="shared" si="38"/>
        <v>1.3194444444444509E-2</v>
      </c>
      <c r="J155" s="70">
        <f t="shared" si="39"/>
        <v>-6.1307901907357021E-3</v>
      </c>
      <c r="K155" s="82" t="str">
        <f>_xlfn.IFNA(VLOOKUP(CLEAN(SUBSTITUTE(C155," ","")),Ref_Factory!$A:$B,2,FALSE),CLEAN(SUBSTITUTE(C155," ","")))</f>
        <v>GM2</v>
      </c>
      <c r="L155" s="82" t="str">
        <f t="shared" si="40"/>
        <v>FEBRUARY-2-GM2</v>
      </c>
      <c r="M155" s="70">
        <f t="shared" si="41"/>
        <v>0.33919502201993978</v>
      </c>
      <c r="N155" s="70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25">
      <c r="A156" s="9" t="s">
        <v>34</v>
      </c>
      <c r="B156" s="63">
        <v>2</v>
      </c>
      <c r="C156" t="s">
        <v>14</v>
      </c>
      <c r="D156" s="65">
        <v>5076</v>
      </c>
      <c r="E156" s="65">
        <v>5235</v>
      </c>
      <c r="F156" s="65">
        <v>5076</v>
      </c>
      <c r="G156" s="13">
        <f t="shared" si="36"/>
        <v>-159</v>
      </c>
      <c r="H156" s="13">
        <f t="shared" si="37"/>
        <v>0</v>
      </c>
      <c r="I156" s="70">
        <f t="shared" si="38"/>
        <v>0</v>
      </c>
      <c r="J156" s="70">
        <f t="shared" si="39"/>
        <v>-3.0372492836676201E-2</v>
      </c>
      <c r="K156" s="82" t="str">
        <f>_xlfn.IFNA(VLOOKUP(CLEAN(SUBSTITUTE(C156," ","")),Ref_Factory!$A:$B,2,FALSE),CLEAN(SUBSTITUTE(C156," ","")))</f>
        <v>GM2</v>
      </c>
      <c r="L156" s="82" t="str">
        <f t="shared" si="40"/>
        <v>FEBRUARY-2-GM2</v>
      </c>
      <c r="M156" s="70">
        <f t="shared" si="41"/>
        <v>0.33919502201993978</v>
      </c>
      <c r="N156" s="70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25">
      <c r="A157" s="9" t="s">
        <v>34</v>
      </c>
      <c r="B157" s="63">
        <v>2</v>
      </c>
      <c r="C157" t="s">
        <v>14</v>
      </c>
      <c r="D157" s="65">
        <v>1080</v>
      </c>
      <c r="E157" s="65">
        <v>1080</v>
      </c>
      <c r="F157" s="65">
        <v>1080</v>
      </c>
      <c r="G157" s="13">
        <f t="shared" si="36"/>
        <v>0</v>
      </c>
      <c r="H157" s="13">
        <f t="shared" si="37"/>
        <v>0</v>
      </c>
      <c r="I157" s="70">
        <f t="shared" si="38"/>
        <v>0</v>
      </c>
      <c r="J157" s="70">
        <f t="shared" si="39"/>
        <v>0</v>
      </c>
      <c r="K157" s="82" t="str">
        <f>_xlfn.IFNA(VLOOKUP(CLEAN(SUBSTITUTE(C157," ","")),Ref_Factory!$A:$B,2,FALSE),CLEAN(SUBSTITUTE(C157," ","")))</f>
        <v>GM2</v>
      </c>
      <c r="L157" s="82" t="str">
        <f t="shared" si="40"/>
        <v>FEBRUARY-2-GM2</v>
      </c>
      <c r="M157" s="70">
        <f t="shared" si="41"/>
        <v>0.33919502201993978</v>
      </c>
      <c r="N157" s="70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25">
      <c r="A158" s="9" t="s">
        <v>34</v>
      </c>
      <c r="B158" s="63">
        <v>2</v>
      </c>
      <c r="C158" t="s">
        <v>14</v>
      </c>
      <c r="D158" s="65">
        <v>4320</v>
      </c>
      <c r="E158" s="65">
        <v>4329</v>
      </c>
      <c r="F158" s="65">
        <v>4281</v>
      </c>
      <c r="G158" s="13">
        <f t="shared" si="36"/>
        <v>-48</v>
      </c>
      <c r="H158" s="13">
        <f t="shared" si="37"/>
        <v>-39</v>
      </c>
      <c r="I158" s="70">
        <f t="shared" si="38"/>
        <v>-9.0277777777777457E-3</v>
      </c>
      <c r="J158" s="70">
        <f t="shared" si="39"/>
        <v>-1.1088011088011052E-2</v>
      </c>
      <c r="K158" s="82" t="str">
        <f>_xlfn.IFNA(VLOOKUP(CLEAN(SUBSTITUTE(C158," ","")),Ref_Factory!$A:$B,2,FALSE),CLEAN(SUBSTITUTE(C158," ","")))</f>
        <v>GM2</v>
      </c>
      <c r="L158" s="82" t="str">
        <f t="shared" si="40"/>
        <v>FEBRUARY-2-GM2</v>
      </c>
      <c r="M158" s="70">
        <f t="shared" si="41"/>
        <v>0.33919502201993978</v>
      </c>
      <c r="N158" s="70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25">
      <c r="A159" s="9" t="s">
        <v>34</v>
      </c>
      <c r="B159" s="63">
        <v>2</v>
      </c>
      <c r="C159" t="s">
        <v>11</v>
      </c>
      <c r="D159" s="65">
        <v>4428</v>
      </c>
      <c r="E159" s="65">
        <v>4562</v>
      </c>
      <c r="F159" s="65">
        <v>4428</v>
      </c>
      <c r="G159" s="13">
        <f t="shared" si="36"/>
        <v>-134</v>
      </c>
      <c r="H159" s="13">
        <f t="shared" si="37"/>
        <v>0</v>
      </c>
      <c r="I159" s="70">
        <f t="shared" si="38"/>
        <v>0</v>
      </c>
      <c r="J159" s="70">
        <f t="shared" si="39"/>
        <v>-2.9373081981587057E-2</v>
      </c>
      <c r="K159" s="82" t="str">
        <f>_xlfn.IFNA(VLOOKUP(CLEAN(SUBSTITUTE(C159," ","")),Ref_Factory!$A:$B,2,FALSE),CLEAN(SUBSTITUTE(C159," ","")))</f>
        <v>GM1</v>
      </c>
      <c r="L159" s="82" t="str">
        <f t="shared" si="40"/>
        <v>FEBRUARY-2-GM1</v>
      </c>
      <c r="M159" s="70">
        <f t="shared" si="41"/>
        <v>-1.4115067350108701E-2</v>
      </c>
      <c r="N159" s="70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25">
      <c r="A160" s="9" t="s">
        <v>34</v>
      </c>
      <c r="B160" s="63">
        <v>2</v>
      </c>
      <c r="C160" t="s">
        <v>11</v>
      </c>
      <c r="D160" s="65">
        <v>1080</v>
      </c>
      <c r="E160" s="65">
        <v>1115</v>
      </c>
      <c r="F160" s="65">
        <v>1080</v>
      </c>
      <c r="G160" s="13">
        <f t="shared" si="36"/>
        <v>-35</v>
      </c>
      <c r="H160" s="13">
        <f t="shared" si="37"/>
        <v>0</v>
      </c>
      <c r="I160" s="70">
        <f t="shared" si="38"/>
        <v>0</v>
      </c>
      <c r="J160" s="70">
        <f t="shared" si="39"/>
        <v>-3.1390134529147962E-2</v>
      </c>
      <c r="K160" s="82" t="str">
        <f>_xlfn.IFNA(VLOOKUP(CLEAN(SUBSTITUTE(C160," ","")),Ref_Factory!$A:$B,2,FALSE),CLEAN(SUBSTITUTE(C160," ","")))</f>
        <v>GM1</v>
      </c>
      <c r="L160" s="82" t="str">
        <f t="shared" si="40"/>
        <v>FEBRUARY-2-GM1</v>
      </c>
      <c r="M160" s="70">
        <f t="shared" si="41"/>
        <v>-1.4115067350108701E-2</v>
      </c>
      <c r="N160" s="70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25">
      <c r="A161" s="9" t="s">
        <v>34</v>
      </c>
      <c r="B161" s="63">
        <v>2</v>
      </c>
      <c r="C161" t="s">
        <v>14</v>
      </c>
      <c r="D161" s="65">
        <v>4644</v>
      </c>
      <c r="E161" s="65">
        <v>4795</v>
      </c>
      <c r="F161" s="65">
        <v>4653</v>
      </c>
      <c r="G161" s="13">
        <f t="shared" si="36"/>
        <v>-142</v>
      </c>
      <c r="H161" s="13">
        <f t="shared" si="37"/>
        <v>9</v>
      </c>
      <c r="I161" s="70">
        <f t="shared" si="38"/>
        <v>1.9379844961240345E-3</v>
      </c>
      <c r="J161" s="70">
        <f t="shared" si="39"/>
        <v>-2.9614181438998965E-2</v>
      </c>
      <c r="K161" s="82" t="str">
        <f>_xlfn.IFNA(VLOOKUP(CLEAN(SUBSTITUTE(C161," ","")),Ref_Factory!$A:$B,2,FALSE),CLEAN(SUBSTITUTE(C161," ","")))</f>
        <v>GM2</v>
      </c>
      <c r="L161" s="82" t="str">
        <f t="shared" si="40"/>
        <v>FEBRUARY-2-GM2</v>
      </c>
      <c r="M161" s="70">
        <f t="shared" si="41"/>
        <v>0.33919502201993978</v>
      </c>
      <c r="N161" s="70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25">
      <c r="A162" s="9" t="s">
        <v>34</v>
      </c>
      <c r="B162" s="63">
        <v>2</v>
      </c>
      <c r="C162" t="s">
        <v>14</v>
      </c>
      <c r="D162" s="65">
        <v>3888</v>
      </c>
      <c r="E162" s="65">
        <v>3899</v>
      </c>
      <c r="F162" s="65">
        <v>3873</v>
      </c>
      <c r="G162" s="13">
        <f t="shared" si="36"/>
        <v>-26</v>
      </c>
      <c r="H162" s="13">
        <f t="shared" si="37"/>
        <v>-15</v>
      </c>
      <c r="I162" s="70">
        <f t="shared" si="38"/>
        <v>-3.8580246913579863E-3</v>
      </c>
      <c r="J162" s="70">
        <f t="shared" si="39"/>
        <v>-6.6683765067966361E-3</v>
      </c>
      <c r="K162" s="82" t="str">
        <f>_xlfn.IFNA(VLOOKUP(CLEAN(SUBSTITUTE(C162," ","")),Ref_Factory!$A:$B,2,FALSE),CLEAN(SUBSTITUTE(C162," ","")))</f>
        <v>GM2</v>
      </c>
      <c r="L162" s="82" t="str">
        <f t="shared" si="40"/>
        <v>FEBRUARY-2-GM2</v>
      </c>
      <c r="M162" s="70">
        <f t="shared" si="41"/>
        <v>0.33919502201993978</v>
      </c>
      <c r="N162" s="70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25">
      <c r="A163" s="9" t="s">
        <v>34</v>
      </c>
      <c r="B163" s="63">
        <v>2</v>
      </c>
      <c r="C163" t="s">
        <v>14</v>
      </c>
      <c r="D163" s="65">
        <v>6912</v>
      </c>
      <c r="E163" s="65">
        <v>7095</v>
      </c>
      <c r="F163" s="65">
        <v>6912</v>
      </c>
      <c r="G163" s="13">
        <f t="shared" si="36"/>
        <v>-183</v>
      </c>
      <c r="H163" s="13">
        <f t="shared" si="37"/>
        <v>0</v>
      </c>
      <c r="I163" s="70">
        <f t="shared" si="38"/>
        <v>0</v>
      </c>
      <c r="J163" s="70">
        <f t="shared" si="39"/>
        <v>-2.5792811839323471E-2</v>
      </c>
      <c r="K163" s="82" t="str">
        <f>_xlfn.IFNA(VLOOKUP(CLEAN(SUBSTITUTE(C163," ","")),Ref_Factory!$A:$B,2,FALSE),CLEAN(SUBSTITUTE(C163," ","")))</f>
        <v>GM2</v>
      </c>
      <c r="L163" s="82" t="str">
        <f t="shared" si="40"/>
        <v>FEBRUARY-2-GM2</v>
      </c>
      <c r="M163" s="70">
        <f t="shared" si="41"/>
        <v>0.33919502201993978</v>
      </c>
      <c r="N163" s="70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25">
      <c r="A164" s="9" t="s">
        <v>34</v>
      </c>
      <c r="B164" s="63">
        <v>2</v>
      </c>
      <c r="C164" t="s">
        <v>14</v>
      </c>
      <c r="D164" s="65">
        <v>3456</v>
      </c>
      <c r="E164" s="65">
        <v>3561</v>
      </c>
      <c r="F164" s="65">
        <v>3516</v>
      </c>
      <c r="G164" s="13">
        <f t="shared" si="36"/>
        <v>-45</v>
      </c>
      <c r="H164" s="13">
        <f t="shared" si="37"/>
        <v>60</v>
      </c>
      <c r="I164" s="70">
        <f t="shared" si="38"/>
        <v>1.736111111111116E-2</v>
      </c>
      <c r="J164" s="70">
        <f t="shared" si="39"/>
        <v>-1.2636899747262009E-2</v>
      </c>
      <c r="K164" s="82" t="str">
        <f>_xlfn.IFNA(VLOOKUP(CLEAN(SUBSTITUTE(C164," ","")),Ref_Factory!$A:$B,2,FALSE),CLEAN(SUBSTITUTE(C164," ","")))</f>
        <v>GM2</v>
      </c>
      <c r="L164" s="82" t="str">
        <f t="shared" si="40"/>
        <v>FEBRUARY-2-GM2</v>
      </c>
      <c r="M164" s="70">
        <f t="shared" si="41"/>
        <v>0.33919502201993978</v>
      </c>
      <c r="N164" s="70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25">
      <c r="A165" s="9" t="s">
        <v>34</v>
      </c>
      <c r="B165" s="63">
        <v>2</v>
      </c>
      <c r="C165" t="s">
        <v>13</v>
      </c>
      <c r="D165" s="65">
        <v>44604</v>
      </c>
      <c r="E165" s="65">
        <v>45955</v>
      </c>
      <c r="F165" s="65">
        <v>45870</v>
      </c>
      <c r="G165" s="13">
        <f t="shared" si="36"/>
        <v>-85</v>
      </c>
      <c r="H165" s="13">
        <f t="shared" si="37"/>
        <v>1266</v>
      </c>
      <c r="I165" s="70">
        <f t="shared" si="38"/>
        <v>2.8383104654291058E-2</v>
      </c>
      <c r="J165" s="70">
        <f t="shared" si="39"/>
        <v>-1.8496355130018793E-3</v>
      </c>
      <c r="K165" s="82" t="str">
        <f>_xlfn.IFNA(VLOOKUP(CLEAN(SUBSTITUTE(C165," ","")),Ref_Factory!$A:$B,2,FALSE),CLEAN(SUBSTITUTE(C165," ","")))</f>
        <v>KALIBENDA</v>
      </c>
      <c r="L165" s="82" t="str">
        <f t="shared" si="40"/>
        <v>FEBRUARY-2-KALIBENDA</v>
      </c>
      <c r="M165" s="70">
        <f t="shared" si="41"/>
        <v>0.1429043110769348</v>
      </c>
      <c r="N165" s="70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25">
      <c r="A166" s="9" t="s">
        <v>34</v>
      </c>
      <c r="B166" s="63">
        <v>2</v>
      </c>
      <c r="C166" t="s">
        <v>13</v>
      </c>
      <c r="D166" s="65">
        <v>7560</v>
      </c>
      <c r="E166" s="65">
        <v>7787</v>
      </c>
      <c r="F166" s="65">
        <v>7776</v>
      </c>
      <c r="G166" s="13">
        <f t="shared" si="36"/>
        <v>-11</v>
      </c>
      <c r="H166" s="13">
        <f t="shared" si="37"/>
        <v>216</v>
      </c>
      <c r="I166" s="70">
        <f t="shared" si="38"/>
        <v>2.857142857142847E-2</v>
      </c>
      <c r="J166" s="70">
        <f t="shared" si="39"/>
        <v>-1.4126107615256567E-3</v>
      </c>
      <c r="K166" s="82" t="str">
        <f>_xlfn.IFNA(VLOOKUP(CLEAN(SUBSTITUTE(C166," ","")),Ref_Factory!$A:$B,2,FALSE),CLEAN(SUBSTITUTE(C166," ","")))</f>
        <v>KALIBENDA</v>
      </c>
      <c r="L166" s="82" t="str">
        <f t="shared" si="40"/>
        <v>FEBRUARY-2-KALIBENDA</v>
      </c>
      <c r="M166" s="70">
        <f t="shared" si="41"/>
        <v>0.1429043110769348</v>
      </c>
      <c r="N166" s="70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25">
      <c r="A167" s="9" t="s">
        <v>34</v>
      </c>
      <c r="B167" s="63">
        <v>2</v>
      </c>
      <c r="C167" t="s">
        <v>14</v>
      </c>
      <c r="D167" s="65">
        <v>4860</v>
      </c>
      <c r="E167" s="65">
        <v>5009</v>
      </c>
      <c r="F167" s="65">
        <v>4944</v>
      </c>
      <c r="G167" s="13">
        <f t="shared" si="36"/>
        <v>-65</v>
      </c>
      <c r="H167" s="13">
        <f t="shared" si="37"/>
        <v>84</v>
      </c>
      <c r="I167" s="70">
        <f t="shared" si="38"/>
        <v>1.7283950617283939E-2</v>
      </c>
      <c r="J167" s="70">
        <f t="shared" si="39"/>
        <v>-1.2976642044320252E-2</v>
      </c>
      <c r="K167" s="82" t="str">
        <f>_xlfn.IFNA(VLOOKUP(CLEAN(SUBSTITUTE(C167," ","")),Ref_Factory!$A:$B,2,FALSE),CLEAN(SUBSTITUTE(C167," ","")))</f>
        <v>GM2</v>
      </c>
      <c r="L167" s="82" t="str">
        <f t="shared" si="40"/>
        <v>FEBRUARY-2-GM2</v>
      </c>
      <c r="M167" s="70">
        <f t="shared" si="41"/>
        <v>0.33919502201993978</v>
      </c>
      <c r="N167" s="70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25">
      <c r="A168" s="9" t="s">
        <v>34</v>
      </c>
      <c r="B168" s="63">
        <v>2</v>
      </c>
      <c r="C168" t="s">
        <v>14</v>
      </c>
      <c r="D168" s="65">
        <v>1080</v>
      </c>
      <c r="E168" s="65">
        <v>1112</v>
      </c>
      <c r="F168" s="65">
        <v>1095</v>
      </c>
      <c r="G168" s="13">
        <f t="shared" si="36"/>
        <v>-17</v>
      </c>
      <c r="H168" s="13">
        <f t="shared" si="37"/>
        <v>15</v>
      </c>
      <c r="I168" s="70">
        <f t="shared" si="38"/>
        <v>1.388888888888884E-2</v>
      </c>
      <c r="J168" s="70">
        <f t="shared" si="39"/>
        <v>-1.5287769784172678E-2</v>
      </c>
      <c r="K168" s="82" t="str">
        <f>_xlfn.IFNA(VLOOKUP(CLEAN(SUBSTITUTE(C168," ","")),Ref_Factory!$A:$B,2,FALSE),CLEAN(SUBSTITUTE(C168," ","")))</f>
        <v>GM2</v>
      </c>
      <c r="L168" s="82" t="str">
        <f t="shared" si="40"/>
        <v>FEBRUARY-2-GM2</v>
      </c>
      <c r="M168" s="70">
        <f t="shared" si="41"/>
        <v>0.33919502201993978</v>
      </c>
      <c r="N168" s="70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25">
      <c r="A169" s="9" t="s">
        <v>34</v>
      </c>
      <c r="B169" s="63">
        <v>2</v>
      </c>
      <c r="C169" t="s">
        <v>13</v>
      </c>
      <c r="D169" s="65">
        <v>3672</v>
      </c>
      <c r="E169" s="65">
        <v>3753</v>
      </c>
      <c r="F169" s="65">
        <v>3735</v>
      </c>
      <c r="G169" s="13">
        <f t="shared" si="36"/>
        <v>-18</v>
      </c>
      <c r="H169" s="13">
        <f t="shared" si="37"/>
        <v>63</v>
      </c>
      <c r="I169" s="70">
        <f t="shared" si="38"/>
        <v>1.7156862745097978E-2</v>
      </c>
      <c r="J169" s="70">
        <f t="shared" si="39"/>
        <v>-4.7961630695443347E-3</v>
      </c>
      <c r="K169" s="82" t="str">
        <f>_xlfn.IFNA(VLOOKUP(CLEAN(SUBSTITUTE(C169," ","")),Ref_Factory!$A:$B,2,FALSE),CLEAN(SUBSTITUTE(C169," ","")))</f>
        <v>KALIBENDA</v>
      </c>
      <c r="L169" s="82" t="str">
        <f t="shared" si="40"/>
        <v>FEBRUARY-2-KALIBENDA</v>
      </c>
      <c r="M169" s="70">
        <f t="shared" si="41"/>
        <v>0.1429043110769348</v>
      </c>
      <c r="N169" s="70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25">
      <c r="A170" s="9" t="s">
        <v>34</v>
      </c>
      <c r="B170" s="63">
        <v>2</v>
      </c>
      <c r="C170" t="s">
        <v>13</v>
      </c>
      <c r="D170" s="65">
        <v>19224</v>
      </c>
      <c r="E170" s="65">
        <v>19672</v>
      </c>
      <c r="F170" s="65">
        <v>19650</v>
      </c>
      <c r="G170" s="13">
        <f t="shared" si="36"/>
        <v>-22</v>
      </c>
      <c r="H170" s="13">
        <f t="shared" si="37"/>
        <v>426</v>
      </c>
      <c r="I170" s="70">
        <f t="shared" si="38"/>
        <v>2.2159800249687889E-2</v>
      </c>
      <c r="J170" s="70">
        <f t="shared" si="39"/>
        <v>-1.1183407889385766E-3</v>
      </c>
      <c r="K170" s="82" t="str">
        <f>_xlfn.IFNA(VLOOKUP(CLEAN(SUBSTITUTE(C170," ","")),Ref_Factory!$A:$B,2,FALSE),CLEAN(SUBSTITUTE(C170," ","")))</f>
        <v>KALIBENDA</v>
      </c>
      <c r="L170" s="82" t="str">
        <f t="shared" si="40"/>
        <v>FEBRUARY-2-KALIBENDA</v>
      </c>
      <c r="M170" s="70">
        <f t="shared" si="41"/>
        <v>0.1429043110769348</v>
      </c>
      <c r="N170" s="70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25">
      <c r="A171" s="9" t="s">
        <v>34</v>
      </c>
      <c r="B171" s="63">
        <v>2</v>
      </c>
      <c r="C171" t="s">
        <v>13</v>
      </c>
      <c r="D171" s="65">
        <v>8640</v>
      </c>
      <c r="E171" s="65">
        <v>8754</v>
      </c>
      <c r="F171" s="65">
        <v>8715</v>
      </c>
      <c r="G171" s="13">
        <f t="shared" si="36"/>
        <v>-39</v>
      </c>
      <c r="H171" s="13">
        <f t="shared" si="37"/>
        <v>75</v>
      </c>
      <c r="I171" s="70">
        <f t="shared" si="38"/>
        <v>8.6805555555555802E-3</v>
      </c>
      <c r="J171" s="70">
        <f t="shared" si="39"/>
        <v>-4.4551062371487316E-3</v>
      </c>
      <c r="K171" s="82" t="str">
        <f>_xlfn.IFNA(VLOOKUP(CLEAN(SUBSTITUTE(C171," ","")),Ref_Factory!$A:$B,2,FALSE),CLEAN(SUBSTITUTE(C171," ","")))</f>
        <v>KALIBENDA</v>
      </c>
      <c r="L171" s="82" t="str">
        <f t="shared" si="40"/>
        <v>FEBRUARY-2-KALIBENDA</v>
      </c>
      <c r="M171" s="70">
        <f t="shared" si="41"/>
        <v>0.1429043110769348</v>
      </c>
      <c r="N171" s="70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25">
      <c r="A172" s="9" t="s">
        <v>34</v>
      </c>
      <c r="B172" s="63">
        <v>2</v>
      </c>
      <c r="C172" t="s">
        <v>13</v>
      </c>
      <c r="D172" s="65">
        <v>9612</v>
      </c>
      <c r="E172" s="65">
        <v>9900</v>
      </c>
      <c r="F172" s="65">
        <v>9870</v>
      </c>
      <c r="G172" s="13">
        <f t="shared" si="36"/>
        <v>-30</v>
      </c>
      <c r="H172" s="13">
        <f t="shared" si="37"/>
        <v>258</v>
      </c>
      <c r="I172" s="70">
        <f t="shared" si="38"/>
        <v>2.6841448189762751E-2</v>
      </c>
      <c r="J172" s="70">
        <f t="shared" si="39"/>
        <v>-3.0303030303030498E-3</v>
      </c>
      <c r="K172" s="82" t="str">
        <f>_xlfn.IFNA(VLOOKUP(CLEAN(SUBSTITUTE(C172," ","")),Ref_Factory!$A:$B,2,FALSE),CLEAN(SUBSTITUTE(C172," ","")))</f>
        <v>KALIBENDA</v>
      </c>
      <c r="L172" s="82" t="str">
        <f t="shared" si="40"/>
        <v>FEBRUARY-2-KALIBENDA</v>
      </c>
      <c r="M172" s="70">
        <f t="shared" si="41"/>
        <v>0.1429043110769348</v>
      </c>
      <c r="N172" s="70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25">
      <c r="A173" s="9" t="s">
        <v>34</v>
      </c>
      <c r="B173" s="63">
        <v>2</v>
      </c>
      <c r="C173" t="s">
        <v>13</v>
      </c>
      <c r="D173" s="65">
        <v>1080</v>
      </c>
      <c r="E173" s="65">
        <v>1095</v>
      </c>
      <c r="F173" s="65">
        <v>1092</v>
      </c>
      <c r="G173" s="13">
        <f t="shared" si="36"/>
        <v>-3</v>
      </c>
      <c r="H173" s="13">
        <f t="shared" si="37"/>
        <v>12</v>
      </c>
      <c r="I173" s="70">
        <f t="shared" si="38"/>
        <v>1.1111111111111072E-2</v>
      </c>
      <c r="J173" s="70">
        <f t="shared" si="39"/>
        <v>-2.739726027397249E-3</v>
      </c>
      <c r="K173" s="82" t="str">
        <f>_xlfn.IFNA(VLOOKUP(CLEAN(SUBSTITUTE(C173," ","")),Ref_Factory!$A:$B,2,FALSE),CLEAN(SUBSTITUTE(C173," ","")))</f>
        <v>KALIBENDA</v>
      </c>
      <c r="L173" s="82" t="str">
        <f t="shared" si="40"/>
        <v>FEBRUARY-2-KALIBENDA</v>
      </c>
      <c r="M173" s="70">
        <f t="shared" si="41"/>
        <v>0.1429043110769348</v>
      </c>
      <c r="N173" s="70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25">
      <c r="A174" s="9" t="s">
        <v>34</v>
      </c>
      <c r="B174" s="63">
        <v>2</v>
      </c>
      <c r="C174" t="s">
        <v>11</v>
      </c>
      <c r="D174" s="65">
        <v>4752</v>
      </c>
      <c r="E174" s="65">
        <v>4899</v>
      </c>
      <c r="F174" s="65">
        <v>4821</v>
      </c>
      <c r="G174" s="13">
        <f t="shared" si="36"/>
        <v>-78</v>
      </c>
      <c r="H174" s="13">
        <f t="shared" si="37"/>
        <v>69</v>
      </c>
      <c r="I174" s="70">
        <f t="shared" si="38"/>
        <v>1.4520202020201989E-2</v>
      </c>
      <c r="J174" s="70">
        <f t="shared" si="39"/>
        <v>-1.5921616656460524E-2</v>
      </c>
      <c r="K174" s="82" t="str">
        <f>_xlfn.IFNA(VLOOKUP(CLEAN(SUBSTITUTE(C174," ","")),Ref_Factory!$A:$B,2,FALSE),CLEAN(SUBSTITUTE(C174," ","")))</f>
        <v>GM1</v>
      </c>
      <c r="L174" s="82" t="str">
        <f t="shared" si="40"/>
        <v>FEBRUARY-2-GM1</v>
      </c>
      <c r="M174" s="70">
        <f t="shared" si="41"/>
        <v>-1.4115067350108701E-2</v>
      </c>
      <c r="N174" s="70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25">
      <c r="A175" s="9" t="s">
        <v>34</v>
      </c>
      <c r="B175" s="63">
        <v>2</v>
      </c>
      <c r="C175" t="s">
        <v>11</v>
      </c>
      <c r="D175" s="65">
        <v>8856</v>
      </c>
      <c r="E175" s="65">
        <v>9124</v>
      </c>
      <c r="F175" s="65">
        <v>9021</v>
      </c>
      <c r="G175" s="13">
        <f t="shared" si="36"/>
        <v>-103</v>
      </c>
      <c r="H175" s="13">
        <f t="shared" si="37"/>
        <v>165</v>
      </c>
      <c r="I175" s="70">
        <f t="shared" si="38"/>
        <v>1.8631436314363148E-2</v>
      </c>
      <c r="J175" s="70">
        <f t="shared" si="39"/>
        <v>-1.1288908373520368E-2</v>
      </c>
      <c r="K175" s="82" t="str">
        <f>_xlfn.IFNA(VLOOKUP(CLEAN(SUBSTITUTE(C175," ","")),Ref_Factory!$A:$B,2,FALSE),CLEAN(SUBSTITUTE(C175," ","")))</f>
        <v>GM1</v>
      </c>
      <c r="L175" s="82" t="str">
        <f t="shared" si="40"/>
        <v>FEBRUARY-2-GM1</v>
      </c>
      <c r="M175" s="70">
        <f t="shared" si="41"/>
        <v>-1.4115067350108701E-2</v>
      </c>
      <c r="N175" s="70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25">
      <c r="A176" s="9" t="s">
        <v>34</v>
      </c>
      <c r="B176" s="63">
        <v>2</v>
      </c>
      <c r="C176" t="s">
        <v>11</v>
      </c>
      <c r="D176" s="65">
        <v>5400</v>
      </c>
      <c r="E176" s="65">
        <v>5595</v>
      </c>
      <c r="F176" s="65">
        <v>5442</v>
      </c>
      <c r="G176" s="13">
        <f t="shared" si="36"/>
        <v>-153</v>
      </c>
      <c r="H176" s="13">
        <f t="shared" si="37"/>
        <v>42</v>
      </c>
      <c r="I176" s="70">
        <f t="shared" si="38"/>
        <v>7.7777777777778834E-3</v>
      </c>
      <c r="J176" s="70">
        <f t="shared" si="39"/>
        <v>-2.7345844504021444E-2</v>
      </c>
      <c r="K176" s="82" t="str">
        <f>_xlfn.IFNA(VLOOKUP(CLEAN(SUBSTITUTE(C176," ","")),Ref_Factory!$A:$B,2,FALSE),CLEAN(SUBSTITUTE(C176," ","")))</f>
        <v>GM1</v>
      </c>
      <c r="L176" s="82" t="str">
        <f t="shared" si="40"/>
        <v>FEBRUARY-2-GM1</v>
      </c>
      <c r="M176" s="70">
        <f t="shared" si="41"/>
        <v>-1.4115067350108701E-2</v>
      </c>
      <c r="N176" s="70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25">
      <c r="A177" s="9" t="s">
        <v>34</v>
      </c>
      <c r="B177" s="63">
        <v>2</v>
      </c>
      <c r="C177" t="s">
        <v>14</v>
      </c>
      <c r="D177" s="65">
        <v>9288</v>
      </c>
      <c r="E177" s="65">
        <v>9737</v>
      </c>
      <c r="F177" s="65">
        <v>9450</v>
      </c>
      <c r="G177" s="13">
        <f t="shared" si="36"/>
        <v>-287</v>
      </c>
      <c r="H177" s="13">
        <f t="shared" si="37"/>
        <v>162</v>
      </c>
      <c r="I177" s="70">
        <f t="shared" si="38"/>
        <v>1.744186046511631E-2</v>
      </c>
      <c r="J177" s="70">
        <f t="shared" si="39"/>
        <v>-2.9475197699496802E-2</v>
      </c>
      <c r="K177" s="82" t="str">
        <f>_xlfn.IFNA(VLOOKUP(CLEAN(SUBSTITUTE(C177," ","")),Ref_Factory!$A:$B,2,FALSE),CLEAN(SUBSTITUTE(C177," ","")))</f>
        <v>GM2</v>
      </c>
      <c r="L177" s="82" t="str">
        <f t="shared" si="40"/>
        <v>FEBRUARY-2-GM2</v>
      </c>
      <c r="M177" s="70">
        <f t="shared" si="41"/>
        <v>0.33919502201993978</v>
      </c>
      <c r="N177" s="70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25">
      <c r="A178" s="9" t="s">
        <v>34</v>
      </c>
      <c r="B178" s="63">
        <v>2</v>
      </c>
      <c r="C178" t="s">
        <v>14</v>
      </c>
      <c r="D178" s="65">
        <v>1512</v>
      </c>
      <c r="E178" s="65">
        <v>1560</v>
      </c>
      <c r="F178" s="65">
        <v>1557</v>
      </c>
      <c r="G178" s="13">
        <f t="shared" si="36"/>
        <v>-3</v>
      </c>
      <c r="H178" s="13">
        <f t="shared" si="37"/>
        <v>45</v>
      </c>
      <c r="I178" s="70">
        <f t="shared" si="38"/>
        <v>2.9761904761904656E-2</v>
      </c>
      <c r="J178" s="70">
        <f t="shared" si="39"/>
        <v>-1.9230769230769162E-3</v>
      </c>
      <c r="K178" s="82" t="str">
        <f>_xlfn.IFNA(VLOOKUP(CLEAN(SUBSTITUTE(C178," ","")),Ref_Factory!$A:$B,2,FALSE),CLEAN(SUBSTITUTE(C178," ","")))</f>
        <v>GM2</v>
      </c>
      <c r="L178" s="82" t="str">
        <f t="shared" si="40"/>
        <v>FEBRUARY-2-GM2</v>
      </c>
      <c r="M178" s="70">
        <f t="shared" si="41"/>
        <v>0.33919502201993978</v>
      </c>
      <c r="N178" s="70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25">
      <c r="A179" s="9" t="s">
        <v>34</v>
      </c>
      <c r="B179" s="63">
        <v>2</v>
      </c>
      <c r="C179" t="s">
        <v>14</v>
      </c>
      <c r="D179" s="65">
        <v>4320</v>
      </c>
      <c r="E179" s="65">
        <v>4457</v>
      </c>
      <c r="F179" s="65">
        <v>4398</v>
      </c>
      <c r="G179" s="13">
        <f t="shared" si="36"/>
        <v>-59</v>
      </c>
      <c r="H179" s="13">
        <f t="shared" si="37"/>
        <v>78</v>
      </c>
      <c r="I179" s="70">
        <f t="shared" si="38"/>
        <v>1.8055555555555491E-2</v>
      </c>
      <c r="J179" s="70">
        <f t="shared" si="39"/>
        <v>-1.3237603769351569E-2</v>
      </c>
      <c r="K179" s="82" t="str">
        <f>_xlfn.IFNA(VLOOKUP(CLEAN(SUBSTITUTE(C179," ","")),Ref_Factory!$A:$B,2,FALSE),CLEAN(SUBSTITUTE(C179," ","")))</f>
        <v>GM2</v>
      </c>
      <c r="L179" s="82" t="str">
        <f t="shared" si="40"/>
        <v>FEBRUARY-2-GM2</v>
      </c>
      <c r="M179" s="70">
        <f t="shared" si="41"/>
        <v>0.33919502201993978</v>
      </c>
      <c r="N179" s="70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25">
      <c r="A180" s="9" t="s">
        <v>34</v>
      </c>
      <c r="B180" s="63">
        <v>2</v>
      </c>
      <c r="C180" t="s">
        <v>14</v>
      </c>
      <c r="D180" s="65">
        <v>6156</v>
      </c>
      <c r="E180" s="65">
        <v>6353</v>
      </c>
      <c r="F180" s="65">
        <v>6156</v>
      </c>
      <c r="G180" s="13">
        <f t="shared" si="36"/>
        <v>-197</v>
      </c>
      <c r="H180" s="13">
        <f t="shared" si="37"/>
        <v>0</v>
      </c>
      <c r="I180" s="70">
        <f t="shared" si="38"/>
        <v>0</v>
      </c>
      <c r="J180" s="70">
        <f t="shared" si="39"/>
        <v>-3.1008972139146884E-2</v>
      </c>
      <c r="K180" s="82" t="str">
        <f>_xlfn.IFNA(VLOOKUP(CLEAN(SUBSTITUTE(C180," ","")),Ref_Factory!$A:$B,2,FALSE),CLEAN(SUBSTITUTE(C180," ","")))</f>
        <v>GM2</v>
      </c>
      <c r="L180" s="82" t="str">
        <f t="shared" si="40"/>
        <v>FEBRUARY-2-GM2</v>
      </c>
      <c r="M180" s="70">
        <f t="shared" si="41"/>
        <v>0.33919502201993978</v>
      </c>
      <c r="N180" s="70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25">
      <c r="A181" s="9" t="s">
        <v>34</v>
      </c>
      <c r="B181" s="63">
        <v>2</v>
      </c>
      <c r="C181" t="s">
        <v>14</v>
      </c>
      <c r="D181" s="65">
        <v>7236</v>
      </c>
      <c r="E181" s="65">
        <v>7519</v>
      </c>
      <c r="F181" s="65">
        <v>7236</v>
      </c>
      <c r="G181" s="13">
        <f t="shared" si="36"/>
        <v>-283</v>
      </c>
      <c r="H181" s="13">
        <f t="shared" si="37"/>
        <v>0</v>
      </c>
      <c r="I181" s="70">
        <f t="shared" si="38"/>
        <v>0</v>
      </c>
      <c r="J181" s="70">
        <f t="shared" si="39"/>
        <v>-3.7637983774438055E-2</v>
      </c>
      <c r="K181" s="82" t="str">
        <f>_xlfn.IFNA(VLOOKUP(CLEAN(SUBSTITUTE(C181," ","")),Ref_Factory!$A:$B,2,FALSE),CLEAN(SUBSTITUTE(C181," ","")))</f>
        <v>GM2</v>
      </c>
      <c r="L181" s="82" t="str">
        <f t="shared" si="40"/>
        <v>FEBRUARY-2-GM2</v>
      </c>
      <c r="M181" s="70">
        <f t="shared" si="41"/>
        <v>0.33919502201993978</v>
      </c>
      <c r="N181" s="70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25">
      <c r="A182" s="9" t="s">
        <v>34</v>
      </c>
      <c r="B182" s="63">
        <v>2</v>
      </c>
      <c r="C182" t="s">
        <v>14</v>
      </c>
      <c r="D182" s="65">
        <v>6696</v>
      </c>
      <c r="E182" s="65">
        <v>6924</v>
      </c>
      <c r="F182" s="65">
        <v>6858</v>
      </c>
      <c r="G182" s="13">
        <f t="shared" si="36"/>
        <v>-66</v>
      </c>
      <c r="H182" s="13">
        <f t="shared" si="37"/>
        <v>162</v>
      </c>
      <c r="I182" s="70">
        <f t="shared" si="38"/>
        <v>2.4193548387096753E-2</v>
      </c>
      <c r="J182" s="70">
        <f t="shared" si="39"/>
        <v>-9.5320623916811398E-3</v>
      </c>
      <c r="K182" s="82" t="str">
        <f>_xlfn.IFNA(VLOOKUP(CLEAN(SUBSTITUTE(C182," ","")),Ref_Factory!$A:$B,2,FALSE),CLEAN(SUBSTITUTE(C182," ","")))</f>
        <v>GM2</v>
      </c>
      <c r="L182" s="82" t="str">
        <f t="shared" si="40"/>
        <v>FEBRUARY-2-GM2</v>
      </c>
      <c r="M182" s="70">
        <f t="shared" si="41"/>
        <v>0.33919502201993978</v>
      </c>
      <c r="N182" s="70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25">
      <c r="A183" s="9" t="s">
        <v>34</v>
      </c>
      <c r="B183" s="63">
        <v>2</v>
      </c>
      <c r="C183" t="s">
        <v>14</v>
      </c>
      <c r="D183" s="65">
        <v>5184</v>
      </c>
      <c r="E183" s="65">
        <v>5358</v>
      </c>
      <c r="F183" s="65">
        <v>5184</v>
      </c>
      <c r="G183" s="13">
        <f t="shared" si="36"/>
        <v>-174</v>
      </c>
      <c r="H183" s="13">
        <f t="shared" si="37"/>
        <v>0</v>
      </c>
      <c r="I183" s="70">
        <f t="shared" si="38"/>
        <v>0</v>
      </c>
      <c r="J183" s="70">
        <f t="shared" si="39"/>
        <v>-3.2474804031354942E-2</v>
      </c>
      <c r="K183" s="82" t="str">
        <f>_xlfn.IFNA(VLOOKUP(CLEAN(SUBSTITUTE(C183," ","")),Ref_Factory!$A:$B,2,FALSE),CLEAN(SUBSTITUTE(C183," ","")))</f>
        <v>GM2</v>
      </c>
      <c r="L183" s="82" t="str">
        <f t="shared" si="40"/>
        <v>FEBRUARY-2-GM2</v>
      </c>
      <c r="M183" s="70">
        <f t="shared" si="41"/>
        <v>0.33919502201993978</v>
      </c>
      <c r="N183" s="70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25">
      <c r="A184" s="9" t="s">
        <v>34</v>
      </c>
      <c r="B184" s="63">
        <v>2</v>
      </c>
      <c r="C184" t="s">
        <v>14</v>
      </c>
      <c r="D184" s="65">
        <v>1080</v>
      </c>
      <c r="E184" s="65">
        <v>1116</v>
      </c>
      <c r="F184" s="65">
        <v>1080</v>
      </c>
      <c r="G184" s="13">
        <f t="shared" si="36"/>
        <v>-36</v>
      </c>
      <c r="H184" s="13">
        <f t="shared" si="37"/>
        <v>0</v>
      </c>
      <c r="I184" s="70">
        <f t="shared" si="38"/>
        <v>0</v>
      </c>
      <c r="J184" s="70">
        <f t="shared" si="39"/>
        <v>-3.2258064516129004E-2</v>
      </c>
      <c r="K184" s="82" t="str">
        <f>_xlfn.IFNA(VLOOKUP(CLEAN(SUBSTITUTE(C184," ","")),Ref_Factory!$A:$B,2,FALSE),CLEAN(SUBSTITUTE(C184," ","")))</f>
        <v>GM2</v>
      </c>
      <c r="L184" s="82" t="str">
        <f t="shared" si="40"/>
        <v>FEBRUARY-2-GM2</v>
      </c>
      <c r="M184" s="70">
        <f t="shared" si="41"/>
        <v>0.33919502201993978</v>
      </c>
      <c r="N184" s="70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25">
      <c r="A185" s="9" t="s">
        <v>34</v>
      </c>
      <c r="B185" s="63">
        <v>2</v>
      </c>
      <c r="C185" t="s">
        <v>11</v>
      </c>
      <c r="D185" s="65">
        <v>7560</v>
      </c>
      <c r="E185" s="65">
        <v>7826</v>
      </c>
      <c r="F185" s="65">
        <v>7635</v>
      </c>
      <c r="G185" s="13">
        <f t="shared" si="36"/>
        <v>-191</v>
      </c>
      <c r="H185" s="13">
        <f t="shared" si="37"/>
        <v>75</v>
      </c>
      <c r="I185" s="70">
        <f t="shared" si="38"/>
        <v>9.9206349206348854E-3</v>
      </c>
      <c r="J185" s="70">
        <f t="shared" si="39"/>
        <v>-2.440582673140812E-2</v>
      </c>
      <c r="K185" s="82" t="str">
        <f>_xlfn.IFNA(VLOOKUP(CLEAN(SUBSTITUTE(C185," ","")),Ref_Factory!$A:$B,2,FALSE),CLEAN(SUBSTITUTE(C185," ","")))</f>
        <v>GM1</v>
      </c>
      <c r="L185" s="82" t="str">
        <f t="shared" si="40"/>
        <v>FEBRUARY-2-GM1</v>
      </c>
      <c r="M185" s="70">
        <f t="shared" si="41"/>
        <v>-1.4115067350108701E-2</v>
      </c>
      <c r="N185" s="70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25">
      <c r="A186" s="9" t="s">
        <v>34</v>
      </c>
      <c r="B186" s="63">
        <v>2</v>
      </c>
      <c r="C186" t="s">
        <v>14</v>
      </c>
      <c r="D186" s="65">
        <v>9648</v>
      </c>
      <c r="E186" s="65">
        <v>9822</v>
      </c>
      <c r="F186" s="65">
        <v>9604</v>
      </c>
      <c r="G186" s="13">
        <f t="shared" si="36"/>
        <v>-218</v>
      </c>
      <c r="H186" s="13">
        <f t="shared" si="37"/>
        <v>-44</v>
      </c>
      <c r="I186" s="70">
        <f t="shared" si="38"/>
        <v>-4.560530679933672E-3</v>
      </c>
      <c r="J186" s="70">
        <f t="shared" si="39"/>
        <v>-2.2195072286703366E-2</v>
      </c>
      <c r="K186" s="82" t="str">
        <f>_xlfn.IFNA(VLOOKUP(CLEAN(SUBSTITUTE(C186," ","")),Ref_Factory!$A:$B,2,FALSE),CLEAN(SUBSTITUTE(C186," ","")))</f>
        <v>GM2</v>
      </c>
      <c r="L186" s="82" t="str">
        <f t="shared" si="40"/>
        <v>FEBRUARY-2-GM2</v>
      </c>
      <c r="M186" s="70">
        <f t="shared" si="41"/>
        <v>0.33919502201993978</v>
      </c>
      <c r="N186" s="70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25">
      <c r="A187" s="9" t="s">
        <v>34</v>
      </c>
      <c r="B187" s="63">
        <v>2</v>
      </c>
      <c r="C187" t="s">
        <v>14</v>
      </c>
      <c r="D187" s="65">
        <v>10368</v>
      </c>
      <c r="E187" s="65">
        <v>10415</v>
      </c>
      <c r="F187" s="65">
        <v>10400</v>
      </c>
      <c r="G187" s="13">
        <f t="shared" si="36"/>
        <v>-15</v>
      </c>
      <c r="H187" s="13">
        <f t="shared" si="37"/>
        <v>32</v>
      </c>
      <c r="I187" s="70">
        <f t="shared" si="38"/>
        <v>3.0864197530864335E-3</v>
      </c>
      <c r="J187" s="70">
        <f t="shared" si="39"/>
        <v>-1.4402304368699159E-3</v>
      </c>
      <c r="K187" s="82" t="str">
        <f>_xlfn.IFNA(VLOOKUP(CLEAN(SUBSTITUTE(C187," ","")),Ref_Factory!$A:$B,2,FALSE),CLEAN(SUBSTITUTE(C187," ","")))</f>
        <v>GM2</v>
      </c>
      <c r="L187" s="82" t="str">
        <f t="shared" si="40"/>
        <v>FEBRUARY-2-GM2</v>
      </c>
      <c r="M187" s="70">
        <f t="shared" si="41"/>
        <v>0.33919502201993978</v>
      </c>
      <c r="N187" s="70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25">
      <c r="A188" s="9" t="s">
        <v>34</v>
      </c>
      <c r="B188" s="63">
        <v>2</v>
      </c>
      <c r="C188" t="s">
        <v>14</v>
      </c>
      <c r="D188" s="65">
        <v>6480</v>
      </c>
      <c r="E188" s="65">
        <v>6634</v>
      </c>
      <c r="F188" s="65">
        <v>6540</v>
      </c>
      <c r="G188" s="13">
        <f t="shared" si="36"/>
        <v>-94</v>
      </c>
      <c r="H188" s="13">
        <f t="shared" si="37"/>
        <v>60</v>
      </c>
      <c r="I188" s="70">
        <f t="shared" si="38"/>
        <v>9.2592592592593004E-3</v>
      </c>
      <c r="J188" s="70">
        <f t="shared" si="39"/>
        <v>-1.4169430208019307E-2</v>
      </c>
      <c r="K188" s="82" t="str">
        <f>_xlfn.IFNA(VLOOKUP(CLEAN(SUBSTITUTE(C188," ","")),Ref_Factory!$A:$B,2,FALSE),CLEAN(SUBSTITUTE(C188," ","")))</f>
        <v>GM2</v>
      </c>
      <c r="L188" s="82" t="str">
        <f t="shared" si="40"/>
        <v>FEBRUARY-2-GM2</v>
      </c>
      <c r="M188" s="70">
        <f t="shared" si="41"/>
        <v>0.33919502201993978</v>
      </c>
      <c r="N188" s="70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25">
      <c r="A189" s="9" t="s">
        <v>34</v>
      </c>
      <c r="B189" s="63">
        <v>2</v>
      </c>
      <c r="C189" t="s">
        <v>14</v>
      </c>
      <c r="D189" s="65">
        <v>6480</v>
      </c>
      <c r="E189" s="65">
        <v>6423</v>
      </c>
      <c r="F189" s="65">
        <v>6456</v>
      </c>
      <c r="G189" s="13">
        <f t="shared" si="36"/>
        <v>33</v>
      </c>
      <c r="H189" s="13">
        <f t="shared" si="37"/>
        <v>-24</v>
      </c>
      <c r="I189" s="70">
        <f t="shared" si="38"/>
        <v>-3.7037037037036535E-3</v>
      </c>
      <c r="J189" s="70">
        <f t="shared" si="39"/>
        <v>5.1377860812704679E-3</v>
      </c>
      <c r="K189" s="82" t="str">
        <f>_xlfn.IFNA(VLOOKUP(CLEAN(SUBSTITUTE(C189," ","")),Ref_Factory!$A:$B,2,FALSE),CLEAN(SUBSTITUTE(C189," ","")))</f>
        <v>GM2</v>
      </c>
      <c r="L189" s="82" t="str">
        <f t="shared" si="40"/>
        <v>FEBRUARY-2-GM2</v>
      </c>
      <c r="M189" s="70">
        <f t="shared" si="41"/>
        <v>0.33919502201993978</v>
      </c>
      <c r="N189" s="70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25">
      <c r="A190" s="9" t="s">
        <v>34</v>
      </c>
      <c r="B190" s="63">
        <v>2</v>
      </c>
      <c r="C190" t="s">
        <v>14</v>
      </c>
      <c r="D190" s="65">
        <v>12240</v>
      </c>
      <c r="E190" s="65">
        <v>12493</v>
      </c>
      <c r="F190" s="65">
        <v>12484</v>
      </c>
      <c r="G190" s="13">
        <f t="shared" si="36"/>
        <v>-9</v>
      </c>
      <c r="H190" s="13">
        <f t="shared" si="37"/>
        <v>244</v>
      </c>
      <c r="I190" s="70">
        <f t="shared" si="38"/>
        <v>1.9934640522875746E-2</v>
      </c>
      <c r="J190" s="70">
        <f t="shared" si="39"/>
        <v>-7.2040342591850326E-4</v>
      </c>
      <c r="K190" s="82" t="str">
        <f>_xlfn.IFNA(VLOOKUP(CLEAN(SUBSTITUTE(C190," ","")),Ref_Factory!$A:$B,2,FALSE),CLEAN(SUBSTITUTE(C190," ","")))</f>
        <v>GM2</v>
      </c>
      <c r="L190" s="82" t="str">
        <f t="shared" si="40"/>
        <v>FEBRUARY-2-GM2</v>
      </c>
      <c r="M190" s="70">
        <f t="shared" si="41"/>
        <v>0.33919502201993978</v>
      </c>
      <c r="N190" s="70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25">
      <c r="A191" s="9" t="s">
        <v>34</v>
      </c>
      <c r="B191" s="63">
        <v>2</v>
      </c>
      <c r="C191" t="s">
        <v>14</v>
      </c>
      <c r="D191" s="65">
        <v>11376</v>
      </c>
      <c r="E191" s="65">
        <v>11604</v>
      </c>
      <c r="F191" s="65">
        <v>11516</v>
      </c>
      <c r="G191" s="13">
        <f t="shared" si="36"/>
        <v>-88</v>
      </c>
      <c r="H191" s="13">
        <f t="shared" si="37"/>
        <v>140</v>
      </c>
      <c r="I191" s="70">
        <f t="shared" si="38"/>
        <v>1.2306610407876173E-2</v>
      </c>
      <c r="J191" s="70">
        <f t="shared" si="39"/>
        <v>-7.5835918648742284E-3</v>
      </c>
      <c r="K191" s="82" t="str">
        <f>_xlfn.IFNA(VLOOKUP(CLEAN(SUBSTITUTE(C191," ","")),Ref_Factory!$A:$B,2,FALSE),CLEAN(SUBSTITUTE(C191," ","")))</f>
        <v>GM2</v>
      </c>
      <c r="L191" s="82" t="str">
        <f t="shared" si="40"/>
        <v>FEBRUARY-2-GM2</v>
      </c>
      <c r="M191" s="70">
        <f t="shared" si="41"/>
        <v>0.33919502201993978</v>
      </c>
      <c r="N191" s="70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25">
      <c r="A192" s="9" t="s">
        <v>34</v>
      </c>
      <c r="B192" s="63">
        <v>2</v>
      </c>
      <c r="C192" t="s">
        <v>14</v>
      </c>
      <c r="D192" s="65">
        <v>4896</v>
      </c>
      <c r="E192" s="65">
        <v>4995</v>
      </c>
      <c r="F192" s="65">
        <v>4952</v>
      </c>
      <c r="G192" s="13">
        <f t="shared" si="36"/>
        <v>-43</v>
      </c>
      <c r="H192" s="13">
        <f t="shared" si="37"/>
        <v>56</v>
      </c>
      <c r="I192" s="70">
        <f t="shared" si="38"/>
        <v>1.1437908496731986E-2</v>
      </c>
      <c r="J192" s="70">
        <f t="shared" si="39"/>
        <v>-8.60860860860857E-3</v>
      </c>
      <c r="K192" s="82" t="str">
        <f>_xlfn.IFNA(VLOOKUP(CLEAN(SUBSTITUTE(C192," ","")),Ref_Factory!$A:$B,2,FALSE),CLEAN(SUBSTITUTE(C192," ","")))</f>
        <v>GM2</v>
      </c>
      <c r="L192" s="82" t="str">
        <f t="shared" si="40"/>
        <v>FEBRUARY-2-GM2</v>
      </c>
      <c r="M192" s="70">
        <f t="shared" si="41"/>
        <v>0.33919502201993978</v>
      </c>
      <c r="N192" s="70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25">
      <c r="A193" s="9" t="s">
        <v>34</v>
      </c>
      <c r="B193" s="63">
        <v>2</v>
      </c>
      <c r="C193" t="s">
        <v>14</v>
      </c>
      <c r="D193" s="65">
        <v>7920</v>
      </c>
      <c r="E193" s="65">
        <v>8093</v>
      </c>
      <c r="F193" s="65">
        <v>8100</v>
      </c>
      <c r="G193" s="13">
        <f t="shared" si="36"/>
        <v>7</v>
      </c>
      <c r="H193" s="13">
        <f t="shared" si="37"/>
        <v>180</v>
      </c>
      <c r="I193" s="70">
        <f t="shared" si="38"/>
        <v>2.2727272727272707E-2</v>
      </c>
      <c r="J193" s="70">
        <f t="shared" si="39"/>
        <v>8.6494501420975034E-4</v>
      </c>
      <c r="K193" s="82" t="str">
        <f>_xlfn.IFNA(VLOOKUP(CLEAN(SUBSTITUTE(C193," ","")),Ref_Factory!$A:$B,2,FALSE),CLEAN(SUBSTITUTE(C193," ","")))</f>
        <v>GM2</v>
      </c>
      <c r="L193" s="82" t="str">
        <f t="shared" si="40"/>
        <v>FEBRUARY-2-GM2</v>
      </c>
      <c r="M193" s="70">
        <f t="shared" si="41"/>
        <v>0.33919502201993978</v>
      </c>
      <c r="N193" s="70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25">
      <c r="A194" s="9" t="s">
        <v>34</v>
      </c>
      <c r="B194" s="63">
        <v>2</v>
      </c>
      <c r="C194" t="s">
        <v>11</v>
      </c>
      <c r="D194" s="65">
        <v>16560</v>
      </c>
      <c r="E194" s="65">
        <v>16984</v>
      </c>
      <c r="F194" s="65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70">
        <f t="shared" ref="I194:I257" si="56">F194/D194-1</f>
        <v>0</v>
      </c>
      <c r="J194" s="70">
        <f t="shared" ref="J194:J257" si="57">F194/E194-1</f>
        <v>-2.4964672633066454E-2</v>
      </c>
      <c r="K194" s="82" t="str">
        <f>_xlfn.IFNA(VLOOKUP(CLEAN(SUBSTITUTE(C194," ","")),Ref_Factory!$A:$B,2,FALSE),CLEAN(SUBSTITUTE(C194," ","")))</f>
        <v>GM1</v>
      </c>
      <c r="L194" s="82" t="str">
        <f t="shared" ref="L194:L257" si="58">A194&amp;"-"&amp;B194&amp;"-"&amp;K194</f>
        <v>FEBRUARY-2-GM1</v>
      </c>
      <c r="M194" s="70">
        <f t="shared" ref="M194:M257" si="59">SUMIF($L$2:$L$1420,L194,$I$2:$I$1420)</f>
        <v>-1.4115067350108701E-2</v>
      </c>
      <c r="N194" s="70">
        <f t="shared" ref="N194:N257" si="60">SUMIF($L$2:$L$1420,L194,$J$2:$J$1420)</f>
        <v>-0.41646017702597238</v>
      </c>
      <c r="O194" s="13">
        <f t="shared" ref="O194:O257" si="61">SUMIF($A$2:$A$1420,A194,$D$2:$D$1420)</f>
        <v>1504511</v>
      </c>
      <c r="P194" s="13">
        <f t="shared" ref="P194:P257" si="62">SUMIF($A$2:$A$1420,A194,$E$2:$E$1420)</f>
        <v>1532581</v>
      </c>
      <c r="Q194" s="13">
        <f t="shared" ref="Q194:Q257" si="63">SUMIF($A$2:$A$1420,A194,$F$2:$F$1420)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SUMIF($T$2:$T$1420,T194,$D$2:$D$1420)</f>
        <v>175819</v>
      </c>
      <c r="V194">
        <f t="shared" ref="V194:V257" si="68">SUMIF($T$2:$T$1420,T194,$E$2:$E$1420)</f>
        <v>180451</v>
      </c>
      <c r="W194">
        <f t="shared" ref="W194:W257" si="69">SUMIF($T$2:$T$1420,T194,$F$2:$F$1420)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25">
      <c r="A195" s="9" t="s">
        <v>34</v>
      </c>
      <c r="B195" s="63">
        <v>2</v>
      </c>
      <c r="C195" t="s">
        <v>14</v>
      </c>
      <c r="D195" s="65">
        <v>18468</v>
      </c>
      <c r="E195" s="65">
        <v>19028</v>
      </c>
      <c r="F195" s="65">
        <v>19023</v>
      </c>
      <c r="G195" s="13">
        <f t="shared" si="54"/>
        <v>-5</v>
      </c>
      <c r="H195" s="13">
        <f t="shared" si="55"/>
        <v>555</v>
      </c>
      <c r="I195" s="70">
        <f t="shared" si="56"/>
        <v>3.0051981806367811E-2</v>
      </c>
      <c r="J195" s="70">
        <f t="shared" si="57"/>
        <v>-2.6277065377333653E-4</v>
      </c>
      <c r="K195" s="82" t="str">
        <f>_xlfn.IFNA(VLOOKUP(CLEAN(SUBSTITUTE(C195," ","")),Ref_Factory!$A:$B,2,FALSE),CLEAN(SUBSTITUTE(C195," ","")))</f>
        <v>GM2</v>
      </c>
      <c r="L195" s="82" t="str">
        <f t="shared" si="58"/>
        <v>FEBRUARY-2-GM2</v>
      </c>
      <c r="M195" s="70">
        <f t="shared" si="59"/>
        <v>0.33919502201993978</v>
      </c>
      <c r="N195" s="70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25">
      <c r="A196" s="9" t="s">
        <v>34</v>
      </c>
      <c r="B196" s="63">
        <v>2</v>
      </c>
      <c r="C196" t="s">
        <v>14</v>
      </c>
      <c r="D196" s="65">
        <v>1836</v>
      </c>
      <c r="E196" s="65">
        <v>1892</v>
      </c>
      <c r="F196" s="65">
        <v>1887</v>
      </c>
      <c r="G196" s="13">
        <f t="shared" si="54"/>
        <v>-5</v>
      </c>
      <c r="H196" s="13">
        <f t="shared" si="55"/>
        <v>51</v>
      </c>
      <c r="I196" s="70">
        <f t="shared" si="56"/>
        <v>2.7777777777777679E-2</v>
      </c>
      <c r="J196" s="70">
        <f t="shared" si="57"/>
        <v>-2.6427061310781985E-3</v>
      </c>
      <c r="K196" s="82" t="str">
        <f>_xlfn.IFNA(VLOOKUP(CLEAN(SUBSTITUTE(C196," ","")),Ref_Factory!$A:$B,2,FALSE),CLEAN(SUBSTITUTE(C196," ","")))</f>
        <v>GM2</v>
      </c>
      <c r="L196" s="82" t="str">
        <f t="shared" si="58"/>
        <v>FEBRUARY-2-GM2</v>
      </c>
      <c r="M196" s="70">
        <f t="shared" si="59"/>
        <v>0.33919502201993978</v>
      </c>
      <c r="N196" s="70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25">
      <c r="A197" s="9" t="s">
        <v>34</v>
      </c>
      <c r="B197" s="63">
        <v>2</v>
      </c>
      <c r="C197" t="s">
        <v>14</v>
      </c>
      <c r="D197" s="65">
        <v>23040</v>
      </c>
      <c r="E197" s="65">
        <v>23733</v>
      </c>
      <c r="F197" s="65">
        <v>23696</v>
      </c>
      <c r="G197" s="13">
        <f t="shared" si="54"/>
        <v>-37</v>
      </c>
      <c r="H197" s="13">
        <f t="shared" si="55"/>
        <v>656</v>
      </c>
      <c r="I197" s="70">
        <f t="shared" si="56"/>
        <v>2.8472222222222232E-2</v>
      </c>
      <c r="J197" s="70">
        <f t="shared" si="57"/>
        <v>-1.5590106602620946E-3</v>
      </c>
      <c r="K197" s="82" t="str">
        <f>_xlfn.IFNA(VLOOKUP(CLEAN(SUBSTITUTE(C197," ","")),Ref_Factory!$A:$B,2,FALSE),CLEAN(SUBSTITUTE(C197," ","")))</f>
        <v>GM2</v>
      </c>
      <c r="L197" s="82" t="str">
        <f t="shared" si="58"/>
        <v>FEBRUARY-2-GM2</v>
      </c>
      <c r="M197" s="70">
        <f t="shared" si="59"/>
        <v>0.33919502201993978</v>
      </c>
      <c r="N197" s="70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25">
      <c r="A198" s="9" t="s">
        <v>34</v>
      </c>
      <c r="B198" s="63">
        <v>3</v>
      </c>
      <c r="C198" t="s">
        <v>10</v>
      </c>
      <c r="D198" s="65">
        <v>700</v>
      </c>
      <c r="E198" s="65">
        <v>700</v>
      </c>
      <c r="F198" s="65">
        <v>700</v>
      </c>
      <c r="G198" s="13">
        <f t="shared" si="54"/>
        <v>0</v>
      </c>
      <c r="H198" s="13">
        <f t="shared" si="55"/>
        <v>0</v>
      </c>
      <c r="I198" s="70">
        <f t="shared" si="56"/>
        <v>0</v>
      </c>
      <c r="J198" s="70">
        <f t="shared" si="57"/>
        <v>0</v>
      </c>
      <c r="K198" s="82" t="str">
        <f>_xlfn.IFNA(VLOOKUP(CLEAN(SUBSTITUTE(C198," ","")),Ref_Factory!$A:$B,2,FALSE),CLEAN(SUBSTITUTE(C198," ","")))</f>
        <v>CNJ2</v>
      </c>
      <c r="L198" s="82" t="str">
        <f t="shared" si="58"/>
        <v>FEBRUARY-3-CNJ2</v>
      </c>
      <c r="M198" s="70">
        <f t="shared" si="59"/>
        <v>5.8636363636364042E-3</v>
      </c>
      <c r="N198" s="70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25">
      <c r="A199" s="9" t="s">
        <v>34</v>
      </c>
      <c r="B199" s="63">
        <v>3</v>
      </c>
      <c r="C199" t="s">
        <v>10</v>
      </c>
      <c r="D199" s="65">
        <v>50</v>
      </c>
      <c r="E199" s="65">
        <v>50</v>
      </c>
      <c r="F199" s="65">
        <v>50</v>
      </c>
      <c r="G199" s="13">
        <f t="shared" si="54"/>
        <v>0</v>
      </c>
      <c r="H199" s="13">
        <f t="shared" si="55"/>
        <v>0</v>
      </c>
      <c r="I199" s="70">
        <f t="shared" si="56"/>
        <v>0</v>
      </c>
      <c r="J199" s="70">
        <f t="shared" si="57"/>
        <v>0</v>
      </c>
      <c r="K199" s="82" t="str">
        <f>_xlfn.IFNA(VLOOKUP(CLEAN(SUBSTITUTE(C199," ","")),Ref_Factory!$A:$B,2,FALSE),CLEAN(SUBSTITUTE(C199," ","")))</f>
        <v>CNJ2</v>
      </c>
      <c r="L199" s="82" t="str">
        <f t="shared" si="58"/>
        <v>FEBRUARY-3-CNJ2</v>
      </c>
      <c r="M199" s="70">
        <f t="shared" si="59"/>
        <v>5.8636363636364042E-3</v>
      </c>
      <c r="N199" s="70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25">
      <c r="A200" s="9" t="s">
        <v>34</v>
      </c>
      <c r="B200" s="63">
        <v>3</v>
      </c>
      <c r="C200" t="s">
        <v>10</v>
      </c>
      <c r="D200" s="65">
        <v>360</v>
      </c>
      <c r="E200" s="65">
        <v>360</v>
      </c>
      <c r="F200" s="65">
        <v>360</v>
      </c>
      <c r="G200" s="13">
        <f t="shared" si="54"/>
        <v>0</v>
      </c>
      <c r="H200" s="13">
        <f t="shared" si="55"/>
        <v>0</v>
      </c>
      <c r="I200" s="70">
        <f t="shared" si="56"/>
        <v>0</v>
      </c>
      <c r="J200" s="70">
        <f t="shared" si="57"/>
        <v>0</v>
      </c>
      <c r="K200" s="82" t="str">
        <f>_xlfn.IFNA(VLOOKUP(CLEAN(SUBSTITUTE(C200," ","")),Ref_Factory!$A:$B,2,FALSE),CLEAN(SUBSTITUTE(C200," ","")))</f>
        <v>CNJ2</v>
      </c>
      <c r="L200" s="82" t="str">
        <f t="shared" si="58"/>
        <v>FEBRUARY-3-CNJ2</v>
      </c>
      <c r="M200" s="70">
        <f t="shared" si="59"/>
        <v>5.8636363636364042E-3</v>
      </c>
      <c r="N200" s="70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25">
      <c r="A201" s="9" t="s">
        <v>34</v>
      </c>
      <c r="B201" s="63">
        <v>3</v>
      </c>
      <c r="C201" t="s">
        <v>10</v>
      </c>
      <c r="D201" s="65">
        <v>50</v>
      </c>
      <c r="E201" s="65">
        <v>50</v>
      </c>
      <c r="F201" s="65">
        <v>50</v>
      </c>
      <c r="G201" s="13">
        <f t="shared" si="54"/>
        <v>0</v>
      </c>
      <c r="H201" s="13">
        <f t="shared" si="55"/>
        <v>0</v>
      </c>
      <c r="I201" s="70">
        <f t="shared" si="56"/>
        <v>0</v>
      </c>
      <c r="J201" s="70">
        <f t="shared" si="57"/>
        <v>0</v>
      </c>
      <c r="K201" s="82" t="str">
        <f>_xlfn.IFNA(VLOOKUP(CLEAN(SUBSTITUTE(C201," ","")),Ref_Factory!$A:$B,2,FALSE),CLEAN(SUBSTITUTE(C201," ","")))</f>
        <v>CNJ2</v>
      </c>
      <c r="L201" s="82" t="str">
        <f t="shared" si="58"/>
        <v>FEBRUARY-3-CNJ2</v>
      </c>
      <c r="M201" s="70">
        <f t="shared" si="59"/>
        <v>5.8636363636364042E-3</v>
      </c>
      <c r="N201" s="70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25">
      <c r="A202" s="9" t="s">
        <v>34</v>
      </c>
      <c r="B202" s="63">
        <v>3</v>
      </c>
      <c r="C202" t="s">
        <v>17</v>
      </c>
      <c r="D202" s="65">
        <v>2490</v>
      </c>
      <c r="E202" s="65">
        <v>2492</v>
      </c>
      <c r="F202" s="65">
        <v>2488</v>
      </c>
      <c r="G202" s="13">
        <f t="shared" si="54"/>
        <v>-4</v>
      </c>
      <c r="H202" s="13">
        <f t="shared" si="55"/>
        <v>-2</v>
      </c>
      <c r="I202" s="70">
        <f t="shared" si="56"/>
        <v>-8.0321285140561027E-4</v>
      </c>
      <c r="J202" s="70">
        <f t="shared" si="57"/>
        <v>-1.6051364365970988E-3</v>
      </c>
      <c r="K202" s="82" t="str">
        <f>_xlfn.IFNA(VLOOKUP(CLEAN(SUBSTITUTE(C202," ","")),Ref_Factory!$A:$B,2,FALSE),CLEAN(SUBSTITUTE(C202," ","")))</f>
        <v>CBA</v>
      </c>
      <c r="L202" s="82" t="str">
        <f t="shared" si="58"/>
        <v>FEBRUARY-3-CBA</v>
      </c>
      <c r="M202" s="70">
        <f t="shared" si="59"/>
        <v>-8.0321285140561027E-4</v>
      </c>
      <c r="N202" s="70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25">
      <c r="A203" s="9" t="s">
        <v>34</v>
      </c>
      <c r="B203" s="63">
        <v>3</v>
      </c>
      <c r="C203" t="s">
        <v>16</v>
      </c>
      <c r="D203" s="65">
        <v>33000</v>
      </c>
      <c r="E203" s="65">
        <v>33228</v>
      </c>
      <c r="F203" s="65">
        <v>32744</v>
      </c>
      <c r="G203" s="13">
        <f t="shared" si="54"/>
        <v>-484</v>
      </c>
      <c r="H203" s="13">
        <f t="shared" si="55"/>
        <v>-256</v>
      </c>
      <c r="I203" s="70">
        <f t="shared" si="56"/>
        <v>-7.7575757575757409E-3</v>
      </c>
      <c r="J203" s="70">
        <f t="shared" si="57"/>
        <v>-1.456602865053569E-2</v>
      </c>
      <c r="K203" s="82" t="str">
        <f>_xlfn.IFNA(VLOOKUP(CLEAN(SUBSTITUTE(C203," ","")),Ref_Factory!$A:$B,2,FALSE),CLEAN(SUBSTITUTE(C203," ","")))</f>
        <v>ANUGERAH</v>
      </c>
      <c r="L203" s="82" t="str">
        <f t="shared" si="58"/>
        <v>FEBRUARY-3-ANUGERAH</v>
      </c>
      <c r="M203" s="70">
        <f t="shared" si="59"/>
        <v>-0.35146388528138528</v>
      </c>
      <c r="N203" s="70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25">
      <c r="A204" s="9" t="s">
        <v>34</v>
      </c>
      <c r="B204" s="63">
        <v>3</v>
      </c>
      <c r="C204" t="s">
        <v>16</v>
      </c>
      <c r="D204" s="65">
        <v>6000</v>
      </c>
      <c r="E204" s="65">
        <v>6018</v>
      </c>
      <c r="F204" s="65">
        <v>5958</v>
      </c>
      <c r="G204" s="13">
        <f t="shared" si="54"/>
        <v>-60</v>
      </c>
      <c r="H204" s="13">
        <f t="shared" si="55"/>
        <v>-42</v>
      </c>
      <c r="I204" s="70">
        <f t="shared" si="56"/>
        <v>-7.0000000000000062E-3</v>
      </c>
      <c r="J204" s="70">
        <f t="shared" si="57"/>
        <v>-9.9700897308075964E-3</v>
      </c>
      <c r="K204" s="82" t="str">
        <f>_xlfn.IFNA(VLOOKUP(CLEAN(SUBSTITUTE(C204," ","")),Ref_Factory!$A:$B,2,FALSE),CLEAN(SUBSTITUTE(C204," ","")))</f>
        <v>ANUGERAH</v>
      </c>
      <c r="L204" s="82" t="str">
        <f t="shared" si="58"/>
        <v>FEBRUARY-3-ANUGERAH</v>
      </c>
      <c r="M204" s="70">
        <f t="shared" si="59"/>
        <v>-0.35146388528138528</v>
      </c>
      <c r="N204" s="70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25">
      <c r="A205" s="9" t="s">
        <v>34</v>
      </c>
      <c r="B205" s="63">
        <v>3</v>
      </c>
      <c r="C205" t="s">
        <v>16</v>
      </c>
      <c r="D205" s="65">
        <v>10500</v>
      </c>
      <c r="E205" s="65">
        <v>10187</v>
      </c>
      <c r="F205" s="65">
        <v>9833</v>
      </c>
      <c r="G205" s="13">
        <f t="shared" si="54"/>
        <v>-354</v>
      </c>
      <c r="H205" s="13">
        <f t="shared" si="55"/>
        <v>-667</v>
      </c>
      <c r="I205" s="70">
        <f t="shared" si="56"/>
        <v>-6.3523809523809538E-2</v>
      </c>
      <c r="J205" s="70">
        <f t="shared" si="57"/>
        <v>-3.4750171787572448E-2</v>
      </c>
      <c r="K205" s="82" t="str">
        <f>_xlfn.IFNA(VLOOKUP(CLEAN(SUBSTITUTE(C205," ","")),Ref_Factory!$A:$B,2,FALSE),CLEAN(SUBSTITUTE(C205," ","")))</f>
        <v>ANUGERAH</v>
      </c>
      <c r="L205" s="82" t="str">
        <f t="shared" si="58"/>
        <v>FEBRUARY-3-ANUGERAH</v>
      </c>
      <c r="M205" s="70">
        <f t="shared" si="59"/>
        <v>-0.35146388528138528</v>
      </c>
      <c r="N205" s="70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25">
      <c r="A206" s="9" t="s">
        <v>34</v>
      </c>
      <c r="B206" s="63">
        <v>3</v>
      </c>
      <c r="C206" t="s">
        <v>16</v>
      </c>
      <c r="D206" s="65">
        <v>10000</v>
      </c>
      <c r="E206" s="65">
        <v>10335</v>
      </c>
      <c r="F206" s="65">
        <v>10000</v>
      </c>
      <c r="G206" s="13">
        <f t="shared" si="54"/>
        <v>-335</v>
      </c>
      <c r="H206" s="13">
        <f t="shared" si="55"/>
        <v>0</v>
      </c>
      <c r="I206" s="70">
        <f t="shared" si="56"/>
        <v>0</v>
      </c>
      <c r="J206" s="70">
        <f t="shared" si="57"/>
        <v>-3.2414126753749439E-2</v>
      </c>
      <c r="K206" s="82" t="str">
        <f>_xlfn.IFNA(VLOOKUP(CLEAN(SUBSTITUTE(C206," ","")),Ref_Factory!$A:$B,2,FALSE),CLEAN(SUBSTITUTE(C206," ","")))</f>
        <v>ANUGERAH</v>
      </c>
      <c r="L206" s="82" t="str">
        <f t="shared" si="58"/>
        <v>FEBRUARY-3-ANUGERAH</v>
      </c>
      <c r="M206" s="70">
        <f t="shared" si="59"/>
        <v>-0.35146388528138528</v>
      </c>
      <c r="N206" s="70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25">
      <c r="A207" s="9" t="s">
        <v>34</v>
      </c>
      <c r="B207" s="63">
        <v>3</v>
      </c>
      <c r="C207" t="s">
        <v>16</v>
      </c>
      <c r="D207" s="65">
        <v>25000</v>
      </c>
      <c r="E207" s="65">
        <v>25276</v>
      </c>
      <c r="F207" s="65">
        <v>24817</v>
      </c>
      <c r="G207" s="13">
        <f t="shared" si="54"/>
        <v>-459</v>
      </c>
      <c r="H207" s="13">
        <f t="shared" si="55"/>
        <v>-183</v>
      </c>
      <c r="I207" s="70">
        <f t="shared" si="56"/>
        <v>-7.3199999999999932E-3</v>
      </c>
      <c r="J207" s="70">
        <f t="shared" si="57"/>
        <v>-1.8159518911220141E-2</v>
      </c>
      <c r="K207" s="82" t="str">
        <f>_xlfn.IFNA(VLOOKUP(CLEAN(SUBSTITUTE(C207," ","")),Ref_Factory!$A:$B,2,FALSE),CLEAN(SUBSTITUTE(C207," ","")))</f>
        <v>ANUGERAH</v>
      </c>
      <c r="L207" s="82" t="str">
        <f t="shared" si="58"/>
        <v>FEBRUARY-3-ANUGERAH</v>
      </c>
      <c r="M207" s="70">
        <f t="shared" si="59"/>
        <v>-0.35146388528138528</v>
      </c>
      <c r="N207" s="70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25">
      <c r="A208" s="9" t="s">
        <v>34</v>
      </c>
      <c r="B208" s="63">
        <v>3</v>
      </c>
      <c r="C208" t="s">
        <v>16</v>
      </c>
      <c r="D208" s="65">
        <v>7800</v>
      </c>
      <c r="E208" s="65">
        <v>7638</v>
      </c>
      <c r="F208" s="65">
        <v>7527</v>
      </c>
      <c r="G208" s="13">
        <f t="shared" si="54"/>
        <v>-111</v>
      </c>
      <c r="H208" s="13">
        <f t="shared" si="55"/>
        <v>-273</v>
      </c>
      <c r="I208" s="70">
        <f t="shared" si="56"/>
        <v>-3.5000000000000031E-2</v>
      </c>
      <c r="J208" s="70">
        <f t="shared" si="57"/>
        <v>-1.4532600157109221E-2</v>
      </c>
      <c r="K208" s="82" t="str">
        <f>_xlfn.IFNA(VLOOKUP(CLEAN(SUBSTITUTE(C208," ","")),Ref_Factory!$A:$B,2,FALSE),CLEAN(SUBSTITUTE(C208," ","")))</f>
        <v>ANUGERAH</v>
      </c>
      <c r="L208" s="82" t="str">
        <f t="shared" si="58"/>
        <v>FEBRUARY-3-ANUGERAH</v>
      </c>
      <c r="M208" s="70">
        <f t="shared" si="59"/>
        <v>-0.35146388528138528</v>
      </c>
      <c r="N208" s="70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25">
      <c r="A209" s="9" t="s">
        <v>34</v>
      </c>
      <c r="B209" s="63">
        <v>3</v>
      </c>
      <c r="C209" t="s">
        <v>16</v>
      </c>
      <c r="D209" s="65">
        <v>48000</v>
      </c>
      <c r="E209" s="65">
        <v>48000</v>
      </c>
      <c r="F209" s="65">
        <v>47957</v>
      </c>
      <c r="G209" s="13">
        <f t="shared" si="54"/>
        <v>-43</v>
      </c>
      <c r="H209" s="13">
        <f t="shared" si="55"/>
        <v>-43</v>
      </c>
      <c r="I209" s="70">
        <f t="shared" si="56"/>
        <v>-8.9583333333331794E-4</v>
      </c>
      <c r="J209" s="70">
        <f t="shared" si="57"/>
        <v>-8.9583333333331794E-4</v>
      </c>
      <c r="K209" s="82" t="str">
        <f>_xlfn.IFNA(VLOOKUP(CLEAN(SUBSTITUTE(C209," ","")),Ref_Factory!$A:$B,2,FALSE),CLEAN(SUBSTITUTE(C209," ","")))</f>
        <v>ANUGERAH</v>
      </c>
      <c r="L209" s="82" t="str">
        <f t="shared" si="58"/>
        <v>FEBRUARY-3-ANUGERAH</v>
      </c>
      <c r="M209" s="70">
        <f t="shared" si="59"/>
        <v>-0.35146388528138528</v>
      </c>
      <c r="N209" s="70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25">
      <c r="A210" s="9" t="s">
        <v>34</v>
      </c>
      <c r="B210" s="63">
        <v>3</v>
      </c>
      <c r="C210" t="s">
        <v>16</v>
      </c>
      <c r="D210" s="65">
        <v>7500</v>
      </c>
      <c r="E210" s="65">
        <v>7716</v>
      </c>
      <c r="F210" s="65">
        <v>7509</v>
      </c>
      <c r="G210" s="13">
        <f t="shared" si="54"/>
        <v>-207</v>
      </c>
      <c r="H210" s="13">
        <f t="shared" si="55"/>
        <v>9</v>
      </c>
      <c r="I210" s="70">
        <f t="shared" si="56"/>
        <v>1.2000000000000899E-3</v>
      </c>
      <c r="J210" s="70">
        <f t="shared" si="57"/>
        <v>-2.6827371695178903E-2</v>
      </c>
      <c r="K210" s="82" t="str">
        <f>_xlfn.IFNA(VLOOKUP(CLEAN(SUBSTITUTE(C210," ","")),Ref_Factory!$A:$B,2,FALSE),CLEAN(SUBSTITUTE(C210," ","")))</f>
        <v>ANUGERAH</v>
      </c>
      <c r="L210" s="82" t="str">
        <f t="shared" si="58"/>
        <v>FEBRUARY-3-ANUGERAH</v>
      </c>
      <c r="M210" s="70">
        <f t="shared" si="59"/>
        <v>-0.35146388528138528</v>
      </c>
      <c r="N210" s="70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25">
      <c r="A211" s="9" t="s">
        <v>34</v>
      </c>
      <c r="B211" s="63">
        <v>3</v>
      </c>
      <c r="C211" t="s">
        <v>10</v>
      </c>
      <c r="D211" s="65">
        <v>22000</v>
      </c>
      <c r="E211" s="65">
        <v>22437</v>
      </c>
      <c r="F211" s="65">
        <v>22129</v>
      </c>
      <c r="G211" s="13">
        <f t="shared" si="54"/>
        <v>-308</v>
      </c>
      <c r="H211" s="13">
        <f t="shared" si="55"/>
        <v>129</v>
      </c>
      <c r="I211" s="70">
        <f t="shared" si="56"/>
        <v>5.8636363636364042E-3</v>
      </c>
      <c r="J211" s="70">
        <f t="shared" si="57"/>
        <v>-1.3727325400008872E-2</v>
      </c>
      <c r="K211" s="82" t="str">
        <f>_xlfn.IFNA(VLOOKUP(CLEAN(SUBSTITUTE(C211," ","")),Ref_Factory!$A:$B,2,FALSE),CLEAN(SUBSTITUTE(C211," ","")))</f>
        <v>CNJ2</v>
      </c>
      <c r="L211" s="82" t="str">
        <f t="shared" si="58"/>
        <v>FEBRUARY-3-CNJ2</v>
      </c>
      <c r="M211" s="70">
        <f t="shared" si="59"/>
        <v>5.8636363636364042E-3</v>
      </c>
      <c r="N211" s="70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25">
      <c r="A212" s="9" t="s">
        <v>34</v>
      </c>
      <c r="B212" s="63">
        <v>3</v>
      </c>
      <c r="C212" t="s">
        <v>16</v>
      </c>
      <c r="D212" s="65">
        <v>450</v>
      </c>
      <c r="E212" s="65">
        <v>462</v>
      </c>
      <c r="F212" s="65">
        <v>434</v>
      </c>
      <c r="G212" s="13">
        <f t="shared" si="54"/>
        <v>-28</v>
      </c>
      <c r="H212" s="13">
        <f t="shared" si="55"/>
        <v>-16</v>
      </c>
      <c r="I212" s="70">
        <f t="shared" si="56"/>
        <v>-3.5555555555555562E-2</v>
      </c>
      <c r="J212" s="70">
        <f t="shared" si="57"/>
        <v>-6.0606060606060552E-2</v>
      </c>
      <c r="K212" s="82" t="str">
        <f>_xlfn.IFNA(VLOOKUP(CLEAN(SUBSTITUTE(C212," ","")),Ref_Factory!$A:$B,2,FALSE),CLEAN(SUBSTITUTE(C212," ","")))</f>
        <v>ANUGERAH</v>
      </c>
      <c r="L212" s="82" t="str">
        <f t="shared" si="58"/>
        <v>FEBRUARY-3-ANUGERAH</v>
      </c>
      <c r="M212" s="70">
        <f t="shared" si="59"/>
        <v>-0.35146388528138528</v>
      </c>
      <c r="N212" s="70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25">
      <c r="A213" s="9" t="s">
        <v>34</v>
      </c>
      <c r="B213" s="63">
        <v>3</v>
      </c>
      <c r="C213" t="s">
        <v>16</v>
      </c>
      <c r="D213" s="65">
        <v>750</v>
      </c>
      <c r="E213" s="65">
        <v>768</v>
      </c>
      <c r="F213" s="65">
        <v>732</v>
      </c>
      <c r="G213" s="13">
        <f t="shared" si="54"/>
        <v>-36</v>
      </c>
      <c r="H213" s="13">
        <f t="shared" si="55"/>
        <v>-18</v>
      </c>
      <c r="I213" s="70">
        <f t="shared" si="56"/>
        <v>-2.4000000000000021E-2</v>
      </c>
      <c r="J213" s="70">
        <f t="shared" si="57"/>
        <v>-4.6875E-2</v>
      </c>
      <c r="K213" s="82" t="str">
        <f>_xlfn.IFNA(VLOOKUP(CLEAN(SUBSTITUTE(C213," ","")),Ref_Factory!$A:$B,2,FALSE),CLEAN(SUBSTITUTE(C213," ","")))</f>
        <v>ANUGERAH</v>
      </c>
      <c r="L213" s="82" t="str">
        <f t="shared" si="58"/>
        <v>FEBRUARY-3-ANUGERAH</v>
      </c>
      <c r="M213" s="70">
        <f t="shared" si="59"/>
        <v>-0.35146388528138528</v>
      </c>
      <c r="N213" s="70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25">
      <c r="A214" s="9" t="s">
        <v>34</v>
      </c>
      <c r="B214" s="63">
        <v>3</v>
      </c>
      <c r="C214" t="s">
        <v>16</v>
      </c>
      <c r="D214" s="65">
        <v>450</v>
      </c>
      <c r="E214" s="65">
        <v>462</v>
      </c>
      <c r="F214" s="65">
        <v>445</v>
      </c>
      <c r="G214" s="13">
        <f t="shared" si="54"/>
        <v>-17</v>
      </c>
      <c r="H214" s="13">
        <f t="shared" si="55"/>
        <v>-5</v>
      </c>
      <c r="I214" s="70">
        <f t="shared" si="56"/>
        <v>-1.1111111111111072E-2</v>
      </c>
      <c r="J214" s="70">
        <f t="shared" si="57"/>
        <v>-3.6796536796536827E-2</v>
      </c>
      <c r="K214" s="82" t="str">
        <f>_xlfn.IFNA(VLOOKUP(CLEAN(SUBSTITUTE(C214," ","")),Ref_Factory!$A:$B,2,FALSE),CLEAN(SUBSTITUTE(C214," ","")))</f>
        <v>ANUGERAH</v>
      </c>
      <c r="L214" s="82" t="str">
        <f t="shared" si="58"/>
        <v>FEBRUARY-3-ANUGERAH</v>
      </c>
      <c r="M214" s="70">
        <f t="shared" si="59"/>
        <v>-0.35146388528138528</v>
      </c>
      <c r="N214" s="70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25">
      <c r="A215" s="9" t="s">
        <v>34</v>
      </c>
      <c r="B215" s="63">
        <v>3</v>
      </c>
      <c r="C215" t="s">
        <v>16</v>
      </c>
      <c r="D215" s="65">
        <v>750</v>
      </c>
      <c r="E215" s="65">
        <v>768</v>
      </c>
      <c r="F215" s="65">
        <v>738</v>
      </c>
      <c r="G215" s="13">
        <f t="shared" si="54"/>
        <v>-30</v>
      </c>
      <c r="H215" s="13">
        <f t="shared" si="55"/>
        <v>-12</v>
      </c>
      <c r="I215" s="70">
        <f t="shared" si="56"/>
        <v>-1.6000000000000014E-2</v>
      </c>
      <c r="J215" s="70">
        <f t="shared" si="57"/>
        <v>-3.90625E-2</v>
      </c>
      <c r="K215" s="82" t="str">
        <f>_xlfn.IFNA(VLOOKUP(CLEAN(SUBSTITUTE(C215," ","")),Ref_Factory!$A:$B,2,FALSE),CLEAN(SUBSTITUTE(C215," ","")))</f>
        <v>ANUGERAH</v>
      </c>
      <c r="L215" s="82" t="str">
        <f t="shared" si="58"/>
        <v>FEBRUARY-3-ANUGERAH</v>
      </c>
      <c r="M215" s="70">
        <f t="shared" si="59"/>
        <v>-0.35146388528138528</v>
      </c>
      <c r="N215" s="70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25">
      <c r="A216" s="9" t="s">
        <v>34</v>
      </c>
      <c r="B216" s="63">
        <v>3</v>
      </c>
      <c r="C216" t="s">
        <v>16</v>
      </c>
      <c r="D216" s="65">
        <v>400</v>
      </c>
      <c r="E216" s="65">
        <v>408</v>
      </c>
      <c r="F216" s="65">
        <v>403</v>
      </c>
      <c r="G216" s="13">
        <f t="shared" si="54"/>
        <v>-5</v>
      </c>
      <c r="H216" s="13">
        <f t="shared" si="55"/>
        <v>3</v>
      </c>
      <c r="I216" s="70">
        <f t="shared" si="56"/>
        <v>7.5000000000000622E-3</v>
      </c>
      <c r="J216" s="70">
        <f t="shared" si="57"/>
        <v>-1.225490196078427E-2</v>
      </c>
      <c r="K216" s="82" t="str">
        <f>_xlfn.IFNA(VLOOKUP(CLEAN(SUBSTITUTE(C216," ","")),Ref_Factory!$A:$B,2,FALSE),CLEAN(SUBSTITUTE(C216," ","")))</f>
        <v>ANUGERAH</v>
      </c>
      <c r="L216" s="82" t="str">
        <f t="shared" si="58"/>
        <v>FEBRUARY-3-ANUGERAH</v>
      </c>
      <c r="M216" s="70">
        <f t="shared" si="59"/>
        <v>-0.35146388528138528</v>
      </c>
      <c r="N216" s="70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25">
      <c r="A217" s="9" t="s">
        <v>34</v>
      </c>
      <c r="B217" s="63">
        <v>3</v>
      </c>
      <c r="C217" t="s">
        <v>16</v>
      </c>
      <c r="D217" s="65">
        <v>600</v>
      </c>
      <c r="E217" s="65">
        <v>576</v>
      </c>
      <c r="F217" s="65">
        <v>576</v>
      </c>
      <c r="G217" s="13">
        <f t="shared" si="54"/>
        <v>0</v>
      </c>
      <c r="H217" s="13">
        <f t="shared" si="55"/>
        <v>-24</v>
      </c>
      <c r="I217" s="70">
        <f t="shared" si="56"/>
        <v>-4.0000000000000036E-2</v>
      </c>
      <c r="J217" s="70">
        <f t="shared" si="57"/>
        <v>0</v>
      </c>
      <c r="K217" s="82" t="str">
        <f>_xlfn.IFNA(VLOOKUP(CLEAN(SUBSTITUTE(C217," ","")),Ref_Factory!$A:$B,2,FALSE),CLEAN(SUBSTITUTE(C217," ","")))</f>
        <v>ANUGERAH</v>
      </c>
      <c r="L217" s="82" t="str">
        <f t="shared" si="58"/>
        <v>FEBRUARY-3-ANUGERAH</v>
      </c>
      <c r="M217" s="70">
        <f t="shared" si="59"/>
        <v>-0.35146388528138528</v>
      </c>
      <c r="N217" s="70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25">
      <c r="A218" s="9" t="s">
        <v>34</v>
      </c>
      <c r="B218" s="63">
        <v>3</v>
      </c>
      <c r="C218" t="s">
        <v>16</v>
      </c>
      <c r="D218" s="65">
        <v>400</v>
      </c>
      <c r="E218" s="65">
        <v>408</v>
      </c>
      <c r="F218" s="65">
        <v>408</v>
      </c>
      <c r="G218" s="13">
        <f t="shared" si="54"/>
        <v>0</v>
      </c>
      <c r="H218" s="13">
        <f t="shared" si="55"/>
        <v>8</v>
      </c>
      <c r="I218" s="70">
        <f t="shared" si="56"/>
        <v>2.0000000000000018E-2</v>
      </c>
      <c r="J218" s="70">
        <f t="shared" si="57"/>
        <v>0</v>
      </c>
      <c r="K218" s="82" t="str">
        <f>_xlfn.IFNA(VLOOKUP(CLEAN(SUBSTITUTE(C218," ","")),Ref_Factory!$A:$B,2,FALSE),CLEAN(SUBSTITUTE(C218," ","")))</f>
        <v>ANUGERAH</v>
      </c>
      <c r="L218" s="82" t="str">
        <f t="shared" si="58"/>
        <v>FEBRUARY-3-ANUGERAH</v>
      </c>
      <c r="M218" s="70">
        <f t="shared" si="59"/>
        <v>-0.35146388528138528</v>
      </c>
      <c r="N218" s="70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25">
      <c r="A219" s="9" t="s">
        <v>34</v>
      </c>
      <c r="B219" s="63">
        <v>3</v>
      </c>
      <c r="C219" t="s">
        <v>16</v>
      </c>
      <c r="D219" s="65">
        <v>600</v>
      </c>
      <c r="E219" s="65">
        <v>618</v>
      </c>
      <c r="F219" s="65">
        <v>564</v>
      </c>
      <c r="G219" s="13">
        <f t="shared" si="54"/>
        <v>-54</v>
      </c>
      <c r="H219" s="13">
        <f t="shared" si="55"/>
        <v>-36</v>
      </c>
      <c r="I219" s="70">
        <f t="shared" si="56"/>
        <v>-6.0000000000000053E-2</v>
      </c>
      <c r="J219" s="70">
        <f t="shared" si="57"/>
        <v>-8.737864077669899E-2</v>
      </c>
      <c r="K219" s="82" t="str">
        <f>_xlfn.IFNA(VLOOKUP(CLEAN(SUBSTITUTE(C219," ","")),Ref_Factory!$A:$B,2,FALSE),CLEAN(SUBSTITUTE(C219," ","")))</f>
        <v>ANUGERAH</v>
      </c>
      <c r="L219" s="82" t="str">
        <f t="shared" si="58"/>
        <v>FEBRUARY-3-ANUGERAH</v>
      </c>
      <c r="M219" s="70">
        <f t="shared" si="59"/>
        <v>-0.35146388528138528</v>
      </c>
      <c r="N219" s="70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25">
      <c r="A220" s="9" t="s">
        <v>34</v>
      </c>
      <c r="B220" s="63">
        <v>3</v>
      </c>
      <c r="C220" t="s">
        <v>16</v>
      </c>
      <c r="D220" s="65">
        <v>450</v>
      </c>
      <c r="E220" s="65">
        <v>458</v>
      </c>
      <c r="F220" s="65">
        <v>442</v>
      </c>
      <c r="G220" s="13">
        <f t="shared" si="54"/>
        <v>-16</v>
      </c>
      <c r="H220" s="13">
        <f t="shared" si="55"/>
        <v>-8</v>
      </c>
      <c r="I220" s="70">
        <f t="shared" si="56"/>
        <v>-1.7777777777777781E-2</v>
      </c>
      <c r="J220" s="70">
        <f t="shared" si="57"/>
        <v>-3.4934497816593857E-2</v>
      </c>
      <c r="K220" s="82" t="str">
        <f>_xlfn.IFNA(VLOOKUP(CLEAN(SUBSTITUTE(C220," ","")),Ref_Factory!$A:$B,2,FALSE),CLEAN(SUBSTITUTE(C220," ","")))</f>
        <v>ANUGERAH</v>
      </c>
      <c r="L220" s="82" t="str">
        <f t="shared" si="58"/>
        <v>FEBRUARY-3-ANUGERAH</v>
      </c>
      <c r="M220" s="70">
        <f t="shared" si="59"/>
        <v>-0.35146388528138528</v>
      </c>
      <c r="N220" s="70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25">
      <c r="A221" s="9" t="s">
        <v>34</v>
      </c>
      <c r="B221" s="63">
        <v>3</v>
      </c>
      <c r="C221" t="s">
        <v>16</v>
      </c>
      <c r="D221" s="65">
        <v>750</v>
      </c>
      <c r="E221" s="65">
        <v>810</v>
      </c>
      <c r="F221" s="65">
        <v>732</v>
      </c>
      <c r="G221" s="13">
        <f t="shared" si="54"/>
        <v>-78</v>
      </c>
      <c r="H221" s="13">
        <f t="shared" si="55"/>
        <v>-18</v>
      </c>
      <c r="I221" s="70">
        <f t="shared" si="56"/>
        <v>-2.4000000000000021E-2</v>
      </c>
      <c r="J221" s="70">
        <f t="shared" si="57"/>
        <v>-9.6296296296296324E-2</v>
      </c>
      <c r="K221" s="82" t="str">
        <f>_xlfn.IFNA(VLOOKUP(CLEAN(SUBSTITUTE(C221," ","")),Ref_Factory!$A:$B,2,FALSE),CLEAN(SUBSTITUTE(C221," ","")))</f>
        <v>ANUGERAH</v>
      </c>
      <c r="L221" s="82" t="str">
        <f t="shared" si="58"/>
        <v>FEBRUARY-3-ANUGERAH</v>
      </c>
      <c r="M221" s="70">
        <f t="shared" si="59"/>
        <v>-0.35146388528138528</v>
      </c>
      <c r="N221" s="70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25">
      <c r="A222" s="9" t="s">
        <v>34</v>
      </c>
      <c r="B222" s="63">
        <v>3</v>
      </c>
      <c r="C222" t="s">
        <v>16</v>
      </c>
      <c r="D222" s="65">
        <v>450</v>
      </c>
      <c r="E222" s="65">
        <v>458</v>
      </c>
      <c r="F222" s="65">
        <v>440</v>
      </c>
      <c r="G222" s="13">
        <f t="shared" si="54"/>
        <v>-18</v>
      </c>
      <c r="H222" s="13">
        <f t="shared" si="55"/>
        <v>-10</v>
      </c>
      <c r="I222" s="70">
        <f t="shared" si="56"/>
        <v>-2.2222222222222254E-2</v>
      </c>
      <c r="J222" s="70">
        <f t="shared" si="57"/>
        <v>-3.9301310043668103E-2</v>
      </c>
      <c r="K222" s="82" t="str">
        <f>_xlfn.IFNA(VLOOKUP(CLEAN(SUBSTITUTE(C222," ","")),Ref_Factory!$A:$B,2,FALSE),CLEAN(SUBSTITUTE(C222," ","")))</f>
        <v>ANUGERAH</v>
      </c>
      <c r="L222" s="82" t="str">
        <f t="shared" si="58"/>
        <v>FEBRUARY-3-ANUGERAH</v>
      </c>
      <c r="M222" s="70">
        <f t="shared" si="59"/>
        <v>-0.35146388528138528</v>
      </c>
      <c r="N222" s="70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25">
      <c r="A223" s="9" t="s">
        <v>34</v>
      </c>
      <c r="B223" s="63">
        <v>3</v>
      </c>
      <c r="C223" t="s">
        <v>16</v>
      </c>
      <c r="D223" s="65">
        <v>750</v>
      </c>
      <c r="E223" s="65">
        <v>822</v>
      </c>
      <c r="F223" s="65">
        <v>744</v>
      </c>
      <c r="G223" s="13">
        <f t="shared" si="54"/>
        <v>-78</v>
      </c>
      <c r="H223" s="13">
        <f t="shared" si="55"/>
        <v>-6</v>
      </c>
      <c r="I223" s="70">
        <f t="shared" si="56"/>
        <v>-8.0000000000000071E-3</v>
      </c>
      <c r="J223" s="70">
        <f t="shared" si="57"/>
        <v>-9.4890510948905105E-2</v>
      </c>
      <c r="K223" s="82" t="str">
        <f>_xlfn.IFNA(VLOOKUP(CLEAN(SUBSTITUTE(C223," ","")),Ref_Factory!$A:$B,2,FALSE),CLEAN(SUBSTITUTE(C223," ","")))</f>
        <v>ANUGERAH</v>
      </c>
      <c r="L223" s="82" t="str">
        <f t="shared" si="58"/>
        <v>FEBRUARY-3-ANUGERAH</v>
      </c>
      <c r="M223" s="70">
        <f t="shared" si="59"/>
        <v>-0.35146388528138528</v>
      </c>
      <c r="N223" s="70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25">
      <c r="A224" s="9" t="s">
        <v>34</v>
      </c>
      <c r="B224" s="63">
        <v>4</v>
      </c>
      <c r="C224" t="s">
        <v>10</v>
      </c>
      <c r="D224" s="65">
        <v>50</v>
      </c>
      <c r="E224" s="65">
        <v>50</v>
      </c>
      <c r="F224" s="65">
        <v>50</v>
      </c>
      <c r="G224" s="13">
        <f t="shared" si="54"/>
        <v>0</v>
      </c>
      <c r="H224" s="13">
        <f t="shared" si="55"/>
        <v>0</v>
      </c>
      <c r="I224" s="70">
        <f t="shared" si="56"/>
        <v>0</v>
      </c>
      <c r="J224" s="70">
        <f t="shared" si="57"/>
        <v>0</v>
      </c>
      <c r="K224" s="82" t="str">
        <f>_xlfn.IFNA(VLOOKUP(CLEAN(SUBSTITUTE(C224," ","")),Ref_Factory!$A:$B,2,FALSE),CLEAN(SUBSTITUTE(C224," ","")))</f>
        <v>CNJ2</v>
      </c>
      <c r="L224" s="82" t="str">
        <f t="shared" si="58"/>
        <v>FEBRUARY-4-CNJ2</v>
      </c>
      <c r="M224" s="70">
        <f t="shared" si="59"/>
        <v>0</v>
      </c>
      <c r="N224" s="70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25">
      <c r="A225" s="9" t="s">
        <v>34</v>
      </c>
      <c r="B225" s="63">
        <v>4</v>
      </c>
      <c r="C225" t="s">
        <v>10</v>
      </c>
      <c r="D225" s="65">
        <v>50</v>
      </c>
      <c r="E225" s="65">
        <v>50</v>
      </c>
      <c r="F225" s="65">
        <v>50</v>
      </c>
      <c r="G225" s="13">
        <f t="shared" si="54"/>
        <v>0</v>
      </c>
      <c r="H225" s="13">
        <f t="shared" si="55"/>
        <v>0</v>
      </c>
      <c r="I225" s="70">
        <f t="shared" si="56"/>
        <v>0</v>
      </c>
      <c r="J225" s="70">
        <f t="shared" si="57"/>
        <v>0</v>
      </c>
      <c r="K225" s="82" t="str">
        <f>_xlfn.IFNA(VLOOKUP(CLEAN(SUBSTITUTE(C225," ","")),Ref_Factory!$A:$B,2,FALSE),CLEAN(SUBSTITUTE(C225," ","")))</f>
        <v>CNJ2</v>
      </c>
      <c r="L225" s="82" t="str">
        <f t="shared" si="58"/>
        <v>FEBRUARY-4-CNJ2</v>
      </c>
      <c r="M225" s="70">
        <f t="shared" si="59"/>
        <v>0</v>
      </c>
      <c r="N225" s="70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25">
      <c r="A226" s="9" t="s">
        <v>34</v>
      </c>
      <c r="B226" s="63">
        <v>4</v>
      </c>
      <c r="C226" t="s">
        <v>11</v>
      </c>
      <c r="D226" s="65">
        <v>3672</v>
      </c>
      <c r="E226" s="65">
        <v>3905</v>
      </c>
      <c r="F226" s="65">
        <v>3672</v>
      </c>
      <c r="G226" s="13">
        <f t="shared" si="54"/>
        <v>-233</v>
      </c>
      <c r="H226" s="13">
        <f t="shared" si="55"/>
        <v>0</v>
      </c>
      <c r="I226" s="70">
        <f t="shared" si="56"/>
        <v>0</v>
      </c>
      <c r="J226" s="70">
        <f t="shared" si="57"/>
        <v>-5.9667093469910393E-2</v>
      </c>
      <c r="K226" s="82" t="str">
        <f>_xlfn.IFNA(VLOOKUP(CLEAN(SUBSTITUTE(C226," ","")),Ref_Factory!$A:$B,2,FALSE),CLEAN(SUBSTITUTE(C226," ","")))</f>
        <v>GM1</v>
      </c>
      <c r="L226" s="82" t="str">
        <f t="shared" si="58"/>
        <v>FEBRUARY-4-GM1</v>
      </c>
      <c r="M226" s="70">
        <f t="shared" si="59"/>
        <v>7.1294967851639246E-2</v>
      </c>
      <c r="N226" s="70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25">
      <c r="A227" s="9" t="s">
        <v>34</v>
      </c>
      <c r="B227" s="63">
        <v>4</v>
      </c>
      <c r="C227" t="s">
        <v>11</v>
      </c>
      <c r="D227" s="65">
        <v>5904</v>
      </c>
      <c r="E227" s="65">
        <v>6176</v>
      </c>
      <c r="F227" s="65">
        <v>6086</v>
      </c>
      <c r="G227" s="13">
        <f t="shared" si="54"/>
        <v>-90</v>
      </c>
      <c r="H227" s="13">
        <f t="shared" si="55"/>
        <v>182</v>
      </c>
      <c r="I227" s="70">
        <f t="shared" si="56"/>
        <v>3.0826558265582671E-2</v>
      </c>
      <c r="J227" s="70">
        <f t="shared" si="57"/>
        <v>-1.4572538860103679E-2</v>
      </c>
      <c r="K227" s="82" t="str">
        <f>_xlfn.IFNA(VLOOKUP(CLEAN(SUBSTITUTE(C227," ","")),Ref_Factory!$A:$B,2,FALSE),CLEAN(SUBSTITUTE(C227," ","")))</f>
        <v>GM1</v>
      </c>
      <c r="L227" s="82" t="str">
        <f t="shared" si="58"/>
        <v>FEBRUARY-4-GM1</v>
      </c>
      <c r="M227" s="70">
        <f t="shared" si="59"/>
        <v>7.1294967851639246E-2</v>
      </c>
      <c r="N227" s="70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25">
      <c r="A228" s="9" t="s">
        <v>34</v>
      </c>
      <c r="B228" s="63">
        <v>4</v>
      </c>
      <c r="C228" t="s">
        <v>11</v>
      </c>
      <c r="D228" s="65">
        <v>5976</v>
      </c>
      <c r="E228" s="65">
        <v>6169</v>
      </c>
      <c r="F228" s="65">
        <v>5976</v>
      </c>
      <c r="G228" s="13">
        <f t="shared" si="54"/>
        <v>-193</v>
      </c>
      <c r="H228" s="13">
        <f t="shared" si="55"/>
        <v>0</v>
      </c>
      <c r="I228" s="70">
        <f t="shared" si="56"/>
        <v>0</v>
      </c>
      <c r="J228" s="70">
        <f t="shared" si="57"/>
        <v>-3.128545955584372E-2</v>
      </c>
      <c r="K228" s="82" t="str">
        <f>_xlfn.IFNA(VLOOKUP(CLEAN(SUBSTITUTE(C228," ","")),Ref_Factory!$A:$B,2,FALSE),CLEAN(SUBSTITUTE(C228," ","")))</f>
        <v>GM1</v>
      </c>
      <c r="L228" s="82" t="str">
        <f t="shared" si="58"/>
        <v>FEBRUARY-4-GM1</v>
      </c>
      <c r="M228" s="70">
        <f t="shared" si="59"/>
        <v>7.1294967851639246E-2</v>
      </c>
      <c r="N228" s="70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25">
      <c r="A229" s="9" t="s">
        <v>34</v>
      </c>
      <c r="B229" s="63">
        <v>4</v>
      </c>
      <c r="C229" t="s">
        <v>13</v>
      </c>
      <c r="D229" s="65">
        <v>23328</v>
      </c>
      <c r="E229" s="65">
        <v>24021</v>
      </c>
      <c r="F229" s="65">
        <v>23913</v>
      </c>
      <c r="G229" s="13">
        <f t="shared" si="54"/>
        <v>-108</v>
      </c>
      <c r="H229" s="13">
        <f t="shared" si="55"/>
        <v>585</v>
      </c>
      <c r="I229" s="70">
        <f t="shared" si="56"/>
        <v>2.5077160493827133E-2</v>
      </c>
      <c r="J229" s="70">
        <f t="shared" si="57"/>
        <v>-4.4960659423004534E-3</v>
      </c>
      <c r="K229" s="82" t="str">
        <f>_xlfn.IFNA(VLOOKUP(CLEAN(SUBSTITUTE(C229," ","")),Ref_Factory!$A:$B,2,FALSE),CLEAN(SUBSTITUTE(C229," ","")))</f>
        <v>KALIBENDA</v>
      </c>
      <c r="L229" s="82" t="str">
        <f t="shared" si="58"/>
        <v>FEBRUARY-4-KALIBENDA</v>
      </c>
      <c r="M229" s="70">
        <f t="shared" si="59"/>
        <v>4.8499126148802585E-2</v>
      </c>
      <c r="N229" s="70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25">
      <c r="A230" s="9" t="s">
        <v>34</v>
      </c>
      <c r="B230" s="63">
        <v>4</v>
      </c>
      <c r="C230" t="s">
        <v>13</v>
      </c>
      <c r="D230" s="65">
        <v>3996</v>
      </c>
      <c r="E230" s="65">
        <v>4116</v>
      </c>
      <c r="F230" s="65">
        <v>4098</v>
      </c>
      <c r="G230" s="13">
        <f t="shared" si="54"/>
        <v>-18</v>
      </c>
      <c r="H230" s="13">
        <f t="shared" si="55"/>
        <v>102</v>
      </c>
      <c r="I230" s="70">
        <f t="shared" si="56"/>
        <v>2.5525525525525561E-2</v>
      </c>
      <c r="J230" s="70">
        <f t="shared" si="57"/>
        <v>-4.3731778425656342E-3</v>
      </c>
      <c r="K230" s="82" t="str">
        <f>_xlfn.IFNA(VLOOKUP(CLEAN(SUBSTITUTE(C230," ","")),Ref_Factory!$A:$B,2,FALSE),CLEAN(SUBSTITUTE(C230," ","")))</f>
        <v>KALIBENDA</v>
      </c>
      <c r="L230" s="82" t="str">
        <f t="shared" si="58"/>
        <v>FEBRUARY-4-KALIBENDA</v>
      </c>
      <c r="M230" s="70">
        <f t="shared" si="59"/>
        <v>4.8499126148802585E-2</v>
      </c>
      <c r="N230" s="70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25">
      <c r="A231" s="9" t="s">
        <v>34</v>
      </c>
      <c r="B231" s="63">
        <v>4</v>
      </c>
      <c r="C231" t="s">
        <v>14</v>
      </c>
      <c r="D231" s="65">
        <v>13392</v>
      </c>
      <c r="E231" s="65">
        <v>13752</v>
      </c>
      <c r="F231" s="65">
        <v>13641</v>
      </c>
      <c r="G231" s="13">
        <f t="shared" si="54"/>
        <v>-111</v>
      </c>
      <c r="H231" s="13">
        <f t="shared" si="55"/>
        <v>249</v>
      </c>
      <c r="I231" s="70">
        <f t="shared" si="56"/>
        <v>1.8593189964157597E-2</v>
      </c>
      <c r="J231" s="70">
        <f t="shared" si="57"/>
        <v>-8.0715532286212976E-3</v>
      </c>
      <c r="K231" s="82" t="str">
        <f>_xlfn.IFNA(VLOOKUP(CLEAN(SUBSTITUTE(C231," ","")),Ref_Factory!$A:$B,2,FALSE),CLEAN(SUBSTITUTE(C231," ","")))</f>
        <v>GM2</v>
      </c>
      <c r="L231" s="82" t="str">
        <f t="shared" si="58"/>
        <v>FEBRUARY-4-GM2</v>
      </c>
      <c r="M231" s="70">
        <f t="shared" si="59"/>
        <v>0.41376803845423793</v>
      </c>
      <c r="N231" s="70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25">
      <c r="A232" s="9" t="s">
        <v>34</v>
      </c>
      <c r="B232" s="63">
        <v>4</v>
      </c>
      <c r="C232" t="s">
        <v>14</v>
      </c>
      <c r="D232" s="65">
        <v>1296</v>
      </c>
      <c r="E232" s="65">
        <v>1337</v>
      </c>
      <c r="F232" s="65">
        <v>1314</v>
      </c>
      <c r="G232" s="13">
        <f t="shared" si="54"/>
        <v>-23</v>
      </c>
      <c r="H232" s="13">
        <f t="shared" si="55"/>
        <v>18</v>
      </c>
      <c r="I232" s="70">
        <f t="shared" si="56"/>
        <v>1.388888888888884E-2</v>
      </c>
      <c r="J232" s="70">
        <f t="shared" si="57"/>
        <v>-1.7202692595362779E-2</v>
      </c>
      <c r="K232" s="82" t="str">
        <f>_xlfn.IFNA(VLOOKUP(CLEAN(SUBSTITUTE(C232," ","")),Ref_Factory!$A:$B,2,FALSE),CLEAN(SUBSTITUTE(C232," ","")))</f>
        <v>GM2</v>
      </c>
      <c r="L232" s="82" t="str">
        <f t="shared" si="58"/>
        <v>FEBRUARY-4-GM2</v>
      </c>
      <c r="M232" s="70">
        <f t="shared" si="59"/>
        <v>0.41376803845423793</v>
      </c>
      <c r="N232" s="70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25">
      <c r="A233" s="9" t="s">
        <v>34</v>
      </c>
      <c r="B233" s="63">
        <v>4</v>
      </c>
      <c r="C233" t="s">
        <v>14</v>
      </c>
      <c r="D233" s="65">
        <v>9828</v>
      </c>
      <c r="E233" s="65">
        <v>10193</v>
      </c>
      <c r="F233" s="65">
        <v>10083</v>
      </c>
      <c r="G233" s="13">
        <f t="shared" si="54"/>
        <v>-110</v>
      </c>
      <c r="H233" s="13">
        <f t="shared" si="55"/>
        <v>255</v>
      </c>
      <c r="I233" s="70">
        <f t="shared" si="56"/>
        <v>2.5946275946275854E-2</v>
      </c>
      <c r="J233" s="70">
        <f t="shared" si="57"/>
        <v>-1.0791719807711209E-2</v>
      </c>
      <c r="K233" s="82" t="str">
        <f>_xlfn.IFNA(VLOOKUP(CLEAN(SUBSTITUTE(C233," ","")),Ref_Factory!$A:$B,2,FALSE),CLEAN(SUBSTITUTE(C233," ","")))</f>
        <v>GM2</v>
      </c>
      <c r="L233" s="82" t="str">
        <f t="shared" si="58"/>
        <v>FEBRUARY-4-GM2</v>
      </c>
      <c r="M233" s="70">
        <f t="shared" si="59"/>
        <v>0.41376803845423793</v>
      </c>
      <c r="N233" s="70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25">
      <c r="A234" s="9" t="s">
        <v>34</v>
      </c>
      <c r="B234" s="63">
        <v>4</v>
      </c>
      <c r="C234" t="s">
        <v>14</v>
      </c>
      <c r="D234" s="65">
        <v>1296</v>
      </c>
      <c r="E234" s="65">
        <v>1337</v>
      </c>
      <c r="F234" s="65">
        <v>1323</v>
      </c>
      <c r="G234" s="13">
        <f t="shared" si="54"/>
        <v>-14</v>
      </c>
      <c r="H234" s="13">
        <f t="shared" si="55"/>
        <v>27</v>
      </c>
      <c r="I234" s="70">
        <f t="shared" si="56"/>
        <v>2.0833333333333259E-2</v>
      </c>
      <c r="J234" s="70">
        <f t="shared" si="57"/>
        <v>-1.0471204188481686E-2</v>
      </c>
      <c r="K234" s="82" t="str">
        <f>_xlfn.IFNA(VLOOKUP(CLEAN(SUBSTITUTE(C234," ","")),Ref_Factory!$A:$B,2,FALSE),CLEAN(SUBSTITUTE(C234," ","")))</f>
        <v>GM2</v>
      </c>
      <c r="L234" s="82" t="str">
        <f t="shared" si="58"/>
        <v>FEBRUARY-4-GM2</v>
      </c>
      <c r="M234" s="70">
        <f t="shared" si="59"/>
        <v>0.41376803845423793</v>
      </c>
      <c r="N234" s="70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25">
      <c r="A235" s="9" t="s">
        <v>34</v>
      </c>
      <c r="B235" s="63">
        <v>4</v>
      </c>
      <c r="C235" t="s">
        <v>14</v>
      </c>
      <c r="D235" s="65">
        <v>11772</v>
      </c>
      <c r="E235" s="65">
        <v>12140</v>
      </c>
      <c r="F235" s="65">
        <v>12066</v>
      </c>
      <c r="G235" s="13">
        <f t="shared" si="54"/>
        <v>-74</v>
      </c>
      <c r="H235" s="13">
        <f t="shared" si="55"/>
        <v>294</v>
      </c>
      <c r="I235" s="70">
        <f t="shared" si="56"/>
        <v>2.4974515800203934E-2</v>
      </c>
      <c r="J235" s="70">
        <f t="shared" si="57"/>
        <v>-6.0955518945634557E-3</v>
      </c>
      <c r="K235" s="82" t="str">
        <f>_xlfn.IFNA(VLOOKUP(CLEAN(SUBSTITUTE(C235," ","")),Ref_Factory!$A:$B,2,FALSE),CLEAN(SUBSTITUTE(C235," ","")))</f>
        <v>GM2</v>
      </c>
      <c r="L235" s="82" t="str">
        <f t="shared" si="58"/>
        <v>FEBRUARY-4-GM2</v>
      </c>
      <c r="M235" s="70">
        <f t="shared" si="59"/>
        <v>0.41376803845423793</v>
      </c>
      <c r="N235" s="70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25">
      <c r="A236" s="9" t="s">
        <v>34</v>
      </c>
      <c r="B236" s="63">
        <v>4</v>
      </c>
      <c r="C236" t="s">
        <v>14</v>
      </c>
      <c r="D236" s="65">
        <v>1080</v>
      </c>
      <c r="E236" s="65">
        <v>1116</v>
      </c>
      <c r="F236" s="65">
        <v>1113</v>
      </c>
      <c r="G236" s="13">
        <f t="shared" si="54"/>
        <v>-3</v>
      </c>
      <c r="H236" s="13">
        <f t="shared" si="55"/>
        <v>33</v>
      </c>
      <c r="I236" s="70">
        <f t="shared" si="56"/>
        <v>3.0555555555555447E-2</v>
      </c>
      <c r="J236" s="70">
        <f t="shared" si="57"/>
        <v>-2.6881720430107503E-3</v>
      </c>
      <c r="K236" s="82" t="str">
        <f>_xlfn.IFNA(VLOOKUP(CLEAN(SUBSTITUTE(C236," ","")),Ref_Factory!$A:$B,2,FALSE),CLEAN(SUBSTITUTE(C236," ","")))</f>
        <v>GM2</v>
      </c>
      <c r="L236" s="82" t="str">
        <f t="shared" si="58"/>
        <v>FEBRUARY-4-GM2</v>
      </c>
      <c r="M236" s="70">
        <f t="shared" si="59"/>
        <v>0.41376803845423793</v>
      </c>
      <c r="N236" s="70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25">
      <c r="A237" s="9" t="s">
        <v>34</v>
      </c>
      <c r="B237" s="63">
        <v>4</v>
      </c>
      <c r="C237" t="s">
        <v>14</v>
      </c>
      <c r="D237" s="65">
        <v>9720</v>
      </c>
      <c r="E237" s="65">
        <v>10020</v>
      </c>
      <c r="F237" s="65">
        <v>9951</v>
      </c>
      <c r="G237" s="13">
        <f t="shared" si="54"/>
        <v>-69</v>
      </c>
      <c r="H237" s="13">
        <f t="shared" si="55"/>
        <v>231</v>
      </c>
      <c r="I237" s="70">
        <f t="shared" si="56"/>
        <v>2.3765432098765471E-2</v>
      </c>
      <c r="J237" s="70">
        <f t="shared" si="57"/>
        <v>-6.8862275449101951E-3</v>
      </c>
      <c r="K237" s="82" t="str">
        <f>_xlfn.IFNA(VLOOKUP(CLEAN(SUBSTITUTE(C237," ","")),Ref_Factory!$A:$B,2,FALSE),CLEAN(SUBSTITUTE(C237," ","")))</f>
        <v>GM2</v>
      </c>
      <c r="L237" s="82" t="str">
        <f t="shared" si="58"/>
        <v>FEBRUARY-4-GM2</v>
      </c>
      <c r="M237" s="70">
        <f t="shared" si="59"/>
        <v>0.41376803845423793</v>
      </c>
      <c r="N237" s="70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25">
      <c r="A238" s="9" t="s">
        <v>34</v>
      </c>
      <c r="B238" s="63">
        <v>4</v>
      </c>
      <c r="C238" t="s">
        <v>14</v>
      </c>
      <c r="D238" s="65">
        <v>9504</v>
      </c>
      <c r="E238" s="65">
        <v>9793</v>
      </c>
      <c r="F238" s="65">
        <v>9693</v>
      </c>
      <c r="G238" s="13">
        <f t="shared" si="54"/>
        <v>-100</v>
      </c>
      <c r="H238" s="13">
        <f t="shared" si="55"/>
        <v>189</v>
      </c>
      <c r="I238" s="70">
        <f t="shared" si="56"/>
        <v>1.9886363636363535E-2</v>
      </c>
      <c r="J238" s="70">
        <f t="shared" si="57"/>
        <v>-1.021137547227613E-2</v>
      </c>
      <c r="K238" s="82" t="str">
        <f>_xlfn.IFNA(VLOOKUP(CLEAN(SUBSTITUTE(C238," ","")),Ref_Factory!$A:$B,2,FALSE),CLEAN(SUBSTITUTE(C238," ","")))</f>
        <v>GM2</v>
      </c>
      <c r="L238" s="82" t="str">
        <f t="shared" si="58"/>
        <v>FEBRUARY-4-GM2</v>
      </c>
      <c r="M238" s="70">
        <f t="shared" si="59"/>
        <v>0.41376803845423793</v>
      </c>
      <c r="N238" s="70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25">
      <c r="A239" s="9" t="s">
        <v>34</v>
      </c>
      <c r="B239" s="63">
        <v>4</v>
      </c>
      <c r="C239" t="s">
        <v>14</v>
      </c>
      <c r="D239" s="65">
        <v>13068</v>
      </c>
      <c r="E239" s="65">
        <v>13481</v>
      </c>
      <c r="F239" s="65">
        <v>13290</v>
      </c>
      <c r="G239" s="13">
        <f t="shared" si="54"/>
        <v>-191</v>
      </c>
      <c r="H239" s="13">
        <f t="shared" si="55"/>
        <v>222</v>
      </c>
      <c r="I239" s="70">
        <f t="shared" si="56"/>
        <v>1.6988062442607976E-2</v>
      </c>
      <c r="J239" s="70">
        <f t="shared" si="57"/>
        <v>-1.4168088420740355E-2</v>
      </c>
      <c r="K239" s="82" t="str">
        <f>_xlfn.IFNA(VLOOKUP(CLEAN(SUBSTITUTE(C239," ","")),Ref_Factory!$A:$B,2,FALSE),CLEAN(SUBSTITUTE(C239," ","")))</f>
        <v>GM2</v>
      </c>
      <c r="L239" s="82" t="str">
        <f t="shared" si="58"/>
        <v>FEBRUARY-4-GM2</v>
      </c>
      <c r="M239" s="70">
        <f t="shared" si="59"/>
        <v>0.41376803845423793</v>
      </c>
      <c r="N239" s="70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25">
      <c r="A240" s="9" t="s">
        <v>34</v>
      </c>
      <c r="B240" s="63">
        <v>4</v>
      </c>
      <c r="C240" t="s">
        <v>14</v>
      </c>
      <c r="D240" s="65">
        <v>5184</v>
      </c>
      <c r="E240" s="65">
        <v>5346</v>
      </c>
      <c r="F240" s="65">
        <v>5283</v>
      </c>
      <c r="G240" s="13">
        <f t="shared" si="54"/>
        <v>-63</v>
      </c>
      <c r="H240" s="13">
        <f t="shared" si="55"/>
        <v>99</v>
      </c>
      <c r="I240" s="70">
        <f t="shared" si="56"/>
        <v>1.9097222222222321E-2</v>
      </c>
      <c r="J240" s="70">
        <f t="shared" si="57"/>
        <v>-1.1784511784511786E-2</v>
      </c>
      <c r="K240" s="82" t="str">
        <f>_xlfn.IFNA(VLOOKUP(CLEAN(SUBSTITUTE(C240," ","")),Ref_Factory!$A:$B,2,FALSE),CLEAN(SUBSTITUTE(C240," ","")))</f>
        <v>GM2</v>
      </c>
      <c r="L240" s="82" t="str">
        <f t="shared" si="58"/>
        <v>FEBRUARY-4-GM2</v>
      </c>
      <c r="M240" s="70">
        <f t="shared" si="59"/>
        <v>0.41376803845423793</v>
      </c>
      <c r="N240" s="70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25">
      <c r="A241" s="9" t="s">
        <v>34</v>
      </c>
      <c r="B241" s="63">
        <v>4</v>
      </c>
      <c r="C241" t="s">
        <v>14</v>
      </c>
      <c r="D241" s="65">
        <v>1296</v>
      </c>
      <c r="E241" s="65">
        <v>1337</v>
      </c>
      <c r="F241" s="65">
        <v>1323</v>
      </c>
      <c r="G241" s="13">
        <f t="shared" si="54"/>
        <v>-14</v>
      </c>
      <c r="H241" s="13">
        <f t="shared" si="55"/>
        <v>27</v>
      </c>
      <c r="I241" s="70">
        <f t="shared" si="56"/>
        <v>2.0833333333333259E-2</v>
      </c>
      <c r="J241" s="70">
        <f t="shared" si="57"/>
        <v>-1.0471204188481686E-2</v>
      </c>
      <c r="K241" s="82" t="str">
        <f>_xlfn.IFNA(VLOOKUP(CLEAN(SUBSTITUTE(C241," ","")),Ref_Factory!$A:$B,2,FALSE),CLEAN(SUBSTITUTE(C241," ","")))</f>
        <v>GM2</v>
      </c>
      <c r="L241" s="82" t="str">
        <f t="shared" si="58"/>
        <v>FEBRUARY-4-GM2</v>
      </c>
      <c r="M241" s="70">
        <f t="shared" si="59"/>
        <v>0.41376803845423793</v>
      </c>
      <c r="N241" s="70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25">
      <c r="A242" s="9" t="s">
        <v>34</v>
      </c>
      <c r="B242" s="63">
        <v>4</v>
      </c>
      <c r="C242" t="s">
        <v>14</v>
      </c>
      <c r="D242" s="65">
        <v>3996</v>
      </c>
      <c r="E242" s="65">
        <v>4127</v>
      </c>
      <c r="F242" s="65">
        <v>4113</v>
      </c>
      <c r="G242" s="13">
        <f t="shared" si="54"/>
        <v>-14</v>
      </c>
      <c r="H242" s="13">
        <f t="shared" si="55"/>
        <v>117</v>
      </c>
      <c r="I242" s="70">
        <f t="shared" si="56"/>
        <v>2.9279279279279313E-2</v>
      </c>
      <c r="J242" s="70">
        <f t="shared" si="57"/>
        <v>-3.3922946450205549E-3</v>
      </c>
      <c r="K242" s="82" t="str">
        <f>_xlfn.IFNA(VLOOKUP(CLEAN(SUBSTITUTE(C242," ","")),Ref_Factory!$A:$B,2,FALSE),CLEAN(SUBSTITUTE(C242," ","")))</f>
        <v>GM2</v>
      </c>
      <c r="L242" s="82" t="str">
        <f t="shared" si="58"/>
        <v>FEBRUARY-4-GM2</v>
      </c>
      <c r="M242" s="70">
        <f t="shared" si="59"/>
        <v>0.41376803845423793</v>
      </c>
      <c r="N242" s="70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25">
      <c r="A243" s="9" t="s">
        <v>34</v>
      </c>
      <c r="B243" s="63">
        <v>4</v>
      </c>
      <c r="C243" t="s">
        <v>14</v>
      </c>
      <c r="D243" s="65">
        <v>1080</v>
      </c>
      <c r="E243" s="65">
        <v>1116</v>
      </c>
      <c r="F243" s="65">
        <v>1113</v>
      </c>
      <c r="G243" s="13">
        <f t="shared" si="54"/>
        <v>-3</v>
      </c>
      <c r="H243" s="13">
        <f t="shared" si="55"/>
        <v>33</v>
      </c>
      <c r="I243" s="70">
        <f t="shared" si="56"/>
        <v>3.0555555555555447E-2</v>
      </c>
      <c r="J243" s="70">
        <f t="shared" si="57"/>
        <v>-2.6881720430107503E-3</v>
      </c>
      <c r="K243" s="82" t="str">
        <f>_xlfn.IFNA(VLOOKUP(CLEAN(SUBSTITUTE(C243," ","")),Ref_Factory!$A:$B,2,FALSE),CLEAN(SUBSTITUTE(C243," ","")))</f>
        <v>GM2</v>
      </c>
      <c r="L243" s="82" t="str">
        <f t="shared" si="58"/>
        <v>FEBRUARY-4-GM2</v>
      </c>
      <c r="M243" s="70">
        <f t="shared" si="59"/>
        <v>0.41376803845423793</v>
      </c>
      <c r="N243" s="70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25">
      <c r="A244" s="9" t="s">
        <v>34</v>
      </c>
      <c r="B244" s="63">
        <v>4</v>
      </c>
      <c r="C244" t="s">
        <v>14</v>
      </c>
      <c r="D244" s="65">
        <v>10044</v>
      </c>
      <c r="E244" s="65">
        <v>10348</v>
      </c>
      <c r="F244" s="65">
        <v>10260</v>
      </c>
      <c r="G244" s="13">
        <f t="shared" si="54"/>
        <v>-88</v>
      </c>
      <c r="H244" s="13">
        <f t="shared" si="55"/>
        <v>216</v>
      </c>
      <c r="I244" s="70">
        <f t="shared" si="56"/>
        <v>2.1505376344086002E-2</v>
      </c>
      <c r="J244" s="70">
        <f t="shared" si="57"/>
        <v>-8.5040587553150138E-3</v>
      </c>
      <c r="K244" s="82" t="str">
        <f>_xlfn.IFNA(VLOOKUP(CLEAN(SUBSTITUTE(C244," ","")),Ref_Factory!$A:$B,2,FALSE),CLEAN(SUBSTITUTE(C244," ","")))</f>
        <v>GM2</v>
      </c>
      <c r="L244" s="82" t="str">
        <f t="shared" si="58"/>
        <v>FEBRUARY-4-GM2</v>
      </c>
      <c r="M244" s="70">
        <f t="shared" si="59"/>
        <v>0.41376803845423793</v>
      </c>
      <c r="N244" s="70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25">
      <c r="A245" s="9" t="s">
        <v>34</v>
      </c>
      <c r="B245" s="63">
        <v>4</v>
      </c>
      <c r="C245" t="s">
        <v>14</v>
      </c>
      <c r="D245" s="65">
        <v>12096</v>
      </c>
      <c r="E245" s="65">
        <v>12466</v>
      </c>
      <c r="F245" s="65">
        <v>12396</v>
      </c>
      <c r="G245" s="13">
        <f t="shared" si="54"/>
        <v>-70</v>
      </c>
      <c r="H245" s="13">
        <f t="shared" si="55"/>
        <v>300</v>
      </c>
      <c r="I245" s="70">
        <f t="shared" si="56"/>
        <v>2.4801587301587213E-2</v>
      </c>
      <c r="J245" s="70">
        <f t="shared" si="57"/>
        <v>-5.6152735440397894E-3</v>
      </c>
      <c r="K245" s="82" t="str">
        <f>_xlfn.IFNA(VLOOKUP(CLEAN(SUBSTITUTE(C245," ","")),Ref_Factory!$A:$B,2,FALSE),CLEAN(SUBSTITUTE(C245," ","")))</f>
        <v>GM2</v>
      </c>
      <c r="L245" s="82" t="str">
        <f t="shared" si="58"/>
        <v>FEBRUARY-4-GM2</v>
      </c>
      <c r="M245" s="70">
        <f t="shared" si="59"/>
        <v>0.41376803845423793</v>
      </c>
      <c r="N245" s="70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25">
      <c r="A246" s="9" t="s">
        <v>34</v>
      </c>
      <c r="B246" s="63">
        <v>4</v>
      </c>
      <c r="C246" t="s">
        <v>13</v>
      </c>
      <c r="D246" s="65">
        <v>44496</v>
      </c>
      <c r="E246" s="65">
        <v>44676</v>
      </c>
      <c r="F246" s="65">
        <v>44526</v>
      </c>
      <c r="G246" s="13">
        <f t="shared" si="54"/>
        <v>-150</v>
      </c>
      <c r="H246" s="13">
        <f t="shared" si="55"/>
        <v>30</v>
      </c>
      <c r="I246" s="70">
        <f t="shared" si="56"/>
        <v>6.7421790722765884E-4</v>
      </c>
      <c r="J246" s="70">
        <f t="shared" si="57"/>
        <v>-3.3575073865163008E-3</v>
      </c>
      <c r="K246" s="82" t="str">
        <f>_xlfn.IFNA(VLOOKUP(CLEAN(SUBSTITUTE(C246," ","")),Ref_Factory!$A:$B,2,FALSE),CLEAN(SUBSTITUTE(C246," ","")))</f>
        <v>KALIBENDA</v>
      </c>
      <c r="L246" s="82" t="str">
        <f t="shared" si="58"/>
        <v>FEBRUARY-4-KALIBENDA</v>
      </c>
      <c r="M246" s="70">
        <f t="shared" si="59"/>
        <v>4.8499126148802585E-2</v>
      </c>
      <c r="N246" s="70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25">
      <c r="A247" s="9" t="s">
        <v>34</v>
      </c>
      <c r="B247" s="63">
        <v>4</v>
      </c>
      <c r="C247" t="s">
        <v>13</v>
      </c>
      <c r="D247" s="65">
        <v>7560</v>
      </c>
      <c r="E247" s="65">
        <v>7560</v>
      </c>
      <c r="F247" s="65">
        <v>7539</v>
      </c>
      <c r="G247" s="13">
        <f t="shared" si="54"/>
        <v>-21</v>
      </c>
      <c r="H247" s="13">
        <f t="shared" si="55"/>
        <v>-21</v>
      </c>
      <c r="I247" s="70">
        <f t="shared" si="56"/>
        <v>-2.7777777777777679E-3</v>
      </c>
      <c r="J247" s="70">
        <f t="shared" si="57"/>
        <v>-2.7777777777777679E-3</v>
      </c>
      <c r="K247" s="82" t="str">
        <f>_xlfn.IFNA(VLOOKUP(CLEAN(SUBSTITUTE(C247," ","")),Ref_Factory!$A:$B,2,FALSE),CLEAN(SUBSTITUTE(C247," ","")))</f>
        <v>KALIBENDA</v>
      </c>
      <c r="L247" s="82" t="str">
        <f t="shared" si="58"/>
        <v>FEBRUARY-4-KALIBENDA</v>
      </c>
      <c r="M247" s="70">
        <f t="shared" si="59"/>
        <v>4.8499126148802585E-2</v>
      </c>
      <c r="N247" s="70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25">
      <c r="A248" s="9" t="s">
        <v>34</v>
      </c>
      <c r="B248" s="63">
        <v>4</v>
      </c>
      <c r="C248" t="s">
        <v>14</v>
      </c>
      <c r="D248" s="65">
        <v>7560</v>
      </c>
      <c r="E248" s="65">
        <v>7666</v>
      </c>
      <c r="F248" s="65">
        <v>7560</v>
      </c>
      <c r="G248" s="13">
        <f t="shared" si="54"/>
        <v>-106</v>
      </c>
      <c r="H248" s="13">
        <f t="shared" si="55"/>
        <v>0</v>
      </c>
      <c r="I248" s="70">
        <f t="shared" si="56"/>
        <v>0</v>
      </c>
      <c r="J248" s="70">
        <f t="shared" si="57"/>
        <v>-1.3827289329506942E-2</v>
      </c>
      <c r="K248" s="82" t="str">
        <f>_xlfn.IFNA(VLOOKUP(CLEAN(SUBSTITUTE(C248," ","")),Ref_Factory!$A:$B,2,FALSE),CLEAN(SUBSTITUTE(C248," ","")))</f>
        <v>GM2</v>
      </c>
      <c r="L248" s="82" t="str">
        <f t="shared" si="58"/>
        <v>FEBRUARY-4-GM2</v>
      </c>
      <c r="M248" s="70">
        <f t="shared" si="59"/>
        <v>0.41376803845423793</v>
      </c>
      <c r="N248" s="70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25">
      <c r="A249" s="9" t="s">
        <v>34</v>
      </c>
      <c r="B249" s="63">
        <v>4</v>
      </c>
      <c r="C249" t="s">
        <v>14</v>
      </c>
      <c r="D249" s="65">
        <v>23004</v>
      </c>
      <c r="E249" s="65">
        <v>23700</v>
      </c>
      <c r="F249" s="65">
        <v>23598</v>
      </c>
      <c r="G249" s="13">
        <f t="shared" si="54"/>
        <v>-102</v>
      </c>
      <c r="H249" s="13">
        <f t="shared" si="55"/>
        <v>594</v>
      </c>
      <c r="I249" s="70">
        <f t="shared" si="56"/>
        <v>2.5821596244131495E-2</v>
      </c>
      <c r="J249" s="70">
        <f t="shared" si="57"/>
        <v>-4.3037974683544089E-3</v>
      </c>
      <c r="K249" s="82" t="str">
        <f>_xlfn.IFNA(VLOOKUP(CLEAN(SUBSTITUTE(C249," ","")),Ref_Factory!$A:$B,2,FALSE),CLEAN(SUBSTITUTE(C249," ","")))</f>
        <v>GM2</v>
      </c>
      <c r="L249" s="82" t="str">
        <f t="shared" si="58"/>
        <v>FEBRUARY-4-GM2</v>
      </c>
      <c r="M249" s="70">
        <f t="shared" si="59"/>
        <v>0.41376803845423793</v>
      </c>
      <c r="N249" s="70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25">
      <c r="A250" s="9" t="s">
        <v>34</v>
      </c>
      <c r="B250" s="63">
        <v>4</v>
      </c>
      <c r="C250" t="s">
        <v>14</v>
      </c>
      <c r="D250" s="65">
        <v>3888</v>
      </c>
      <c r="E250" s="65">
        <v>4008</v>
      </c>
      <c r="F250" s="65">
        <v>3978</v>
      </c>
      <c r="G250" s="13">
        <f t="shared" si="54"/>
        <v>-30</v>
      </c>
      <c r="H250" s="13">
        <f t="shared" si="55"/>
        <v>90</v>
      </c>
      <c r="I250" s="70">
        <f t="shared" si="56"/>
        <v>2.314814814814814E-2</v>
      </c>
      <c r="J250" s="70">
        <f t="shared" si="57"/>
        <v>-7.4850299401197917E-3</v>
      </c>
      <c r="K250" s="82" t="str">
        <f>_xlfn.IFNA(VLOOKUP(CLEAN(SUBSTITUTE(C250," ","")),Ref_Factory!$A:$B,2,FALSE),CLEAN(SUBSTITUTE(C250," ","")))</f>
        <v>GM2</v>
      </c>
      <c r="L250" s="82" t="str">
        <f t="shared" si="58"/>
        <v>FEBRUARY-4-GM2</v>
      </c>
      <c r="M250" s="70">
        <f t="shared" si="59"/>
        <v>0.41376803845423793</v>
      </c>
      <c r="N250" s="70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25">
      <c r="A251" s="9" t="s">
        <v>34</v>
      </c>
      <c r="B251" s="63">
        <v>4</v>
      </c>
      <c r="C251" t="s">
        <v>14</v>
      </c>
      <c r="D251" s="65">
        <v>23112</v>
      </c>
      <c r="E251" s="65">
        <v>23650</v>
      </c>
      <c r="F251" s="65">
        <v>23286</v>
      </c>
      <c r="G251" s="13">
        <f t="shared" si="54"/>
        <v>-364</v>
      </c>
      <c r="H251" s="13">
        <f t="shared" si="55"/>
        <v>174</v>
      </c>
      <c r="I251" s="70">
        <f t="shared" si="56"/>
        <v>7.5285565939771093E-3</v>
      </c>
      <c r="J251" s="70">
        <f t="shared" si="57"/>
        <v>-1.5391120507399547E-2</v>
      </c>
      <c r="K251" s="82" t="str">
        <f>_xlfn.IFNA(VLOOKUP(CLEAN(SUBSTITUTE(C251," ","")),Ref_Factory!$A:$B,2,FALSE),CLEAN(SUBSTITUTE(C251," ","")))</f>
        <v>GM2</v>
      </c>
      <c r="L251" s="82" t="str">
        <f t="shared" si="58"/>
        <v>FEBRUARY-4-GM2</v>
      </c>
      <c r="M251" s="70">
        <f t="shared" si="59"/>
        <v>0.41376803845423793</v>
      </c>
      <c r="N251" s="70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25">
      <c r="A252" s="9" t="s">
        <v>34</v>
      </c>
      <c r="B252" s="63">
        <v>4</v>
      </c>
      <c r="C252" t="s">
        <v>14</v>
      </c>
      <c r="D252" s="65">
        <v>3996</v>
      </c>
      <c r="E252" s="65">
        <v>4119</v>
      </c>
      <c r="F252" s="65">
        <v>4059</v>
      </c>
      <c r="G252" s="13">
        <f t="shared" si="54"/>
        <v>-60</v>
      </c>
      <c r="H252" s="13">
        <f t="shared" si="55"/>
        <v>63</v>
      </c>
      <c r="I252" s="70">
        <f t="shared" si="56"/>
        <v>1.5765765765765716E-2</v>
      </c>
      <c r="J252" s="70">
        <f t="shared" si="57"/>
        <v>-1.4566642388929352E-2</v>
      </c>
      <c r="K252" s="82" t="str">
        <f>_xlfn.IFNA(VLOOKUP(CLEAN(SUBSTITUTE(C252," ","")),Ref_Factory!$A:$B,2,FALSE),CLEAN(SUBSTITUTE(C252," ","")))</f>
        <v>GM2</v>
      </c>
      <c r="L252" s="82" t="str">
        <f t="shared" si="58"/>
        <v>FEBRUARY-4-GM2</v>
      </c>
      <c r="M252" s="70">
        <f t="shared" si="59"/>
        <v>0.41376803845423793</v>
      </c>
      <c r="N252" s="70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25">
      <c r="A253" s="9" t="s">
        <v>34</v>
      </c>
      <c r="B253" s="63">
        <v>4</v>
      </c>
      <c r="C253" t="s">
        <v>11</v>
      </c>
      <c r="D253" s="65">
        <v>14688</v>
      </c>
      <c r="E253" s="65">
        <v>14946</v>
      </c>
      <c r="F253" s="65">
        <v>14836</v>
      </c>
      <c r="G253" s="13">
        <f t="shared" si="54"/>
        <v>-110</v>
      </c>
      <c r="H253" s="13">
        <f t="shared" si="55"/>
        <v>148</v>
      </c>
      <c r="I253" s="70">
        <f t="shared" si="56"/>
        <v>1.0076252723311585E-2</v>
      </c>
      <c r="J253" s="70">
        <f t="shared" si="57"/>
        <v>-7.359828716713479E-3</v>
      </c>
      <c r="K253" s="82" t="str">
        <f>_xlfn.IFNA(VLOOKUP(CLEAN(SUBSTITUTE(C253," ","")),Ref_Factory!$A:$B,2,FALSE),CLEAN(SUBSTITUTE(C253," ","")))</f>
        <v>GM1</v>
      </c>
      <c r="L253" s="82" t="str">
        <f t="shared" si="58"/>
        <v>FEBRUARY-4-GM1</v>
      </c>
      <c r="M253" s="70">
        <f t="shared" si="59"/>
        <v>7.1294967851639246E-2</v>
      </c>
      <c r="N253" s="70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25">
      <c r="A254" s="9" t="s">
        <v>34</v>
      </c>
      <c r="B254" s="63">
        <v>4</v>
      </c>
      <c r="C254" t="s">
        <v>11</v>
      </c>
      <c r="D254" s="65">
        <v>12240</v>
      </c>
      <c r="E254" s="65">
        <v>12691</v>
      </c>
      <c r="F254" s="65">
        <v>12612</v>
      </c>
      <c r="G254" s="13">
        <f t="shared" si="54"/>
        <v>-79</v>
      </c>
      <c r="H254" s="13">
        <f t="shared" si="55"/>
        <v>372</v>
      </c>
      <c r="I254" s="70">
        <f t="shared" si="56"/>
        <v>3.039215686274499E-2</v>
      </c>
      <c r="J254" s="70">
        <f t="shared" si="57"/>
        <v>-6.2248837759041331E-3</v>
      </c>
      <c r="K254" s="82" t="str">
        <f>_xlfn.IFNA(VLOOKUP(CLEAN(SUBSTITUTE(C254," ","")),Ref_Factory!$A:$B,2,FALSE),CLEAN(SUBSTITUTE(C254," ","")))</f>
        <v>GM1</v>
      </c>
      <c r="L254" s="82" t="str">
        <f t="shared" si="58"/>
        <v>FEBRUARY-4-GM1</v>
      </c>
      <c r="M254" s="70">
        <f t="shared" si="59"/>
        <v>7.1294967851639246E-2</v>
      </c>
      <c r="N254" s="70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25">
      <c r="A255" s="9" t="s">
        <v>34</v>
      </c>
      <c r="B255" s="63">
        <v>4</v>
      </c>
      <c r="C255" t="s">
        <v>15</v>
      </c>
      <c r="D255" s="65">
        <v>566</v>
      </c>
      <c r="E255" s="65">
        <v>587</v>
      </c>
      <c r="F255" s="65">
        <v>569</v>
      </c>
      <c r="G255" s="13">
        <f t="shared" si="54"/>
        <v>-18</v>
      </c>
      <c r="H255" s="13">
        <f t="shared" si="55"/>
        <v>3</v>
      </c>
      <c r="I255" s="70">
        <f t="shared" si="56"/>
        <v>5.300353356890497E-3</v>
      </c>
      <c r="J255" s="70">
        <f t="shared" si="57"/>
        <v>-3.0664395229982988E-2</v>
      </c>
      <c r="K255" s="82" t="str">
        <f>_xlfn.IFNA(VLOOKUP(CLEAN(SUBSTITUTE(C255," ","")),Ref_Factory!$A:$B,2,FALSE),CLEAN(SUBSTITUTE(C255," ","")))</f>
        <v>CHAWAN</v>
      </c>
      <c r="L255" s="82" t="str">
        <f t="shared" si="58"/>
        <v>FEBRUARY-4-CHAWAN</v>
      </c>
      <c r="M255" s="70">
        <f t="shared" si="59"/>
        <v>5.300353356890497E-3</v>
      </c>
      <c r="N255" s="70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25">
      <c r="A256" s="9" t="s">
        <v>34</v>
      </c>
      <c r="B256" s="63">
        <v>5</v>
      </c>
      <c r="C256" t="s">
        <v>13</v>
      </c>
      <c r="D256" s="65">
        <v>7560</v>
      </c>
      <c r="E256" s="65">
        <v>7656</v>
      </c>
      <c r="F256" s="65">
        <v>7635</v>
      </c>
      <c r="G256" s="13">
        <f t="shared" si="54"/>
        <v>-21</v>
      </c>
      <c r="H256" s="13">
        <f t="shared" si="55"/>
        <v>75</v>
      </c>
      <c r="I256" s="70">
        <f t="shared" si="56"/>
        <v>9.9206349206348854E-3</v>
      </c>
      <c r="J256" s="70">
        <f t="shared" si="57"/>
        <v>-2.742946708463978E-3</v>
      </c>
      <c r="K256" s="82" t="str">
        <f>_xlfn.IFNA(VLOOKUP(CLEAN(SUBSTITUTE(C256," ","")),Ref_Factory!$A:$B,2,FALSE),CLEAN(SUBSTITUTE(C256," ","")))</f>
        <v>KALIBENDA</v>
      </c>
      <c r="L256" s="82" t="str">
        <f t="shared" si="58"/>
        <v>FEBRUARY-5-KALIBENDA</v>
      </c>
      <c r="M256" s="70">
        <f t="shared" si="59"/>
        <v>0.11709997449956644</v>
      </c>
      <c r="N256" s="70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25">
      <c r="A257" s="9" t="s">
        <v>34</v>
      </c>
      <c r="B257" s="63">
        <v>5</v>
      </c>
      <c r="C257" t="s">
        <v>13</v>
      </c>
      <c r="D257" s="65">
        <v>44496</v>
      </c>
      <c r="E257" s="65">
        <v>45657</v>
      </c>
      <c r="F257" s="65">
        <v>45489</v>
      </c>
      <c r="G257" s="13">
        <f t="shared" si="54"/>
        <v>-168</v>
      </c>
      <c r="H257" s="13">
        <f t="shared" si="55"/>
        <v>993</v>
      </c>
      <c r="I257" s="70">
        <f t="shared" si="56"/>
        <v>2.231661272923402E-2</v>
      </c>
      <c r="J257" s="70">
        <f t="shared" si="57"/>
        <v>-3.6796110125500991E-3</v>
      </c>
      <c r="K257" s="82" t="str">
        <f>_xlfn.IFNA(VLOOKUP(CLEAN(SUBSTITUTE(C257," ","")),Ref_Factory!$A:$B,2,FALSE),CLEAN(SUBSTITUTE(C257," ","")))</f>
        <v>KALIBENDA</v>
      </c>
      <c r="L257" s="82" t="str">
        <f t="shared" si="58"/>
        <v>FEBRUARY-5-KALIBENDA</v>
      </c>
      <c r="M257" s="70">
        <f t="shared" si="59"/>
        <v>0.11709997449956644</v>
      </c>
      <c r="N257" s="70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25">
      <c r="A258" s="9" t="s">
        <v>34</v>
      </c>
      <c r="B258" s="63">
        <v>5</v>
      </c>
      <c r="C258" t="s">
        <v>13</v>
      </c>
      <c r="D258" s="65">
        <v>7560</v>
      </c>
      <c r="E258" s="65">
        <v>7788</v>
      </c>
      <c r="F258" s="65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70">
        <f t="shared" ref="I258:I321" si="74">F258/D258-1</f>
        <v>2.6587301587301493E-2</v>
      </c>
      <c r="J258" s="70">
        <f t="shared" ref="J258:J321" si="75">F258/E258-1</f>
        <v>-3.4668721109398781E-3</v>
      </c>
      <c r="K258" s="82" t="str">
        <f>_xlfn.IFNA(VLOOKUP(CLEAN(SUBSTITUTE(C258," ","")),Ref_Factory!$A:$B,2,FALSE),CLEAN(SUBSTITUTE(C258," ","")))</f>
        <v>KALIBENDA</v>
      </c>
      <c r="L258" s="82" t="str">
        <f t="shared" ref="L258:L321" si="76">A258&amp;"-"&amp;B258&amp;"-"&amp;K258</f>
        <v>FEBRUARY-5-KALIBENDA</v>
      </c>
      <c r="M258" s="70">
        <f t="shared" ref="M258:M321" si="77">SUMIF($L$2:$L$1420,L258,$I$2:$I$1420)</f>
        <v>0.11709997449956644</v>
      </c>
      <c r="N258" s="70">
        <f t="shared" ref="N258:N321" si="78">SUMIF($L$2:$L$1420,L258,$J$2:$J$1420)</f>
        <v>-1.1587744693673074E-2</v>
      </c>
      <c r="O258" s="13">
        <f t="shared" ref="O258:O321" si="79">SUMIF($A$2:$A$1420,A258,$D$2:$D$1420)</f>
        <v>1504511</v>
      </c>
      <c r="P258" s="13">
        <f t="shared" ref="P258:P321" si="80">SUMIF($A$2:$A$1420,A258,$E$2:$E$1420)</f>
        <v>1532581</v>
      </c>
      <c r="Q258" s="13">
        <f t="shared" ref="Q258:Q321" si="81">SUMIF($A$2:$A$1420,A258,$F$2:$F$1420)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SUMIF($T$2:$T$1420,T258,$D$2:$D$1420)</f>
        <v>302400</v>
      </c>
      <c r="V258">
        <f t="shared" ref="V258:V321" si="86">SUMIF($T$2:$T$1420,T258,$E$2:$E$1420)</f>
        <v>309474</v>
      </c>
      <c r="W258">
        <f t="shared" ref="W258:W321" si="87">SUMIF($T$2:$T$1420,T258,$F$2:$F$1420)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25">
      <c r="A259" s="9" t="s">
        <v>34</v>
      </c>
      <c r="B259" s="63">
        <v>5</v>
      </c>
      <c r="C259" t="s">
        <v>14</v>
      </c>
      <c r="D259" s="65">
        <v>23436</v>
      </c>
      <c r="E259" s="65">
        <v>23713</v>
      </c>
      <c r="F259" s="65">
        <v>22926</v>
      </c>
      <c r="G259" s="13">
        <f t="shared" si="72"/>
        <v>-787</v>
      </c>
      <c r="H259" s="13">
        <f t="shared" si="73"/>
        <v>-510</v>
      </c>
      <c r="I259" s="70">
        <f t="shared" si="74"/>
        <v>-2.1761392729134688E-2</v>
      </c>
      <c r="J259" s="70">
        <f t="shared" si="75"/>
        <v>-3.3188546366971661E-2</v>
      </c>
      <c r="K259" s="82" t="str">
        <f>_xlfn.IFNA(VLOOKUP(CLEAN(SUBSTITUTE(C259," ","")),Ref_Factory!$A:$B,2,FALSE),CLEAN(SUBSTITUTE(C259," ","")))</f>
        <v>GM2</v>
      </c>
      <c r="L259" s="82" t="str">
        <f t="shared" si="76"/>
        <v>FEBRUARY-5-GM2</v>
      </c>
      <c r="M259" s="70">
        <f t="shared" si="77"/>
        <v>5.7912949800109192E-2</v>
      </c>
      <c r="N259" s="70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25">
      <c r="A260" s="9" t="s">
        <v>34</v>
      </c>
      <c r="B260" s="63">
        <v>5</v>
      </c>
      <c r="C260" t="s">
        <v>14</v>
      </c>
      <c r="D260" s="65">
        <v>3996</v>
      </c>
      <c r="E260" s="65">
        <v>4094</v>
      </c>
      <c r="F260" s="65">
        <v>4029</v>
      </c>
      <c r="G260" s="13">
        <f t="shared" si="72"/>
        <v>-65</v>
      </c>
      <c r="H260" s="13">
        <f t="shared" si="73"/>
        <v>33</v>
      </c>
      <c r="I260" s="70">
        <f t="shared" si="74"/>
        <v>8.2582582582582109E-3</v>
      </c>
      <c r="J260" s="70">
        <f t="shared" si="75"/>
        <v>-1.5876893014167059E-2</v>
      </c>
      <c r="K260" s="82" t="str">
        <f>_xlfn.IFNA(VLOOKUP(CLEAN(SUBSTITUTE(C260," ","")),Ref_Factory!$A:$B,2,FALSE),CLEAN(SUBSTITUTE(C260," ","")))</f>
        <v>GM2</v>
      </c>
      <c r="L260" s="82" t="str">
        <f t="shared" si="76"/>
        <v>FEBRUARY-5-GM2</v>
      </c>
      <c r="M260" s="70">
        <f t="shared" si="77"/>
        <v>5.7912949800109192E-2</v>
      </c>
      <c r="N260" s="70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25">
      <c r="A261" s="9" t="s">
        <v>34</v>
      </c>
      <c r="B261" s="63">
        <v>5</v>
      </c>
      <c r="C261" t="s">
        <v>14</v>
      </c>
      <c r="D261" s="65">
        <v>44172</v>
      </c>
      <c r="E261" s="65">
        <v>44910</v>
      </c>
      <c r="F261" s="65">
        <v>44205</v>
      </c>
      <c r="G261" s="13">
        <f t="shared" si="72"/>
        <v>-705</v>
      </c>
      <c r="H261" s="13">
        <f t="shared" si="73"/>
        <v>33</v>
      </c>
      <c r="I261" s="70">
        <f t="shared" si="74"/>
        <v>7.4707959793540724E-4</v>
      </c>
      <c r="J261" s="70">
        <f t="shared" si="75"/>
        <v>-1.5698062792251166E-2</v>
      </c>
      <c r="K261" s="82" t="str">
        <f>_xlfn.IFNA(VLOOKUP(CLEAN(SUBSTITUTE(C261," ","")),Ref_Factory!$A:$B,2,FALSE),CLEAN(SUBSTITUTE(C261," ","")))</f>
        <v>GM2</v>
      </c>
      <c r="L261" s="82" t="str">
        <f t="shared" si="76"/>
        <v>FEBRUARY-5-GM2</v>
      </c>
      <c r="M261" s="70">
        <f t="shared" si="77"/>
        <v>5.7912949800109192E-2</v>
      </c>
      <c r="N261" s="70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25">
      <c r="A262" s="9" t="s">
        <v>34</v>
      </c>
      <c r="B262" s="63">
        <v>5</v>
      </c>
      <c r="C262" t="s">
        <v>14</v>
      </c>
      <c r="D262" s="65">
        <v>7452</v>
      </c>
      <c r="E262" s="65">
        <v>7639</v>
      </c>
      <c r="F262" s="65">
        <v>7503</v>
      </c>
      <c r="G262" s="13">
        <f t="shared" si="72"/>
        <v>-136</v>
      </c>
      <c r="H262" s="13">
        <f t="shared" si="73"/>
        <v>51</v>
      </c>
      <c r="I262" s="70">
        <f t="shared" si="74"/>
        <v>6.843800322061222E-3</v>
      </c>
      <c r="J262" s="70">
        <f t="shared" si="75"/>
        <v>-1.7803377405419596E-2</v>
      </c>
      <c r="K262" s="82" t="str">
        <f>_xlfn.IFNA(VLOOKUP(CLEAN(SUBSTITUTE(C262," ","")),Ref_Factory!$A:$B,2,FALSE),CLEAN(SUBSTITUTE(C262," ","")))</f>
        <v>GM2</v>
      </c>
      <c r="L262" s="82" t="str">
        <f t="shared" si="76"/>
        <v>FEBRUARY-5-GM2</v>
      </c>
      <c r="M262" s="70">
        <f t="shared" si="77"/>
        <v>5.7912949800109192E-2</v>
      </c>
      <c r="N262" s="70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25">
      <c r="A263" s="9" t="s">
        <v>34</v>
      </c>
      <c r="B263" s="63">
        <v>5</v>
      </c>
      <c r="C263" t="s">
        <v>11</v>
      </c>
      <c r="D263" s="65">
        <v>5760</v>
      </c>
      <c r="E263" s="65">
        <v>5876</v>
      </c>
      <c r="F263" s="65">
        <v>5876</v>
      </c>
      <c r="G263" s="13">
        <f t="shared" si="72"/>
        <v>0</v>
      </c>
      <c r="H263" s="13">
        <f t="shared" si="73"/>
        <v>116</v>
      </c>
      <c r="I263" s="70">
        <f t="shared" si="74"/>
        <v>2.0138888888888928E-2</v>
      </c>
      <c r="J263" s="70">
        <f t="shared" si="75"/>
        <v>0</v>
      </c>
      <c r="K263" s="82" t="str">
        <f>_xlfn.IFNA(VLOOKUP(CLEAN(SUBSTITUTE(C263," ","")),Ref_Factory!$A:$B,2,FALSE),CLEAN(SUBSTITUTE(C263," ","")))</f>
        <v>GM1</v>
      </c>
      <c r="L263" s="82" t="str">
        <f t="shared" si="76"/>
        <v>FEBRUARY-5-GM1</v>
      </c>
      <c r="M263" s="70">
        <f t="shared" si="77"/>
        <v>8.0072463768115831E-2</v>
      </c>
      <c r="N263" s="70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25">
      <c r="A264" s="9" t="s">
        <v>34</v>
      </c>
      <c r="B264" s="63">
        <v>5</v>
      </c>
      <c r="C264" t="s">
        <v>11</v>
      </c>
      <c r="D264" s="65">
        <v>5760</v>
      </c>
      <c r="E264" s="65">
        <v>5876</v>
      </c>
      <c r="F264" s="65">
        <v>5876</v>
      </c>
      <c r="G264" s="13">
        <f t="shared" si="72"/>
        <v>0</v>
      </c>
      <c r="H264" s="13">
        <f t="shared" si="73"/>
        <v>116</v>
      </c>
      <c r="I264" s="70">
        <f t="shared" si="74"/>
        <v>2.0138888888888928E-2</v>
      </c>
      <c r="J264" s="70">
        <f t="shared" si="75"/>
        <v>0</v>
      </c>
      <c r="K264" s="82" t="str">
        <f>_xlfn.IFNA(VLOOKUP(CLEAN(SUBSTITUTE(C264," ","")),Ref_Factory!$A:$B,2,FALSE),CLEAN(SUBSTITUTE(C264," ","")))</f>
        <v>GM1</v>
      </c>
      <c r="L264" s="82" t="str">
        <f t="shared" si="76"/>
        <v>FEBRUARY-5-GM1</v>
      </c>
      <c r="M264" s="70">
        <f t="shared" si="77"/>
        <v>8.0072463768115831E-2</v>
      </c>
      <c r="N264" s="70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25">
      <c r="A265" s="9" t="s">
        <v>34</v>
      </c>
      <c r="B265" s="63">
        <v>5</v>
      </c>
      <c r="C265" t="s">
        <v>11</v>
      </c>
      <c r="D265" s="65">
        <v>5760</v>
      </c>
      <c r="E265" s="65">
        <v>5961</v>
      </c>
      <c r="F265" s="65">
        <v>5896</v>
      </c>
      <c r="G265" s="13">
        <f t="shared" si="72"/>
        <v>-65</v>
      </c>
      <c r="H265" s="13">
        <f t="shared" si="73"/>
        <v>136</v>
      </c>
      <c r="I265" s="70">
        <f t="shared" si="74"/>
        <v>2.3611111111111027E-2</v>
      </c>
      <c r="J265" s="70">
        <f t="shared" si="75"/>
        <v>-1.0904210702902151E-2</v>
      </c>
      <c r="K265" s="82" t="str">
        <f>_xlfn.IFNA(VLOOKUP(CLEAN(SUBSTITUTE(C265," ","")),Ref_Factory!$A:$B,2,FALSE),CLEAN(SUBSTITUTE(C265," ","")))</f>
        <v>GM1</v>
      </c>
      <c r="L265" s="82" t="str">
        <f t="shared" si="76"/>
        <v>FEBRUARY-5-GM1</v>
      </c>
      <c r="M265" s="70">
        <f t="shared" si="77"/>
        <v>8.0072463768115831E-2</v>
      </c>
      <c r="N265" s="70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25">
      <c r="A266" s="9" t="s">
        <v>34</v>
      </c>
      <c r="B266" s="63">
        <v>5</v>
      </c>
      <c r="C266" t="s">
        <v>11</v>
      </c>
      <c r="D266" s="65">
        <v>33120</v>
      </c>
      <c r="E266" s="65">
        <v>33912</v>
      </c>
      <c r="F266" s="65">
        <v>33656</v>
      </c>
      <c r="G266" s="13">
        <f t="shared" si="72"/>
        <v>-256</v>
      </c>
      <c r="H266" s="13">
        <f t="shared" si="73"/>
        <v>536</v>
      </c>
      <c r="I266" s="70">
        <f t="shared" si="74"/>
        <v>1.6183574879226947E-2</v>
      </c>
      <c r="J266" s="70">
        <f t="shared" si="75"/>
        <v>-7.5489502241095074E-3</v>
      </c>
      <c r="K266" s="82" t="str">
        <f>_xlfn.IFNA(VLOOKUP(CLEAN(SUBSTITUTE(C266," ","")),Ref_Factory!$A:$B,2,FALSE),CLEAN(SUBSTITUTE(C266," ","")))</f>
        <v>GM1</v>
      </c>
      <c r="L266" s="82" t="str">
        <f t="shared" si="76"/>
        <v>FEBRUARY-5-GM1</v>
      </c>
      <c r="M266" s="70">
        <f t="shared" si="77"/>
        <v>8.0072463768115831E-2</v>
      </c>
      <c r="N266" s="70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25">
      <c r="A267" s="9" t="s">
        <v>34</v>
      </c>
      <c r="B267" s="63">
        <v>5</v>
      </c>
      <c r="C267" t="s">
        <v>11</v>
      </c>
      <c r="D267" s="65">
        <v>5760</v>
      </c>
      <c r="E267" s="65">
        <v>5876</v>
      </c>
      <c r="F267" s="65">
        <v>5760</v>
      </c>
      <c r="G267" s="13">
        <f t="shared" si="72"/>
        <v>-116</v>
      </c>
      <c r="H267" s="13">
        <f t="shared" si="73"/>
        <v>0</v>
      </c>
      <c r="I267" s="70">
        <f t="shared" si="74"/>
        <v>0</v>
      </c>
      <c r="J267" s="70">
        <f t="shared" si="75"/>
        <v>-1.9741320626276426E-2</v>
      </c>
      <c r="K267" s="82" t="str">
        <f>_xlfn.IFNA(VLOOKUP(CLEAN(SUBSTITUTE(C267," ","")),Ref_Factory!$A:$B,2,FALSE),CLEAN(SUBSTITUTE(C267," ","")))</f>
        <v>GM1</v>
      </c>
      <c r="L267" s="82" t="str">
        <f t="shared" si="76"/>
        <v>FEBRUARY-5-GM1</v>
      </c>
      <c r="M267" s="70">
        <f t="shared" si="77"/>
        <v>8.0072463768115831E-2</v>
      </c>
      <c r="N267" s="70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25">
      <c r="A268" s="9" t="s">
        <v>34</v>
      </c>
      <c r="B268" s="63">
        <v>5</v>
      </c>
      <c r="C268" t="s">
        <v>14</v>
      </c>
      <c r="D268" s="65">
        <v>33984</v>
      </c>
      <c r="E268" s="65">
        <v>35075</v>
      </c>
      <c r="F268" s="65">
        <v>33984</v>
      </c>
      <c r="G268" s="13">
        <f t="shared" si="72"/>
        <v>-1091</v>
      </c>
      <c r="H268" s="13">
        <f t="shared" si="73"/>
        <v>0</v>
      </c>
      <c r="I268" s="70">
        <f t="shared" si="74"/>
        <v>0</v>
      </c>
      <c r="J268" s="70">
        <f t="shared" si="75"/>
        <v>-3.1104775481111901E-2</v>
      </c>
      <c r="K268" s="82" t="str">
        <f>_xlfn.IFNA(VLOOKUP(CLEAN(SUBSTITUTE(C268," ","")),Ref_Factory!$A:$B,2,FALSE),CLEAN(SUBSTITUTE(C268," ","")))</f>
        <v>GM2</v>
      </c>
      <c r="L268" s="82" t="str">
        <f t="shared" si="76"/>
        <v>FEBRUARY-5-GM2</v>
      </c>
      <c r="M268" s="70">
        <f t="shared" si="77"/>
        <v>5.7912949800109192E-2</v>
      </c>
      <c r="N268" s="70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25">
      <c r="A269" s="9" t="s">
        <v>34</v>
      </c>
      <c r="B269" s="63">
        <v>5</v>
      </c>
      <c r="C269" t="s">
        <v>14</v>
      </c>
      <c r="D269" s="65">
        <v>5760</v>
      </c>
      <c r="E269" s="65">
        <v>5994</v>
      </c>
      <c r="F269" s="65">
        <v>5760</v>
      </c>
      <c r="G269" s="13">
        <f t="shared" si="72"/>
        <v>-234</v>
      </c>
      <c r="H269" s="13">
        <f t="shared" si="73"/>
        <v>0</v>
      </c>
      <c r="I269" s="70">
        <f t="shared" si="74"/>
        <v>0</v>
      </c>
      <c r="J269" s="70">
        <f t="shared" si="75"/>
        <v>-3.9039039039039047E-2</v>
      </c>
      <c r="K269" s="82" t="str">
        <f>_xlfn.IFNA(VLOOKUP(CLEAN(SUBSTITUTE(C269," ","")),Ref_Factory!$A:$B,2,FALSE),CLEAN(SUBSTITUTE(C269," ","")))</f>
        <v>GM2</v>
      </c>
      <c r="L269" s="82" t="str">
        <f t="shared" si="76"/>
        <v>FEBRUARY-5-GM2</v>
      </c>
      <c r="M269" s="70">
        <f t="shared" si="77"/>
        <v>5.7912949800109192E-2</v>
      </c>
      <c r="N269" s="70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25">
      <c r="A270" s="9" t="s">
        <v>34</v>
      </c>
      <c r="B270" s="63">
        <v>5</v>
      </c>
      <c r="C270" t="s">
        <v>13</v>
      </c>
      <c r="D270" s="65">
        <v>66312</v>
      </c>
      <c r="E270" s="65">
        <v>68303</v>
      </c>
      <c r="F270" s="65">
        <v>68187</v>
      </c>
      <c r="G270" s="13">
        <f t="shared" si="72"/>
        <v>-116</v>
      </c>
      <c r="H270" s="13">
        <f t="shared" si="73"/>
        <v>1875</v>
      </c>
      <c r="I270" s="70">
        <f t="shared" si="74"/>
        <v>2.8275425262396015E-2</v>
      </c>
      <c r="J270" s="70">
        <f t="shared" si="75"/>
        <v>-1.6983148617191191E-3</v>
      </c>
      <c r="K270" s="82" t="str">
        <f>_xlfn.IFNA(VLOOKUP(CLEAN(SUBSTITUTE(C270," ","")),Ref_Factory!$A:$B,2,FALSE),CLEAN(SUBSTITUTE(C270," ","")))</f>
        <v>KALIBENDA</v>
      </c>
      <c r="L270" s="82" t="str">
        <f t="shared" si="76"/>
        <v>FEBRUARY-5-KALIBENDA</v>
      </c>
      <c r="M270" s="70">
        <f t="shared" si="77"/>
        <v>0.11709997449956644</v>
      </c>
      <c r="N270" s="70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25">
      <c r="A271" s="9" t="s">
        <v>34</v>
      </c>
      <c r="B271" s="63">
        <v>5</v>
      </c>
      <c r="C271" t="s">
        <v>13</v>
      </c>
      <c r="D271" s="65">
        <v>2700</v>
      </c>
      <c r="E271" s="65">
        <v>2781</v>
      </c>
      <c r="F271" s="65">
        <v>2781</v>
      </c>
      <c r="G271" s="13">
        <f t="shared" si="72"/>
        <v>0</v>
      </c>
      <c r="H271" s="13">
        <f t="shared" si="73"/>
        <v>81</v>
      </c>
      <c r="I271" s="70">
        <f t="shared" si="74"/>
        <v>3.0000000000000027E-2</v>
      </c>
      <c r="J271" s="70">
        <f t="shared" si="75"/>
        <v>0</v>
      </c>
      <c r="K271" s="82" t="str">
        <f>_xlfn.IFNA(VLOOKUP(CLEAN(SUBSTITUTE(C271," ","")),Ref_Factory!$A:$B,2,FALSE),CLEAN(SUBSTITUTE(C271," ","")))</f>
        <v>KALIBENDA</v>
      </c>
      <c r="L271" s="82" t="str">
        <f t="shared" si="76"/>
        <v>FEBRUARY-5-KALIBENDA</v>
      </c>
      <c r="M271" s="70">
        <f t="shared" si="77"/>
        <v>0.11709997449956644</v>
      </c>
      <c r="N271" s="70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25">
      <c r="A272" s="9" t="s">
        <v>34</v>
      </c>
      <c r="B272" s="63">
        <v>5</v>
      </c>
      <c r="C272" t="s">
        <v>14</v>
      </c>
      <c r="D272" s="65">
        <v>17280</v>
      </c>
      <c r="E272" s="65">
        <v>17803</v>
      </c>
      <c r="F272" s="65">
        <v>17280</v>
      </c>
      <c r="G272" s="13">
        <f t="shared" si="72"/>
        <v>-523</v>
      </c>
      <c r="H272" s="13">
        <f t="shared" si="73"/>
        <v>0</v>
      </c>
      <c r="I272" s="70">
        <f t="shared" si="74"/>
        <v>0</v>
      </c>
      <c r="J272" s="70">
        <f t="shared" si="75"/>
        <v>-2.9377071280121347E-2</v>
      </c>
      <c r="K272" s="82" t="str">
        <f>_xlfn.IFNA(VLOOKUP(CLEAN(SUBSTITUTE(C272," ","")),Ref_Factory!$A:$B,2,FALSE),CLEAN(SUBSTITUTE(C272," ","")))</f>
        <v>GM2</v>
      </c>
      <c r="L272" s="82" t="str">
        <f t="shared" si="76"/>
        <v>FEBRUARY-5-GM2</v>
      </c>
      <c r="M272" s="70">
        <f t="shared" si="77"/>
        <v>5.7912949800109192E-2</v>
      </c>
      <c r="N272" s="70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25">
      <c r="A273" s="9" t="s">
        <v>34</v>
      </c>
      <c r="B273" s="63">
        <v>5</v>
      </c>
      <c r="C273" t="s">
        <v>14</v>
      </c>
      <c r="D273" s="65">
        <v>1080</v>
      </c>
      <c r="E273" s="65">
        <v>1119</v>
      </c>
      <c r="F273" s="65">
        <v>1113</v>
      </c>
      <c r="G273" s="13">
        <f t="shared" si="72"/>
        <v>-6</v>
      </c>
      <c r="H273" s="13">
        <f t="shared" si="73"/>
        <v>33</v>
      </c>
      <c r="I273" s="70">
        <f t="shared" si="74"/>
        <v>3.0555555555555447E-2</v>
      </c>
      <c r="J273" s="70">
        <f t="shared" si="75"/>
        <v>-5.3619302949061698E-3</v>
      </c>
      <c r="K273" s="82" t="str">
        <f>_xlfn.IFNA(VLOOKUP(CLEAN(SUBSTITUTE(C273," ","")),Ref_Factory!$A:$B,2,FALSE),CLEAN(SUBSTITUTE(C273," ","")))</f>
        <v>GM2</v>
      </c>
      <c r="L273" s="82" t="str">
        <f t="shared" si="76"/>
        <v>FEBRUARY-5-GM2</v>
      </c>
      <c r="M273" s="70">
        <f t="shared" si="77"/>
        <v>5.7912949800109192E-2</v>
      </c>
      <c r="N273" s="70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25">
      <c r="A274" s="9" t="s">
        <v>34</v>
      </c>
      <c r="B274" s="63">
        <v>5</v>
      </c>
      <c r="C274" t="s">
        <v>14</v>
      </c>
      <c r="D274" s="65">
        <v>8964</v>
      </c>
      <c r="E274" s="65">
        <v>9240</v>
      </c>
      <c r="F274" s="65">
        <v>8964</v>
      </c>
      <c r="G274" s="13">
        <f t="shared" si="72"/>
        <v>-276</v>
      </c>
      <c r="H274" s="13">
        <f t="shared" si="73"/>
        <v>0</v>
      </c>
      <c r="I274" s="70">
        <f t="shared" si="74"/>
        <v>0</v>
      </c>
      <c r="J274" s="70">
        <f t="shared" si="75"/>
        <v>-2.9870129870129825E-2</v>
      </c>
      <c r="K274" s="82" t="str">
        <f>_xlfn.IFNA(VLOOKUP(CLEAN(SUBSTITUTE(C274," ","")),Ref_Factory!$A:$B,2,FALSE),CLEAN(SUBSTITUTE(C274," ","")))</f>
        <v>GM2</v>
      </c>
      <c r="L274" s="82" t="str">
        <f t="shared" si="76"/>
        <v>FEBRUARY-5-GM2</v>
      </c>
      <c r="M274" s="70">
        <f t="shared" si="77"/>
        <v>5.7912949800109192E-2</v>
      </c>
      <c r="N274" s="70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25">
      <c r="A275" s="9" t="s">
        <v>34</v>
      </c>
      <c r="B275" s="63">
        <v>5</v>
      </c>
      <c r="C275" t="s">
        <v>14</v>
      </c>
      <c r="D275" s="65">
        <v>6048</v>
      </c>
      <c r="E275" s="65">
        <v>6243</v>
      </c>
      <c r="F275" s="65">
        <v>6048</v>
      </c>
      <c r="G275" s="13">
        <f t="shared" si="72"/>
        <v>-195</v>
      </c>
      <c r="H275" s="13">
        <f t="shared" si="73"/>
        <v>0</v>
      </c>
      <c r="I275" s="70">
        <f t="shared" si="74"/>
        <v>0</v>
      </c>
      <c r="J275" s="70">
        <f t="shared" si="75"/>
        <v>-3.1234983181162912E-2</v>
      </c>
      <c r="K275" s="82" t="str">
        <f>_xlfn.IFNA(VLOOKUP(CLEAN(SUBSTITUTE(C275," ","")),Ref_Factory!$A:$B,2,FALSE),CLEAN(SUBSTITUTE(C275," ","")))</f>
        <v>GM2</v>
      </c>
      <c r="L275" s="82" t="str">
        <f t="shared" si="76"/>
        <v>FEBRUARY-5-GM2</v>
      </c>
      <c r="M275" s="70">
        <f t="shared" si="77"/>
        <v>5.7912949800109192E-2</v>
      </c>
      <c r="N275" s="70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25">
      <c r="A276" s="9" t="s">
        <v>34</v>
      </c>
      <c r="B276" s="63">
        <v>5</v>
      </c>
      <c r="C276" t="s">
        <v>14</v>
      </c>
      <c r="D276" s="65">
        <v>1080</v>
      </c>
      <c r="E276" s="65">
        <v>1116</v>
      </c>
      <c r="F276" s="65">
        <v>1107</v>
      </c>
      <c r="G276" s="13">
        <f t="shared" si="72"/>
        <v>-9</v>
      </c>
      <c r="H276" s="13">
        <f t="shared" si="73"/>
        <v>27</v>
      </c>
      <c r="I276" s="70">
        <f t="shared" si="74"/>
        <v>2.4999999999999911E-2</v>
      </c>
      <c r="J276" s="70">
        <f t="shared" si="75"/>
        <v>-8.0645161290322509E-3</v>
      </c>
      <c r="K276" s="82" t="str">
        <f>_xlfn.IFNA(VLOOKUP(CLEAN(SUBSTITUTE(C276," ","")),Ref_Factory!$A:$B,2,FALSE),CLEAN(SUBSTITUTE(C276," ","")))</f>
        <v>GM2</v>
      </c>
      <c r="L276" s="82" t="str">
        <f t="shared" si="76"/>
        <v>FEBRUARY-5-GM2</v>
      </c>
      <c r="M276" s="70">
        <f t="shared" si="77"/>
        <v>5.7912949800109192E-2</v>
      </c>
      <c r="N276" s="70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25">
      <c r="A277" s="9" t="s">
        <v>34</v>
      </c>
      <c r="B277" s="63">
        <v>5</v>
      </c>
      <c r="C277" t="s">
        <v>14</v>
      </c>
      <c r="D277" s="65">
        <v>39852</v>
      </c>
      <c r="E277" s="65">
        <v>40699</v>
      </c>
      <c r="F277" s="65">
        <v>40494</v>
      </c>
      <c r="G277" s="13">
        <f t="shared" si="72"/>
        <v>-205</v>
      </c>
      <c r="H277" s="13">
        <f t="shared" si="73"/>
        <v>642</v>
      </c>
      <c r="I277" s="70">
        <f t="shared" si="74"/>
        <v>1.6109605540499894E-2</v>
      </c>
      <c r="J277" s="70">
        <f t="shared" si="75"/>
        <v>-5.0369787955477641E-3</v>
      </c>
      <c r="K277" s="82" t="str">
        <f>_xlfn.IFNA(VLOOKUP(CLEAN(SUBSTITUTE(C277," ","")),Ref_Factory!$A:$B,2,FALSE),CLEAN(SUBSTITUTE(C277," ","")))</f>
        <v>GM2</v>
      </c>
      <c r="L277" s="82" t="str">
        <f t="shared" si="76"/>
        <v>FEBRUARY-5-GM2</v>
      </c>
      <c r="M277" s="70">
        <f t="shared" si="77"/>
        <v>5.7912949800109192E-2</v>
      </c>
      <c r="N277" s="70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25">
      <c r="A278" s="9" t="s">
        <v>34</v>
      </c>
      <c r="B278" s="63">
        <v>5</v>
      </c>
      <c r="C278" t="s">
        <v>14</v>
      </c>
      <c r="D278" s="65">
        <v>44388</v>
      </c>
      <c r="E278" s="65">
        <v>44874</v>
      </c>
      <c r="F278" s="65">
        <v>44040</v>
      </c>
      <c r="G278" s="13">
        <f t="shared" si="72"/>
        <v>-834</v>
      </c>
      <c r="H278" s="13">
        <f t="shared" si="73"/>
        <v>-348</v>
      </c>
      <c r="I278" s="70">
        <f t="shared" si="74"/>
        <v>-7.8399567450662122E-3</v>
      </c>
      <c r="J278" s="70">
        <f t="shared" si="75"/>
        <v>-1.858537237598612E-2</v>
      </c>
      <c r="K278" s="82" t="str">
        <f>_xlfn.IFNA(VLOOKUP(CLEAN(SUBSTITUTE(C278," ","")),Ref_Factory!$A:$B,2,FALSE),CLEAN(SUBSTITUTE(C278," ","")))</f>
        <v>GM2</v>
      </c>
      <c r="L278" s="82" t="str">
        <f t="shared" si="76"/>
        <v>FEBRUARY-5-GM2</v>
      </c>
      <c r="M278" s="70">
        <f t="shared" si="77"/>
        <v>5.7912949800109192E-2</v>
      </c>
      <c r="N278" s="70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25">
      <c r="A279" t="s">
        <v>37</v>
      </c>
      <c r="B279" s="63">
        <v>1</v>
      </c>
      <c r="C279" t="s">
        <v>10</v>
      </c>
      <c r="D279" s="65">
        <v>3790</v>
      </c>
      <c r="E279" s="65">
        <v>3790</v>
      </c>
      <c r="F279" s="65">
        <v>3790</v>
      </c>
      <c r="G279" s="13">
        <f t="shared" si="72"/>
        <v>0</v>
      </c>
      <c r="H279" s="13">
        <f t="shared" si="73"/>
        <v>0</v>
      </c>
      <c r="I279" s="70">
        <f t="shared" si="74"/>
        <v>0</v>
      </c>
      <c r="J279" s="70">
        <f t="shared" si="75"/>
        <v>0</v>
      </c>
      <c r="K279" s="82" t="str">
        <f>_xlfn.IFNA(VLOOKUP(CLEAN(SUBSTITUTE(C279," ","")),Ref_Factory!$A:$B,2,FALSE),CLEAN(SUBSTITUTE(C279," ","")))</f>
        <v>CNJ2</v>
      </c>
      <c r="L279" s="82" t="str">
        <f t="shared" si="76"/>
        <v>MARCH-1-CNJ2</v>
      </c>
      <c r="M279" s="70">
        <f t="shared" si="77"/>
        <v>0</v>
      </c>
      <c r="N279" s="70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25">
      <c r="A280" t="s">
        <v>37</v>
      </c>
      <c r="B280" s="63">
        <v>1</v>
      </c>
      <c r="C280" t="s">
        <v>10</v>
      </c>
      <c r="D280" s="65">
        <v>750</v>
      </c>
      <c r="E280" s="65">
        <v>750</v>
      </c>
      <c r="F280" s="65">
        <v>750</v>
      </c>
      <c r="G280" s="13">
        <f t="shared" si="72"/>
        <v>0</v>
      </c>
      <c r="H280" s="13">
        <f t="shared" si="73"/>
        <v>0</v>
      </c>
      <c r="I280" s="70">
        <f t="shared" si="74"/>
        <v>0</v>
      </c>
      <c r="J280" s="70">
        <f t="shared" si="75"/>
        <v>0</v>
      </c>
      <c r="K280" s="82" t="str">
        <f>_xlfn.IFNA(VLOOKUP(CLEAN(SUBSTITUTE(C280," ","")),Ref_Factory!$A:$B,2,FALSE),CLEAN(SUBSTITUTE(C280," ","")))</f>
        <v>CNJ2</v>
      </c>
      <c r="L280" s="82" t="str">
        <f t="shared" si="76"/>
        <v>MARCH-1-CNJ2</v>
      </c>
      <c r="M280" s="70">
        <f t="shared" si="77"/>
        <v>0</v>
      </c>
      <c r="N280" s="70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25">
      <c r="A281" t="s">
        <v>37</v>
      </c>
      <c r="B281" s="63">
        <v>1</v>
      </c>
      <c r="C281" t="s">
        <v>10</v>
      </c>
      <c r="D281" s="65">
        <v>820</v>
      </c>
      <c r="E281" s="65">
        <v>820</v>
      </c>
      <c r="F281" s="65">
        <v>820</v>
      </c>
      <c r="G281" s="13">
        <f t="shared" si="72"/>
        <v>0</v>
      </c>
      <c r="H281" s="13">
        <f t="shared" si="73"/>
        <v>0</v>
      </c>
      <c r="I281" s="70">
        <f t="shared" si="74"/>
        <v>0</v>
      </c>
      <c r="J281" s="70">
        <f t="shared" si="75"/>
        <v>0</v>
      </c>
      <c r="K281" s="82" t="str">
        <f>_xlfn.IFNA(VLOOKUP(CLEAN(SUBSTITUTE(C281," ","")),Ref_Factory!$A:$B,2,FALSE),CLEAN(SUBSTITUTE(C281," ","")))</f>
        <v>CNJ2</v>
      </c>
      <c r="L281" s="82" t="str">
        <f t="shared" si="76"/>
        <v>MARCH-1-CNJ2</v>
      </c>
      <c r="M281" s="70">
        <f t="shared" si="77"/>
        <v>0</v>
      </c>
      <c r="N281" s="70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25">
      <c r="A282" t="s">
        <v>37</v>
      </c>
      <c r="B282" s="63">
        <v>1</v>
      </c>
      <c r="C282" t="s">
        <v>15</v>
      </c>
      <c r="D282" s="65">
        <v>220</v>
      </c>
      <c r="E282" s="65">
        <v>220</v>
      </c>
      <c r="F282" s="65">
        <v>220</v>
      </c>
      <c r="G282" s="13">
        <f t="shared" si="72"/>
        <v>0</v>
      </c>
      <c r="H282" s="13">
        <f t="shared" si="73"/>
        <v>0</v>
      </c>
      <c r="I282" s="70">
        <f t="shared" si="74"/>
        <v>0</v>
      </c>
      <c r="J282" s="70">
        <f t="shared" si="75"/>
        <v>0</v>
      </c>
      <c r="K282" s="82" t="str">
        <f>_xlfn.IFNA(VLOOKUP(CLEAN(SUBSTITUTE(C282," ","")),Ref_Factory!$A:$B,2,FALSE),CLEAN(SUBSTITUTE(C282," ","")))</f>
        <v>CHAWAN</v>
      </c>
      <c r="L282" s="82" t="str">
        <f t="shared" si="76"/>
        <v>MARCH-1-CHAWAN</v>
      </c>
      <c r="M282" s="70">
        <f t="shared" si="77"/>
        <v>0</v>
      </c>
      <c r="N282" s="70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25">
      <c r="A283" t="s">
        <v>37</v>
      </c>
      <c r="B283" s="63">
        <v>1</v>
      </c>
      <c r="C283" t="s">
        <v>16</v>
      </c>
      <c r="D283" s="65">
        <v>600</v>
      </c>
      <c r="E283" s="65">
        <v>618</v>
      </c>
      <c r="F283" s="65">
        <v>600</v>
      </c>
      <c r="G283" s="13">
        <f t="shared" si="72"/>
        <v>-18</v>
      </c>
      <c r="H283" s="13">
        <f t="shared" si="73"/>
        <v>0</v>
      </c>
      <c r="I283" s="70">
        <f t="shared" si="74"/>
        <v>0</v>
      </c>
      <c r="J283" s="70">
        <f t="shared" si="75"/>
        <v>-2.9126213592232997E-2</v>
      </c>
      <c r="K283" s="82" t="str">
        <f>_xlfn.IFNA(VLOOKUP(CLEAN(SUBSTITUTE(C283," ","")),Ref_Factory!$A:$B,2,FALSE),CLEAN(SUBSTITUTE(C283," ","")))</f>
        <v>ANUGERAH</v>
      </c>
      <c r="L283" s="82" t="str">
        <f t="shared" si="76"/>
        <v>MARCH-1-ANUGERAH</v>
      </c>
      <c r="M283" s="70">
        <f t="shared" si="77"/>
        <v>0</v>
      </c>
      <c r="N283" s="70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25">
      <c r="A284" t="s">
        <v>37</v>
      </c>
      <c r="B284" s="63">
        <v>1</v>
      </c>
      <c r="C284" t="s">
        <v>16</v>
      </c>
      <c r="D284" s="65">
        <v>600</v>
      </c>
      <c r="E284" s="65">
        <v>618</v>
      </c>
      <c r="F284" s="65">
        <v>600</v>
      </c>
      <c r="G284" s="13">
        <f t="shared" si="72"/>
        <v>-18</v>
      </c>
      <c r="H284" s="13">
        <f t="shared" si="73"/>
        <v>0</v>
      </c>
      <c r="I284" s="70">
        <f t="shared" si="74"/>
        <v>0</v>
      </c>
      <c r="J284" s="70">
        <f t="shared" si="75"/>
        <v>-2.9126213592232997E-2</v>
      </c>
      <c r="K284" s="82" t="str">
        <f>_xlfn.IFNA(VLOOKUP(CLEAN(SUBSTITUTE(C284," ","")),Ref_Factory!$A:$B,2,FALSE),CLEAN(SUBSTITUTE(C284," ","")))</f>
        <v>ANUGERAH</v>
      </c>
      <c r="L284" s="82" t="str">
        <f t="shared" si="76"/>
        <v>MARCH-1-ANUGERAH</v>
      </c>
      <c r="M284" s="70">
        <f t="shared" si="77"/>
        <v>0</v>
      </c>
      <c r="N284" s="70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25">
      <c r="A285" t="s">
        <v>37</v>
      </c>
      <c r="B285" s="63">
        <v>1</v>
      </c>
      <c r="C285" t="s">
        <v>16</v>
      </c>
      <c r="D285" s="65">
        <v>600</v>
      </c>
      <c r="E285" s="65">
        <v>648</v>
      </c>
      <c r="F285" s="65">
        <v>600</v>
      </c>
      <c r="G285" s="13">
        <f t="shared" si="72"/>
        <v>-48</v>
      </c>
      <c r="H285" s="13">
        <f t="shared" si="73"/>
        <v>0</v>
      </c>
      <c r="I285" s="70">
        <f t="shared" si="74"/>
        <v>0</v>
      </c>
      <c r="J285" s="70">
        <f t="shared" si="75"/>
        <v>-7.407407407407407E-2</v>
      </c>
      <c r="K285" s="82" t="str">
        <f>_xlfn.IFNA(VLOOKUP(CLEAN(SUBSTITUTE(C285," ","")),Ref_Factory!$A:$B,2,FALSE),CLEAN(SUBSTITUTE(C285," ","")))</f>
        <v>ANUGERAH</v>
      </c>
      <c r="L285" s="82" t="str">
        <f t="shared" si="76"/>
        <v>MARCH-1-ANUGERAH</v>
      </c>
      <c r="M285" s="70">
        <f t="shared" si="77"/>
        <v>0</v>
      </c>
      <c r="N285" s="70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25">
      <c r="A286" t="s">
        <v>37</v>
      </c>
      <c r="B286" s="63">
        <v>2</v>
      </c>
      <c r="C286" t="s">
        <v>10</v>
      </c>
      <c r="D286" s="65">
        <v>4375</v>
      </c>
      <c r="E286" s="65">
        <v>4375</v>
      </c>
      <c r="F286" s="65">
        <v>4375</v>
      </c>
      <c r="G286" s="13">
        <f t="shared" si="72"/>
        <v>0</v>
      </c>
      <c r="H286" s="13">
        <f t="shared" si="73"/>
        <v>0</v>
      </c>
      <c r="I286" s="70">
        <f t="shared" si="74"/>
        <v>0</v>
      </c>
      <c r="J286" s="70">
        <f t="shared" si="75"/>
        <v>0</v>
      </c>
      <c r="K286" s="82" t="str">
        <f>_xlfn.IFNA(VLOOKUP(CLEAN(SUBSTITUTE(C286," ","")),Ref_Factory!$A:$B,2,FALSE),CLEAN(SUBSTITUTE(C286," ","")))</f>
        <v>CNJ2</v>
      </c>
      <c r="L286" s="82" t="str">
        <f t="shared" si="76"/>
        <v>MARCH-2-CNJ2</v>
      </c>
      <c r="M286" s="70">
        <f t="shared" si="77"/>
        <v>0</v>
      </c>
      <c r="N286" s="70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25">
      <c r="A287" t="s">
        <v>37</v>
      </c>
      <c r="B287" s="63">
        <v>2</v>
      </c>
      <c r="C287" t="s">
        <v>10</v>
      </c>
      <c r="D287" s="65">
        <v>540</v>
      </c>
      <c r="E287" s="65">
        <v>540</v>
      </c>
      <c r="F287" s="65">
        <v>540</v>
      </c>
      <c r="G287" s="13">
        <f t="shared" si="72"/>
        <v>0</v>
      </c>
      <c r="H287" s="13">
        <f t="shared" si="73"/>
        <v>0</v>
      </c>
      <c r="I287" s="70">
        <f t="shared" si="74"/>
        <v>0</v>
      </c>
      <c r="J287" s="70">
        <f t="shared" si="75"/>
        <v>0</v>
      </c>
      <c r="K287" s="82" t="str">
        <f>_xlfn.IFNA(VLOOKUP(CLEAN(SUBSTITUTE(C287," ","")),Ref_Factory!$A:$B,2,FALSE),CLEAN(SUBSTITUTE(C287," ","")))</f>
        <v>CNJ2</v>
      </c>
      <c r="L287" s="82" t="str">
        <f t="shared" si="76"/>
        <v>MARCH-2-CNJ2</v>
      </c>
      <c r="M287" s="70">
        <f t="shared" si="77"/>
        <v>0</v>
      </c>
      <c r="N287" s="70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25">
      <c r="A288" t="s">
        <v>37</v>
      </c>
      <c r="B288" s="63">
        <v>2</v>
      </c>
      <c r="C288" t="s">
        <v>10</v>
      </c>
      <c r="D288" s="65">
        <v>170</v>
      </c>
      <c r="E288" s="65">
        <v>170</v>
      </c>
      <c r="F288" s="65">
        <v>170</v>
      </c>
      <c r="G288" s="13">
        <f t="shared" si="72"/>
        <v>0</v>
      </c>
      <c r="H288" s="13">
        <f t="shared" si="73"/>
        <v>0</v>
      </c>
      <c r="I288" s="70">
        <f t="shared" si="74"/>
        <v>0</v>
      </c>
      <c r="J288" s="70">
        <f t="shared" si="75"/>
        <v>0</v>
      </c>
      <c r="K288" s="82" t="str">
        <f>_xlfn.IFNA(VLOOKUP(CLEAN(SUBSTITUTE(C288," ","")),Ref_Factory!$A:$B,2,FALSE),CLEAN(SUBSTITUTE(C288," ","")))</f>
        <v>CNJ2</v>
      </c>
      <c r="L288" s="82" t="str">
        <f t="shared" si="76"/>
        <v>MARCH-2-CNJ2</v>
      </c>
      <c r="M288" s="70">
        <f t="shared" si="77"/>
        <v>0</v>
      </c>
      <c r="N288" s="70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25">
      <c r="A289" t="s">
        <v>37</v>
      </c>
      <c r="B289" s="63">
        <v>2</v>
      </c>
      <c r="C289" t="s">
        <v>10</v>
      </c>
      <c r="D289" s="65">
        <v>65</v>
      </c>
      <c r="E289" s="65">
        <v>65</v>
      </c>
      <c r="F289" s="65">
        <v>65</v>
      </c>
      <c r="G289" s="13">
        <f t="shared" si="72"/>
        <v>0</v>
      </c>
      <c r="H289" s="13">
        <f t="shared" si="73"/>
        <v>0</v>
      </c>
      <c r="I289" s="70">
        <f t="shared" si="74"/>
        <v>0</v>
      </c>
      <c r="J289" s="70">
        <f t="shared" si="75"/>
        <v>0</v>
      </c>
      <c r="K289" s="82" t="str">
        <f>_xlfn.IFNA(VLOOKUP(CLEAN(SUBSTITUTE(C289," ","")),Ref_Factory!$A:$B,2,FALSE),CLEAN(SUBSTITUTE(C289," ","")))</f>
        <v>CNJ2</v>
      </c>
      <c r="L289" s="82" t="str">
        <f t="shared" si="76"/>
        <v>MARCH-2-CNJ2</v>
      </c>
      <c r="M289" s="70">
        <f t="shared" si="77"/>
        <v>0</v>
      </c>
      <c r="N289" s="70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25">
      <c r="A290" t="s">
        <v>37</v>
      </c>
      <c r="B290" s="63">
        <v>2</v>
      </c>
      <c r="C290" t="s">
        <v>10</v>
      </c>
      <c r="D290" s="65">
        <v>2400</v>
      </c>
      <c r="E290" s="65">
        <v>2403</v>
      </c>
      <c r="F290" s="65">
        <v>2400</v>
      </c>
      <c r="G290" s="13">
        <f t="shared" si="72"/>
        <v>-3</v>
      </c>
      <c r="H290" s="13">
        <f t="shared" si="73"/>
        <v>0</v>
      </c>
      <c r="I290" s="70">
        <f t="shared" si="74"/>
        <v>0</v>
      </c>
      <c r="J290" s="70">
        <f t="shared" si="75"/>
        <v>-1.2484394506866447E-3</v>
      </c>
      <c r="K290" s="82" t="str">
        <f>_xlfn.IFNA(VLOOKUP(CLEAN(SUBSTITUTE(C290," ","")),Ref_Factory!$A:$B,2,FALSE),CLEAN(SUBSTITUTE(C290," ","")))</f>
        <v>CNJ2</v>
      </c>
      <c r="L290" s="82" t="str">
        <f t="shared" si="76"/>
        <v>MARCH-2-CNJ2</v>
      </c>
      <c r="M290" s="70">
        <f t="shared" si="77"/>
        <v>0</v>
      </c>
      <c r="N290" s="70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25">
      <c r="A291" t="s">
        <v>37</v>
      </c>
      <c r="B291" s="63">
        <v>2</v>
      </c>
      <c r="C291" t="s">
        <v>10</v>
      </c>
      <c r="D291" s="65">
        <v>2270</v>
      </c>
      <c r="E291" s="65">
        <v>2273</v>
      </c>
      <c r="F291" s="65">
        <v>2270</v>
      </c>
      <c r="G291" s="13">
        <f t="shared" si="72"/>
        <v>-3</v>
      </c>
      <c r="H291" s="13">
        <f t="shared" si="73"/>
        <v>0</v>
      </c>
      <c r="I291" s="70">
        <f t="shared" si="74"/>
        <v>0</v>
      </c>
      <c r="J291" s="70">
        <f t="shared" si="75"/>
        <v>-1.3198416190056683E-3</v>
      </c>
      <c r="K291" s="82" t="str">
        <f>_xlfn.IFNA(VLOOKUP(CLEAN(SUBSTITUTE(C291," ","")),Ref_Factory!$A:$B,2,FALSE),CLEAN(SUBSTITUTE(C291," ","")))</f>
        <v>CNJ2</v>
      </c>
      <c r="L291" s="82" t="str">
        <f t="shared" si="76"/>
        <v>MARCH-2-CNJ2</v>
      </c>
      <c r="M291" s="70">
        <f t="shared" si="77"/>
        <v>0</v>
      </c>
      <c r="N291" s="70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25">
      <c r="A292" t="s">
        <v>37</v>
      </c>
      <c r="B292" s="63">
        <v>2</v>
      </c>
      <c r="C292" t="s">
        <v>68</v>
      </c>
      <c r="D292" s="65">
        <v>50</v>
      </c>
      <c r="E292" s="65">
        <v>50</v>
      </c>
      <c r="F292" s="65">
        <v>50</v>
      </c>
      <c r="G292" s="13">
        <f t="shared" si="72"/>
        <v>0</v>
      </c>
      <c r="H292" s="13">
        <f t="shared" si="73"/>
        <v>0</v>
      </c>
      <c r="I292" s="70">
        <f t="shared" si="74"/>
        <v>0</v>
      </c>
      <c r="J292" s="70">
        <f t="shared" si="75"/>
        <v>0</v>
      </c>
      <c r="K292" s="82" t="str">
        <f>_xlfn.IFNA(VLOOKUP(CLEAN(SUBSTITUTE(C292," ","")),Ref_Factory!$A:$B,2,FALSE),CLEAN(SUBSTITUTE(C292," ","")))</f>
        <v>CLN</v>
      </c>
      <c r="L292" s="82" t="str">
        <f t="shared" si="76"/>
        <v>MARCH-2-CLN</v>
      </c>
      <c r="M292" s="70">
        <f t="shared" si="77"/>
        <v>0</v>
      </c>
      <c r="N292" s="70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25">
      <c r="A293" t="s">
        <v>37</v>
      </c>
      <c r="B293" s="63">
        <v>2</v>
      </c>
      <c r="C293" t="s">
        <v>15</v>
      </c>
      <c r="D293" s="65">
        <v>140</v>
      </c>
      <c r="E293" s="65">
        <v>140</v>
      </c>
      <c r="F293" s="65">
        <v>140</v>
      </c>
      <c r="G293" s="13">
        <f t="shared" si="72"/>
        <v>0</v>
      </c>
      <c r="H293" s="13">
        <f t="shared" si="73"/>
        <v>0</v>
      </c>
      <c r="I293" s="70">
        <f t="shared" si="74"/>
        <v>0</v>
      </c>
      <c r="J293" s="70">
        <f t="shared" si="75"/>
        <v>0</v>
      </c>
      <c r="K293" s="82" t="str">
        <f>_xlfn.IFNA(VLOOKUP(CLEAN(SUBSTITUTE(C293," ","")),Ref_Factory!$A:$B,2,FALSE),CLEAN(SUBSTITUTE(C293," ","")))</f>
        <v>CHAWAN</v>
      </c>
      <c r="L293" s="82" t="str">
        <f t="shared" si="76"/>
        <v>MARCH-2-CHAWAN</v>
      </c>
      <c r="M293" s="70">
        <f t="shared" si="77"/>
        <v>0</v>
      </c>
      <c r="N293" s="70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25">
      <c r="A294" t="s">
        <v>37</v>
      </c>
      <c r="B294" s="63">
        <v>2</v>
      </c>
      <c r="C294" t="s">
        <v>14</v>
      </c>
      <c r="D294" s="65">
        <v>44496</v>
      </c>
      <c r="E294" s="65">
        <v>45333</v>
      </c>
      <c r="F294" s="65">
        <v>44475</v>
      </c>
      <c r="G294" s="13">
        <f t="shared" si="72"/>
        <v>-858</v>
      </c>
      <c r="H294" s="13">
        <f t="shared" si="73"/>
        <v>-21</v>
      </c>
      <c r="I294" s="70">
        <f t="shared" si="74"/>
        <v>-4.7195253505938339E-4</v>
      </c>
      <c r="J294" s="70">
        <f t="shared" si="75"/>
        <v>-1.8926609754483459E-2</v>
      </c>
      <c r="K294" s="82" t="str">
        <f>_xlfn.IFNA(VLOOKUP(CLEAN(SUBSTITUTE(C294," ","")),Ref_Factory!$A:$B,2,FALSE),CLEAN(SUBSTITUTE(C294," ","")))</f>
        <v>GM2</v>
      </c>
      <c r="L294" s="82" t="str">
        <f t="shared" si="76"/>
        <v>MARCH-2-GM2</v>
      </c>
      <c r="M294" s="70">
        <f t="shared" si="77"/>
        <v>-5.7396850524646048E-2</v>
      </c>
      <c r="N294" s="70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25">
      <c r="A295" t="s">
        <v>37</v>
      </c>
      <c r="B295" s="63">
        <v>2</v>
      </c>
      <c r="C295" t="s">
        <v>14</v>
      </c>
      <c r="D295" s="65">
        <v>7560</v>
      </c>
      <c r="E295" s="65">
        <v>7792</v>
      </c>
      <c r="F295" s="65">
        <v>7719</v>
      </c>
      <c r="G295" s="13">
        <f t="shared" si="72"/>
        <v>-73</v>
      </c>
      <c r="H295" s="13">
        <f t="shared" si="73"/>
        <v>159</v>
      </c>
      <c r="I295" s="70">
        <f t="shared" si="74"/>
        <v>2.1031746031745957E-2</v>
      </c>
      <c r="J295" s="70">
        <f t="shared" si="75"/>
        <v>-9.3685831622176696E-3</v>
      </c>
      <c r="K295" s="82" t="str">
        <f>_xlfn.IFNA(VLOOKUP(CLEAN(SUBSTITUTE(C295," ","")),Ref_Factory!$A:$B,2,FALSE),CLEAN(SUBSTITUTE(C295," ","")))</f>
        <v>GM2</v>
      </c>
      <c r="L295" s="82" t="str">
        <f t="shared" si="76"/>
        <v>MARCH-2-GM2</v>
      </c>
      <c r="M295" s="70">
        <f t="shared" si="77"/>
        <v>-5.7396850524646048E-2</v>
      </c>
      <c r="N295" s="70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25">
      <c r="A296" t="s">
        <v>37</v>
      </c>
      <c r="B296" s="63">
        <v>2</v>
      </c>
      <c r="C296" t="s">
        <v>14</v>
      </c>
      <c r="D296" s="65">
        <v>23220</v>
      </c>
      <c r="E296" s="65">
        <v>23958</v>
      </c>
      <c r="F296" s="65">
        <v>23766</v>
      </c>
      <c r="G296" s="13">
        <f t="shared" si="72"/>
        <v>-192</v>
      </c>
      <c r="H296" s="13">
        <f t="shared" si="73"/>
        <v>546</v>
      </c>
      <c r="I296" s="70">
        <f t="shared" si="74"/>
        <v>2.3514211886304981E-2</v>
      </c>
      <c r="J296" s="70">
        <f t="shared" si="75"/>
        <v>-8.0140245429501933E-3</v>
      </c>
      <c r="K296" s="82" t="str">
        <f>_xlfn.IFNA(VLOOKUP(CLEAN(SUBSTITUTE(C296," ","")),Ref_Factory!$A:$B,2,FALSE),CLEAN(SUBSTITUTE(C296," ","")))</f>
        <v>GM2</v>
      </c>
      <c r="L296" s="82" t="str">
        <f t="shared" si="76"/>
        <v>MARCH-2-GM2</v>
      </c>
      <c r="M296" s="70">
        <f t="shared" si="77"/>
        <v>-5.7396850524646048E-2</v>
      </c>
      <c r="N296" s="70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25">
      <c r="A297" t="s">
        <v>37</v>
      </c>
      <c r="B297" s="63">
        <v>2</v>
      </c>
      <c r="C297" t="s">
        <v>14</v>
      </c>
      <c r="D297" s="65">
        <v>3888</v>
      </c>
      <c r="E297" s="65">
        <v>4010</v>
      </c>
      <c r="F297" s="65">
        <v>3957</v>
      </c>
      <c r="G297" s="13">
        <f t="shared" si="72"/>
        <v>-53</v>
      </c>
      <c r="H297" s="13">
        <f t="shared" si="73"/>
        <v>69</v>
      </c>
      <c r="I297" s="70">
        <f t="shared" si="74"/>
        <v>1.7746913580246826E-2</v>
      </c>
      <c r="J297" s="70">
        <f t="shared" si="75"/>
        <v>-1.3216957605985069E-2</v>
      </c>
      <c r="K297" s="82" t="str">
        <f>_xlfn.IFNA(VLOOKUP(CLEAN(SUBSTITUTE(C297," ","")),Ref_Factory!$A:$B,2,FALSE),CLEAN(SUBSTITUTE(C297," ","")))</f>
        <v>GM2</v>
      </c>
      <c r="L297" s="82" t="str">
        <f t="shared" si="76"/>
        <v>MARCH-2-GM2</v>
      </c>
      <c r="M297" s="70">
        <f t="shared" si="77"/>
        <v>-5.7396850524646048E-2</v>
      </c>
      <c r="N297" s="70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25">
      <c r="A298" t="s">
        <v>37</v>
      </c>
      <c r="B298" s="63">
        <v>2</v>
      </c>
      <c r="C298" t="s">
        <v>11</v>
      </c>
      <c r="D298" s="65">
        <v>33984</v>
      </c>
      <c r="E298" s="65">
        <v>34519</v>
      </c>
      <c r="F298" s="65">
        <v>34216</v>
      </c>
      <c r="G298" s="13">
        <f t="shared" si="72"/>
        <v>-303</v>
      </c>
      <c r="H298" s="13">
        <f t="shared" si="73"/>
        <v>232</v>
      </c>
      <c r="I298" s="70">
        <f t="shared" si="74"/>
        <v>6.8267419962335651E-3</v>
      </c>
      <c r="J298" s="70">
        <f t="shared" si="75"/>
        <v>-8.7777745589385781E-3</v>
      </c>
      <c r="K298" s="82" t="str">
        <f>_xlfn.IFNA(VLOOKUP(CLEAN(SUBSTITUTE(C298," ","")),Ref_Factory!$A:$B,2,FALSE),CLEAN(SUBSTITUTE(C298," ","")))</f>
        <v>GM1</v>
      </c>
      <c r="L298" s="82" t="str">
        <f t="shared" si="76"/>
        <v>MARCH-2-GM1</v>
      </c>
      <c r="M298" s="70">
        <f t="shared" si="77"/>
        <v>3.2675223122901942E-2</v>
      </c>
      <c r="N298" s="70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25">
      <c r="A299" t="s">
        <v>37</v>
      </c>
      <c r="B299" s="63">
        <v>2</v>
      </c>
      <c r="C299" t="s">
        <v>13</v>
      </c>
      <c r="D299" s="65">
        <v>44604</v>
      </c>
      <c r="E299" s="65">
        <v>45609</v>
      </c>
      <c r="F299" s="65">
        <v>45456</v>
      </c>
      <c r="G299" s="13">
        <f t="shared" si="72"/>
        <v>-153</v>
      </c>
      <c r="H299" s="13">
        <f t="shared" si="73"/>
        <v>852</v>
      </c>
      <c r="I299" s="70">
        <f t="shared" si="74"/>
        <v>1.9101425881086875E-2</v>
      </c>
      <c r="J299" s="70">
        <f t="shared" si="75"/>
        <v>-3.3546010655791658E-3</v>
      </c>
      <c r="K299" s="82" t="str">
        <f>_xlfn.IFNA(VLOOKUP(CLEAN(SUBSTITUTE(C299," ","")),Ref_Factory!$A:$B,2,FALSE),CLEAN(SUBSTITUTE(C299," ","")))</f>
        <v>KALIBENDA</v>
      </c>
      <c r="L299" s="82" t="str">
        <f t="shared" si="76"/>
        <v>MARCH-2-KALIBENDA</v>
      </c>
      <c r="M299" s="70">
        <f t="shared" si="77"/>
        <v>7.0328502472241095E-2</v>
      </c>
      <c r="N299" s="70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25">
      <c r="A300" t="s">
        <v>37</v>
      </c>
      <c r="B300" s="63">
        <v>2</v>
      </c>
      <c r="C300" t="s">
        <v>13</v>
      </c>
      <c r="D300" s="65">
        <v>44496</v>
      </c>
      <c r="E300" s="65">
        <v>45834</v>
      </c>
      <c r="F300" s="65">
        <v>45663</v>
      </c>
      <c r="G300" s="13">
        <f t="shared" si="72"/>
        <v>-171</v>
      </c>
      <c r="H300" s="13">
        <f t="shared" si="73"/>
        <v>1167</v>
      </c>
      <c r="I300" s="70">
        <f t="shared" si="74"/>
        <v>2.6227076591154308E-2</v>
      </c>
      <c r="J300" s="70">
        <f t="shared" si="75"/>
        <v>-3.7308548239298744E-3</v>
      </c>
      <c r="K300" s="82" t="str">
        <f>_xlfn.IFNA(VLOOKUP(CLEAN(SUBSTITUTE(C300," ","")),Ref_Factory!$A:$B,2,FALSE),CLEAN(SUBSTITUTE(C300," ","")))</f>
        <v>KALIBENDA</v>
      </c>
      <c r="L300" s="82" t="str">
        <f t="shared" si="76"/>
        <v>MARCH-2-KALIBENDA</v>
      </c>
      <c r="M300" s="70">
        <f t="shared" si="77"/>
        <v>7.0328502472241095E-2</v>
      </c>
      <c r="N300" s="70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25">
      <c r="A301" t="s">
        <v>37</v>
      </c>
      <c r="B301" s="63">
        <v>2</v>
      </c>
      <c r="C301" t="s">
        <v>13</v>
      </c>
      <c r="D301" s="65">
        <v>7560</v>
      </c>
      <c r="E301" s="65">
        <v>7773</v>
      </c>
      <c r="F301" s="65">
        <v>7749</v>
      </c>
      <c r="G301" s="13">
        <f t="shared" si="72"/>
        <v>-24</v>
      </c>
      <c r="H301" s="13">
        <f t="shared" si="73"/>
        <v>189</v>
      </c>
      <c r="I301" s="70">
        <f t="shared" si="74"/>
        <v>2.4999999999999911E-2</v>
      </c>
      <c r="J301" s="70">
        <f t="shared" si="75"/>
        <v>-3.0876109610189495E-3</v>
      </c>
      <c r="K301" s="82" t="str">
        <f>_xlfn.IFNA(VLOOKUP(CLEAN(SUBSTITUTE(C301," ","")),Ref_Factory!$A:$B,2,FALSE),CLEAN(SUBSTITUTE(C301," ","")))</f>
        <v>KALIBENDA</v>
      </c>
      <c r="L301" s="82" t="str">
        <f t="shared" si="76"/>
        <v>MARCH-2-KALIBENDA</v>
      </c>
      <c r="M301" s="70">
        <f t="shared" si="77"/>
        <v>7.0328502472241095E-2</v>
      </c>
      <c r="N301" s="70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25">
      <c r="A302" t="s">
        <v>37</v>
      </c>
      <c r="B302" s="63">
        <v>2</v>
      </c>
      <c r="C302" t="s">
        <v>14</v>
      </c>
      <c r="D302" s="65">
        <v>23328</v>
      </c>
      <c r="E302" s="65">
        <v>24126</v>
      </c>
      <c r="F302" s="65">
        <v>23802</v>
      </c>
      <c r="G302" s="13">
        <f t="shared" si="72"/>
        <v>-324</v>
      </c>
      <c r="H302" s="13">
        <f t="shared" si="73"/>
        <v>474</v>
      </c>
      <c r="I302" s="70">
        <f t="shared" si="74"/>
        <v>2.0318930041152372E-2</v>
      </c>
      <c r="J302" s="70">
        <f t="shared" si="75"/>
        <v>-1.3429495150460102E-2</v>
      </c>
      <c r="K302" s="82" t="str">
        <f>_xlfn.IFNA(VLOOKUP(CLEAN(SUBSTITUTE(C302," ","")),Ref_Factory!$A:$B,2,FALSE),CLEAN(SUBSTITUTE(C302," ","")))</f>
        <v>GM2</v>
      </c>
      <c r="L302" s="82" t="str">
        <f t="shared" si="76"/>
        <v>MARCH-2-GM2</v>
      </c>
      <c r="M302" s="70">
        <f t="shared" si="77"/>
        <v>-5.7396850524646048E-2</v>
      </c>
      <c r="N302" s="70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25">
      <c r="A303" t="s">
        <v>37</v>
      </c>
      <c r="B303" s="63">
        <v>2</v>
      </c>
      <c r="C303" t="s">
        <v>14</v>
      </c>
      <c r="D303" s="65">
        <v>3996</v>
      </c>
      <c r="E303" s="65">
        <v>3951</v>
      </c>
      <c r="F303" s="65">
        <v>3564</v>
      </c>
      <c r="G303" s="13">
        <f t="shared" si="72"/>
        <v>-387</v>
      </c>
      <c r="H303" s="13">
        <f t="shared" si="73"/>
        <v>-432</v>
      </c>
      <c r="I303" s="70">
        <f t="shared" si="74"/>
        <v>-0.10810810810810811</v>
      </c>
      <c r="J303" s="70">
        <f t="shared" si="75"/>
        <v>-9.7949886104783612E-2</v>
      </c>
      <c r="K303" s="82" t="str">
        <f>_xlfn.IFNA(VLOOKUP(CLEAN(SUBSTITUTE(C303," ","")),Ref_Factory!$A:$B,2,FALSE),CLEAN(SUBSTITUTE(C303," ","")))</f>
        <v>GM2</v>
      </c>
      <c r="L303" s="82" t="str">
        <f t="shared" si="76"/>
        <v>MARCH-2-GM2</v>
      </c>
      <c r="M303" s="70">
        <f t="shared" si="77"/>
        <v>-5.7396850524646048E-2</v>
      </c>
      <c r="N303" s="70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25">
      <c r="A304" t="s">
        <v>37</v>
      </c>
      <c r="B304" s="63">
        <v>2</v>
      </c>
      <c r="C304" t="s">
        <v>14</v>
      </c>
      <c r="D304" s="65">
        <v>44172</v>
      </c>
      <c r="E304" s="65">
        <v>45410</v>
      </c>
      <c r="F304" s="65">
        <v>44625</v>
      </c>
      <c r="G304" s="13">
        <f t="shared" si="72"/>
        <v>-785</v>
      </c>
      <c r="H304" s="13">
        <f t="shared" si="73"/>
        <v>453</v>
      </c>
      <c r="I304" s="70">
        <f t="shared" si="74"/>
        <v>1.0255365389839621E-2</v>
      </c>
      <c r="J304" s="70">
        <f t="shared" si="75"/>
        <v>-1.7286941202378281E-2</v>
      </c>
      <c r="K304" s="82" t="str">
        <f>_xlfn.IFNA(VLOOKUP(CLEAN(SUBSTITUTE(C304," ","")),Ref_Factory!$A:$B,2,FALSE),CLEAN(SUBSTITUTE(C304," ","")))</f>
        <v>GM2</v>
      </c>
      <c r="L304" s="82" t="str">
        <f t="shared" si="76"/>
        <v>MARCH-2-GM2</v>
      </c>
      <c r="M304" s="70">
        <f t="shared" si="77"/>
        <v>-5.7396850524646048E-2</v>
      </c>
      <c r="N304" s="70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25">
      <c r="A305" t="s">
        <v>37</v>
      </c>
      <c r="B305" s="63">
        <v>2</v>
      </c>
      <c r="C305" t="s">
        <v>14</v>
      </c>
      <c r="D305" s="65">
        <v>7452</v>
      </c>
      <c r="E305" s="65">
        <v>7664</v>
      </c>
      <c r="F305" s="65">
        <v>7623</v>
      </c>
      <c r="G305" s="13">
        <f t="shared" si="72"/>
        <v>-41</v>
      </c>
      <c r="H305" s="13">
        <f t="shared" si="73"/>
        <v>171</v>
      </c>
      <c r="I305" s="70">
        <f t="shared" si="74"/>
        <v>2.2946859903381744E-2</v>
      </c>
      <c r="J305" s="70">
        <f t="shared" si="75"/>
        <v>-5.3496868475991777E-3</v>
      </c>
      <c r="K305" s="82" t="str">
        <f>_xlfn.IFNA(VLOOKUP(CLEAN(SUBSTITUTE(C305," ","")),Ref_Factory!$A:$B,2,FALSE),CLEAN(SUBSTITUTE(C305," ","")))</f>
        <v>GM2</v>
      </c>
      <c r="L305" s="82" t="str">
        <f t="shared" si="76"/>
        <v>MARCH-2-GM2</v>
      </c>
      <c r="M305" s="70">
        <f t="shared" si="77"/>
        <v>-5.7396850524646048E-2</v>
      </c>
      <c r="N305" s="70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25">
      <c r="A306" t="s">
        <v>37</v>
      </c>
      <c r="B306" s="63">
        <v>2</v>
      </c>
      <c r="C306" t="s">
        <v>11</v>
      </c>
      <c r="D306" s="65">
        <v>9936</v>
      </c>
      <c r="E306" s="65">
        <v>10233</v>
      </c>
      <c r="F306" s="65">
        <v>10125</v>
      </c>
      <c r="G306" s="13">
        <f t="shared" si="72"/>
        <v>-108</v>
      </c>
      <c r="H306" s="13">
        <f t="shared" si="73"/>
        <v>189</v>
      </c>
      <c r="I306" s="70">
        <f t="shared" si="74"/>
        <v>1.9021739130434812E-2</v>
      </c>
      <c r="J306" s="70">
        <f t="shared" si="75"/>
        <v>-1.0554089709762571E-2</v>
      </c>
      <c r="K306" s="82" t="str">
        <f>_xlfn.IFNA(VLOOKUP(CLEAN(SUBSTITUTE(C306," ","")),Ref_Factory!$A:$B,2,FALSE),CLEAN(SUBSTITUTE(C306," ","")))</f>
        <v>GM1</v>
      </c>
      <c r="L306" s="82" t="str">
        <f t="shared" si="76"/>
        <v>MARCH-2-GM1</v>
      </c>
      <c r="M306" s="70">
        <f t="shared" si="77"/>
        <v>3.2675223122901942E-2</v>
      </c>
      <c r="N306" s="70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25">
      <c r="A307" t="s">
        <v>37</v>
      </c>
      <c r="B307" s="63">
        <v>2</v>
      </c>
      <c r="C307" t="s">
        <v>11</v>
      </c>
      <c r="D307" s="65">
        <v>1080</v>
      </c>
      <c r="E307" s="65">
        <v>1116</v>
      </c>
      <c r="F307" s="65">
        <v>1080</v>
      </c>
      <c r="G307" s="13">
        <f t="shared" si="72"/>
        <v>-36</v>
      </c>
      <c r="H307" s="13">
        <f t="shared" si="73"/>
        <v>0</v>
      </c>
      <c r="I307" s="70">
        <f t="shared" si="74"/>
        <v>0</v>
      </c>
      <c r="J307" s="70">
        <f t="shared" si="75"/>
        <v>-3.2258064516129004E-2</v>
      </c>
      <c r="K307" s="82" t="str">
        <f>_xlfn.IFNA(VLOOKUP(CLEAN(SUBSTITUTE(C307," ","")),Ref_Factory!$A:$B,2,FALSE),CLEAN(SUBSTITUTE(C307," ","")))</f>
        <v>GM1</v>
      </c>
      <c r="L307" s="82" t="str">
        <f t="shared" si="76"/>
        <v>MARCH-2-GM1</v>
      </c>
      <c r="M307" s="70">
        <f t="shared" si="77"/>
        <v>3.2675223122901942E-2</v>
      </c>
      <c r="N307" s="70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25">
      <c r="A308" t="s">
        <v>37</v>
      </c>
      <c r="B308" s="63">
        <v>2</v>
      </c>
      <c r="C308" t="s">
        <v>11</v>
      </c>
      <c r="D308" s="65">
        <v>33984</v>
      </c>
      <c r="E308" s="65">
        <v>34519</v>
      </c>
      <c r="F308" s="65">
        <v>34216</v>
      </c>
      <c r="G308" s="13">
        <f t="shared" si="72"/>
        <v>-303</v>
      </c>
      <c r="H308" s="13">
        <f t="shared" si="73"/>
        <v>232</v>
      </c>
      <c r="I308" s="70">
        <f t="shared" si="74"/>
        <v>6.8267419962335651E-3</v>
      </c>
      <c r="J308" s="70">
        <f t="shared" si="75"/>
        <v>-8.7777745589385781E-3</v>
      </c>
      <c r="K308" s="82" t="str">
        <f>_xlfn.IFNA(VLOOKUP(CLEAN(SUBSTITUTE(C308," ","")),Ref_Factory!$A:$B,2,FALSE),CLEAN(SUBSTITUTE(C308," ","")))</f>
        <v>GM1</v>
      </c>
      <c r="L308" s="82" t="str">
        <f t="shared" si="76"/>
        <v>MARCH-2-GM1</v>
      </c>
      <c r="M308" s="70">
        <f t="shared" si="77"/>
        <v>3.2675223122901942E-2</v>
      </c>
      <c r="N308" s="70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25">
      <c r="A309" t="s">
        <v>37</v>
      </c>
      <c r="B309" s="63">
        <v>2</v>
      </c>
      <c r="C309" t="s">
        <v>14</v>
      </c>
      <c r="D309" s="65">
        <v>33696</v>
      </c>
      <c r="E309" s="65">
        <v>33912</v>
      </c>
      <c r="F309" s="65">
        <v>33320</v>
      </c>
      <c r="G309" s="13">
        <f t="shared" si="72"/>
        <v>-592</v>
      </c>
      <c r="H309" s="13">
        <f t="shared" si="73"/>
        <v>-376</v>
      </c>
      <c r="I309" s="70">
        <f t="shared" si="74"/>
        <v>-1.1158594491927798E-2</v>
      </c>
      <c r="J309" s="70">
        <f t="shared" si="75"/>
        <v>-1.7456947393253097E-2</v>
      </c>
      <c r="K309" s="82" t="str">
        <f>_xlfn.IFNA(VLOOKUP(CLEAN(SUBSTITUTE(C309," ","")),Ref_Factory!$A:$B,2,FALSE),CLEAN(SUBSTITUTE(C309," ","")))</f>
        <v>GM2</v>
      </c>
      <c r="L309" s="82" t="str">
        <f t="shared" si="76"/>
        <v>MARCH-2-GM2</v>
      </c>
      <c r="M309" s="70">
        <f t="shared" si="77"/>
        <v>-5.7396850524646048E-2</v>
      </c>
      <c r="N309" s="70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25">
      <c r="A310" t="s">
        <v>37</v>
      </c>
      <c r="B310" s="63">
        <v>2</v>
      </c>
      <c r="C310" t="s">
        <v>14</v>
      </c>
      <c r="D310" s="65">
        <v>5760</v>
      </c>
      <c r="E310" s="65">
        <v>5729</v>
      </c>
      <c r="F310" s="65">
        <v>5452</v>
      </c>
      <c r="G310" s="13">
        <f t="shared" si="72"/>
        <v>-277</v>
      </c>
      <c r="H310" s="13">
        <f t="shared" si="73"/>
        <v>-308</v>
      </c>
      <c r="I310" s="70">
        <f t="shared" si="74"/>
        <v>-5.3472222222222254E-2</v>
      </c>
      <c r="J310" s="70">
        <f t="shared" si="75"/>
        <v>-4.8350497469017317E-2</v>
      </c>
      <c r="K310" s="82" t="str">
        <f>_xlfn.IFNA(VLOOKUP(CLEAN(SUBSTITUTE(C310," ","")),Ref_Factory!$A:$B,2,FALSE),CLEAN(SUBSTITUTE(C310," ","")))</f>
        <v>GM2</v>
      </c>
      <c r="L310" s="82" t="str">
        <f t="shared" si="76"/>
        <v>MARCH-2-GM2</v>
      </c>
      <c r="M310" s="70">
        <f t="shared" si="77"/>
        <v>-5.7396850524646048E-2</v>
      </c>
      <c r="N310" s="70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25">
      <c r="A311" t="s">
        <v>37</v>
      </c>
      <c r="B311" s="63">
        <v>2</v>
      </c>
      <c r="C311" t="s">
        <v>17</v>
      </c>
      <c r="D311" s="65">
        <v>10500</v>
      </c>
      <c r="E311" s="65">
        <v>10539</v>
      </c>
      <c r="F311" s="65">
        <v>10536</v>
      </c>
      <c r="G311" s="13">
        <f t="shared" si="72"/>
        <v>-3</v>
      </c>
      <c r="H311" s="13">
        <f t="shared" si="73"/>
        <v>36</v>
      </c>
      <c r="I311" s="70">
        <f t="shared" si="74"/>
        <v>3.4285714285713365E-3</v>
      </c>
      <c r="J311" s="70">
        <f t="shared" si="75"/>
        <v>-2.8465698832902397E-4</v>
      </c>
      <c r="K311" s="82" t="str">
        <f>_xlfn.IFNA(VLOOKUP(CLEAN(SUBSTITUTE(C311," ","")),Ref_Factory!$A:$B,2,FALSE),CLEAN(SUBSTITUTE(C311," ","")))</f>
        <v>CBA</v>
      </c>
      <c r="L311" s="82" t="str">
        <f t="shared" si="76"/>
        <v>MARCH-2-CBA</v>
      </c>
      <c r="M311" s="70">
        <f t="shared" si="77"/>
        <v>7.5043693009118062E-3</v>
      </c>
      <c r="N311" s="70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25">
      <c r="A312" t="s">
        <v>37</v>
      </c>
      <c r="B312" s="63">
        <v>2</v>
      </c>
      <c r="C312" t="s">
        <v>17</v>
      </c>
      <c r="D312" s="65">
        <v>16000</v>
      </c>
      <c r="E312" s="65">
        <v>16100</v>
      </c>
      <c r="F312" s="65">
        <v>16055</v>
      </c>
      <c r="G312" s="13">
        <f t="shared" si="72"/>
        <v>-45</v>
      </c>
      <c r="H312" s="13">
        <f t="shared" si="73"/>
        <v>55</v>
      </c>
      <c r="I312" s="70">
        <f t="shared" si="74"/>
        <v>3.4374999999999822E-3</v>
      </c>
      <c r="J312" s="70">
        <f t="shared" si="75"/>
        <v>-2.7950310559006208E-3</v>
      </c>
      <c r="K312" s="82" t="str">
        <f>_xlfn.IFNA(VLOOKUP(CLEAN(SUBSTITUTE(C312," ","")),Ref_Factory!$A:$B,2,FALSE),CLEAN(SUBSTITUTE(C312," ","")))</f>
        <v>CBA</v>
      </c>
      <c r="L312" s="82" t="str">
        <f t="shared" si="76"/>
        <v>MARCH-2-CBA</v>
      </c>
      <c r="M312" s="70">
        <f t="shared" si="77"/>
        <v>7.5043693009118062E-3</v>
      </c>
      <c r="N312" s="70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25">
      <c r="A313" t="s">
        <v>37</v>
      </c>
      <c r="B313" s="63">
        <v>2</v>
      </c>
      <c r="C313" t="s">
        <v>17</v>
      </c>
      <c r="D313" s="65">
        <v>4700</v>
      </c>
      <c r="E313" s="65">
        <v>4760</v>
      </c>
      <c r="F313" s="65">
        <v>4703</v>
      </c>
      <c r="G313" s="13">
        <f t="shared" si="72"/>
        <v>-57</v>
      </c>
      <c r="H313" s="13">
        <f t="shared" si="73"/>
        <v>3</v>
      </c>
      <c r="I313" s="70">
        <f t="shared" si="74"/>
        <v>6.3829787234048752E-4</v>
      </c>
      <c r="J313" s="70">
        <f t="shared" si="75"/>
        <v>-1.1974789915966344E-2</v>
      </c>
      <c r="K313" s="82" t="str">
        <f>_xlfn.IFNA(VLOOKUP(CLEAN(SUBSTITUTE(C313," ","")),Ref_Factory!$A:$B,2,FALSE),CLEAN(SUBSTITUTE(C313," ","")))</f>
        <v>CBA</v>
      </c>
      <c r="L313" s="82" t="str">
        <f t="shared" si="76"/>
        <v>MARCH-2-CBA</v>
      </c>
      <c r="M313" s="70">
        <f t="shared" si="77"/>
        <v>7.5043693009118062E-3</v>
      </c>
      <c r="N313" s="70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25">
      <c r="A314" t="s">
        <v>37</v>
      </c>
      <c r="B314" s="63">
        <v>3</v>
      </c>
      <c r="C314" t="s">
        <v>11</v>
      </c>
      <c r="D314" s="65">
        <v>8064</v>
      </c>
      <c r="E314" s="65">
        <v>8127</v>
      </c>
      <c r="F314" s="65">
        <v>8064</v>
      </c>
      <c r="G314" s="13">
        <f t="shared" si="72"/>
        <v>-63</v>
      </c>
      <c r="H314" s="13">
        <f t="shared" si="73"/>
        <v>0</v>
      </c>
      <c r="I314" s="70">
        <f t="shared" si="74"/>
        <v>0</v>
      </c>
      <c r="J314" s="70">
        <f t="shared" si="75"/>
        <v>-7.7519379844961378E-3</v>
      </c>
      <c r="K314" s="82" t="str">
        <f>_xlfn.IFNA(VLOOKUP(CLEAN(SUBSTITUTE(C314," ","")),Ref_Factory!$A:$B,2,FALSE),CLEAN(SUBSTITUTE(C314," ","")))</f>
        <v>GM1</v>
      </c>
      <c r="L314" s="82" t="str">
        <f t="shared" si="76"/>
        <v>MARCH-3-GM1</v>
      </c>
      <c r="M314" s="70">
        <f t="shared" si="77"/>
        <v>0.17958272815298937</v>
      </c>
      <c r="N314" s="70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25">
      <c r="A315" t="s">
        <v>37</v>
      </c>
      <c r="B315" s="63">
        <v>3</v>
      </c>
      <c r="C315" t="s">
        <v>14</v>
      </c>
      <c r="D315" s="65">
        <v>6912</v>
      </c>
      <c r="E315" s="65">
        <v>7077</v>
      </c>
      <c r="F315" s="65">
        <v>7011</v>
      </c>
      <c r="G315" s="13">
        <f t="shared" si="72"/>
        <v>-66</v>
      </c>
      <c r="H315" s="13">
        <f t="shared" si="73"/>
        <v>99</v>
      </c>
      <c r="I315" s="70">
        <f t="shared" si="74"/>
        <v>1.4322916666666741E-2</v>
      </c>
      <c r="J315" s="70">
        <f t="shared" si="75"/>
        <v>-9.3259855871131725E-3</v>
      </c>
      <c r="K315" s="82" t="str">
        <f>_xlfn.IFNA(VLOOKUP(CLEAN(SUBSTITUTE(C315," ","")),Ref_Factory!$A:$B,2,FALSE),CLEAN(SUBSTITUTE(C315," ","")))</f>
        <v>GM2</v>
      </c>
      <c r="L315" s="82" t="str">
        <f t="shared" si="76"/>
        <v>MARCH-3-GM2</v>
      </c>
      <c r="M315" s="70">
        <f t="shared" si="77"/>
        <v>0.19126240920819415</v>
      </c>
      <c r="N315" s="70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25">
      <c r="A316" t="s">
        <v>37</v>
      </c>
      <c r="B316" s="63">
        <v>3</v>
      </c>
      <c r="C316" t="s">
        <v>14</v>
      </c>
      <c r="D316" s="65">
        <v>4428</v>
      </c>
      <c r="E316" s="65">
        <v>4531</v>
      </c>
      <c r="F316" s="65">
        <v>4443</v>
      </c>
      <c r="G316" s="13">
        <f t="shared" si="72"/>
        <v>-88</v>
      </c>
      <c r="H316" s="13">
        <f t="shared" si="73"/>
        <v>15</v>
      </c>
      <c r="I316" s="70">
        <f t="shared" si="74"/>
        <v>3.3875338753388551E-3</v>
      </c>
      <c r="J316" s="70">
        <f t="shared" si="75"/>
        <v>-1.9421761200618004E-2</v>
      </c>
      <c r="K316" s="82" t="str">
        <f>_xlfn.IFNA(VLOOKUP(CLEAN(SUBSTITUTE(C316," ","")),Ref_Factory!$A:$B,2,FALSE),CLEAN(SUBSTITUTE(C316," ","")))</f>
        <v>GM2</v>
      </c>
      <c r="L316" s="82" t="str">
        <f t="shared" si="76"/>
        <v>MARCH-3-GM2</v>
      </c>
      <c r="M316" s="70">
        <f t="shared" si="77"/>
        <v>0.19126240920819415</v>
      </c>
      <c r="N316" s="70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25">
      <c r="A317" t="s">
        <v>37</v>
      </c>
      <c r="B317" s="63">
        <v>3</v>
      </c>
      <c r="C317" t="s">
        <v>14</v>
      </c>
      <c r="D317" s="65">
        <v>1080</v>
      </c>
      <c r="E317" s="65">
        <v>1104</v>
      </c>
      <c r="F317" s="65">
        <v>1089</v>
      </c>
      <c r="G317" s="13">
        <f t="shared" si="72"/>
        <v>-15</v>
      </c>
      <c r="H317" s="13">
        <f t="shared" si="73"/>
        <v>9</v>
      </c>
      <c r="I317" s="70">
        <f t="shared" si="74"/>
        <v>8.3333333333333037E-3</v>
      </c>
      <c r="J317" s="70">
        <f t="shared" si="75"/>
        <v>-1.3586956521739135E-2</v>
      </c>
      <c r="K317" s="82" t="str">
        <f>_xlfn.IFNA(VLOOKUP(CLEAN(SUBSTITUTE(C317," ","")),Ref_Factory!$A:$B,2,FALSE),CLEAN(SUBSTITUTE(C317," ","")))</f>
        <v>GM2</v>
      </c>
      <c r="L317" s="82" t="str">
        <f t="shared" si="76"/>
        <v>MARCH-3-GM2</v>
      </c>
      <c r="M317" s="70">
        <f t="shared" si="77"/>
        <v>0.19126240920819415</v>
      </c>
      <c r="N317" s="70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25">
      <c r="A318" t="s">
        <v>37</v>
      </c>
      <c r="B318" s="63">
        <v>3</v>
      </c>
      <c r="C318" t="s">
        <v>14</v>
      </c>
      <c r="D318" s="65">
        <v>3672</v>
      </c>
      <c r="E318" s="65">
        <v>3796</v>
      </c>
      <c r="F318" s="65">
        <v>3738</v>
      </c>
      <c r="G318" s="13">
        <f t="shared" si="72"/>
        <v>-58</v>
      </c>
      <c r="H318" s="13">
        <f t="shared" si="73"/>
        <v>66</v>
      </c>
      <c r="I318" s="70">
        <f t="shared" si="74"/>
        <v>1.7973856209150263E-2</v>
      </c>
      <c r="J318" s="70">
        <f t="shared" si="75"/>
        <v>-1.5279241306638602E-2</v>
      </c>
      <c r="K318" s="82" t="str">
        <f>_xlfn.IFNA(VLOOKUP(CLEAN(SUBSTITUTE(C318," ","")),Ref_Factory!$A:$B,2,FALSE),CLEAN(SUBSTITUTE(C318," ","")))</f>
        <v>GM2</v>
      </c>
      <c r="L318" s="82" t="str">
        <f t="shared" si="76"/>
        <v>MARCH-3-GM2</v>
      </c>
      <c r="M318" s="70">
        <f t="shared" si="77"/>
        <v>0.19126240920819415</v>
      </c>
      <c r="N318" s="70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25">
      <c r="A319" t="s">
        <v>37</v>
      </c>
      <c r="B319" s="63">
        <v>3</v>
      </c>
      <c r="C319" t="s">
        <v>11</v>
      </c>
      <c r="D319" s="65">
        <v>5832</v>
      </c>
      <c r="E319" s="65">
        <v>6010</v>
      </c>
      <c r="F319" s="65">
        <v>5892</v>
      </c>
      <c r="G319" s="13">
        <f t="shared" si="72"/>
        <v>-118</v>
      </c>
      <c r="H319" s="13">
        <f t="shared" si="73"/>
        <v>60</v>
      </c>
      <c r="I319" s="70">
        <f t="shared" si="74"/>
        <v>1.0288065843621297E-2</v>
      </c>
      <c r="J319" s="70">
        <f t="shared" si="75"/>
        <v>-1.9633943427620593E-2</v>
      </c>
      <c r="K319" s="82" t="str">
        <f>_xlfn.IFNA(VLOOKUP(CLEAN(SUBSTITUTE(C319," ","")),Ref_Factory!$A:$B,2,FALSE),CLEAN(SUBSTITUTE(C319," ","")))</f>
        <v>GM1</v>
      </c>
      <c r="L319" s="82" t="str">
        <f t="shared" si="76"/>
        <v>MARCH-3-GM1</v>
      </c>
      <c r="M319" s="70">
        <f t="shared" si="77"/>
        <v>0.17958272815298937</v>
      </c>
      <c r="N319" s="70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25">
      <c r="A320" t="s">
        <v>37</v>
      </c>
      <c r="B320" s="63">
        <v>3</v>
      </c>
      <c r="C320" t="s">
        <v>11</v>
      </c>
      <c r="D320" s="65">
        <v>1080</v>
      </c>
      <c r="E320" s="65">
        <v>1114</v>
      </c>
      <c r="F320" s="65">
        <v>1101</v>
      </c>
      <c r="G320" s="13">
        <f t="shared" si="72"/>
        <v>-13</v>
      </c>
      <c r="H320" s="13">
        <f t="shared" si="73"/>
        <v>21</v>
      </c>
      <c r="I320" s="70">
        <f t="shared" si="74"/>
        <v>1.9444444444444375E-2</v>
      </c>
      <c r="J320" s="70">
        <f t="shared" si="75"/>
        <v>-1.1669658886894085E-2</v>
      </c>
      <c r="K320" s="82" t="str">
        <f>_xlfn.IFNA(VLOOKUP(CLEAN(SUBSTITUTE(C320," ","")),Ref_Factory!$A:$B,2,FALSE),CLEAN(SUBSTITUTE(C320," ","")))</f>
        <v>GM1</v>
      </c>
      <c r="L320" s="82" t="str">
        <f t="shared" si="76"/>
        <v>MARCH-3-GM1</v>
      </c>
      <c r="M320" s="70">
        <f t="shared" si="77"/>
        <v>0.17958272815298937</v>
      </c>
      <c r="N320" s="70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25">
      <c r="A321" t="s">
        <v>37</v>
      </c>
      <c r="B321" s="63">
        <v>3</v>
      </c>
      <c r="C321" t="s">
        <v>14</v>
      </c>
      <c r="D321" s="65">
        <v>5400</v>
      </c>
      <c r="E321" s="65">
        <v>5528</v>
      </c>
      <c r="F321" s="65">
        <v>5373</v>
      </c>
      <c r="G321" s="13">
        <f t="shared" si="72"/>
        <v>-155</v>
      </c>
      <c r="H321" s="13">
        <f t="shared" si="73"/>
        <v>-27</v>
      </c>
      <c r="I321" s="70">
        <f t="shared" si="74"/>
        <v>-5.0000000000000044E-3</v>
      </c>
      <c r="J321" s="70">
        <f t="shared" si="75"/>
        <v>-2.8039073806078174E-2</v>
      </c>
      <c r="K321" s="82" t="str">
        <f>_xlfn.IFNA(VLOOKUP(CLEAN(SUBSTITUTE(C321," ","")),Ref_Factory!$A:$B,2,FALSE),CLEAN(SUBSTITUTE(C321," ","")))</f>
        <v>GM2</v>
      </c>
      <c r="L321" s="82" t="str">
        <f t="shared" si="76"/>
        <v>MARCH-3-GM2</v>
      </c>
      <c r="M321" s="70">
        <f t="shared" si="77"/>
        <v>0.19126240920819415</v>
      </c>
      <c r="N321" s="70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25">
      <c r="A322" t="s">
        <v>37</v>
      </c>
      <c r="B322" s="63">
        <v>3</v>
      </c>
      <c r="C322" t="s">
        <v>14</v>
      </c>
      <c r="D322" s="65">
        <v>6912</v>
      </c>
      <c r="E322" s="65">
        <v>7140</v>
      </c>
      <c r="F322" s="65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70">
        <f t="shared" ref="I322:I385" si="92">F322/D322-1</f>
        <v>1.9965277777777679E-2</v>
      </c>
      <c r="J322" s="70">
        <f t="shared" ref="J322:J385" si="93">F322/E322-1</f>
        <v>-1.2605042016806678E-2</v>
      </c>
      <c r="K322" s="82" t="str">
        <f>_xlfn.IFNA(VLOOKUP(CLEAN(SUBSTITUTE(C322," ","")),Ref_Factory!$A:$B,2,FALSE),CLEAN(SUBSTITUTE(C322," ","")))</f>
        <v>GM2</v>
      </c>
      <c r="L322" s="82" t="str">
        <f t="shared" ref="L322:L385" si="94">A322&amp;"-"&amp;B322&amp;"-"&amp;K322</f>
        <v>MARCH-3-GM2</v>
      </c>
      <c r="M322" s="70">
        <f t="shared" ref="M322:M385" si="95">SUMIF($L$2:$L$1420,L322,$I$2:$I$1420)</f>
        <v>0.19126240920819415</v>
      </c>
      <c r="N322" s="70">
        <f t="shared" ref="N322:N385" si="96">SUMIF($L$2:$L$1420,L322,$J$2:$J$1420)</f>
        <v>-0.43512856298155855</v>
      </c>
      <c r="O322" s="13">
        <f t="shared" ref="O322:O385" si="97">SUMIF($A$2:$A$1420,A322,$D$2:$D$1420)</f>
        <v>866221</v>
      </c>
      <c r="P322" s="13">
        <f t="shared" ref="P322:P385" si="98">SUMIF($A$2:$A$1420,A322,$E$2:$E$1420)</f>
        <v>884020</v>
      </c>
      <c r="Q322" s="13">
        <f t="shared" ref="Q322:Q385" si="99">SUMIF($A$2:$A$1420,A322,$F$2:$F$1420)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SUMIF($T$2:$T$1420,T322,$D$2:$D$1420)</f>
        <v>428904</v>
      </c>
      <c r="V322">
        <f t="shared" ref="V322:V385" si="104">SUMIF($T$2:$T$1420,T322,$E$2:$E$1420)</f>
        <v>438726</v>
      </c>
      <c r="W322">
        <f t="shared" ref="W322:W385" si="105">SUMIF($T$2:$T$1420,T322,$F$2:$F$1420)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25">
      <c r="A323" t="s">
        <v>37</v>
      </c>
      <c r="B323" s="63">
        <v>3</v>
      </c>
      <c r="C323" t="s">
        <v>14</v>
      </c>
      <c r="D323" s="65">
        <v>7488</v>
      </c>
      <c r="E323" s="65">
        <v>7736</v>
      </c>
      <c r="F323" s="65">
        <v>7524</v>
      </c>
      <c r="G323" s="13">
        <f t="shared" si="90"/>
        <v>-212</v>
      </c>
      <c r="H323" s="13">
        <f t="shared" si="91"/>
        <v>36</v>
      </c>
      <c r="I323" s="70">
        <f t="shared" si="92"/>
        <v>4.8076923076922906E-3</v>
      </c>
      <c r="J323" s="70">
        <f t="shared" si="93"/>
        <v>-2.7404343329886283E-2</v>
      </c>
      <c r="K323" s="82" t="str">
        <f>_xlfn.IFNA(VLOOKUP(CLEAN(SUBSTITUTE(C323," ","")),Ref_Factory!$A:$B,2,FALSE),CLEAN(SUBSTITUTE(C323," ","")))</f>
        <v>GM2</v>
      </c>
      <c r="L323" s="82" t="str">
        <f t="shared" si="94"/>
        <v>MARCH-3-GM2</v>
      </c>
      <c r="M323" s="70">
        <f t="shared" si="95"/>
        <v>0.19126240920819415</v>
      </c>
      <c r="N323" s="70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25">
      <c r="A324" t="s">
        <v>37</v>
      </c>
      <c r="B324" s="63">
        <v>3</v>
      </c>
      <c r="C324" t="s">
        <v>14</v>
      </c>
      <c r="D324" s="65">
        <v>1584</v>
      </c>
      <c r="E324" s="65">
        <v>1633</v>
      </c>
      <c r="F324" s="65">
        <v>1584</v>
      </c>
      <c r="G324" s="13">
        <f t="shared" si="90"/>
        <v>-49</v>
      </c>
      <c r="H324" s="13">
        <f t="shared" si="91"/>
        <v>0</v>
      </c>
      <c r="I324" s="70">
        <f t="shared" si="92"/>
        <v>0</v>
      </c>
      <c r="J324" s="70">
        <f t="shared" si="93"/>
        <v>-3.0006123698714027E-2</v>
      </c>
      <c r="K324" s="82" t="str">
        <f>_xlfn.IFNA(VLOOKUP(CLEAN(SUBSTITUTE(C324," ","")),Ref_Factory!$A:$B,2,FALSE),CLEAN(SUBSTITUTE(C324," ","")))</f>
        <v>GM2</v>
      </c>
      <c r="L324" s="82" t="str">
        <f t="shared" si="94"/>
        <v>MARCH-3-GM2</v>
      </c>
      <c r="M324" s="70">
        <f t="shared" si="95"/>
        <v>0.19126240920819415</v>
      </c>
      <c r="N324" s="70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25">
      <c r="A325" t="s">
        <v>37</v>
      </c>
      <c r="B325" s="63">
        <v>3</v>
      </c>
      <c r="C325" t="s">
        <v>14</v>
      </c>
      <c r="D325" s="65">
        <v>4320</v>
      </c>
      <c r="E325" s="65">
        <v>4457</v>
      </c>
      <c r="F325" s="65">
        <v>4248</v>
      </c>
      <c r="G325" s="13">
        <f t="shared" si="90"/>
        <v>-209</v>
      </c>
      <c r="H325" s="13">
        <f t="shared" si="91"/>
        <v>-72</v>
      </c>
      <c r="I325" s="70">
        <f t="shared" si="92"/>
        <v>-1.6666666666666718E-2</v>
      </c>
      <c r="J325" s="70">
        <f t="shared" si="93"/>
        <v>-4.6892528606686135E-2</v>
      </c>
      <c r="K325" s="82" t="str">
        <f>_xlfn.IFNA(VLOOKUP(CLEAN(SUBSTITUTE(C325," ","")),Ref_Factory!$A:$B,2,FALSE),CLEAN(SUBSTITUTE(C325," ","")))</f>
        <v>GM2</v>
      </c>
      <c r="L325" s="82" t="str">
        <f t="shared" si="94"/>
        <v>MARCH-3-GM2</v>
      </c>
      <c r="M325" s="70">
        <f t="shared" si="95"/>
        <v>0.19126240920819415</v>
      </c>
      <c r="N325" s="70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25">
      <c r="A326" t="s">
        <v>37</v>
      </c>
      <c r="B326" s="63">
        <v>3</v>
      </c>
      <c r="C326" t="s">
        <v>14</v>
      </c>
      <c r="D326" s="65">
        <v>5076</v>
      </c>
      <c r="E326" s="65">
        <v>5230</v>
      </c>
      <c r="F326" s="65">
        <v>5172</v>
      </c>
      <c r="G326" s="13">
        <f t="shared" si="90"/>
        <v>-58</v>
      </c>
      <c r="H326" s="13">
        <f t="shared" si="91"/>
        <v>96</v>
      </c>
      <c r="I326" s="70">
        <f t="shared" si="92"/>
        <v>1.891252955082745E-2</v>
      </c>
      <c r="J326" s="70">
        <f t="shared" si="93"/>
        <v>-1.1089866156787753E-2</v>
      </c>
      <c r="K326" s="82" t="str">
        <f>_xlfn.IFNA(VLOOKUP(CLEAN(SUBSTITUTE(C326," ","")),Ref_Factory!$A:$B,2,FALSE),CLEAN(SUBSTITUTE(C326," ","")))</f>
        <v>GM2</v>
      </c>
      <c r="L326" s="82" t="str">
        <f t="shared" si="94"/>
        <v>MARCH-3-GM2</v>
      </c>
      <c r="M326" s="70">
        <f t="shared" si="95"/>
        <v>0.19126240920819415</v>
      </c>
      <c r="N326" s="70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25">
      <c r="A327" t="s">
        <v>37</v>
      </c>
      <c r="B327" s="63">
        <v>3</v>
      </c>
      <c r="C327" t="s">
        <v>11</v>
      </c>
      <c r="D327" s="65">
        <v>3780</v>
      </c>
      <c r="E327" s="65">
        <v>3858</v>
      </c>
      <c r="F327" s="65">
        <v>3780</v>
      </c>
      <c r="G327" s="13">
        <f t="shared" si="90"/>
        <v>-78</v>
      </c>
      <c r="H327" s="13">
        <f t="shared" si="91"/>
        <v>0</v>
      </c>
      <c r="I327" s="70">
        <f t="shared" si="92"/>
        <v>0</v>
      </c>
      <c r="J327" s="70">
        <f t="shared" si="93"/>
        <v>-2.0217729393468109E-2</v>
      </c>
      <c r="K327" s="82" t="str">
        <f>_xlfn.IFNA(VLOOKUP(CLEAN(SUBSTITUTE(C327," ","")),Ref_Factory!$A:$B,2,FALSE),CLEAN(SUBSTITUTE(C327," ","")))</f>
        <v>GM1</v>
      </c>
      <c r="L327" s="82" t="str">
        <f t="shared" si="94"/>
        <v>MARCH-3-GM1</v>
      </c>
      <c r="M327" s="70">
        <f t="shared" si="95"/>
        <v>0.17958272815298937</v>
      </c>
      <c r="N327" s="70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25">
      <c r="A328" t="s">
        <v>37</v>
      </c>
      <c r="B328" s="63">
        <v>3</v>
      </c>
      <c r="C328" t="s">
        <v>14</v>
      </c>
      <c r="D328" s="65">
        <v>12960</v>
      </c>
      <c r="E328" s="65">
        <v>13353</v>
      </c>
      <c r="F328" s="65">
        <v>13287</v>
      </c>
      <c r="G328" s="13">
        <f t="shared" si="90"/>
        <v>-66</v>
      </c>
      <c r="H328" s="13">
        <f t="shared" si="91"/>
        <v>327</v>
      </c>
      <c r="I328" s="70">
        <f t="shared" si="92"/>
        <v>2.5231481481481577E-2</v>
      </c>
      <c r="J328" s="70">
        <f t="shared" si="93"/>
        <v>-4.942709503482412E-3</v>
      </c>
      <c r="K328" s="82" t="str">
        <f>_xlfn.IFNA(VLOOKUP(CLEAN(SUBSTITUTE(C328," ","")),Ref_Factory!$A:$B,2,FALSE),CLEAN(SUBSTITUTE(C328," ","")))</f>
        <v>GM2</v>
      </c>
      <c r="L328" s="82" t="str">
        <f t="shared" si="94"/>
        <v>MARCH-3-GM2</v>
      </c>
      <c r="M328" s="70">
        <f t="shared" si="95"/>
        <v>0.19126240920819415</v>
      </c>
      <c r="N328" s="70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25">
      <c r="A329" t="s">
        <v>37</v>
      </c>
      <c r="B329" s="63">
        <v>3</v>
      </c>
      <c r="C329" t="s">
        <v>14</v>
      </c>
      <c r="D329" s="65">
        <v>3672</v>
      </c>
      <c r="E329" s="65">
        <v>3683</v>
      </c>
      <c r="F329" s="65">
        <v>3648</v>
      </c>
      <c r="G329" s="13">
        <f t="shared" si="90"/>
        <v>-35</v>
      </c>
      <c r="H329" s="13">
        <f t="shared" si="91"/>
        <v>-24</v>
      </c>
      <c r="I329" s="70">
        <f t="shared" si="92"/>
        <v>-6.5359477124182774E-3</v>
      </c>
      <c r="J329" s="70">
        <f t="shared" si="93"/>
        <v>-9.5031224545207849E-3</v>
      </c>
      <c r="K329" s="82" t="str">
        <f>_xlfn.IFNA(VLOOKUP(CLEAN(SUBSTITUTE(C329," ","")),Ref_Factory!$A:$B,2,FALSE),CLEAN(SUBSTITUTE(C329," ","")))</f>
        <v>GM2</v>
      </c>
      <c r="L329" s="82" t="str">
        <f t="shared" si="94"/>
        <v>MARCH-3-GM2</v>
      </c>
      <c r="M329" s="70">
        <f t="shared" si="95"/>
        <v>0.19126240920819415</v>
      </c>
      <c r="N329" s="70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25">
      <c r="A330" t="s">
        <v>37</v>
      </c>
      <c r="B330" s="63">
        <v>3</v>
      </c>
      <c r="C330" t="s">
        <v>11</v>
      </c>
      <c r="D330" s="65">
        <v>3672</v>
      </c>
      <c r="E330" s="65">
        <v>3819</v>
      </c>
      <c r="F330" s="65">
        <v>3759</v>
      </c>
      <c r="G330" s="13">
        <f t="shared" si="90"/>
        <v>-60</v>
      </c>
      <c r="H330" s="13">
        <f t="shared" si="91"/>
        <v>87</v>
      </c>
      <c r="I330" s="70">
        <f t="shared" si="92"/>
        <v>2.3692810457516256E-2</v>
      </c>
      <c r="J330" s="70">
        <f t="shared" si="93"/>
        <v>-1.5710919088766651E-2</v>
      </c>
      <c r="K330" s="82" t="str">
        <f>_xlfn.IFNA(VLOOKUP(CLEAN(SUBSTITUTE(C330," ","")),Ref_Factory!$A:$B,2,FALSE),CLEAN(SUBSTITUTE(C330," ","")))</f>
        <v>GM1</v>
      </c>
      <c r="L330" s="82" t="str">
        <f t="shared" si="94"/>
        <v>MARCH-3-GM1</v>
      </c>
      <c r="M330" s="70">
        <f t="shared" si="95"/>
        <v>0.17958272815298937</v>
      </c>
      <c r="N330" s="70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25">
      <c r="A331" t="s">
        <v>37</v>
      </c>
      <c r="B331" s="63">
        <v>3</v>
      </c>
      <c r="C331" t="s">
        <v>11</v>
      </c>
      <c r="D331" s="65">
        <v>2592</v>
      </c>
      <c r="E331" s="65">
        <v>2748</v>
      </c>
      <c r="F331" s="65">
        <v>2685</v>
      </c>
      <c r="G331" s="13">
        <f t="shared" si="90"/>
        <v>-63</v>
      </c>
      <c r="H331" s="13">
        <f t="shared" si="91"/>
        <v>93</v>
      </c>
      <c r="I331" s="70">
        <f t="shared" si="92"/>
        <v>3.5879629629629539E-2</v>
      </c>
      <c r="J331" s="70">
        <f t="shared" si="93"/>
        <v>-2.2925764192139764E-2</v>
      </c>
      <c r="K331" s="82" t="str">
        <f>_xlfn.IFNA(VLOOKUP(CLEAN(SUBSTITUTE(C331," ","")),Ref_Factory!$A:$B,2,FALSE),CLEAN(SUBSTITUTE(C331," ","")))</f>
        <v>GM1</v>
      </c>
      <c r="L331" s="82" t="str">
        <f t="shared" si="94"/>
        <v>MARCH-3-GM1</v>
      </c>
      <c r="M331" s="70">
        <f t="shared" si="95"/>
        <v>0.17958272815298937</v>
      </c>
      <c r="N331" s="70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25">
      <c r="A332" t="s">
        <v>37</v>
      </c>
      <c r="B332" s="63">
        <v>3</v>
      </c>
      <c r="C332" t="s">
        <v>11</v>
      </c>
      <c r="D332" s="65">
        <v>1080</v>
      </c>
      <c r="E332" s="65">
        <v>1150</v>
      </c>
      <c r="F332" s="65">
        <v>1119</v>
      </c>
      <c r="G332" s="13">
        <f t="shared" si="90"/>
        <v>-31</v>
      </c>
      <c r="H332" s="13">
        <f t="shared" si="91"/>
        <v>39</v>
      </c>
      <c r="I332" s="70">
        <f t="shared" si="92"/>
        <v>3.6111111111111205E-2</v>
      </c>
      <c r="J332" s="70">
        <f t="shared" si="93"/>
        <v>-2.6956521739130435E-2</v>
      </c>
      <c r="K332" s="82" t="str">
        <f>_xlfn.IFNA(VLOOKUP(CLEAN(SUBSTITUTE(C332," ","")),Ref_Factory!$A:$B,2,FALSE),CLEAN(SUBSTITUTE(C332," ","")))</f>
        <v>GM1</v>
      </c>
      <c r="L332" s="82" t="str">
        <f t="shared" si="94"/>
        <v>MARCH-3-GM1</v>
      </c>
      <c r="M332" s="70">
        <f t="shared" si="95"/>
        <v>0.17958272815298937</v>
      </c>
      <c r="N332" s="70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25">
      <c r="A333" t="s">
        <v>37</v>
      </c>
      <c r="B333" s="63">
        <v>3</v>
      </c>
      <c r="C333" t="s">
        <v>11</v>
      </c>
      <c r="D333" s="65">
        <v>4752</v>
      </c>
      <c r="E333" s="65">
        <v>4947</v>
      </c>
      <c r="F333" s="65">
        <v>4851</v>
      </c>
      <c r="G333" s="13">
        <f t="shared" si="90"/>
        <v>-96</v>
      </c>
      <c r="H333" s="13">
        <f t="shared" si="91"/>
        <v>99</v>
      </c>
      <c r="I333" s="70">
        <f t="shared" si="92"/>
        <v>2.0833333333333259E-2</v>
      </c>
      <c r="J333" s="70">
        <f t="shared" si="93"/>
        <v>-1.9405700424499739E-2</v>
      </c>
      <c r="K333" s="82" t="str">
        <f>_xlfn.IFNA(VLOOKUP(CLEAN(SUBSTITUTE(C333," ","")),Ref_Factory!$A:$B,2,FALSE),CLEAN(SUBSTITUTE(C333," ","")))</f>
        <v>GM1</v>
      </c>
      <c r="L333" s="82" t="str">
        <f t="shared" si="94"/>
        <v>MARCH-3-GM1</v>
      </c>
      <c r="M333" s="70">
        <f t="shared" si="95"/>
        <v>0.17958272815298937</v>
      </c>
      <c r="N333" s="70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25">
      <c r="A334" t="s">
        <v>37</v>
      </c>
      <c r="B334" s="63">
        <v>3</v>
      </c>
      <c r="C334" t="s">
        <v>11</v>
      </c>
      <c r="D334" s="65">
        <v>1080</v>
      </c>
      <c r="E334" s="65">
        <v>1125</v>
      </c>
      <c r="F334" s="65">
        <v>1116</v>
      </c>
      <c r="G334" s="13">
        <f t="shared" si="90"/>
        <v>-9</v>
      </c>
      <c r="H334" s="13">
        <f t="shared" si="91"/>
        <v>36</v>
      </c>
      <c r="I334" s="70">
        <f t="shared" si="92"/>
        <v>3.3333333333333437E-2</v>
      </c>
      <c r="J334" s="70">
        <f t="shared" si="93"/>
        <v>-8.0000000000000071E-3</v>
      </c>
      <c r="K334" s="82" t="str">
        <f>_xlfn.IFNA(VLOOKUP(CLEAN(SUBSTITUTE(C334," ","")),Ref_Factory!$A:$B,2,FALSE),CLEAN(SUBSTITUTE(C334," ","")))</f>
        <v>GM1</v>
      </c>
      <c r="L334" s="82" t="str">
        <f t="shared" si="94"/>
        <v>MARCH-3-GM1</v>
      </c>
      <c r="M334" s="70">
        <f t="shared" si="95"/>
        <v>0.17958272815298937</v>
      </c>
      <c r="N334" s="70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25">
      <c r="A335" t="s">
        <v>37</v>
      </c>
      <c r="B335" s="63">
        <v>3</v>
      </c>
      <c r="C335" t="s">
        <v>14</v>
      </c>
      <c r="D335" s="65">
        <v>4320</v>
      </c>
      <c r="E335" s="65">
        <v>4471</v>
      </c>
      <c r="F335" s="65">
        <v>4407</v>
      </c>
      <c r="G335" s="13">
        <f t="shared" si="90"/>
        <v>-64</v>
      </c>
      <c r="H335" s="13">
        <f t="shared" si="91"/>
        <v>87</v>
      </c>
      <c r="I335" s="70">
        <f t="shared" si="92"/>
        <v>2.0138888888888928E-2</v>
      </c>
      <c r="J335" s="70">
        <f t="shared" si="93"/>
        <v>-1.4314471035562493E-2</v>
      </c>
      <c r="K335" s="82" t="str">
        <f>_xlfn.IFNA(VLOOKUP(CLEAN(SUBSTITUTE(C335," ","")),Ref_Factory!$A:$B,2,FALSE),CLEAN(SUBSTITUTE(C335," ","")))</f>
        <v>GM2</v>
      </c>
      <c r="L335" s="82" t="str">
        <f t="shared" si="94"/>
        <v>MARCH-3-GM2</v>
      </c>
      <c r="M335" s="70">
        <f t="shared" si="95"/>
        <v>0.19126240920819415</v>
      </c>
      <c r="N335" s="70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25">
      <c r="A336" t="s">
        <v>37</v>
      </c>
      <c r="B336" s="63">
        <v>3</v>
      </c>
      <c r="C336" t="s">
        <v>14</v>
      </c>
      <c r="D336" s="65">
        <v>1080</v>
      </c>
      <c r="E336" s="65">
        <v>1120</v>
      </c>
      <c r="F336" s="65">
        <v>1104</v>
      </c>
      <c r="G336" s="13">
        <f t="shared" si="90"/>
        <v>-16</v>
      </c>
      <c r="H336" s="13">
        <f t="shared" si="91"/>
        <v>24</v>
      </c>
      <c r="I336" s="70">
        <f t="shared" si="92"/>
        <v>2.2222222222222143E-2</v>
      </c>
      <c r="J336" s="70">
        <f t="shared" si="93"/>
        <v>-1.4285714285714235E-2</v>
      </c>
      <c r="K336" s="82" t="str">
        <f>_xlfn.IFNA(VLOOKUP(CLEAN(SUBSTITUTE(C336," ","")),Ref_Factory!$A:$B,2,FALSE),CLEAN(SUBSTITUTE(C336," ","")))</f>
        <v>GM2</v>
      </c>
      <c r="L336" s="82" t="str">
        <f t="shared" si="94"/>
        <v>MARCH-3-GM2</v>
      </c>
      <c r="M336" s="70">
        <f t="shared" si="95"/>
        <v>0.19126240920819415</v>
      </c>
      <c r="N336" s="70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25">
      <c r="A337" t="s">
        <v>37</v>
      </c>
      <c r="B337" s="63">
        <v>3</v>
      </c>
      <c r="C337" t="s">
        <v>14</v>
      </c>
      <c r="D337" s="65">
        <v>5184</v>
      </c>
      <c r="E337" s="65">
        <v>5386</v>
      </c>
      <c r="F337" s="65">
        <v>5168</v>
      </c>
      <c r="G337" s="13">
        <f t="shared" si="90"/>
        <v>-218</v>
      </c>
      <c r="H337" s="13">
        <f t="shared" si="91"/>
        <v>-16</v>
      </c>
      <c r="I337" s="70">
        <f t="shared" si="92"/>
        <v>-3.0864197530864335E-3</v>
      </c>
      <c r="J337" s="70">
        <f t="shared" si="93"/>
        <v>-4.0475306349795792E-2</v>
      </c>
      <c r="K337" s="82" t="str">
        <f>_xlfn.IFNA(VLOOKUP(CLEAN(SUBSTITUTE(C337," ","")),Ref_Factory!$A:$B,2,FALSE),CLEAN(SUBSTITUTE(C337," ","")))</f>
        <v>GM2</v>
      </c>
      <c r="L337" s="82" t="str">
        <f t="shared" si="94"/>
        <v>MARCH-3-GM2</v>
      </c>
      <c r="M337" s="70">
        <f t="shared" si="95"/>
        <v>0.19126240920819415</v>
      </c>
      <c r="N337" s="70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25">
      <c r="A338" t="s">
        <v>37</v>
      </c>
      <c r="B338" s="63">
        <v>3</v>
      </c>
      <c r="C338" t="s">
        <v>14</v>
      </c>
      <c r="D338" s="65">
        <v>1440</v>
      </c>
      <c r="E338" s="65">
        <v>1488</v>
      </c>
      <c r="F338" s="65">
        <v>1440</v>
      </c>
      <c r="G338" s="13">
        <f t="shared" si="90"/>
        <v>-48</v>
      </c>
      <c r="H338" s="13">
        <f t="shared" si="91"/>
        <v>0</v>
      </c>
      <c r="I338" s="70">
        <f t="shared" si="92"/>
        <v>0</v>
      </c>
      <c r="J338" s="70">
        <f t="shared" si="93"/>
        <v>-3.2258064516129004E-2</v>
      </c>
      <c r="K338" s="82" t="str">
        <f>_xlfn.IFNA(VLOOKUP(CLEAN(SUBSTITUTE(C338," ","")),Ref_Factory!$A:$B,2,FALSE),CLEAN(SUBSTITUTE(C338," ","")))</f>
        <v>GM2</v>
      </c>
      <c r="L338" s="82" t="str">
        <f t="shared" si="94"/>
        <v>MARCH-3-GM2</v>
      </c>
      <c r="M338" s="70">
        <f t="shared" si="95"/>
        <v>0.19126240920819415</v>
      </c>
      <c r="N338" s="70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25">
      <c r="A339" t="s">
        <v>37</v>
      </c>
      <c r="B339" s="63">
        <v>3</v>
      </c>
      <c r="C339" t="s">
        <v>14</v>
      </c>
      <c r="D339" s="65">
        <v>5616</v>
      </c>
      <c r="E339" s="65">
        <v>5766</v>
      </c>
      <c r="F339" s="65">
        <v>5600</v>
      </c>
      <c r="G339" s="13">
        <f t="shared" si="90"/>
        <v>-166</v>
      </c>
      <c r="H339" s="13">
        <f t="shared" si="91"/>
        <v>-16</v>
      </c>
      <c r="I339" s="70">
        <f t="shared" si="92"/>
        <v>-2.8490028490028019E-3</v>
      </c>
      <c r="J339" s="70">
        <f t="shared" si="93"/>
        <v>-2.878945542837319E-2</v>
      </c>
      <c r="K339" s="82" t="str">
        <f>_xlfn.IFNA(VLOOKUP(CLEAN(SUBSTITUTE(C339," ","")),Ref_Factory!$A:$B,2,FALSE),CLEAN(SUBSTITUTE(C339," ","")))</f>
        <v>GM2</v>
      </c>
      <c r="L339" s="82" t="str">
        <f t="shared" si="94"/>
        <v>MARCH-3-GM2</v>
      </c>
      <c r="M339" s="70">
        <f t="shared" si="95"/>
        <v>0.19126240920819415</v>
      </c>
      <c r="N339" s="70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25">
      <c r="A340" t="s">
        <v>37</v>
      </c>
      <c r="B340" s="63">
        <v>3</v>
      </c>
      <c r="C340" t="s">
        <v>14</v>
      </c>
      <c r="D340" s="65">
        <v>720</v>
      </c>
      <c r="E340" s="65">
        <v>755</v>
      </c>
      <c r="F340" s="65">
        <v>720</v>
      </c>
      <c r="G340" s="13">
        <f t="shared" si="90"/>
        <v>-35</v>
      </c>
      <c r="H340" s="13">
        <f t="shared" si="91"/>
        <v>0</v>
      </c>
      <c r="I340" s="70">
        <f t="shared" si="92"/>
        <v>0</v>
      </c>
      <c r="J340" s="70">
        <f t="shared" si="93"/>
        <v>-4.635761589403975E-2</v>
      </c>
      <c r="K340" s="82" t="str">
        <f>_xlfn.IFNA(VLOOKUP(CLEAN(SUBSTITUTE(C340," ","")),Ref_Factory!$A:$B,2,FALSE),CLEAN(SUBSTITUTE(C340," ","")))</f>
        <v>GM2</v>
      </c>
      <c r="L340" s="82" t="str">
        <f t="shared" si="94"/>
        <v>MARCH-3-GM2</v>
      </c>
      <c r="M340" s="70">
        <f t="shared" si="95"/>
        <v>0.19126240920819415</v>
      </c>
      <c r="N340" s="70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25">
      <c r="A341" t="s">
        <v>37</v>
      </c>
      <c r="B341" s="63">
        <v>3</v>
      </c>
      <c r="C341" t="s">
        <v>10</v>
      </c>
      <c r="D341" s="65">
        <v>1415</v>
      </c>
      <c r="E341" s="65">
        <v>1415</v>
      </c>
      <c r="F341" s="65">
        <v>1415</v>
      </c>
      <c r="G341" s="13">
        <f t="shared" si="90"/>
        <v>0</v>
      </c>
      <c r="H341" s="13">
        <f t="shared" si="91"/>
        <v>0</v>
      </c>
      <c r="I341" s="70">
        <f t="shared" si="92"/>
        <v>0</v>
      </c>
      <c r="J341" s="70">
        <f t="shared" si="93"/>
        <v>0</v>
      </c>
      <c r="K341" s="82" t="str">
        <f>_xlfn.IFNA(VLOOKUP(CLEAN(SUBSTITUTE(C341," ","")),Ref_Factory!$A:$B,2,FALSE),CLEAN(SUBSTITUTE(C341," ","")))</f>
        <v>CNJ2</v>
      </c>
      <c r="L341" s="82" t="str">
        <f t="shared" si="94"/>
        <v>MARCH-3-CNJ2</v>
      </c>
      <c r="M341" s="70">
        <f t="shared" si="95"/>
        <v>0</v>
      </c>
      <c r="N341" s="70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25">
      <c r="A342" t="s">
        <v>37</v>
      </c>
      <c r="B342" s="63">
        <v>3</v>
      </c>
      <c r="C342" t="s">
        <v>10</v>
      </c>
      <c r="D342" s="65">
        <v>440</v>
      </c>
      <c r="E342" s="65">
        <v>440</v>
      </c>
      <c r="F342" s="65">
        <v>440</v>
      </c>
      <c r="G342" s="13">
        <f t="shared" si="90"/>
        <v>0</v>
      </c>
      <c r="H342" s="13">
        <f t="shared" si="91"/>
        <v>0</v>
      </c>
      <c r="I342" s="70">
        <f t="shared" si="92"/>
        <v>0</v>
      </c>
      <c r="J342" s="70">
        <f t="shared" si="93"/>
        <v>0</v>
      </c>
      <c r="K342" s="82" t="str">
        <f>_xlfn.IFNA(VLOOKUP(CLEAN(SUBSTITUTE(C342," ","")),Ref_Factory!$A:$B,2,FALSE),CLEAN(SUBSTITUTE(C342," ","")))</f>
        <v>CNJ2</v>
      </c>
      <c r="L342" s="82" t="str">
        <f t="shared" si="94"/>
        <v>MARCH-3-CNJ2</v>
      </c>
      <c r="M342" s="70">
        <f t="shared" si="95"/>
        <v>0</v>
      </c>
      <c r="N342" s="70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25">
      <c r="A343" t="s">
        <v>37</v>
      </c>
      <c r="B343" s="63">
        <v>3</v>
      </c>
      <c r="C343" t="s">
        <v>10</v>
      </c>
      <c r="D343" s="65">
        <v>195</v>
      </c>
      <c r="E343" s="65">
        <v>195</v>
      </c>
      <c r="F343" s="65">
        <v>195</v>
      </c>
      <c r="G343" s="13">
        <f t="shared" si="90"/>
        <v>0</v>
      </c>
      <c r="H343" s="13">
        <f t="shared" si="91"/>
        <v>0</v>
      </c>
      <c r="I343" s="70">
        <f t="shared" si="92"/>
        <v>0</v>
      </c>
      <c r="J343" s="70">
        <f t="shared" si="93"/>
        <v>0</v>
      </c>
      <c r="K343" s="82" t="str">
        <f>_xlfn.IFNA(VLOOKUP(CLEAN(SUBSTITUTE(C343," ","")),Ref_Factory!$A:$B,2,FALSE),CLEAN(SUBSTITUTE(C343," ","")))</f>
        <v>CNJ2</v>
      </c>
      <c r="L343" s="82" t="str">
        <f t="shared" si="94"/>
        <v>MARCH-3-CNJ2</v>
      </c>
      <c r="M343" s="70">
        <f t="shared" si="95"/>
        <v>0</v>
      </c>
      <c r="N343" s="70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25">
      <c r="A344" t="s">
        <v>37</v>
      </c>
      <c r="B344" s="63">
        <v>3</v>
      </c>
      <c r="C344" t="s">
        <v>10</v>
      </c>
      <c r="D344" s="65">
        <v>4220</v>
      </c>
      <c r="E344" s="65">
        <v>4230</v>
      </c>
      <c r="F344" s="65">
        <v>4220</v>
      </c>
      <c r="G344" s="13">
        <f t="shared" si="90"/>
        <v>-10</v>
      </c>
      <c r="H344" s="13">
        <f t="shared" si="91"/>
        <v>0</v>
      </c>
      <c r="I344" s="70">
        <f t="shared" si="92"/>
        <v>0</v>
      </c>
      <c r="J344" s="70">
        <f t="shared" si="93"/>
        <v>-2.3640661938534313E-3</v>
      </c>
      <c r="K344" s="82" t="str">
        <f>_xlfn.IFNA(VLOOKUP(CLEAN(SUBSTITUTE(C344," ","")),Ref_Factory!$A:$B,2,FALSE),CLEAN(SUBSTITUTE(C344," ","")))</f>
        <v>CNJ2</v>
      </c>
      <c r="L344" s="82" t="str">
        <f t="shared" si="94"/>
        <v>MARCH-3-CNJ2</v>
      </c>
      <c r="M344" s="70">
        <f t="shared" si="95"/>
        <v>0</v>
      </c>
      <c r="N344" s="70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25">
      <c r="A345" t="s">
        <v>37</v>
      </c>
      <c r="B345" s="63">
        <v>3</v>
      </c>
      <c r="C345" t="s">
        <v>10</v>
      </c>
      <c r="D345" s="65">
        <v>3720</v>
      </c>
      <c r="E345" s="65">
        <v>3750</v>
      </c>
      <c r="F345" s="65">
        <v>3720</v>
      </c>
      <c r="G345" s="13">
        <f t="shared" si="90"/>
        <v>-30</v>
      </c>
      <c r="H345" s="13">
        <f t="shared" si="91"/>
        <v>0</v>
      </c>
      <c r="I345" s="70">
        <f t="shared" si="92"/>
        <v>0</v>
      </c>
      <c r="J345" s="70">
        <f t="shared" si="93"/>
        <v>-8.0000000000000071E-3</v>
      </c>
      <c r="K345" s="82" t="str">
        <f>_xlfn.IFNA(VLOOKUP(CLEAN(SUBSTITUTE(C345," ","")),Ref_Factory!$A:$B,2,FALSE),CLEAN(SUBSTITUTE(C345," ","")))</f>
        <v>CNJ2</v>
      </c>
      <c r="L345" s="82" t="str">
        <f t="shared" si="94"/>
        <v>MARCH-3-CNJ2</v>
      </c>
      <c r="M345" s="70">
        <f t="shared" si="95"/>
        <v>0</v>
      </c>
      <c r="N345" s="70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25">
      <c r="A346" t="s">
        <v>37</v>
      </c>
      <c r="B346" s="63">
        <v>3</v>
      </c>
      <c r="C346" t="s">
        <v>11</v>
      </c>
      <c r="D346" s="65">
        <v>4608</v>
      </c>
      <c r="E346" s="65">
        <v>4691</v>
      </c>
      <c r="F346" s="65">
        <v>4608</v>
      </c>
      <c r="G346" s="13">
        <f t="shared" si="90"/>
        <v>-83</v>
      </c>
      <c r="H346" s="13">
        <f t="shared" si="91"/>
        <v>0</v>
      </c>
      <c r="I346" s="70">
        <f t="shared" si="92"/>
        <v>0</v>
      </c>
      <c r="J346" s="70">
        <f t="shared" si="93"/>
        <v>-1.769345555318691E-2</v>
      </c>
      <c r="K346" s="82" t="str">
        <f>_xlfn.IFNA(VLOOKUP(CLEAN(SUBSTITUTE(C346," ","")),Ref_Factory!$A:$B,2,FALSE),CLEAN(SUBSTITUTE(C346," ","")))</f>
        <v>GM1</v>
      </c>
      <c r="L346" s="82" t="str">
        <f t="shared" si="94"/>
        <v>MARCH-3-GM1</v>
      </c>
      <c r="M346" s="70">
        <f t="shared" si="95"/>
        <v>0.17958272815298937</v>
      </c>
      <c r="N346" s="70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25">
      <c r="A347" t="s">
        <v>37</v>
      </c>
      <c r="B347" s="63">
        <v>3</v>
      </c>
      <c r="C347" t="s">
        <v>11</v>
      </c>
      <c r="D347" s="65">
        <v>4464</v>
      </c>
      <c r="E347" s="65">
        <v>4488</v>
      </c>
      <c r="F347" s="65">
        <v>4464</v>
      </c>
      <c r="G347" s="13">
        <f t="shared" si="90"/>
        <v>-24</v>
      </c>
      <c r="H347" s="13">
        <f t="shared" si="91"/>
        <v>0</v>
      </c>
      <c r="I347" s="70">
        <f t="shared" si="92"/>
        <v>0</v>
      </c>
      <c r="J347" s="70">
        <f t="shared" si="93"/>
        <v>-5.3475935828877219E-3</v>
      </c>
      <c r="K347" s="82" t="str">
        <f>_xlfn.IFNA(VLOOKUP(CLEAN(SUBSTITUTE(C347," ","")),Ref_Factory!$A:$B,2,FALSE),CLEAN(SUBSTITUTE(C347," ","")))</f>
        <v>GM1</v>
      </c>
      <c r="L347" s="82" t="str">
        <f t="shared" si="94"/>
        <v>MARCH-3-GM1</v>
      </c>
      <c r="M347" s="70">
        <f t="shared" si="95"/>
        <v>0.17958272815298937</v>
      </c>
      <c r="N347" s="70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25">
      <c r="A348" t="s">
        <v>37</v>
      </c>
      <c r="B348" s="63">
        <v>3</v>
      </c>
      <c r="C348" t="s">
        <v>11</v>
      </c>
      <c r="D348" s="65">
        <v>4248</v>
      </c>
      <c r="E348" s="65">
        <v>4542</v>
      </c>
      <c r="F348" s="65">
        <v>4248</v>
      </c>
      <c r="G348" s="13">
        <f t="shared" si="90"/>
        <v>-294</v>
      </c>
      <c r="H348" s="13">
        <f t="shared" si="91"/>
        <v>0</v>
      </c>
      <c r="I348" s="70">
        <f t="shared" si="92"/>
        <v>0</v>
      </c>
      <c r="J348" s="70">
        <f t="shared" si="93"/>
        <v>-6.4729194187582606E-2</v>
      </c>
      <c r="K348" s="82" t="str">
        <f>_xlfn.IFNA(VLOOKUP(CLEAN(SUBSTITUTE(C348," ","")),Ref_Factory!$A:$B,2,FALSE),CLEAN(SUBSTITUTE(C348," ","")))</f>
        <v>GM1</v>
      </c>
      <c r="L348" s="82" t="str">
        <f t="shared" si="94"/>
        <v>MARCH-3-GM1</v>
      </c>
      <c r="M348" s="70">
        <f t="shared" si="95"/>
        <v>0.17958272815298937</v>
      </c>
      <c r="N348" s="70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25">
      <c r="A349" t="s">
        <v>37</v>
      </c>
      <c r="B349" s="63">
        <v>3</v>
      </c>
      <c r="C349" t="s">
        <v>13</v>
      </c>
      <c r="D349" s="65">
        <v>74736</v>
      </c>
      <c r="E349" s="65">
        <v>76232</v>
      </c>
      <c r="F349" s="65">
        <v>75960</v>
      </c>
      <c r="G349" s="13">
        <f t="shared" si="90"/>
        <v>-272</v>
      </c>
      <c r="H349" s="13">
        <f t="shared" si="91"/>
        <v>1224</v>
      </c>
      <c r="I349" s="70">
        <f t="shared" si="92"/>
        <v>1.6377649325626242E-2</v>
      </c>
      <c r="J349" s="70">
        <f t="shared" si="93"/>
        <v>-3.5680554098016515E-3</v>
      </c>
      <c r="K349" s="82" t="str">
        <f>_xlfn.IFNA(VLOOKUP(CLEAN(SUBSTITUTE(C349," ","")),Ref_Factory!$A:$B,2,FALSE),CLEAN(SUBSTITUTE(C349," ","")))</f>
        <v>KALIBENDA</v>
      </c>
      <c r="L349" s="82" t="str">
        <f t="shared" si="94"/>
        <v>MARCH-3-KALIBENDA</v>
      </c>
      <c r="M349" s="70">
        <f t="shared" si="95"/>
        <v>1.6377649325626242E-2</v>
      </c>
      <c r="N349" s="70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25">
      <c r="A350" t="s">
        <v>37</v>
      </c>
      <c r="B350" s="63">
        <v>3</v>
      </c>
      <c r="C350" t="s">
        <v>14</v>
      </c>
      <c r="D350" s="65">
        <v>35568</v>
      </c>
      <c r="E350" s="65">
        <v>36323</v>
      </c>
      <c r="F350" s="65">
        <v>36108</v>
      </c>
      <c r="G350" s="13">
        <f t="shared" si="90"/>
        <v>-215</v>
      </c>
      <c r="H350" s="13">
        <f t="shared" si="91"/>
        <v>540</v>
      </c>
      <c r="I350" s="70">
        <f t="shared" si="92"/>
        <v>1.5182186234817818E-2</v>
      </c>
      <c r="J350" s="70">
        <f t="shared" si="93"/>
        <v>-5.9191146105773695E-3</v>
      </c>
      <c r="K350" s="82" t="str">
        <f>_xlfn.IFNA(VLOOKUP(CLEAN(SUBSTITUTE(C350," ","")),Ref_Factory!$A:$B,2,FALSE),CLEAN(SUBSTITUTE(C350," ","")))</f>
        <v>GM2</v>
      </c>
      <c r="L350" s="82" t="str">
        <f t="shared" si="94"/>
        <v>MARCH-3-GM2</v>
      </c>
      <c r="M350" s="70">
        <f t="shared" si="95"/>
        <v>0.19126240920819415</v>
      </c>
      <c r="N350" s="70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25">
      <c r="A351" t="s">
        <v>37</v>
      </c>
      <c r="B351" s="63">
        <v>3</v>
      </c>
      <c r="C351" t="s">
        <v>14</v>
      </c>
      <c r="D351" s="65">
        <v>19152</v>
      </c>
      <c r="E351" s="65">
        <v>19424</v>
      </c>
      <c r="F351" s="65">
        <v>19268</v>
      </c>
      <c r="G351" s="13">
        <f t="shared" si="90"/>
        <v>-156</v>
      </c>
      <c r="H351" s="13">
        <f t="shared" si="91"/>
        <v>116</v>
      </c>
      <c r="I351" s="70">
        <f t="shared" si="92"/>
        <v>6.0568086883876493E-3</v>
      </c>
      <c r="J351" s="70">
        <f t="shared" si="93"/>
        <v>-8.0313014827018137E-3</v>
      </c>
      <c r="K351" s="82" t="str">
        <f>_xlfn.IFNA(VLOOKUP(CLEAN(SUBSTITUTE(C351," ","")),Ref_Factory!$A:$B,2,FALSE),CLEAN(SUBSTITUTE(C351," ","")))</f>
        <v>GM2</v>
      </c>
      <c r="L351" s="82" t="str">
        <f t="shared" si="94"/>
        <v>MARCH-3-GM2</v>
      </c>
      <c r="M351" s="70">
        <f t="shared" si="95"/>
        <v>0.19126240920819415</v>
      </c>
      <c r="N351" s="70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25">
      <c r="A352" t="s">
        <v>37</v>
      </c>
      <c r="B352" s="63">
        <v>3</v>
      </c>
      <c r="C352" t="s">
        <v>14</v>
      </c>
      <c r="D352" s="65">
        <v>38592</v>
      </c>
      <c r="E352" s="65">
        <v>39471</v>
      </c>
      <c r="F352" s="65">
        <v>39100</v>
      </c>
      <c r="G352" s="13">
        <f t="shared" si="90"/>
        <v>-371</v>
      </c>
      <c r="H352" s="13">
        <f t="shared" si="91"/>
        <v>508</v>
      </c>
      <c r="I352" s="70">
        <f t="shared" si="92"/>
        <v>1.3163349917081346E-2</v>
      </c>
      <c r="J352" s="70">
        <f t="shared" si="93"/>
        <v>-9.3993058194623558E-3</v>
      </c>
      <c r="K352" s="82" t="str">
        <f>_xlfn.IFNA(VLOOKUP(CLEAN(SUBSTITUTE(C352," ","")),Ref_Factory!$A:$B,2,FALSE),CLEAN(SUBSTITUTE(C352," ","")))</f>
        <v>GM2</v>
      </c>
      <c r="L352" s="82" t="str">
        <f t="shared" si="94"/>
        <v>MARCH-3-GM2</v>
      </c>
      <c r="M352" s="70">
        <f t="shared" si="95"/>
        <v>0.19126240920819415</v>
      </c>
      <c r="N352" s="70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25">
      <c r="A353" t="s">
        <v>37</v>
      </c>
      <c r="B353" s="63">
        <v>3</v>
      </c>
      <c r="C353" t="s">
        <v>14</v>
      </c>
      <c r="D353" s="65">
        <v>27972</v>
      </c>
      <c r="E353" s="65">
        <v>28582</v>
      </c>
      <c r="F353" s="65">
        <v>28539</v>
      </c>
      <c r="G353" s="13">
        <f t="shared" si="90"/>
        <v>-43</v>
      </c>
      <c r="H353" s="13">
        <f t="shared" si="91"/>
        <v>567</v>
      </c>
      <c r="I353" s="70">
        <f t="shared" si="92"/>
        <v>2.0270270270270174E-2</v>
      </c>
      <c r="J353" s="70">
        <f t="shared" si="93"/>
        <v>-1.5044433559583403E-3</v>
      </c>
      <c r="K353" s="82" t="str">
        <f>_xlfn.IFNA(VLOOKUP(CLEAN(SUBSTITUTE(C353," ","")),Ref_Factory!$A:$B,2,FALSE),CLEAN(SUBSTITUTE(C353," ","")))</f>
        <v>GM2</v>
      </c>
      <c r="L353" s="82" t="str">
        <f t="shared" si="94"/>
        <v>MARCH-3-GM2</v>
      </c>
      <c r="M353" s="70">
        <f t="shared" si="95"/>
        <v>0.19126240920819415</v>
      </c>
      <c r="N353" s="70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25">
      <c r="A354" t="s">
        <v>37</v>
      </c>
      <c r="B354" s="63">
        <v>3</v>
      </c>
      <c r="C354" t="s">
        <v>14</v>
      </c>
      <c r="D354" s="65">
        <v>28188</v>
      </c>
      <c r="E354" s="65">
        <v>28787</v>
      </c>
      <c r="F354" s="65">
        <v>28623</v>
      </c>
      <c r="G354" s="13">
        <f t="shared" si="90"/>
        <v>-164</v>
      </c>
      <c r="H354" s="13">
        <f t="shared" si="91"/>
        <v>435</v>
      </c>
      <c r="I354" s="70">
        <f t="shared" si="92"/>
        <v>1.5432098765432167E-2</v>
      </c>
      <c r="J354" s="70">
        <f t="shared" si="93"/>
        <v>-5.6970160141730508E-3</v>
      </c>
      <c r="K354" s="82" t="str">
        <f>_xlfn.IFNA(VLOOKUP(CLEAN(SUBSTITUTE(C354," ","")),Ref_Factory!$A:$B,2,FALSE),CLEAN(SUBSTITUTE(C354," ","")))</f>
        <v>GM2</v>
      </c>
      <c r="L354" s="82" t="str">
        <f t="shared" si="94"/>
        <v>MARCH-3-GM2</v>
      </c>
      <c r="M354" s="70">
        <f t="shared" si="95"/>
        <v>0.19126240920819415</v>
      </c>
      <c r="N354" s="70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25">
      <c r="A355" t="s">
        <v>37</v>
      </c>
      <c r="B355" s="63">
        <v>3</v>
      </c>
      <c r="C355" t="s">
        <v>11</v>
      </c>
      <c r="D355" s="65">
        <v>39420</v>
      </c>
      <c r="E355" s="65">
        <v>39642</v>
      </c>
      <c r="F355" s="65">
        <v>39420</v>
      </c>
      <c r="G355" s="13">
        <f t="shared" si="90"/>
        <v>-222</v>
      </c>
      <c r="H355" s="13">
        <f t="shared" si="91"/>
        <v>0</v>
      </c>
      <c r="I355" s="70">
        <f t="shared" si="92"/>
        <v>0</v>
      </c>
      <c r="J355" s="70">
        <f t="shared" si="93"/>
        <v>-5.6001210836991167E-3</v>
      </c>
      <c r="K355" s="82" t="str">
        <f>_xlfn.IFNA(VLOOKUP(CLEAN(SUBSTITUTE(C355," ","")),Ref_Factory!$A:$B,2,FALSE),CLEAN(SUBSTITUTE(C355," ","")))</f>
        <v>GM1</v>
      </c>
      <c r="L355" s="82" t="str">
        <f t="shared" si="94"/>
        <v>MARCH-3-GM1</v>
      </c>
      <c r="M355" s="70">
        <f t="shared" si="95"/>
        <v>0.17958272815298937</v>
      </c>
      <c r="N355" s="70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25">
      <c r="A356" t="s">
        <v>37</v>
      </c>
      <c r="B356" s="63">
        <v>3</v>
      </c>
      <c r="C356" t="s">
        <v>10</v>
      </c>
      <c r="D356" s="65">
        <v>2640</v>
      </c>
      <c r="E356" s="65">
        <v>2645</v>
      </c>
      <c r="F356" s="65">
        <v>2640</v>
      </c>
      <c r="G356" s="13">
        <f t="shared" si="90"/>
        <v>-5</v>
      </c>
      <c r="H356" s="13">
        <f t="shared" si="91"/>
        <v>0</v>
      </c>
      <c r="I356" s="70">
        <f t="shared" si="92"/>
        <v>0</v>
      </c>
      <c r="J356" s="70">
        <f t="shared" si="93"/>
        <v>-1.890359168241984E-3</v>
      </c>
      <c r="K356" s="82" t="str">
        <f>_xlfn.IFNA(VLOOKUP(CLEAN(SUBSTITUTE(C356," ","")),Ref_Factory!$A:$B,2,FALSE),CLEAN(SUBSTITUTE(C356," ","")))</f>
        <v>CNJ2</v>
      </c>
      <c r="L356" s="82" t="str">
        <f t="shared" si="94"/>
        <v>MARCH-3-CNJ2</v>
      </c>
      <c r="M356" s="70">
        <f t="shared" si="95"/>
        <v>0</v>
      </c>
      <c r="N356" s="70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25">
      <c r="A357" t="s">
        <v>37</v>
      </c>
      <c r="B357" s="63">
        <v>3</v>
      </c>
      <c r="C357" t="s">
        <v>10</v>
      </c>
      <c r="D357" s="65">
        <v>3490</v>
      </c>
      <c r="E357" s="65">
        <v>3514</v>
      </c>
      <c r="F357" s="65">
        <v>3490</v>
      </c>
      <c r="G357" s="13">
        <f t="shared" si="90"/>
        <v>-24</v>
      </c>
      <c r="H357" s="13">
        <f t="shared" si="91"/>
        <v>0</v>
      </c>
      <c r="I357" s="70">
        <f t="shared" si="92"/>
        <v>0</v>
      </c>
      <c r="J357" s="70">
        <f t="shared" si="93"/>
        <v>-6.8298235628913018E-3</v>
      </c>
      <c r="K357" s="82" t="str">
        <f>_xlfn.IFNA(VLOOKUP(CLEAN(SUBSTITUTE(C357," ","")),Ref_Factory!$A:$B,2,FALSE),CLEAN(SUBSTITUTE(C357," ","")))</f>
        <v>CNJ2</v>
      </c>
      <c r="L357" s="82" t="str">
        <f t="shared" si="94"/>
        <v>MARCH-3-CNJ2</v>
      </c>
      <c r="M357" s="70">
        <f t="shared" si="95"/>
        <v>0</v>
      </c>
      <c r="N357" s="70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25">
      <c r="A358" t="s">
        <v>37</v>
      </c>
      <c r="B358" s="63">
        <v>3</v>
      </c>
      <c r="C358" t="s">
        <v>10</v>
      </c>
      <c r="D358" s="65">
        <v>3210</v>
      </c>
      <c r="E358" s="65">
        <v>3224</v>
      </c>
      <c r="F358" s="65">
        <v>3210</v>
      </c>
      <c r="G358" s="13">
        <f t="shared" si="90"/>
        <v>-14</v>
      </c>
      <c r="H358" s="13">
        <f t="shared" si="91"/>
        <v>0</v>
      </c>
      <c r="I358" s="70">
        <f t="shared" si="92"/>
        <v>0</v>
      </c>
      <c r="J358" s="70">
        <f t="shared" si="93"/>
        <v>-4.3424317617866137E-3</v>
      </c>
      <c r="K358" s="82" t="str">
        <f>_xlfn.IFNA(VLOOKUP(CLEAN(SUBSTITUTE(C358," ","")),Ref_Factory!$A:$B,2,FALSE),CLEAN(SUBSTITUTE(C358," ","")))</f>
        <v>CNJ2</v>
      </c>
      <c r="L358" s="82" t="str">
        <f t="shared" si="94"/>
        <v>MARCH-3-CNJ2</v>
      </c>
      <c r="M358" s="70">
        <f t="shared" si="95"/>
        <v>0</v>
      </c>
      <c r="N358" s="70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25">
      <c r="A359" t="s">
        <v>37</v>
      </c>
      <c r="B359" s="63">
        <v>3</v>
      </c>
      <c r="C359" t="s">
        <v>10</v>
      </c>
      <c r="D359" s="65">
        <v>2630</v>
      </c>
      <c r="E359" s="65">
        <v>2646</v>
      </c>
      <c r="F359" s="65">
        <v>2630</v>
      </c>
      <c r="G359" s="13">
        <f t="shared" si="90"/>
        <v>-16</v>
      </c>
      <c r="H359" s="13">
        <f t="shared" si="91"/>
        <v>0</v>
      </c>
      <c r="I359" s="70">
        <f t="shared" si="92"/>
        <v>0</v>
      </c>
      <c r="J359" s="70">
        <f t="shared" si="93"/>
        <v>-6.046863189720364E-3</v>
      </c>
      <c r="K359" s="82" t="str">
        <f>_xlfn.IFNA(VLOOKUP(CLEAN(SUBSTITUTE(C359," ","")),Ref_Factory!$A:$B,2,FALSE),CLEAN(SUBSTITUTE(C359," ","")))</f>
        <v>CNJ2</v>
      </c>
      <c r="L359" s="82" t="str">
        <f t="shared" si="94"/>
        <v>MARCH-3-CNJ2</v>
      </c>
      <c r="M359" s="70">
        <f t="shared" si="95"/>
        <v>0</v>
      </c>
      <c r="N359" s="70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25">
      <c r="A360" t="s">
        <v>37</v>
      </c>
      <c r="B360" s="63">
        <v>3</v>
      </c>
      <c r="C360" t="s">
        <v>10</v>
      </c>
      <c r="D360" s="65">
        <v>2650</v>
      </c>
      <c r="E360" s="65">
        <v>2700</v>
      </c>
      <c r="F360" s="65">
        <v>2650</v>
      </c>
      <c r="G360" s="13">
        <f t="shared" si="90"/>
        <v>-50</v>
      </c>
      <c r="H360" s="13">
        <f t="shared" si="91"/>
        <v>0</v>
      </c>
      <c r="I360" s="70">
        <f t="shared" si="92"/>
        <v>0</v>
      </c>
      <c r="J360" s="70">
        <f t="shared" si="93"/>
        <v>-1.851851851851849E-2</v>
      </c>
      <c r="K360" s="82" t="str">
        <f>_xlfn.IFNA(VLOOKUP(CLEAN(SUBSTITUTE(C360," ","")),Ref_Factory!$A:$B,2,FALSE),CLEAN(SUBSTITUTE(C360," ","")))</f>
        <v>CNJ2</v>
      </c>
      <c r="L360" s="82" t="str">
        <f t="shared" si="94"/>
        <v>MARCH-3-CNJ2</v>
      </c>
      <c r="M360" s="70">
        <f t="shared" si="95"/>
        <v>0</v>
      </c>
      <c r="N360" s="70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25">
      <c r="A361" t="s">
        <v>37</v>
      </c>
      <c r="B361" s="63">
        <v>3</v>
      </c>
      <c r="C361" t="s">
        <v>10</v>
      </c>
      <c r="D361" s="65">
        <v>2710</v>
      </c>
      <c r="E361" s="65">
        <v>2786</v>
      </c>
      <c r="F361" s="65">
        <v>2710</v>
      </c>
      <c r="G361" s="13">
        <f t="shared" si="90"/>
        <v>-76</v>
      </c>
      <c r="H361" s="13">
        <f t="shared" si="91"/>
        <v>0</v>
      </c>
      <c r="I361" s="70">
        <f t="shared" si="92"/>
        <v>0</v>
      </c>
      <c r="J361" s="70">
        <f t="shared" si="93"/>
        <v>-2.7279253409906667E-2</v>
      </c>
      <c r="K361" s="82" t="str">
        <f>_xlfn.IFNA(VLOOKUP(CLEAN(SUBSTITUTE(C361," ","")),Ref_Factory!$A:$B,2,FALSE),CLEAN(SUBSTITUTE(C361," ","")))</f>
        <v>CNJ2</v>
      </c>
      <c r="L361" s="82" t="str">
        <f t="shared" si="94"/>
        <v>MARCH-3-CNJ2</v>
      </c>
      <c r="M361" s="70">
        <f t="shared" si="95"/>
        <v>0</v>
      </c>
      <c r="N361" s="70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25">
      <c r="A362" t="s">
        <v>37</v>
      </c>
      <c r="B362" s="63">
        <v>3</v>
      </c>
      <c r="C362" t="s">
        <v>10</v>
      </c>
      <c r="D362" s="65">
        <v>1930</v>
      </c>
      <c r="E362" s="65">
        <v>1951</v>
      </c>
      <c r="F362" s="65">
        <v>1930</v>
      </c>
      <c r="G362" s="13">
        <f t="shared" si="90"/>
        <v>-21</v>
      </c>
      <c r="H362" s="13">
        <f t="shared" si="91"/>
        <v>0</v>
      </c>
      <c r="I362" s="70">
        <f t="shared" si="92"/>
        <v>0</v>
      </c>
      <c r="J362" s="70">
        <f t="shared" si="93"/>
        <v>-1.0763710917478186E-2</v>
      </c>
      <c r="K362" s="82" t="str">
        <f>_xlfn.IFNA(VLOOKUP(CLEAN(SUBSTITUTE(C362," ","")),Ref_Factory!$A:$B,2,FALSE),CLEAN(SUBSTITUTE(C362," ","")))</f>
        <v>CNJ2</v>
      </c>
      <c r="L362" s="82" t="str">
        <f t="shared" si="94"/>
        <v>MARCH-3-CNJ2</v>
      </c>
      <c r="M362" s="70">
        <f t="shared" si="95"/>
        <v>0</v>
      </c>
      <c r="N362" s="70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25">
      <c r="A363" t="s">
        <v>37</v>
      </c>
      <c r="B363" s="63">
        <v>3</v>
      </c>
      <c r="C363" t="s">
        <v>15</v>
      </c>
      <c r="D363" s="65">
        <v>3500</v>
      </c>
      <c r="E363" s="65">
        <v>3504</v>
      </c>
      <c r="F363" s="65">
        <v>3380</v>
      </c>
      <c r="G363" s="13">
        <f t="shared" si="90"/>
        <v>-124</v>
      </c>
      <c r="H363" s="13">
        <f t="shared" si="91"/>
        <v>-120</v>
      </c>
      <c r="I363" s="70">
        <f t="shared" si="92"/>
        <v>-3.4285714285714253E-2</v>
      </c>
      <c r="J363" s="70">
        <f t="shared" si="93"/>
        <v>-3.5388127853881235E-2</v>
      </c>
      <c r="K363" s="82" t="str">
        <f>_xlfn.IFNA(VLOOKUP(CLEAN(SUBSTITUTE(C363," ","")),Ref_Factory!$A:$B,2,FALSE),CLEAN(SUBSTITUTE(C363," ","")))</f>
        <v>CHAWAN</v>
      </c>
      <c r="L363" s="82" t="str">
        <f t="shared" si="94"/>
        <v>MARCH-3-CHAWAN</v>
      </c>
      <c r="M363" s="70">
        <f t="shared" si="95"/>
        <v>-3.4285714285714253E-2</v>
      </c>
      <c r="N363" s="70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25">
      <c r="A364" t="s">
        <v>37</v>
      </c>
      <c r="B364" s="63">
        <v>3</v>
      </c>
      <c r="C364" t="s">
        <v>16</v>
      </c>
      <c r="D364" s="65">
        <v>400</v>
      </c>
      <c r="E364" s="65">
        <v>428</v>
      </c>
      <c r="F364" s="65">
        <v>428</v>
      </c>
      <c r="G364" s="13">
        <f t="shared" si="90"/>
        <v>0</v>
      </c>
      <c r="H364" s="13">
        <f t="shared" si="91"/>
        <v>28</v>
      </c>
      <c r="I364" s="70">
        <f t="shared" si="92"/>
        <v>7.0000000000000062E-2</v>
      </c>
      <c r="J364" s="70">
        <f t="shared" si="93"/>
        <v>0</v>
      </c>
      <c r="K364" s="82" t="str">
        <f>_xlfn.IFNA(VLOOKUP(CLEAN(SUBSTITUTE(C364," ","")),Ref_Factory!$A:$B,2,FALSE),CLEAN(SUBSTITUTE(C364," ","")))</f>
        <v>ANUGERAH</v>
      </c>
      <c r="L364" s="82" t="str">
        <f t="shared" si="94"/>
        <v>MARCH-3-ANUGERAH</v>
      </c>
      <c r="M364" s="70">
        <f t="shared" si="95"/>
        <v>8.1111111111111134E-2</v>
      </c>
      <c r="N364" s="70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25">
      <c r="A365" t="s">
        <v>37</v>
      </c>
      <c r="B365" s="63">
        <v>3</v>
      </c>
      <c r="C365" t="s">
        <v>16</v>
      </c>
      <c r="D365" s="65">
        <v>400</v>
      </c>
      <c r="E365" s="65">
        <v>408</v>
      </c>
      <c r="F365" s="65">
        <v>405</v>
      </c>
      <c r="G365" s="13">
        <f t="shared" si="90"/>
        <v>-3</v>
      </c>
      <c r="H365" s="13">
        <f t="shared" si="91"/>
        <v>5</v>
      </c>
      <c r="I365" s="70">
        <f t="shared" si="92"/>
        <v>1.2499999999999956E-2</v>
      </c>
      <c r="J365" s="70">
        <f t="shared" si="93"/>
        <v>-7.3529411764705621E-3</v>
      </c>
      <c r="K365" s="82" t="str">
        <f>_xlfn.IFNA(VLOOKUP(CLEAN(SUBSTITUTE(C365," ","")),Ref_Factory!$A:$B,2,FALSE),CLEAN(SUBSTITUTE(C365," ","")))</f>
        <v>ANUGERAH</v>
      </c>
      <c r="L365" s="82" t="str">
        <f t="shared" si="94"/>
        <v>MARCH-3-ANUGERAH</v>
      </c>
      <c r="M365" s="70">
        <f t="shared" si="95"/>
        <v>8.1111111111111134E-2</v>
      </c>
      <c r="N365" s="70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25">
      <c r="A366" t="s">
        <v>37</v>
      </c>
      <c r="B366" s="63">
        <v>3</v>
      </c>
      <c r="C366" t="s">
        <v>16</v>
      </c>
      <c r="D366" s="65">
        <v>600</v>
      </c>
      <c r="E366" s="65">
        <v>636</v>
      </c>
      <c r="F366" s="65">
        <v>600</v>
      </c>
      <c r="G366" s="13">
        <f t="shared" si="90"/>
        <v>-36</v>
      </c>
      <c r="H366" s="13">
        <f t="shared" si="91"/>
        <v>0</v>
      </c>
      <c r="I366" s="70">
        <f t="shared" si="92"/>
        <v>0</v>
      </c>
      <c r="J366" s="70">
        <f t="shared" si="93"/>
        <v>-5.6603773584905648E-2</v>
      </c>
      <c r="K366" s="82" t="str">
        <f>_xlfn.IFNA(VLOOKUP(CLEAN(SUBSTITUTE(C366," ","")),Ref_Factory!$A:$B,2,FALSE),CLEAN(SUBSTITUTE(C366," ","")))</f>
        <v>ANUGERAH</v>
      </c>
      <c r="L366" s="82" t="str">
        <f t="shared" si="94"/>
        <v>MARCH-3-ANUGERAH</v>
      </c>
      <c r="M366" s="70">
        <f t="shared" si="95"/>
        <v>8.1111111111111134E-2</v>
      </c>
      <c r="N366" s="70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25">
      <c r="A367" t="s">
        <v>37</v>
      </c>
      <c r="B367" s="63">
        <v>3</v>
      </c>
      <c r="C367" t="s">
        <v>16</v>
      </c>
      <c r="D367" s="65">
        <v>600</v>
      </c>
      <c r="E367" s="65">
        <v>624</v>
      </c>
      <c r="F367" s="65">
        <v>594</v>
      </c>
      <c r="G367" s="13">
        <f t="shared" si="90"/>
        <v>-30</v>
      </c>
      <c r="H367" s="13">
        <f t="shared" si="91"/>
        <v>-6</v>
      </c>
      <c r="I367" s="70">
        <f t="shared" si="92"/>
        <v>-1.0000000000000009E-2</v>
      </c>
      <c r="J367" s="70">
        <f t="shared" si="93"/>
        <v>-4.8076923076923128E-2</v>
      </c>
      <c r="K367" s="82" t="str">
        <f>_xlfn.IFNA(VLOOKUP(CLEAN(SUBSTITUTE(C367," ","")),Ref_Factory!$A:$B,2,FALSE),CLEAN(SUBSTITUTE(C367," ","")))</f>
        <v>ANUGERAH</v>
      </c>
      <c r="L367" s="82" t="str">
        <f t="shared" si="94"/>
        <v>MARCH-3-ANUGERAH</v>
      </c>
      <c r="M367" s="70">
        <f t="shared" si="95"/>
        <v>8.1111111111111134E-2</v>
      </c>
      <c r="N367" s="70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25">
      <c r="A368" t="s">
        <v>37</v>
      </c>
      <c r="B368" s="63">
        <v>3</v>
      </c>
      <c r="C368" t="s">
        <v>16</v>
      </c>
      <c r="D368" s="65">
        <v>450</v>
      </c>
      <c r="E368" s="65">
        <v>455</v>
      </c>
      <c r="F368" s="65">
        <v>455</v>
      </c>
      <c r="G368" s="13">
        <f t="shared" si="90"/>
        <v>0</v>
      </c>
      <c r="H368" s="13">
        <f t="shared" si="91"/>
        <v>5</v>
      </c>
      <c r="I368" s="70">
        <f t="shared" si="92"/>
        <v>1.1111111111111072E-2</v>
      </c>
      <c r="J368" s="70">
        <f t="shared" si="93"/>
        <v>0</v>
      </c>
      <c r="K368" s="82" t="str">
        <f>_xlfn.IFNA(VLOOKUP(CLEAN(SUBSTITUTE(C368," ","")),Ref_Factory!$A:$B,2,FALSE),CLEAN(SUBSTITUTE(C368," ","")))</f>
        <v>ANUGERAH</v>
      </c>
      <c r="L368" s="82" t="str">
        <f t="shared" si="94"/>
        <v>MARCH-3-ANUGERAH</v>
      </c>
      <c r="M368" s="70">
        <f t="shared" si="95"/>
        <v>8.1111111111111134E-2</v>
      </c>
      <c r="N368" s="70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25">
      <c r="A369" t="s">
        <v>37</v>
      </c>
      <c r="B369" s="63">
        <v>3</v>
      </c>
      <c r="C369" t="s">
        <v>16</v>
      </c>
      <c r="D369" s="65">
        <v>400</v>
      </c>
      <c r="E369" s="65">
        <v>419</v>
      </c>
      <c r="F369" s="65">
        <v>419</v>
      </c>
      <c r="G369" s="13">
        <f t="shared" si="90"/>
        <v>0</v>
      </c>
      <c r="H369" s="13">
        <f t="shared" si="91"/>
        <v>19</v>
      </c>
      <c r="I369" s="70">
        <f t="shared" si="92"/>
        <v>4.7500000000000098E-2</v>
      </c>
      <c r="J369" s="70">
        <f t="shared" si="93"/>
        <v>0</v>
      </c>
      <c r="K369" s="82" t="str">
        <f>_xlfn.IFNA(VLOOKUP(CLEAN(SUBSTITUTE(C369," ","")),Ref_Factory!$A:$B,2,FALSE),CLEAN(SUBSTITUTE(C369," ","")))</f>
        <v>ANUGERAH</v>
      </c>
      <c r="L369" s="82" t="str">
        <f t="shared" si="94"/>
        <v>MARCH-3-ANUGERAH</v>
      </c>
      <c r="M369" s="70">
        <f t="shared" si="95"/>
        <v>8.1111111111111134E-2</v>
      </c>
      <c r="N369" s="70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25">
      <c r="A370" t="s">
        <v>37</v>
      </c>
      <c r="B370" s="63">
        <v>3</v>
      </c>
      <c r="C370" t="s">
        <v>16</v>
      </c>
      <c r="D370" s="65">
        <v>600</v>
      </c>
      <c r="E370" s="65">
        <v>636</v>
      </c>
      <c r="F370" s="65">
        <v>600</v>
      </c>
      <c r="G370" s="13">
        <f t="shared" si="90"/>
        <v>-36</v>
      </c>
      <c r="H370" s="13">
        <f t="shared" si="91"/>
        <v>0</v>
      </c>
      <c r="I370" s="70">
        <f t="shared" si="92"/>
        <v>0</v>
      </c>
      <c r="J370" s="70">
        <f t="shared" si="93"/>
        <v>-5.6603773584905648E-2</v>
      </c>
      <c r="K370" s="82" t="str">
        <f>_xlfn.IFNA(VLOOKUP(CLEAN(SUBSTITUTE(C370," ","")),Ref_Factory!$A:$B,2,FALSE),CLEAN(SUBSTITUTE(C370," ","")))</f>
        <v>ANUGERAH</v>
      </c>
      <c r="L370" s="82" t="str">
        <f t="shared" si="94"/>
        <v>MARCH-3-ANUGERAH</v>
      </c>
      <c r="M370" s="70">
        <f t="shared" si="95"/>
        <v>8.1111111111111134E-2</v>
      </c>
      <c r="N370" s="70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25">
      <c r="A371" t="s">
        <v>37</v>
      </c>
      <c r="B371" s="63">
        <v>3</v>
      </c>
      <c r="C371" t="s">
        <v>16</v>
      </c>
      <c r="D371" s="65">
        <v>750</v>
      </c>
      <c r="E371" s="65">
        <v>815</v>
      </c>
      <c r="F371" s="65">
        <v>750</v>
      </c>
      <c r="G371" s="13">
        <f t="shared" si="90"/>
        <v>-65</v>
      </c>
      <c r="H371" s="13">
        <f t="shared" si="91"/>
        <v>0</v>
      </c>
      <c r="I371" s="70">
        <f t="shared" si="92"/>
        <v>0</v>
      </c>
      <c r="J371" s="70">
        <f t="shared" si="93"/>
        <v>-7.9754601226993849E-2</v>
      </c>
      <c r="K371" s="82" t="str">
        <f>_xlfn.IFNA(VLOOKUP(CLEAN(SUBSTITUTE(C371," ","")),Ref_Factory!$A:$B,2,FALSE),CLEAN(SUBSTITUTE(C371," ","")))</f>
        <v>ANUGERAH</v>
      </c>
      <c r="L371" s="82" t="str">
        <f t="shared" si="94"/>
        <v>MARCH-3-ANUGERAH</v>
      </c>
      <c r="M371" s="70">
        <f t="shared" si="95"/>
        <v>8.1111111111111134E-2</v>
      </c>
      <c r="N371" s="70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25">
      <c r="A372" t="s">
        <v>37</v>
      </c>
      <c r="B372" s="63">
        <v>3</v>
      </c>
      <c r="C372" t="s">
        <v>16</v>
      </c>
      <c r="D372" s="65">
        <v>600</v>
      </c>
      <c r="E372" s="65">
        <v>624</v>
      </c>
      <c r="F372" s="65">
        <v>600</v>
      </c>
      <c r="G372" s="13">
        <f t="shared" si="90"/>
        <v>-24</v>
      </c>
      <c r="H372" s="13">
        <f t="shared" si="91"/>
        <v>0</v>
      </c>
      <c r="I372" s="70">
        <f t="shared" si="92"/>
        <v>0</v>
      </c>
      <c r="J372" s="70">
        <f t="shared" si="93"/>
        <v>-3.8461538461538436E-2</v>
      </c>
      <c r="K372" s="82" t="str">
        <f>_xlfn.IFNA(VLOOKUP(CLEAN(SUBSTITUTE(C372," ","")),Ref_Factory!$A:$B,2,FALSE),CLEAN(SUBSTITUTE(C372," ","")))</f>
        <v>ANUGERAH</v>
      </c>
      <c r="L372" s="82" t="str">
        <f t="shared" si="94"/>
        <v>MARCH-3-ANUGERAH</v>
      </c>
      <c r="M372" s="70">
        <f t="shared" si="95"/>
        <v>8.1111111111111134E-2</v>
      </c>
      <c r="N372" s="70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25">
      <c r="A373" t="s">
        <v>37</v>
      </c>
      <c r="B373" s="63">
        <v>3</v>
      </c>
      <c r="C373" t="s">
        <v>16</v>
      </c>
      <c r="D373" s="65">
        <v>400</v>
      </c>
      <c r="E373" s="65">
        <v>400</v>
      </c>
      <c r="F373" s="65">
        <v>380</v>
      </c>
      <c r="G373" s="13">
        <f t="shared" si="90"/>
        <v>-20</v>
      </c>
      <c r="H373" s="13">
        <f t="shared" si="91"/>
        <v>-20</v>
      </c>
      <c r="I373" s="70">
        <f t="shared" si="92"/>
        <v>-5.0000000000000044E-2</v>
      </c>
      <c r="J373" s="70">
        <f t="shared" si="93"/>
        <v>-5.0000000000000044E-2</v>
      </c>
      <c r="K373" s="82" t="str">
        <f>_xlfn.IFNA(VLOOKUP(CLEAN(SUBSTITUTE(C373," ","")),Ref_Factory!$A:$B,2,FALSE),CLEAN(SUBSTITUTE(C373," ","")))</f>
        <v>ANUGERAH</v>
      </c>
      <c r="L373" s="82" t="str">
        <f t="shared" si="94"/>
        <v>MARCH-3-ANUGERAH</v>
      </c>
      <c r="M373" s="70">
        <f t="shared" si="95"/>
        <v>8.1111111111111134E-2</v>
      </c>
      <c r="N373" s="70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25">
      <c r="A374" t="s">
        <v>37</v>
      </c>
      <c r="B374" s="63">
        <v>4</v>
      </c>
      <c r="C374" t="s">
        <v>10</v>
      </c>
      <c r="D374" s="65">
        <v>60</v>
      </c>
      <c r="E374" s="65">
        <v>60</v>
      </c>
      <c r="F374" s="65">
        <v>60</v>
      </c>
      <c r="G374" s="13">
        <f t="shared" si="90"/>
        <v>0</v>
      </c>
      <c r="H374" s="13">
        <f t="shared" si="91"/>
        <v>0</v>
      </c>
      <c r="I374" s="70">
        <f t="shared" si="92"/>
        <v>0</v>
      </c>
      <c r="J374" s="70">
        <f t="shared" si="93"/>
        <v>0</v>
      </c>
      <c r="K374" s="82" t="str">
        <f>_xlfn.IFNA(VLOOKUP(CLEAN(SUBSTITUTE(C374," ","")),Ref_Factory!$A:$B,2,FALSE),CLEAN(SUBSTITUTE(C374," ","")))</f>
        <v>CNJ2</v>
      </c>
      <c r="L374" s="82" t="str">
        <f t="shared" si="94"/>
        <v>MARCH-4-CNJ2</v>
      </c>
      <c r="M374" s="70">
        <f t="shared" si="95"/>
        <v>0</v>
      </c>
      <c r="N374" s="70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25">
      <c r="A375" t="s">
        <v>37</v>
      </c>
      <c r="B375" s="63">
        <v>4</v>
      </c>
      <c r="C375" t="s">
        <v>10</v>
      </c>
      <c r="D375" s="65">
        <v>50</v>
      </c>
      <c r="E375" s="65">
        <v>50</v>
      </c>
      <c r="F375" s="65">
        <v>50</v>
      </c>
      <c r="G375" s="13">
        <f t="shared" si="90"/>
        <v>0</v>
      </c>
      <c r="H375" s="13">
        <f t="shared" si="91"/>
        <v>0</v>
      </c>
      <c r="I375" s="70">
        <f t="shared" si="92"/>
        <v>0</v>
      </c>
      <c r="J375" s="70">
        <f t="shared" si="93"/>
        <v>0</v>
      </c>
      <c r="K375" s="82" t="str">
        <f>_xlfn.IFNA(VLOOKUP(CLEAN(SUBSTITUTE(C375," ","")),Ref_Factory!$A:$B,2,FALSE),CLEAN(SUBSTITUTE(C375," ","")))</f>
        <v>CNJ2</v>
      </c>
      <c r="L375" s="82" t="str">
        <f t="shared" si="94"/>
        <v>MARCH-4-CNJ2</v>
      </c>
      <c r="M375" s="70">
        <f t="shared" si="95"/>
        <v>0</v>
      </c>
      <c r="N375" s="70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25">
      <c r="A376" t="s">
        <v>37</v>
      </c>
      <c r="B376" s="63">
        <v>4</v>
      </c>
      <c r="C376" t="s">
        <v>10</v>
      </c>
      <c r="D376" s="65">
        <v>2795</v>
      </c>
      <c r="E376" s="65">
        <v>2795</v>
      </c>
      <c r="F376" s="65">
        <v>2795</v>
      </c>
      <c r="G376" s="13">
        <f t="shared" si="90"/>
        <v>0</v>
      </c>
      <c r="H376" s="13">
        <f t="shared" si="91"/>
        <v>0</v>
      </c>
      <c r="I376" s="70">
        <f t="shared" si="92"/>
        <v>0</v>
      </c>
      <c r="J376" s="70">
        <f t="shared" si="93"/>
        <v>0</v>
      </c>
      <c r="K376" s="82" t="str">
        <f>_xlfn.IFNA(VLOOKUP(CLEAN(SUBSTITUTE(C376," ","")),Ref_Factory!$A:$B,2,FALSE),CLEAN(SUBSTITUTE(C376," ","")))</f>
        <v>CNJ2</v>
      </c>
      <c r="L376" s="82" t="str">
        <f t="shared" si="94"/>
        <v>MARCH-4-CNJ2</v>
      </c>
      <c r="M376" s="70">
        <f t="shared" si="95"/>
        <v>0</v>
      </c>
      <c r="N376" s="70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25">
      <c r="A377" t="s">
        <v>37</v>
      </c>
      <c r="B377" s="63">
        <v>4</v>
      </c>
      <c r="C377" t="s">
        <v>11</v>
      </c>
      <c r="D377" s="65">
        <v>3360</v>
      </c>
      <c r="E377" s="65">
        <v>3400</v>
      </c>
      <c r="F377" s="65">
        <v>3381</v>
      </c>
      <c r="G377" s="13">
        <f t="shared" si="90"/>
        <v>-19</v>
      </c>
      <c r="H377" s="13">
        <f t="shared" si="91"/>
        <v>21</v>
      </c>
      <c r="I377" s="70">
        <f t="shared" si="92"/>
        <v>6.2500000000000888E-3</v>
      </c>
      <c r="J377" s="70">
        <f t="shared" si="93"/>
        <v>-5.5882352941176716E-3</v>
      </c>
      <c r="K377" s="82" t="str">
        <f>_xlfn.IFNA(VLOOKUP(CLEAN(SUBSTITUTE(C377," ","")),Ref_Factory!$A:$B,2,FALSE),CLEAN(SUBSTITUTE(C377," ","")))</f>
        <v>GM1</v>
      </c>
      <c r="L377" s="82" t="str">
        <f t="shared" si="94"/>
        <v>MARCH-4-GM1</v>
      </c>
      <c r="M377" s="70">
        <f t="shared" si="95"/>
        <v>3.8020544270544354E-2</v>
      </c>
      <c r="N377" s="70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25">
      <c r="A378" t="s">
        <v>37</v>
      </c>
      <c r="B378" s="63">
        <v>4</v>
      </c>
      <c r="C378" t="s">
        <v>11</v>
      </c>
      <c r="D378" s="65">
        <v>2700</v>
      </c>
      <c r="E378" s="65">
        <v>2729</v>
      </c>
      <c r="F378" s="65">
        <v>2720</v>
      </c>
      <c r="G378" s="13">
        <f t="shared" si="90"/>
        <v>-9</v>
      </c>
      <c r="H378" s="13">
        <f t="shared" si="91"/>
        <v>20</v>
      </c>
      <c r="I378" s="70">
        <f t="shared" si="92"/>
        <v>7.4074074074073071E-3</v>
      </c>
      <c r="J378" s="70">
        <f t="shared" si="93"/>
        <v>-3.2979113228288615E-3</v>
      </c>
      <c r="K378" s="82" t="str">
        <f>_xlfn.IFNA(VLOOKUP(CLEAN(SUBSTITUTE(C378," ","")),Ref_Factory!$A:$B,2,FALSE),CLEAN(SUBSTITUTE(C378," ","")))</f>
        <v>GM1</v>
      </c>
      <c r="L378" s="82" t="str">
        <f t="shared" si="94"/>
        <v>MARCH-4-GM1</v>
      </c>
      <c r="M378" s="70">
        <f t="shared" si="95"/>
        <v>3.8020544270544354E-2</v>
      </c>
      <c r="N378" s="70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25">
      <c r="A379" t="s">
        <v>37</v>
      </c>
      <c r="B379" s="63">
        <v>4</v>
      </c>
      <c r="C379" t="s">
        <v>11</v>
      </c>
      <c r="D379" s="65">
        <v>1100</v>
      </c>
      <c r="E379" s="65">
        <v>1114</v>
      </c>
      <c r="F379" s="65">
        <v>1104</v>
      </c>
      <c r="G379" s="13">
        <f t="shared" si="90"/>
        <v>-10</v>
      </c>
      <c r="H379" s="13">
        <f t="shared" si="91"/>
        <v>4</v>
      </c>
      <c r="I379" s="70">
        <f t="shared" si="92"/>
        <v>3.6363636363636598E-3</v>
      </c>
      <c r="J379" s="70">
        <f t="shared" si="93"/>
        <v>-8.9766606822262451E-3</v>
      </c>
      <c r="K379" s="82" t="str">
        <f>_xlfn.IFNA(VLOOKUP(CLEAN(SUBSTITUTE(C379," ","")),Ref_Factory!$A:$B,2,FALSE),CLEAN(SUBSTITUTE(C379," ","")))</f>
        <v>GM1</v>
      </c>
      <c r="L379" s="82" t="str">
        <f t="shared" si="94"/>
        <v>MARCH-4-GM1</v>
      </c>
      <c r="M379" s="70">
        <f t="shared" si="95"/>
        <v>3.8020544270544354E-2</v>
      </c>
      <c r="N379" s="70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25">
      <c r="A380" t="s">
        <v>37</v>
      </c>
      <c r="B380" s="63">
        <v>4</v>
      </c>
      <c r="C380" t="s">
        <v>11</v>
      </c>
      <c r="D380" s="65">
        <v>2800</v>
      </c>
      <c r="E380" s="65">
        <v>2833</v>
      </c>
      <c r="F380" s="65">
        <v>2813</v>
      </c>
      <c r="G380" s="13">
        <f t="shared" si="90"/>
        <v>-20</v>
      </c>
      <c r="H380" s="13">
        <f t="shared" si="91"/>
        <v>13</v>
      </c>
      <c r="I380" s="70">
        <f t="shared" si="92"/>
        <v>4.6428571428571708E-3</v>
      </c>
      <c r="J380" s="70">
        <f t="shared" si="93"/>
        <v>-7.0596540769501948E-3</v>
      </c>
      <c r="K380" s="82" t="str">
        <f>_xlfn.IFNA(VLOOKUP(CLEAN(SUBSTITUTE(C380," ","")),Ref_Factory!$A:$B,2,FALSE),CLEAN(SUBSTITUTE(C380," ","")))</f>
        <v>GM1</v>
      </c>
      <c r="L380" s="82" t="str">
        <f t="shared" si="94"/>
        <v>MARCH-4-GM1</v>
      </c>
      <c r="M380" s="70">
        <f t="shared" si="95"/>
        <v>3.8020544270544354E-2</v>
      </c>
      <c r="N380" s="70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25">
      <c r="A381" t="s">
        <v>37</v>
      </c>
      <c r="B381" s="63">
        <v>4</v>
      </c>
      <c r="C381" t="s">
        <v>11</v>
      </c>
      <c r="D381" s="65">
        <v>2860</v>
      </c>
      <c r="E381" s="65">
        <v>2893</v>
      </c>
      <c r="F381" s="65">
        <v>2906</v>
      </c>
      <c r="G381" s="13">
        <f t="shared" si="90"/>
        <v>13</v>
      </c>
      <c r="H381" s="13">
        <f t="shared" si="91"/>
        <v>46</v>
      </c>
      <c r="I381" s="70">
        <f t="shared" si="92"/>
        <v>1.6083916083916128E-2</v>
      </c>
      <c r="J381" s="70">
        <f t="shared" si="93"/>
        <v>4.4936052540616167E-3</v>
      </c>
      <c r="K381" s="82" t="str">
        <f>_xlfn.IFNA(VLOOKUP(CLEAN(SUBSTITUTE(C381," ","")),Ref_Factory!$A:$B,2,FALSE),CLEAN(SUBSTITUTE(C381," ","")))</f>
        <v>GM1</v>
      </c>
      <c r="L381" s="82" t="str">
        <f t="shared" si="94"/>
        <v>MARCH-4-GM1</v>
      </c>
      <c r="M381" s="70">
        <f t="shared" si="95"/>
        <v>3.8020544270544354E-2</v>
      </c>
      <c r="N381" s="70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25">
      <c r="A382" t="s">
        <v>38</v>
      </c>
      <c r="B382" s="63">
        <v>1</v>
      </c>
      <c r="C382" t="s">
        <v>10</v>
      </c>
      <c r="D382" s="66">
        <v>3000</v>
      </c>
      <c r="E382" s="67">
        <v>3069</v>
      </c>
      <c r="F382" s="66">
        <v>3000</v>
      </c>
      <c r="G382" s="13">
        <f t="shared" si="90"/>
        <v>-69</v>
      </c>
      <c r="H382" s="13">
        <f t="shared" si="91"/>
        <v>0</v>
      </c>
      <c r="I382" s="70">
        <f t="shared" si="92"/>
        <v>0</v>
      </c>
      <c r="J382" s="70">
        <f t="shared" si="93"/>
        <v>-2.2482893450635366E-2</v>
      </c>
      <c r="K382" s="82" t="str">
        <f>_xlfn.IFNA(VLOOKUP(CLEAN(SUBSTITUTE(C382," ","")),Ref_Factory!$A:$B,2,FALSE),CLEAN(SUBSTITUTE(C382," ","")))</f>
        <v>CNJ2</v>
      </c>
      <c r="L382" s="82" t="str">
        <f t="shared" si="94"/>
        <v>APRIL-1-CNJ2</v>
      </c>
      <c r="M382" s="70">
        <f t="shared" si="95"/>
        <v>-7.8988941548230329E-5</v>
      </c>
      <c r="N382" s="70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25">
      <c r="A383" t="s">
        <v>38</v>
      </c>
      <c r="B383" s="63">
        <v>1</v>
      </c>
      <c r="C383" t="s">
        <v>11</v>
      </c>
      <c r="D383" s="66">
        <v>160</v>
      </c>
      <c r="E383" s="67">
        <v>162</v>
      </c>
      <c r="F383" s="66">
        <v>160</v>
      </c>
      <c r="G383" s="13">
        <f t="shared" si="90"/>
        <v>-2</v>
      </c>
      <c r="H383" s="13">
        <f t="shared" si="91"/>
        <v>0</v>
      </c>
      <c r="I383" s="70">
        <f t="shared" si="92"/>
        <v>0</v>
      </c>
      <c r="J383" s="70">
        <f t="shared" si="93"/>
        <v>-1.2345679012345734E-2</v>
      </c>
      <c r="K383" s="82" t="str">
        <f>_xlfn.IFNA(VLOOKUP(CLEAN(SUBSTITUTE(C383," ","")),Ref_Factory!$A:$B,2,FALSE),CLEAN(SUBSTITUTE(C383," ","")))</f>
        <v>GM1</v>
      </c>
      <c r="L383" s="82" t="str">
        <f t="shared" si="94"/>
        <v>APRIL-1-GM1</v>
      </c>
      <c r="M383" s="70">
        <f t="shared" si="95"/>
        <v>5.7323408126441766E-4</v>
      </c>
      <c r="N383" s="70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25">
      <c r="A384" t="s">
        <v>38</v>
      </c>
      <c r="B384" s="63">
        <v>1</v>
      </c>
      <c r="C384" t="s">
        <v>11</v>
      </c>
      <c r="D384" s="66">
        <v>40</v>
      </c>
      <c r="E384" s="67">
        <v>40</v>
      </c>
      <c r="F384" s="66">
        <v>40</v>
      </c>
      <c r="G384" s="13">
        <f t="shared" si="90"/>
        <v>0</v>
      </c>
      <c r="H384" s="13">
        <f t="shared" si="91"/>
        <v>0</v>
      </c>
      <c r="I384" s="70">
        <f t="shared" si="92"/>
        <v>0</v>
      </c>
      <c r="J384" s="70">
        <f t="shared" si="93"/>
        <v>0</v>
      </c>
      <c r="K384" s="82" t="str">
        <f>_xlfn.IFNA(VLOOKUP(CLEAN(SUBSTITUTE(C384," ","")),Ref_Factory!$A:$B,2,FALSE),CLEAN(SUBSTITUTE(C384," ","")))</f>
        <v>GM1</v>
      </c>
      <c r="L384" s="82" t="str">
        <f t="shared" si="94"/>
        <v>APRIL-1-GM1</v>
      </c>
      <c r="M384" s="70">
        <f t="shared" si="95"/>
        <v>5.7323408126441766E-4</v>
      </c>
      <c r="N384" s="70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25">
      <c r="A385" t="s">
        <v>38</v>
      </c>
      <c r="B385" s="63">
        <v>1</v>
      </c>
      <c r="C385" t="s">
        <v>11</v>
      </c>
      <c r="D385">
        <v>550</v>
      </c>
      <c r="E385" s="67">
        <v>554</v>
      </c>
      <c r="F385">
        <v>550</v>
      </c>
      <c r="G385" s="13">
        <f t="shared" si="90"/>
        <v>-4</v>
      </c>
      <c r="H385" s="13">
        <f t="shared" si="91"/>
        <v>0</v>
      </c>
      <c r="I385" s="70">
        <f t="shared" si="92"/>
        <v>0</v>
      </c>
      <c r="J385" s="70">
        <f t="shared" si="93"/>
        <v>-7.2202166064981865E-3</v>
      </c>
      <c r="K385" s="82" t="str">
        <f>_xlfn.IFNA(VLOOKUP(CLEAN(SUBSTITUTE(C385," ","")),Ref_Factory!$A:$B,2,FALSE),CLEAN(SUBSTITUTE(C385," ","")))</f>
        <v>GM1</v>
      </c>
      <c r="L385" s="82" t="str">
        <f t="shared" si="94"/>
        <v>APRIL-1-GM1</v>
      </c>
      <c r="M385" s="70">
        <f t="shared" si="95"/>
        <v>5.7323408126441766E-4</v>
      </c>
      <c r="N385" s="70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25">
      <c r="A386" t="s">
        <v>38</v>
      </c>
      <c r="B386" s="63">
        <v>1</v>
      </c>
      <c r="C386" t="s">
        <v>11</v>
      </c>
      <c r="D386" s="65">
        <v>340</v>
      </c>
      <c r="E386" s="67">
        <v>342</v>
      </c>
      <c r="F386" s="65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70">
        <f t="shared" ref="I386:I449" si="110">F386/D386-1</f>
        <v>0</v>
      </c>
      <c r="J386" s="70">
        <f t="shared" ref="J386:J449" si="111">F386/E386-1</f>
        <v>-5.8479532163743242E-3</v>
      </c>
      <c r="K386" s="82" t="str">
        <f>_xlfn.IFNA(VLOOKUP(CLEAN(SUBSTITUTE(C386," ","")),Ref_Factory!$A:$B,2,FALSE),CLEAN(SUBSTITUTE(C386," ","")))</f>
        <v>GM1</v>
      </c>
      <c r="L386" s="82" t="str">
        <f t="shared" ref="L386:L449" si="112">A386&amp;"-"&amp;B386&amp;"-"&amp;K386</f>
        <v>APRIL-1-GM1</v>
      </c>
      <c r="M386" s="70">
        <f t="shared" ref="M386:M449" si="113">SUMIF($L$2:$L$1420,L386,$I$2:$I$1420)</f>
        <v>5.7323408126441766E-4</v>
      </c>
      <c r="N386" s="70">
        <f t="shared" ref="N386:N449" si="114">SUMIF($L$2:$L$1420,L386,$J$2:$J$1420)</f>
        <v>-0.25477806202107722</v>
      </c>
      <c r="O386" s="13">
        <f t="shared" ref="O386:O449" si="115">SUMIF($A$2:$A$1420,A386,$D$2:$D$1420)</f>
        <v>874798</v>
      </c>
      <c r="P386" s="13">
        <f t="shared" ref="P386:P449" si="116">SUMIF($A$2:$A$1420,A386,$E$2:$E$1420)</f>
        <v>888509</v>
      </c>
      <c r="Q386" s="13">
        <f t="shared" ref="Q386:Q449" si="117">SUMIF($A$2:$A$1420,A386,$F$2:$F$1420)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SUMIF($T$2:$T$1420,T386,$D$2:$D$1420)</f>
        <v>190967</v>
      </c>
      <c r="V386">
        <f t="shared" ref="V386:V449" si="122">SUMIF($T$2:$T$1420,T386,$E$2:$E$1420)</f>
        <v>194944</v>
      </c>
      <c r="W386">
        <f t="shared" ref="W386:W449" si="123">SUMIF($T$2:$T$1420,T386,$F$2:$F$1420)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25">
      <c r="A387" t="s">
        <v>38</v>
      </c>
      <c r="B387" s="63">
        <v>1</v>
      </c>
      <c r="C387" t="s">
        <v>11</v>
      </c>
      <c r="D387" s="65">
        <v>160</v>
      </c>
      <c r="E387" s="67">
        <v>162</v>
      </c>
      <c r="F387" s="65">
        <v>160</v>
      </c>
      <c r="G387" s="13">
        <f t="shared" si="108"/>
        <v>-2</v>
      </c>
      <c r="H387" s="13">
        <f t="shared" si="109"/>
        <v>0</v>
      </c>
      <c r="I387" s="70">
        <f t="shared" si="110"/>
        <v>0</v>
      </c>
      <c r="J387" s="70">
        <f t="shared" si="111"/>
        <v>-1.2345679012345734E-2</v>
      </c>
      <c r="K387" s="82" t="str">
        <f>_xlfn.IFNA(VLOOKUP(CLEAN(SUBSTITUTE(C387," ","")),Ref_Factory!$A:$B,2,FALSE),CLEAN(SUBSTITUTE(C387," ","")))</f>
        <v>GM1</v>
      </c>
      <c r="L387" s="82" t="str">
        <f t="shared" si="112"/>
        <v>APRIL-1-GM1</v>
      </c>
      <c r="M387" s="70">
        <f t="shared" si="113"/>
        <v>5.7323408126441766E-4</v>
      </c>
      <c r="N387" s="70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25">
      <c r="A388" t="s">
        <v>38</v>
      </c>
      <c r="B388" s="63">
        <v>1</v>
      </c>
      <c r="C388" t="s">
        <v>11</v>
      </c>
      <c r="D388" s="65">
        <v>200</v>
      </c>
      <c r="E388" s="67">
        <v>201</v>
      </c>
      <c r="F388" s="65">
        <v>200</v>
      </c>
      <c r="G388" s="13">
        <f t="shared" si="108"/>
        <v>-1</v>
      </c>
      <c r="H388" s="13">
        <f t="shared" si="109"/>
        <v>0</v>
      </c>
      <c r="I388" s="70">
        <f t="shared" si="110"/>
        <v>0</v>
      </c>
      <c r="J388" s="70">
        <f t="shared" si="111"/>
        <v>-4.9751243781094301E-3</v>
      </c>
      <c r="K388" s="82" t="str">
        <f>_xlfn.IFNA(VLOOKUP(CLEAN(SUBSTITUTE(C388," ","")),Ref_Factory!$A:$B,2,FALSE),CLEAN(SUBSTITUTE(C388," ","")))</f>
        <v>GM1</v>
      </c>
      <c r="L388" s="82" t="str">
        <f t="shared" si="112"/>
        <v>APRIL-1-GM1</v>
      </c>
      <c r="M388" s="70">
        <f t="shared" si="113"/>
        <v>5.7323408126441766E-4</v>
      </c>
      <c r="N388" s="70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25">
      <c r="A389" t="s">
        <v>38</v>
      </c>
      <c r="B389" s="63">
        <v>1</v>
      </c>
      <c r="C389" t="s">
        <v>11</v>
      </c>
      <c r="D389" s="65">
        <v>120</v>
      </c>
      <c r="E389" s="67">
        <v>122</v>
      </c>
      <c r="F389" s="65">
        <v>120</v>
      </c>
      <c r="G389" s="13">
        <f t="shared" si="108"/>
        <v>-2</v>
      </c>
      <c r="H389" s="13">
        <f t="shared" si="109"/>
        <v>0</v>
      </c>
      <c r="I389" s="70">
        <f t="shared" si="110"/>
        <v>0</v>
      </c>
      <c r="J389" s="70">
        <f t="shared" si="111"/>
        <v>-1.6393442622950838E-2</v>
      </c>
      <c r="K389" s="82" t="str">
        <f>_xlfn.IFNA(VLOOKUP(CLEAN(SUBSTITUTE(C389," ","")),Ref_Factory!$A:$B,2,FALSE),CLEAN(SUBSTITUTE(C389," ","")))</f>
        <v>GM1</v>
      </c>
      <c r="L389" s="82" t="str">
        <f t="shared" si="112"/>
        <v>APRIL-1-GM1</v>
      </c>
      <c r="M389" s="70">
        <f t="shared" si="113"/>
        <v>5.7323408126441766E-4</v>
      </c>
      <c r="N389" s="70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25">
      <c r="A390" t="s">
        <v>38</v>
      </c>
      <c r="B390" s="63">
        <v>1</v>
      </c>
      <c r="C390" t="s">
        <v>11</v>
      </c>
      <c r="D390" s="65">
        <v>300</v>
      </c>
      <c r="E390" s="67">
        <v>302</v>
      </c>
      <c r="F390" s="65">
        <v>300</v>
      </c>
      <c r="G390" s="13">
        <f t="shared" si="108"/>
        <v>-2</v>
      </c>
      <c r="H390" s="13">
        <f t="shared" si="109"/>
        <v>0</v>
      </c>
      <c r="I390" s="70">
        <f t="shared" si="110"/>
        <v>0</v>
      </c>
      <c r="J390" s="70">
        <f t="shared" si="111"/>
        <v>-6.6225165562914245E-3</v>
      </c>
      <c r="K390" s="82" t="str">
        <f>_xlfn.IFNA(VLOOKUP(CLEAN(SUBSTITUTE(C390," ","")),Ref_Factory!$A:$B,2,FALSE),CLEAN(SUBSTITUTE(C390," ","")))</f>
        <v>GM1</v>
      </c>
      <c r="L390" s="82" t="str">
        <f t="shared" si="112"/>
        <v>APRIL-1-GM1</v>
      </c>
      <c r="M390" s="70">
        <f t="shared" si="113"/>
        <v>5.7323408126441766E-4</v>
      </c>
      <c r="N390" s="70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25">
      <c r="A391" t="s">
        <v>38</v>
      </c>
      <c r="B391" s="63">
        <v>1</v>
      </c>
      <c r="C391" t="s">
        <v>11</v>
      </c>
      <c r="D391" s="65">
        <v>90</v>
      </c>
      <c r="E391" s="67">
        <v>90</v>
      </c>
      <c r="F391" s="65">
        <v>90</v>
      </c>
      <c r="G391" s="13">
        <f t="shared" si="108"/>
        <v>0</v>
      </c>
      <c r="H391" s="13">
        <f t="shared" si="109"/>
        <v>0</v>
      </c>
      <c r="I391" s="70">
        <f t="shared" si="110"/>
        <v>0</v>
      </c>
      <c r="J391" s="70">
        <f t="shared" si="111"/>
        <v>0</v>
      </c>
      <c r="K391" s="82" t="str">
        <f>_xlfn.IFNA(VLOOKUP(CLEAN(SUBSTITUTE(C391," ","")),Ref_Factory!$A:$B,2,FALSE),CLEAN(SUBSTITUTE(C391," ","")))</f>
        <v>GM1</v>
      </c>
      <c r="L391" s="82" t="str">
        <f t="shared" si="112"/>
        <v>APRIL-1-GM1</v>
      </c>
      <c r="M391" s="70">
        <f t="shared" si="113"/>
        <v>5.7323408126441766E-4</v>
      </c>
      <c r="N391" s="70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25">
      <c r="A392" t="s">
        <v>38</v>
      </c>
      <c r="B392" s="63">
        <v>1</v>
      </c>
      <c r="C392" t="s">
        <v>11</v>
      </c>
      <c r="D392" s="65">
        <v>10</v>
      </c>
      <c r="E392" s="67">
        <v>10</v>
      </c>
      <c r="F392" s="65">
        <v>10</v>
      </c>
      <c r="G392" s="13">
        <f t="shared" si="108"/>
        <v>0</v>
      </c>
      <c r="H392" s="13">
        <f t="shared" si="109"/>
        <v>0</v>
      </c>
      <c r="I392" s="70">
        <f t="shared" si="110"/>
        <v>0</v>
      </c>
      <c r="J392" s="70">
        <f t="shared" si="111"/>
        <v>0</v>
      </c>
      <c r="K392" s="82" t="str">
        <f>_xlfn.IFNA(VLOOKUP(CLEAN(SUBSTITUTE(C392," ","")),Ref_Factory!$A:$B,2,FALSE),CLEAN(SUBSTITUTE(C392," ","")))</f>
        <v>GM1</v>
      </c>
      <c r="L392" s="82" t="str">
        <f t="shared" si="112"/>
        <v>APRIL-1-GM1</v>
      </c>
      <c r="M392" s="70">
        <f t="shared" si="113"/>
        <v>5.7323408126441766E-4</v>
      </c>
      <c r="N392" s="70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25">
      <c r="A393" t="s">
        <v>38</v>
      </c>
      <c r="B393" s="63">
        <v>1</v>
      </c>
      <c r="C393" t="s">
        <v>13</v>
      </c>
      <c r="D393" s="66">
        <v>6696</v>
      </c>
      <c r="E393" s="67">
        <v>6900</v>
      </c>
      <c r="F393" s="66">
        <v>6873</v>
      </c>
      <c r="G393" s="13">
        <f t="shared" si="108"/>
        <v>-27</v>
      </c>
      <c r="H393" s="13">
        <f t="shared" si="109"/>
        <v>177</v>
      </c>
      <c r="I393" s="70">
        <f t="shared" si="110"/>
        <v>2.6433691756272415E-2</v>
      </c>
      <c r="J393" s="70">
        <f t="shared" si="111"/>
        <v>-3.9130434782608248E-3</v>
      </c>
      <c r="K393" s="82" t="str">
        <f>_xlfn.IFNA(VLOOKUP(CLEAN(SUBSTITUTE(C393," ","")),Ref_Factory!$A:$B,2,FALSE),CLEAN(SUBSTITUTE(C393," ","")))</f>
        <v>KALIBENDA</v>
      </c>
      <c r="L393" s="82" t="str">
        <f t="shared" si="112"/>
        <v>APRIL-1-KALIBENDA</v>
      </c>
      <c r="M393" s="70">
        <f t="shared" si="113"/>
        <v>2.3794767576752363E-2</v>
      </c>
      <c r="N393" s="70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25">
      <c r="A394" t="s">
        <v>38</v>
      </c>
      <c r="B394" s="63">
        <v>1</v>
      </c>
      <c r="C394" t="s">
        <v>13</v>
      </c>
      <c r="D394" s="66">
        <v>18468</v>
      </c>
      <c r="E394" s="67">
        <v>19023</v>
      </c>
      <c r="F394" s="66">
        <v>18948</v>
      </c>
      <c r="G394" s="13">
        <f t="shared" si="108"/>
        <v>-75</v>
      </c>
      <c r="H394" s="13">
        <f t="shared" si="109"/>
        <v>480</v>
      </c>
      <c r="I394" s="70">
        <f t="shared" si="110"/>
        <v>2.5990903183885639E-2</v>
      </c>
      <c r="J394" s="70">
        <f t="shared" si="111"/>
        <v>-3.942595805078053E-3</v>
      </c>
      <c r="K394" s="82" t="str">
        <f>_xlfn.IFNA(VLOOKUP(CLEAN(SUBSTITUTE(C394," ","")),Ref_Factory!$A:$B,2,FALSE),CLEAN(SUBSTITUTE(C394," ","")))</f>
        <v>KALIBENDA</v>
      </c>
      <c r="L394" s="82" t="str">
        <f t="shared" si="112"/>
        <v>APRIL-1-KALIBENDA</v>
      </c>
      <c r="M394" s="70">
        <f t="shared" si="113"/>
        <v>2.3794767576752363E-2</v>
      </c>
      <c r="N394" s="70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25">
      <c r="A395" t="s">
        <v>38</v>
      </c>
      <c r="B395" s="63">
        <v>1</v>
      </c>
      <c r="C395" t="s">
        <v>11</v>
      </c>
      <c r="D395" s="66">
        <v>14472</v>
      </c>
      <c r="E395" s="67">
        <v>14767</v>
      </c>
      <c r="F395" s="65">
        <v>14646</v>
      </c>
      <c r="G395" s="13">
        <f t="shared" si="108"/>
        <v>-121</v>
      </c>
      <c r="H395" s="13">
        <f t="shared" si="109"/>
        <v>174</v>
      </c>
      <c r="I395" s="70">
        <f t="shared" si="110"/>
        <v>1.2023217247097762E-2</v>
      </c>
      <c r="J395" s="70">
        <f t="shared" si="111"/>
        <v>-8.1939459605877563E-3</v>
      </c>
      <c r="K395" s="82" t="str">
        <f>_xlfn.IFNA(VLOOKUP(CLEAN(SUBSTITUTE(C395," ","")),Ref_Factory!$A:$B,2,FALSE),CLEAN(SUBSTITUTE(C395," ","")))</f>
        <v>GM1</v>
      </c>
      <c r="L395" s="82" t="str">
        <f t="shared" si="112"/>
        <v>APRIL-1-GM1</v>
      </c>
      <c r="M395" s="70">
        <f t="shared" si="113"/>
        <v>5.7323408126441766E-4</v>
      </c>
      <c r="N395" s="70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25">
      <c r="A396" t="s">
        <v>38</v>
      </c>
      <c r="B396" s="63">
        <v>1</v>
      </c>
      <c r="C396" t="s">
        <v>14</v>
      </c>
      <c r="D396" s="66">
        <v>38016</v>
      </c>
      <c r="E396" s="67">
        <v>38790</v>
      </c>
      <c r="F396" s="66">
        <v>38622</v>
      </c>
      <c r="G396" s="13">
        <f t="shared" si="108"/>
        <v>-168</v>
      </c>
      <c r="H396" s="13">
        <f t="shared" si="109"/>
        <v>606</v>
      </c>
      <c r="I396" s="70">
        <f t="shared" si="110"/>
        <v>1.5940656565656575E-2</v>
      </c>
      <c r="J396" s="70">
        <f t="shared" si="111"/>
        <v>-4.3310131477184433E-3</v>
      </c>
      <c r="K396" s="82" t="str">
        <f>_xlfn.IFNA(VLOOKUP(CLEAN(SUBSTITUTE(C396," ","")),Ref_Factory!$A:$B,2,FALSE),CLEAN(SUBSTITUTE(C396," ","")))</f>
        <v>GM2</v>
      </c>
      <c r="L396" s="82" t="str">
        <f t="shared" si="112"/>
        <v>APRIL-1-GM2</v>
      </c>
      <c r="M396" s="70">
        <f t="shared" si="113"/>
        <v>0.18219947353420785</v>
      </c>
      <c r="N396" s="70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25">
      <c r="A397" t="s">
        <v>38</v>
      </c>
      <c r="B397" s="63">
        <v>1</v>
      </c>
      <c r="C397" t="s">
        <v>14</v>
      </c>
      <c r="D397" s="66">
        <v>1404</v>
      </c>
      <c r="E397" s="67">
        <v>1438</v>
      </c>
      <c r="F397" s="66">
        <v>1425</v>
      </c>
      <c r="G397" s="13">
        <f t="shared" si="108"/>
        <v>-13</v>
      </c>
      <c r="H397" s="13">
        <f t="shared" si="109"/>
        <v>21</v>
      </c>
      <c r="I397" s="70">
        <f t="shared" si="110"/>
        <v>1.4957264957264904E-2</v>
      </c>
      <c r="J397" s="70">
        <f t="shared" si="111"/>
        <v>-9.0403337969402475E-3</v>
      </c>
      <c r="K397" s="82" t="str">
        <f>_xlfn.IFNA(VLOOKUP(CLEAN(SUBSTITUTE(C397," ","")),Ref_Factory!$A:$B,2,FALSE),CLEAN(SUBSTITUTE(C397," ","")))</f>
        <v>GM2</v>
      </c>
      <c r="L397" s="82" t="str">
        <f t="shared" si="112"/>
        <v>APRIL-1-GM2</v>
      </c>
      <c r="M397" s="70">
        <f t="shared" si="113"/>
        <v>0.18219947353420785</v>
      </c>
      <c r="N397" s="70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25">
      <c r="A398" t="s">
        <v>38</v>
      </c>
      <c r="B398" s="63">
        <v>1</v>
      </c>
      <c r="C398" t="s">
        <v>11</v>
      </c>
      <c r="D398" s="66">
        <v>15552</v>
      </c>
      <c r="E398" s="67">
        <v>15864</v>
      </c>
      <c r="F398" s="65">
        <v>15684</v>
      </c>
      <c r="G398" s="13">
        <f t="shared" si="108"/>
        <v>-180</v>
      </c>
      <c r="H398" s="13">
        <f t="shared" si="109"/>
        <v>132</v>
      </c>
      <c r="I398" s="70">
        <f t="shared" si="110"/>
        <v>8.4876543209877475E-3</v>
      </c>
      <c r="J398" s="70">
        <f t="shared" si="111"/>
        <v>-1.1346444780635401E-2</v>
      </c>
      <c r="K398" s="82" t="str">
        <f>_xlfn.IFNA(VLOOKUP(CLEAN(SUBSTITUTE(C398," ","")),Ref_Factory!$A:$B,2,FALSE),CLEAN(SUBSTITUTE(C398," ","")))</f>
        <v>GM1</v>
      </c>
      <c r="L398" s="82" t="str">
        <f t="shared" si="112"/>
        <v>APRIL-1-GM1</v>
      </c>
      <c r="M398" s="70">
        <f t="shared" si="113"/>
        <v>5.7323408126441766E-4</v>
      </c>
      <c r="N398" s="70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25">
      <c r="A399" t="s">
        <v>38</v>
      </c>
      <c r="B399" s="63">
        <v>1</v>
      </c>
      <c r="C399" t="s">
        <v>11</v>
      </c>
      <c r="D399" s="66">
        <v>1296</v>
      </c>
      <c r="E399" s="67">
        <v>1323</v>
      </c>
      <c r="F399" s="65">
        <v>1314</v>
      </c>
      <c r="G399" s="13">
        <f t="shared" si="108"/>
        <v>-9</v>
      </c>
      <c r="H399" s="13">
        <f t="shared" si="109"/>
        <v>18</v>
      </c>
      <c r="I399" s="70">
        <f t="shared" si="110"/>
        <v>1.388888888888884E-2</v>
      </c>
      <c r="J399" s="70">
        <f t="shared" si="111"/>
        <v>-6.8027210884353817E-3</v>
      </c>
      <c r="K399" s="82" t="str">
        <f>_xlfn.IFNA(VLOOKUP(CLEAN(SUBSTITUTE(C399," ","")),Ref_Factory!$A:$B,2,FALSE),CLEAN(SUBSTITUTE(C399," ","")))</f>
        <v>GM1</v>
      </c>
      <c r="L399" s="82" t="str">
        <f t="shared" si="112"/>
        <v>APRIL-1-GM1</v>
      </c>
      <c r="M399" s="70">
        <f t="shared" si="113"/>
        <v>5.7323408126441766E-4</v>
      </c>
      <c r="N399" s="70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25">
      <c r="A400" t="s">
        <v>38</v>
      </c>
      <c r="B400" s="63">
        <v>1</v>
      </c>
      <c r="C400" t="s">
        <v>14</v>
      </c>
      <c r="D400" s="66">
        <v>35964</v>
      </c>
      <c r="E400" s="67">
        <v>36710</v>
      </c>
      <c r="F400" s="66">
        <v>36477</v>
      </c>
      <c r="G400" s="13">
        <f t="shared" si="108"/>
        <v>-233</v>
      </c>
      <c r="H400" s="13">
        <f t="shared" si="109"/>
        <v>513</v>
      </c>
      <c r="I400" s="70">
        <f t="shared" si="110"/>
        <v>1.4264264264264304E-2</v>
      </c>
      <c r="J400" s="70">
        <f t="shared" si="111"/>
        <v>-6.3470444020702343E-3</v>
      </c>
      <c r="K400" s="82" t="str">
        <f>_xlfn.IFNA(VLOOKUP(CLEAN(SUBSTITUTE(C400," ","")),Ref_Factory!$A:$B,2,FALSE),CLEAN(SUBSTITUTE(C400," ","")))</f>
        <v>GM2</v>
      </c>
      <c r="L400" s="82" t="str">
        <f t="shared" si="112"/>
        <v>APRIL-1-GM2</v>
      </c>
      <c r="M400" s="70">
        <f t="shared" si="113"/>
        <v>0.18219947353420785</v>
      </c>
      <c r="N400" s="70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25">
      <c r="A401" t="s">
        <v>38</v>
      </c>
      <c r="B401" s="63">
        <v>1</v>
      </c>
      <c r="C401" t="s">
        <v>14</v>
      </c>
      <c r="D401" s="66">
        <v>2592</v>
      </c>
      <c r="E401" s="67">
        <v>2664</v>
      </c>
      <c r="F401" s="66">
        <v>2646</v>
      </c>
      <c r="G401" s="13">
        <f t="shared" si="108"/>
        <v>-18</v>
      </c>
      <c r="H401" s="13">
        <f t="shared" si="109"/>
        <v>54</v>
      </c>
      <c r="I401" s="70">
        <f t="shared" si="110"/>
        <v>2.0833333333333259E-2</v>
      </c>
      <c r="J401" s="70">
        <f t="shared" si="111"/>
        <v>-6.7567567567567988E-3</v>
      </c>
      <c r="K401" s="82" t="str">
        <f>_xlfn.IFNA(VLOOKUP(CLEAN(SUBSTITUTE(C401," ","")),Ref_Factory!$A:$B,2,FALSE),CLEAN(SUBSTITUTE(C401," ","")))</f>
        <v>GM2</v>
      </c>
      <c r="L401" s="82" t="str">
        <f t="shared" si="112"/>
        <v>APRIL-1-GM2</v>
      </c>
      <c r="M401" s="70">
        <f t="shared" si="113"/>
        <v>0.18219947353420785</v>
      </c>
      <c r="N401" s="70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25">
      <c r="A402" t="s">
        <v>38</v>
      </c>
      <c r="B402" s="63">
        <v>1</v>
      </c>
      <c r="C402" t="s">
        <v>14</v>
      </c>
      <c r="D402" s="66">
        <v>7128</v>
      </c>
      <c r="E402" s="67">
        <v>7309</v>
      </c>
      <c r="F402" s="66">
        <v>7242</v>
      </c>
      <c r="G402" s="13">
        <f t="shared" si="108"/>
        <v>-67</v>
      </c>
      <c r="H402" s="13">
        <f t="shared" si="109"/>
        <v>114</v>
      </c>
      <c r="I402" s="70">
        <f t="shared" si="110"/>
        <v>1.5993265993266004E-2</v>
      </c>
      <c r="J402" s="70">
        <f t="shared" si="111"/>
        <v>-9.1667806813517938E-3</v>
      </c>
      <c r="K402" s="82" t="str">
        <f>_xlfn.IFNA(VLOOKUP(CLEAN(SUBSTITUTE(C402," ","")),Ref_Factory!$A:$B,2,FALSE),CLEAN(SUBSTITUTE(C402," ","")))</f>
        <v>GM2</v>
      </c>
      <c r="L402" s="82" t="str">
        <f t="shared" si="112"/>
        <v>APRIL-1-GM2</v>
      </c>
      <c r="M402" s="70">
        <f t="shared" si="113"/>
        <v>0.18219947353420785</v>
      </c>
      <c r="N402" s="70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25">
      <c r="A403" t="s">
        <v>38</v>
      </c>
      <c r="B403" s="63">
        <v>1</v>
      </c>
      <c r="C403" t="s">
        <v>14</v>
      </c>
      <c r="D403" s="66">
        <v>2052</v>
      </c>
      <c r="E403" s="67">
        <v>2094</v>
      </c>
      <c r="F403" s="66">
        <v>2082</v>
      </c>
      <c r="G403" s="13">
        <f t="shared" si="108"/>
        <v>-12</v>
      </c>
      <c r="H403" s="13">
        <f t="shared" si="109"/>
        <v>30</v>
      </c>
      <c r="I403" s="70">
        <f t="shared" si="110"/>
        <v>1.4619883040935644E-2</v>
      </c>
      <c r="J403" s="70">
        <f t="shared" si="111"/>
        <v>-5.7306590257879542E-3</v>
      </c>
      <c r="K403" s="82" t="str">
        <f>_xlfn.IFNA(VLOOKUP(CLEAN(SUBSTITUTE(C403," ","")),Ref_Factory!$A:$B,2,FALSE),CLEAN(SUBSTITUTE(C403," ","")))</f>
        <v>GM2</v>
      </c>
      <c r="L403" s="82" t="str">
        <f t="shared" si="112"/>
        <v>APRIL-1-GM2</v>
      </c>
      <c r="M403" s="70">
        <f t="shared" si="113"/>
        <v>0.18219947353420785</v>
      </c>
      <c r="N403" s="70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25">
      <c r="A404" t="s">
        <v>38</v>
      </c>
      <c r="B404" s="63">
        <v>1</v>
      </c>
      <c r="C404" t="s">
        <v>11</v>
      </c>
      <c r="D404" s="66">
        <v>9180</v>
      </c>
      <c r="E404" s="67">
        <v>9364</v>
      </c>
      <c r="F404" s="65">
        <v>9213</v>
      </c>
      <c r="G404" s="13">
        <f t="shared" si="108"/>
        <v>-151</v>
      </c>
      <c r="H404" s="13">
        <f t="shared" si="109"/>
        <v>33</v>
      </c>
      <c r="I404" s="70">
        <f t="shared" si="110"/>
        <v>3.5947712418300526E-3</v>
      </c>
      <c r="J404" s="70">
        <f t="shared" si="111"/>
        <v>-1.6125587355830806E-2</v>
      </c>
      <c r="K404" s="82" t="str">
        <f>_xlfn.IFNA(VLOOKUP(CLEAN(SUBSTITUTE(C404," ","")),Ref_Factory!$A:$B,2,FALSE),CLEAN(SUBSTITUTE(C404," ","")))</f>
        <v>GM1</v>
      </c>
      <c r="L404" s="82" t="str">
        <f t="shared" si="112"/>
        <v>APRIL-1-GM1</v>
      </c>
      <c r="M404" s="70">
        <f t="shared" si="113"/>
        <v>5.7323408126441766E-4</v>
      </c>
      <c r="N404" s="70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25">
      <c r="A405" t="s">
        <v>38</v>
      </c>
      <c r="B405" s="63">
        <v>1</v>
      </c>
      <c r="C405" t="s">
        <v>11</v>
      </c>
      <c r="D405" s="66">
        <v>1944</v>
      </c>
      <c r="E405" s="67">
        <v>1983</v>
      </c>
      <c r="F405" s="65">
        <v>1968</v>
      </c>
      <c r="G405" s="13">
        <f t="shared" si="108"/>
        <v>-15</v>
      </c>
      <c r="H405" s="13">
        <f t="shared" si="109"/>
        <v>24</v>
      </c>
      <c r="I405" s="70">
        <f t="shared" si="110"/>
        <v>1.2345679012345734E-2</v>
      </c>
      <c r="J405" s="70">
        <f t="shared" si="111"/>
        <v>-7.5642965204235635E-3</v>
      </c>
      <c r="K405" s="82" t="str">
        <f>_xlfn.IFNA(VLOOKUP(CLEAN(SUBSTITUTE(C405," ","")),Ref_Factory!$A:$B,2,FALSE),CLEAN(SUBSTITUTE(C405," ","")))</f>
        <v>GM1</v>
      </c>
      <c r="L405" s="82" t="str">
        <f t="shared" si="112"/>
        <v>APRIL-1-GM1</v>
      </c>
      <c r="M405" s="70">
        <f t="shared" si="113"/>
        <v>5.7323408126441766E-4</v>
      </c>
      <c r="N405" s="70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25">
      <c r="A406" t="s">
        <v>38</v>
      </c>
      <c r="B406" s="63">
        <v>1</v>
      </c>
      <c r="C406" t="s">
        <v>11</v>
      </c>
      <c r="D406" s="66">
        <v>22752</v>
      </c>
      <c r="E406" s="67">
        <v>23439</v>
      </c>
      <c r="F406" s="65">
        <v>23140</v>
      </c>
      <c r="G406" s="13">
        <f t="shared" si="108"/>
        <v>-299</v>
      </c>
      <c r="H406" s="13">
        <f t="shared" si="109"/>
        <v>388</v>
      </c>
      <c r="I406" s="70">
        <f t="shared" si="110"/>
        <v>1.7053445850914173E-2</v>
      </c>
      <c r="J406" s="70">
        <f t="shared" si="111"/>
        <v>-1.2756516916250682E-2</v>
      </c>
      <c r="K406" s="82" t="str">
        <f>_xlfn.IFNA(VLOOKUP(CLEAN(SUBSTITUTE(C406," ","")),Ref_Factory!$A:$B,2,FALSE),CLEAN(SUBSTITUTE(C406," ","")))</f>
        <v>GM1</v>
      </c>
      <c r="L406" s="82" t="str">
        <f t="shared" si="112"/>
        <v>APRIL-1-GM1</v>
      </c>
      <c r="M406" s="70">
        <f t="shared" si="113"/>
        <v>5.7323408126441766E-4</v>
      </c>
      <c r="N406" s="70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25">
      <c r="A407" t="s">
        <v>38</v>
      </c>
      <c r="B407" s="63">
        <v>1</v>
      </c>
      <c r="C407" t="s">
        <v>11</v>
      </c>
      <c r="D407" s="66">
        <v>1440</v>
      </c>
      <c r="E407" s="67">
        <v>1488</v>
      </c>
      <c r="F407" s="65">
        <v>1448</v>
      </c>
      <c r="G407" s="13">
        <f t="shared" si="108"/>
        <v>-40</v>
      </c>
      <c r="H407" s="13">
        <f t="shared" si="109"/>
        <v>8</v>
      </c>
      <c r="I407" s="70">
        <f t="shared" si="110"/>
        <v>5.5555555555555358E-3</v>
      </c>
      <c r="J407" s="70">
        <f t="shared" si="111"/>
        <v>-2.6881720430107503E-2</v>
      </c>
      <c r="K407" s="82" t="str">
        <f>_xlfn.IFNA(VLOOKUP(CLEAN(SUBSTITUTE(C407," ","")),Ref_Factory!$A:$B,2,FALSE),CLEAN(SUBSTITUTE(C407," ","")))</f>
        <v>GM1</v>
      </c>
      <c r="L407" s="82" t="str">
        <f t="shared" si="112"/>
        <v>APRIL-1-GM1</v>
      </c>
      <c r="M407" s="70">
        <f t="shared" si="113"/>
        <v>5.7323408126441766E-4</v>
      </c>
      <c r="N407" s="70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25">
      <c r="A408" t="s">
        <v>38</v>
      </c>
      <c r="B408" s="63">
        <v>1</v>
      </c>
      <c r="C408" t="s">
        <v>11</v>
      </c>
      <c r="D408" s="66">
        <v>11088</v>
      </c>
      <c r="E408" s="67">
        <v>11005</v>
      </c>
      <c r="F408" s="65">
        <v>10836</v>
      </c>
      <c r="G408" s="13">
        <f t="shared" si="108"/>
        <v>-169</v>
      </c>
      <c r="H408" s="13">
        <f t="shared" si="109"/>
        <v>-252</v>
      </c>
      <c r="I408" s="70">
        <f t="shared" si="110"/>
        <v>-2.2727272727272707E-2</v>
      </c>
      <c r="J408" s="70">
        <f t="shared" si="111"/>
        <v>-1.5356656065424801E-2</v>
      </c>
      <c r="K408" s="82" t="str">
        <f>_xlfn.IFNA(VLOOKUP(CLEAN(SUBSTITUTE(C408," ","")),Ref_Factory!$A:$B,2,FALSE),CLEAN(SUBSTITUTE(C408," ","")))</f>
        <v>GM1</v>
      </c>
      <c r="L408" s="82" t="str">
        <f t="shared" si="112"/>
        <v>APRIL-1-GM1</v>
      </c>
      <c r="M408" s="70">
        <f t="shared" si="113"/>
        <v>5.7323408126441766E-4</v>
      </c>
      <c r="N408" s="70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25">
      <c r="A409" t="s">
        <v>38</v>
      </c>
      <c r="B409" s="63">
        <v>1</v>
      </c>
      <c r="C409" t="s">
        <v>13</v>
      </c>
      <c r="D409" s="66">
        <v>30024</v>
      </c>
      <c r="E409" s="67">
        <v>30324</v>
      </c>
      <c r="F409" s="66">
        <v>30213</v>
      </c>
      <c r="G409" s="13">
        <f t="shared" si="108"/>
        <v>-111</v>
      </c>
      <c r="H409" s="13">
        <f t="shared" si="109"/>
        <v>189</v>
      </c>
      <c r="I409" s="70">
        <f t="shared" si="110"/>
        <v>6.2949640287770503E-3</v>
      </c>
      <c r="J409" s="70">
        <f t="shared" si="111"/>
        <v>-3.6604669568658377E-3</v>
      </c>
      <c r="K409" s="82" t="str">
        <f>_xlfn.IFNA(VLOOKUP(CLEAN(SUBSTITUTE(C409," ","")),Ref_Factory!$A:$B,2,FALSE),CLEAN(SUBSTITUTE(C409," ","")))</f>
        <v>KALIBENDA</v>
      </c>
      <c r="L409" s="82" t="str">
        <f t="shared" si="112"/>
        <v>APRIL-1-KALIBENDA</v>
      </c>
      <c r="M409" s="70">
        <f t="shared" si="113"/>
        <v>2.3794767576752363E-2</v>
      </c>
      <c r="N409" s="70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25">
      <c r="A410" t="s">
        <v>38</v>
      </c>
      <c r="B410" s="63">
        <v>1</v>
      </c>
      <c r="C410" t="s">
        <v>13</v>
      </c>
      <c r="D410" s="66">
        <v>62100</v>
      </c>
      <c r="E410" s="67">
        <v>62100</v>
      </c>
      <c r="F410" s="66">
        <v>61911</v>
      </c>
      <c r="G410" s="13">
        <f t="shared" si="108"/>
        <v>-189</v>
      </c>
      <c r="H410" s="13">
        <f t="shared" si="109"/>
        <v>-189</v>
      </c>
      <c r="I410" s="70">
        <f t="shared" si="110"/>
        <v>-3.0434782608695921E-3</v>
      </c>
      <c r="J410" s="70">
        <f t="shared" si="111"/>
        <v>-3.0434782608695921E-3</v>
      </c>
      <c r="K410" s="82" t="str">
        <f>_xlfn.IFNA(VLOOKUP(CLEAN(SUBSTITUTE(C410," ","")),Ref_Factory!$A:$B,2,FALSE),CLEAN(SUBSTITUTE(C410," ","")))</f>
        <v>KALIBENDA</v>
      </c>
      <c r="L410" s="82" t="str">
        <f t="shared" si="112"/>
        <v>APRIL-1-KALIBENDA</v>
      </c>
      <c r="M410" s="70">
        <f t="shared" si="113"/>
        <v>2.3794767576752363E-2</v>
      </c>
      <c r="N410" s="70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25">
      <c r="A411" t="s">
        <v>38</v>
      </c>
      <c r="B411" s="63">
        <v>1</v>
      </c>
      <c r="C411" t="s">
        <v>13</v>
      </c>
      <c r="D411" s="66">
        <v>2592</v>
      </c>
      <c r="E411" s="67">
        <v>2592</v>
      </c>
      <c r="F411" s="66">
        <v>2583</v>
      </c>
      <c r="G411" s="13">
        <f t="shared" si="108"/>
        <v>-9</v>
      </c>
      <c r="H411" s="13">
        <f t="shared" si="109"/>
        <v>-9</v>
      </c>
      <c r="I411" s="70">
        <f t="shared" si="110"/>
        <v>-3.4722222222222099E-3</v>
      </c>
      <c r="J411" s="70">
        <f t="shared" si="111"/>
        <v>-3.4722222222222099E-3</v>
      </c>
      <c r="K411" s="82" t="str">
        <f>_xlfn.IFNA(VLOOKUP(CLEAN(SUBSTITUTE(C411," ","")),Ref_Factory!$A:$B,2,FALSE),CLEAN(SUBSTITUTE(C411," ","")))</f>
        <v>KALIBENDA</v>
      </c>
      <c r="L411" s="82" t="str">
        <f t="shared" si="112"/>
        <v>APRIL-1-KALIBENDA</v>
      </c>
      <c r="M411" s="70">
        <f t="shared" si="113"/>
        <v>2.3794767576752363E-2</v>
      </c>
      <c r="N411" s="70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25">
      <c r="A412" t="s">
        <v>38</v>
      </c>
      <c r="B412" s="63">
        <v>1</v>
      </c>
      <c r="C412" t="s">
        <v>11</v>
      </c>
      <c r="D412" s="66">
        <v>2952</v>
      </c>
      <c r="E412" s="67">
        <v>2953</v>
      </c>
      <c r="F412" s="65">
        <v>2952</v>
      </c>
      <c r="G412" s="13">
        <f t="shared" si="108"/>
        <v>-1</v>
      </c>
      <c r="H412" s="13">
        <f t="shared" si="109"/>
        <v>0</v>
      </c>
      <c r="I412" s="70">
        <f t="shared" si="110"/>
        <v>0</v>
      </c>
      <c r="J412" s="70">
        <f t="shared" si="111"/>
        <v>-3.3863867253636215E-4</v>
      </c>
      <c r="K412" s="82" t="str">
        <f>_xlfn.IFNA(VLOOKUP(CLEAN(SUBSTITUTE(C412," ","")),Ref_Factory!$A:$B,2,FALSE),CLEAN(SUBSTITUTE(C412," ","")))</f>
        <v>GM1</v>
      </c>
      <c r="L412" s="82" t="str">
        <f t="shared" si="112"/>
        <v>APRIL-1-GM1</v>
      </c>
      <c r="M412" s="70">
        <f t="shared" si="113"/>
        <v>5.7323408126441766E-4</v>
      </c>
      <c r="N412" s="70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25">
      <c r="A413" t="s">
        <v>38</v>
      </c>
      <c r="B413" s="63">
        <v>1</v>
      </c>
      <c r="C413" t="s">
        <v>11</v>
      </c>
      <c r="D413" s="66">
        <v>6624</v>
      </c>
      <c r="E413" s="67">
        <v>6627</v>
      </c>
      <c r="F413" s="65">
        <v>6624</v>
      </c>
      <c r="G413" s="13">
        <f t="shared" si="108"/>
        <v>-3</v>
      </c>
      <c r="H413" s="13">
        <f t="shared" si="109"/>
        <v>0</v>
      </c>
      <c r="I413" s="70">
        <f t="shared" si="110"/>
        <v>0</v>
      </c>
      <c r="J413" s="70">
        <f t="shared" si="111"/>
        <v>-4.5269352648258376E-4</v>
      </c>
      <c r="K413" s="82" t="str">
        <f>_xlfn.IFNA(VLOOKUP(CLEAN(SUBSTITUTE(C413," ","")),Ref_Factory!$A:$B,2,FALSE),CLEAN(SUBSTITUTE(C413," ","")))</f>
        <v>GM1</v>
      </c>
      <c r="L413" s="82" t="str">
        <f t="shared" si="112"/>
        <v>APRIL-1-GM1</v>
      </c>
      <c r="M413" s="70">
        <f t="shared" si="113"/>
        <v>5.7323408126441766E-4</v>
      </c>
      <c r="N413" s="70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25">
      <c r="A414" t="s">
        <v>38</v>
      </c>
      <c r="B414" s="63">
        <v>1</v>
      </c>
      <c r="C414" t="s">
        <v>11</v>
      </c>
      <c r="D414" s="66">
        <v>11448</v>
      </c>
      <c r="E414" s="67">
        <v>11721</v>
      </c>
      <c r="F414" s="65">
        <v>11550</v>
      </c>
      <c r="G414" s="13">
        <f t="shared" si="108"/>
        <v>-171</v>
      </c>
      <c r="H414" s="13">
        <f t="shared" si="109"/>
        <v>102</v>
      </c>
      <c r="I414" s="70">
        <f t="shared" si="110"/>
        <v>8.9098532494757965E-3</v>
      </c>
      <c r="J414" s="70">
        <f t="shared" si="111"/>
        <v>-1.4589198873816267E-2</v>
      </c>
      <c r="K414" s="82" t="str">
        <f>_xlfn.IFNA(VLOOKUP(CLEAN(SUBSTITUTE(C414," ","")),Ref_Factory!$A:$B,2,FALSE),CLEAN(SUBSTITUTE(C414," ","")))</f>
        <v>GM1</v>
      </c>
      <c r="L414" s="82" t="str">
        <f t="shared" si="112"/>
        <v>APRIL-1-GM1</v>
      </c>
      <c r="M414" s="70">
        <f t="shared" si="113"/>
        <v>5.7323408126441766E-4</v>
      </c>
      <c r="N414" s="70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25">
      <c r="A415" t="s">
        <v>38</v>
      </c>
      <c r="B415" s="63">
        <v>1</v>
      </c>
      <c r="C415" t="s">
        <v>13</v>
      </c>
      <c r="D415" s="66">
        <v>4752</v>
      </c>
      <c r="E415" s="67">
        <v>4632</v>
      </c>
      <c r="F415" s="66">
        <v>4617</v>
      </c>
      <c r="G415" s="13">
        <f t="shared" si="108"/>
        <v>-15</v>
      </c>
      <c r="H415" s="13">
        <f t="shared" si="109"/>
        <v>-135</v>
      </c>
      <c r="I415" s="70">
        <f t="shared" si="110"/>
        <v>-2.8409090909090939E-2</v>
      </c>
      <c r="J415" s="70">
        <f t="shared" si="111"/>
        <v>-3.2383419689119286E-3</v>
      </c>
      <c r="K415" s="82" t="str">
        <f>_xlfn.IFNA(VLOOKUP(CLEAN(SUBSTITUTE(C415," ","")),Ref_Factory!$A:$B,2,FALSE),CLEAN(SUBSTITUTE(C415," ","")))</f>
        <v>KALIBENDA</v>
      </c>
      <c r="L415" s="82" t="str">
        <f t="shared" si="112"/>
        <v>APRIL-1-KALIBENDA</v>
      </c>
      <c r="M415" s="70">
        <f t="shared" si="113"/>
        <v>2.3794767576752363E-2</v>
      </c>
      <c r="N415" s="70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25">
      <c r="A416" t="s">
        <v>38</v>
      </c>
      <c r="B416" s="63">
        <v>1</v>
      </c>
      <c r="C416" t="s">
        <v>11</v>
      </c>
      <c r="D416" s="66">
        <v>3024</v>
      </c>
      <c r="E416" s="67">
        <v>3048</v>
      </c>
      <c r="F416" s="65">
        <v>3024</v>
      </c>
      <c r="G416" s="13">
        <f t="shared" si="108"/>
        <v>-24</v>
      </c>
      <c r="H416" s="13">
        <f t="shared" si="109"/>
        <v>0</v>
      </c>
      <c r="I416" s="70">
        <f t="shared" si="110"/>
        <v>0</v>
      </c>
      <c r="J416" s="70">
        <f t="shared" si="111"/>
        <v>-7.8740157480314821E-3</v>
      </c>
      <c r="K416" s="82" t="str">
        <f>_xlfn.IFNA(VLOOKUP(CLEAN(SUBSTITUTE(C416," ","")),Ref_Factory!$A:$B,2,FALSE),CLEAN(SUBSTITUTE(C416," ","")))</f>
        <v>GM1</v>
      </c>
      <c r="L416" s="82" t="str">
        <f t="shared" si="112"/>
        <v>APRIL-1-GM1</v>
      </c>
      <c r="M416" s="70">
        <f t="shared" si="113"/>
        <v>5.7323408126441766E-4</v>
      </c>
      <c r="N416" s="70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25">
      <c r="A417" t="s">
        <v>38</v>
      </c>
      <c r="B417" s="63">
        <v>1</v>
      </c>
      <c r="C417" t="s">
        <v>14</v>
      </c>
      <c r="D417" s="66">
        <v>37692</v>
      </c>
      <c r="E417" s="67">
        <v>39079</v>
      </c>
      <c r="F417" s="66">
        <v>38625</v>
      </c>
      <c r="G417" s="13">
        <f t="shared" si="108"/>
        <v>-454</v>
      </c>
      <c r="H417" s="13">
        <f t="shared" si="109"/>
        <v>933</v>
      </c>
      <c r="I417" s="70">
        <f t="shared" si="110"/>
        <v>2.475326329194516E-2</v>
      </c>
      <c r="J417" s="70">
        <f t="shared" si="111"/>
        <v>-1.1617492771053506E-2</v>
      </c>
      <c r="K417" s="82" t="str">
        <f>_xlfn.IFNA(VLOOKUP(CLEAN(SUBSTITUTE(C417," ","")),Ref_Factory!$A:$B,2,FALSE),CLEAN(SUBSTITUTE(C417," ","")))</f>
        <v>GM2</v>
      </c>
      <c r="L417" s="82" t="str">
        <f t="shared" si="112"/>
        <v>APRIL-1-GM2</v>
      </c>
      <c r="M417" s="70">
        <f t="shared" si="113"/>
        <v>0.18219947353420785</v>
      </c>
      <c r="N417" s="70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25">
      <c r="A418" t="s">
        <v>38</v>
      </c>
      <c r="B418" s="63">
        <v>1</v>
      </c>
      <c r="C418" t="s">
        <v>14</v>
      </c>
      <c r="D418" s="66">
        <v>1620</v>
      </c>
      <c r="E418" s="67">
        <v>1668</v>
      </c>
      <c r="F418" s="66">
        <v>1656</v>
      </c>
      <c r="G418" s="13">
        <f t="shared" si="108"/>
        <v>-12</v>
      </c>
      <c r="H418" s="13">
        <f t="shared" si="109"/>
        <v>36</v>
      </c>
      <c r="I418" s="70">
        <f t="shared" si="110"/>
        <v>2.2222222222222143E-2</v>
      </c>
      <c r="J418" s="70">
        <f t="shared" si="111"/>
        <v>-7.194244604316502E-3</v>
      </c>
      <c r="K418" s="82" t="str">
        <f>_xlfn.IFNA(VLOOKUP(CLEAN(SUBSTITUTE(C418," ","")),Ref_Factory!$A:$B,2,FALSE),CLEAN(SUBSTITUTE(C418," ","")))</f>
        <v>GM2</v>
      </c>
      <c r="L418" s="82" t="str">
        <f t="shared" si="112"/>
        <v>APRIL-1-GM2</v>
      </c>
      <c r="M418" s="70">
        <f t="shared" si="113"/>
        <v>0.18219947353420785</v>
      </c>
      <c r="N418" s="70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25">
      <c r="A419" t="s">
        <v>38</v>
      </c>
      <c r="B419" s="63">
        <v>1</v>
      </c>
      <c r="C419" t="s">
        <v>14</v>
      </c>
      <c r="D419" s="66">
        <v>7128</v>
      </c>
      <c r="E419" s="67">
        <v>7379</v>
      </c>
      <c r="F419" s="66">
        <v>7257</v>
      </c>
      <c r="G419" s="13">
        <f t="shared" si="108"/>
        <v>-122</v>
      </c>
      <c r="H419" s="13">
        <f t="shared" si="109"/>
        <v>129</v>
      </c>
      <c r="I419" s="70">
        <f t="shared" si="110"/>
        <v>1.8097643097643168E-2</v>
      </c>
      <c r="J419" s="70">
        <f t="shared" si="111"/>
        <v>-1.6533405610516305E-2</v>
      </c>
      <c r="K419" s="82" t="str">
        <f>_xlfn.IFNA(VLOOKUP(CLEAN(SUBSTITUTE(C419," ","")),Ref_Factory!$A:$B,2,FALSE),CLEAN(SUBSTITUTE(C419," ","")))</f>
        <v>GM2</v>
      </c>
      <c r="L419" s="82" t="str">
        <f t="shared" si="112"/>
        <v>APRIL-1-GM2</v>
      </c>
      <c r="M419" s="70">
        <f t="shared" si="113"/>
        <v>0.18219947353420785</v>
      </c>
      <c r="N419" s="70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25">
      <c r="A420" t="s">
        <v>38</v>
      </c>
      <c r="B420" s="63">
        <v>1</v>
      </c>
      <c r="C420" t="s">
        <v>14</v>
      </c>
      <c r="D420" s="66">
        <v>9504</v>
      </c>
      <c r="E420" s="67">
        <v>9791</v>
      </c>
      <c r="F420" s="66">
        <v>9699</v>
      </c>
      <c r="G420" s="13">
        <f t="shared" si="108"/>
        <v>-92</v>
      </c>
      <c r="H420" s="13">
        <f t="shared" si="109"/>
        <v>195</v>
      </c>
      <c r="I420" s="70">
        <f t="shared" si="110"/>
        <v>2.0517676767676685E-2</v>
      </c>
      <c r="J420" s="70">
        <f t="shared" si="111"/>
        <v>-9.3963844346849346E-3</v>
      </c>
      <c r="K420" s="82" t="str">
        <f>_xlfn.IFNA(VLOOKUP(CLEAN(SUBSTITUTE(C420," ","")),Ref_Factory!$A:$B,2,FALSE),CLEAN(SUBSTITUTE(C420," ","")))</f>
        <v>GM2</v>
      </c>
      <c r="L420" s="82" t="str">
        <f t="shared" si="112"/>
        <v>APRIL-1-GM2</v>
      </c>
      <c r="M420" s="70">
        <f t="shared" si="113"/>
        <v>0.18219947353420785</v>
      </c>
      <c r="N420" s="70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25">
      <c r="A421" t="s">
        <v>38</v>
      </c>
      <c r="B421" s="63">
        <v>1</v>
      </c>
      <c r="C421" t="s">
        <v>10</v>
      </c>
      <c r="D421" s="67">
        <v>290</v>
      </c>
      <c r="E421" s="67">
        <v>290</v>
      </c>
      <c r="F421" s="66">
        <v>290</v>
      </c>
      <c r="G421" s="13">
        <f t="shared" si="108"/>
        <v>0</v>
      </c>
      <c r="H421" s="13">
        <f t="shared" si="109"/>
        <v>0</v>
      </c>
      <c r="I421" s="70">
        <f t="shared" si="110"/>
        <v>0</v>
      </c>
      <c r="J421" s="70">
        <f t="shared" si="111"/>
        <v>0</v>
      </c>
      <c r="K421" s="82" t="str">
        <f>_xlfn.IFNA(VLOOKUP(CLEAN(SUBSTITUTE(C421," ","")),Ref_Factory!$A:$B,2,FALSE),CLEAN(SUBSTITUTE(C421," ","")))</f>
        <v>CNJ2</v>
      </c>
      <c r="L421" s="82" t="str">
        <f t="shared" si="112"/>
        <v>APRIL-1-CNJ2</v>
      </c>
      <c r="M421" s="70">
        <f t="shared" si="113"/>
        <v>-7.8988941548230329E-5</v>
      </c>
      <c r="N421" s="70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25">
      <c r="A422" t="s">
        <v>38</v>
      </c>
      <c r="B422" s="63">
        <v>1</v>
      </c>
      <c r="C422" t="s">
        <v>10</v>
      </c>
      <c r="D422" s="67">
        <v>1050</v>
      </c>
      <c r="E422" s="67">
        <v>1050</v>
      </c>
      <c r="F422" s="66">
        <v>1050</v>
      </c>
      <c r="G422" s="13">
        <f t="shared" si="108"/>
        <v>0</v>
      </c>
      <c r="H422" s="13">
        <f t="shared" si="109"/>
        <v>0</v>
      </c>
      <c r="I422" s="70">
        <f t="shared" si="110"/>
        <v>0</v>
      </c>
      <c r="J422" s="70">
        <f t="shared" si="111"/>
        <v>0</v>
      </c>
      <c r="K422" s="82" t="str">
        <f>_xlfn.IFNA(VLOOKUP(CLEAN(SUBSTITUTE(C422," ","")),Ref_Factory!$A:$B,2,FALSE),CLEAN(SUBSTITUTE(C422," ","")))</f>
        <v>CNJ2</v>
      </c>
      <c r="L422" s="82" t="str">
        <f t="shared" si="112"/>
        <v>APRIL-1-CNJ2</v>
      </c>
      <c r="M422" s="70">
        <f t="shared" si="113"/>
        <v>-7.8988941548230329E-5</v>
      </c>
      <c r="N422" s="70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25">
      <c r="A423" t="s">
        <v>38</v>
      </c>
      <c r="B423" s="63">
        <v>1</v>
      </c>
      <c r="C423" t="s">
        <v>10</v>
      </c>
      <c r="D423">
        <v>945</v>
      </c>
      <c r="E423" s="67">
        <v>945</v>
      </c>
      <c r="F423" s="66">
        <v>945</v>
      </c>
      <c r="G423" s="13">
        <f t="shared" si="108"/>
        <v>0</v>
      </c>
      <c r="H423" s="13">
        <f t="shared" si="109"/>
        <v>0</v>
      </c>
      <c r="I423" s="70">
        <f t="shared" si="110"/>
        <v>0</v>
      </c>
      <c r="J423" s="70">
        <f t="shared" si="111"/>
        <v>0</v>
      </c>
      <c r="K423" s="82" t="str">
        <f>_xlfn.IFNA(VLOOKUP(CLEAN(SUBSTITUTE(C423," ","")),Ref_Factory!$A:$B,2,FALSE),CLEAN(SUBSTITUTE(C423," ","")))</f>
        <v>CNJ2</v>
      </c>
      <c r="L423" s="82" t="str">
        <f t="shared" si="112"/>
        <v>APRIL-1-CNJ2</v>
      </c>
      <c r="M423" s="70">
        <f t="shared" si="113"/>
        <v>-7.8988941548230329E-5</v>
      </c>
      <c r="N423" s="70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25">
      <c r="A424" t="s">
        <v>38</v>
      </c>
      <c r="B424" s="63">
        <v>1</v>
      </c>
      <c r="C424" t="s">
        <v>10</v>
      </c>
      <c r="D424">
        <v>1755</v>
      </c>
      <c r="E424" s="67">
        <v>1755</v>
      </c>
      <c r="F424" s="66">
        <v>1755</v>
      </c>
      <c r="G424" s="13">
        <f t="shared" si="108"/>
        <v>0</v>
      </c>
      <c r="H424" s="13">
        <f t="shared" si="109"/>
        <v>0</v>
      </c>
      <c r="I424" s="70">
        <f t="shared" si="110"/>
        <v>0</v>
      </c>
      <c r="J424" s="70">
        <f t="shared" si="111"/>
        <v>0</v>
      </c>
      <c r="K424" s="82" t="str">
        <f>_xlfn.IFNA(VLOOKUP(CLEAN(SUBSTITUTE(C424," ","")),Ref_Factory!$A:$B,2,FALSE),CLEAN(SUBSTITUTE(C424," ","")))</f>
        <v>CNJ2</v>
      </c>
      <c r="L424" s="82" t="str">
        <f t="shared" si="112"/>
        <v>APRIL-1-CNJ2</v>
      </c>
      <c r="M424" s="70">
        <f t="shared" si="113"/>
        <v>-7.8988941548230329E-5</v>
      </c>
      <c r="N424" s="70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25">
      <c r="A425" t="s">
        <v>38</v>
      </c>
      <c r="B425" s="63">
        <v>1</v>
      </c>
      <c r="C425" t="s">
        <v>11</v>
      </c>
      <c r="D425">
        <v>888</v>
      </c>
      <c r="E425" s="67">
        <v>888</v>
      </c>
      <c r="F425" s="63">
        <v>860</v>
      </c>
      <c r="G425" s="13">
        <f t="shared" si="108"/>
        <v>-28</v>
      </c>
      <c r="H425" s="13">
        <f t="shared" si="109"/>
        <v>-28</v>
      </c>
      <c r="I425" s="70">
        <f t="shared" si="110"/>
        <v>-3.1531531531531543E-2</v>
      </c>
      <c r="J425" s="70">
        <f t="shared" si="111"/>
        <v>-3.1531531531531543E-2</v>
      </c>
      <c r="K425" s="82" t="str">
        <f>_xlfn.IFNA(VLOOKUP(CLEAN(SUBSTITUTE(C425," ","")),Ref_Factory!$A:$B,2,FALSE),CLEAN(SUBSTITUTE(C425," ","")))</f>
        <v>GM1</v>
      </c>
      <c r="L425" s="82" t="str">
        <f t="shared" si="112"/>
        <v>APRIL-1-GM1</v>
      </c>
      <c r="M425" s="70">
        <f t="shared" si="113"/>
        <v>5.7323408126441766E-4</v>
      </c>
      <c r="N425" s="70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25">
      <c r="A426" t="s">
        <v>38</v>
      </c>
      <c r="B426" s="63">
        <v>1</v>
      </c>
      <c r="C426" t="s">
        <v>11</v>
      </c>
      <c r="D426">
        <v>888</v>
      </c>
      <c r="E426" s="67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70">
        <f t="shared" si="110"/>
        <v>-2.7027027027026973E-2</v>
      </c>
      <c r="J426" s="70">
        <f t="shared" si="111"/>
        <v>-2.921348314606742E-2</v>
      </c>
      <c r="K426" s="82" t="str">
        <f>_xlfn.IFNA(VLOOKUP(CLEAN(SUBSTITUTE(C426," ","")),Ref_Factory!$A:$B,2,FALSE),CLEAN(SUBSTITUTE(C426," ","")))</f>
        <v>GM1</v>
      </c>
      <c r="L426" s="82" t="str">
        <f t="shared" si="112"/>
        <v>APRIL-1-GM1</v>
      </c>
      <c r="M426" s="70">
        <f t="shared" si="113"/>
        <v>5.7323408126441766E-4</v>
      </c>
      <c r="N426" s="70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25">
      <c r="A427" t="s">
        <v>38</v>
      </c>
      <c r="B427" s="63">
        <v>1</v>
      </c>
      <c r="C427" t="s">
        <v>16</v>
      </c>
      <c r="D427" s="67">
        <v>116000</v>
      </c>
      <c r="E427" s="67">
        <v>114736</v>
      </c>
      <c r="F427" s="66">
        <v>113923</v>
      </c>
      <c r="G427" s="13">
        <f t="shared" si="108"/>
        <v>-813</v>
      </c>
      <c r="H427" s="13">
        <f t="shared" si="109"/>
        <v>-2077</v>
      </c>
      <c r="I427" s="70">
        <f t="shared" si="110"/>
        <v>-1.790517241379308E-2</v>
      </c>
      <c r="J427" s="70">
        <f t="shared" si="111"/>
        <v>-7.0858318226189043E-3</v>
      </c>
      <c r="K427" s="82" t="str">
        <f>_xlfn.IFNA(VLOOKUP(CLEAN(SUBSTITUTE(C427," ","")),Ref_Factory!$A:$B,2,FALSE),CLEAN(SUBSTITUTE(C427," ","")))</f>
        <v>ANUGERAH</v>
      </c>
      <c r="L427" s="82" t="str">
        <f t="shared" si="112"/>
        <v>APRIL-1-ANUGERAH</v>
      </c>
      <c r="M427" s="70">
        <f t="shared" si="113"/>
        <v>-1.790517241379308E-2</v>
      </c>
      <c r="N427" s="70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25">
      <c r="A428" t="s">
        <v>38</v>
      </c>
      <c r="B428" s="63">
        <v>1</v>
      </c>
      <c r="C428" t="s">
        <v>10</v>
      </c>
      <c r="D428" s="66">
        <v>12660</v>
      </c>
      <c r="E428" s="67">
        <v>12660</v>
      </c>
      <c r="F428" s="66">
        <v>12659</v>
      </c>
      <c r="G428" s="13">
        <f t="shared" si="108"/>
        <v>-1</v>
      </c>
      <c r="H428" s="13">
        <f t="shared" si="109"/>
        <v>-1</v>
      </c>
      <c r="I428" s="70">
        <f t="shared" si="110"/>
        <v>-7.8988941548230329E-5</v>
      </c>
      <c r="J428" s="70">
        <f t="shared" si="111"/>
        <v>-7.8988941548230329E-5</v>
      </c>
      <c r="K428" s="82" t="str">
        <f>_xlfn.IFNA(VLOOKUP(CLEAN(SUBSTITUTE(C428," ","")),Ref_Factory!$A:$B,2,FALSE),CLEAN(SUBSTITUTE(C428," ","")))</f>
        <v>CNJ2</v>
      </c>
      <c r="L428" s="82" t="str">
        <f t="shared" si="112"/>
        <v>APRIL-1-CNJ2</v>
      </c>
      <c r="M428" s="70">
        <f t="shared" si="113"/>
        <v>-7.8988941548230329E-5</v>
      </c>
      <c r="N428" s="70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25">
      <c r="A429" t="s">
        <v>38</v>
      </c>
      <c r="B429" s="63">
        <v>3</v>
      </c>
      <c r="C429" t="s">
        <v>68</v>
      </c>
      <c r="D429">
        <v>32</v>
      </c>
      <c r="E429" s="66">
        <v>32</v>
      </c>
      <c r="F429" s="66">
        <v>32</v>
      </c>
      <c r="G429" s="13">
        <f t="shared" si="108"/>
        <v>0</v>
      </c>
      <c r="H429" s="13">
        <f t="shared" si="109"/>
        <v>0</v>
      </c>
      <c r="I429" s="70">
        <f t="shared" si="110"/>
        <v>0</v>
      </c>
      <c r="J429" s="70">
        <f t="shared" si="111"/>
        <v>0</v>
      </c>
      <c r="K429" s="82" t="str">
        <f>_xlfn.IFNA(VLOOKUP(CLEAN(SUBSTITUTE(C429," ","")),Ref_Factory!$A:$B,2,FALSE),CLEAN(SUBSTITUTE(C429," ","")))</f>
        <v>CLN</v>
      </c>
      <c r="L429" s="82" t="str">
        <f t="shared" si="112"/>
        <v>APRIL-3-CLN</v>
      </c>
      <c r="M429" s="70">
        <f t="shared" si="113"/>
        <v>0</v>
      </c>
      <c r="N429" s="70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25">
      <c r="A430" t="s">
        <v>38</v>
      </c>
      <c r="B430" s="63">
        <v>3</v>
      </c>
      <c r="C430" t="s">
        <v>68</v>
      </c>
      <c r="D430">
        <v>32</v>
      </c>
      <c r="E430" s="66">
        <v>32</v>
      </c>
      <c r="F430" s="66">
        <v>32</v>
      </c>
      <c r="G430" s="13">
        <f t="shared" si="108"/>
        <v>0</v>
      </c>
      <c r="H430" s="13">
        <f t="shared" si="109"/>
        <v>0</v>
      </c>
      <c r="I430" s="70">
        <f t="shared" si="110"/>
        <v>0</v>
      </c>
      <c r="J430" s="70">
        <f t="shared" si="111"/>
        <v>0</v>
      </c>
      <c r="K430" s="82" t="str">
        <f>_xlfn.IFNA(VLOOKUP(CLEAN(SUBSTITUTE(C430," ","")),Ref_Factory!$A:$B,2,FALSE),CLEAN(SUBSTITUTE(C430," ","")))</f>
        <v>CLN</v>
      </c>
      <c r="L430" s="82" t="str">
        <f t="shared" si="112"/>
        <v>APRIL-3-CLN</v>
      </c>
      <c r="M430" s="70">
        <f t="shared" si="113"/>
        <v>0</v>
      </c>
      <c r="N430" s="70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25">
      <c r="A431" t="s">
        <v>38</v>
      </c>
      <c r="B431" s="63">
        <v>3</v>
      </c>
      <c r="C431" t="s">
        <v>16</v>
      </c>
      <c r="D431">
        <v>600</v>
      </c>
      <c r="E431" s="66">
        <v>608</v>
      </c>
      <c r="F431" s="66">
        <v>600</v>
      </c>
      <c r="G431" s="13">
        <f t="shared" si="108"/>
        <v>-8</v>
      </c>
      <c r="H431" s="13">
        <f t="shared" si="109"/>
        <v>0</v>
      </c>
      <c r="I431" s="70">
        <f t="shared" si="110"/>
        <v>0</v>
      </c>
      <c r="J431" s="70">
        <f t="shared" si="111"/>
        <v>-1.3157894736842146E-2</v>
      </c>
      <c r="K431" s="82" t="str">
        <f>_xlfn.IFNA(VLOOKUP(CLEAN(SUBSTITUTE(C431," ","")),Ref_Factory!$A:$B,2,FALSE),CLEAN(SUBSTITUTE(C431," ","")))</f>
        <v>ANUGERAH</v>
      </c>
      <c r="L431" s="82" t="str">
        <f t="shared" si="112"/>
        <v>APRIL-3-ANUGERAH</v>
      </c>
      <c r="M431" s="70">
        <f t="shared" si="113"/>
        <v>4.4999999999999929E-2</v>
      </c>
      <c r="N431" s="70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25">
      <c r="A432" t="s">
        <v>38</v>
      </c>
      <c r="B432" s="63">
        <v>3</v>
      </c>
      <c r="C432" t="s">
        <v>16</v>
      </c>
      <c r="D432">
        <v>400</v>
      </c>
      <c r="E432" s="66">
        <v>437</v>
      </c>
      <c r="F432" s="66">
        <v>418</v>
      </c>
      <c r="G432" s="13">
        <f t="shared" si="108"/>
        <v>-19</v>
      </c>
      <c r="H432" s="13">
        <f t="shared" si="109"/>
        <v>18</v>
      </c>
      <c r="I432" s="70">
        <f t="shared" si="110"/>
        <v>4.4999999999999929E-2</v>
      </c>
      <c r="J432" s="70">
        <f t="shared" si="111"/>
        <v>-4.3478260869565188E-2</v>
      </c>
      <c r="K432" s="82" t="str">
        <f>_xlfn.IFNA(VLOOKUP(CLEAN(SUBSTITUTE(C432," ","")),Ref_Factory!$A:$B,2,FALSE),CLEAN(SUBSTITUTE(C432," ","")))</f>
        <v>ANUGERAH</v>
      </c>
      <c r="L432" s="82" t="str">
        <f t="shared" si="112"/>
        <v>APRIL-3-ANUGERAH</v>
      </c>
      <c r="M432" s="70">
        <f t="shared" si="113"/>
        <v>4.4999999999999929E-2</v>
      </c>
      <c r="N432" s="70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25">
      <c r="A433" t="s">
        <v>38</v>
      </c>
      <c r="B433" s="63">
        <v>3</v>
      </c>
      <c r="C433" t="s">
        <v>16</v>
      </c>
      <c r="D433">
        <v>600</v>
      </c>
      <c r="E433" s="66">
        <v>605</v>
      </c>
      <c r="F433" s="66">
        <v>600</v>
      </c>
      <c r="G433" s="13">
        <f t="shared" si="108"/>
        <v>-5</v>
      </c>
      <c r="H433" s="13">
        <f t="shared" si="109"/>
        <v>0</v>
      </c>
      <c r="I433" s="70">
        <f t="shared" si="110"/>
        <v>0</v>
      </c>
      <c r="J433" s="70">
        <f t="shared" si="111"/>
        <v>-8.2644628099173278E-3</v>
      </c>
      <c r="K433" s="82" t="str">
        <f>_xlfn.IFNA(VLOOKUP(CLEAN(SUBSTITUTE(C433," ","")),Ref_Factory!$A:$B,2,FALSE),CLEAN(SUBSTITUTE(C433," ","")))</f>
        <v>ANUGERAH</v>
      </c>
      <c r="L433" s="82" t="str">
        <f t="shared" si="112"/>
        <v>APRIL-3-ANUGERAH</v>
      </c>
      <c r="M433" s="70">
        <f t="shared" si="113"/>
        <v>4.4999999999999929E-2</v>
      </c>
      <c r="N433" s="70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25">
      <c r="A434" t="s">
        <v>38</v>
      </c>
      <c r="B434" s="63">
        <v>3</v>
      </c>
      <c r="C434" t="s">
        <v>16</v>
      </c>
      <c r="D434">
        <v>400</v>
      </c>
      <c r="E434" s="66">
        <v>435</v>
      </c>
      <c r="F434" s="66">
        <v>420</v>
      </c>
      <c r="G434" s="13">
        <f t="shared" si="108"/>
        <v>-15</v>
      </c>
      <c r="H434" s="13">
        <f t="shared" si="109"/>
        <v>20</v>
      </c>
      <c r="I434" s="70">
        <f t="shared" si="110"/>
        <v>5.0000000000000044E-2</v>
      </c>
      <c r="J434" s="70">
        <f t="shared" si="111"/>
        <v>-3.4482758620689613E-2</v>
      </c>
      <c r="K434" s="82" t="str">
        <f>_xlfn.IFNA(VLOOKUP(CLEAN(SUBSTITUTE(C434," ","")),Ref_Factory!$A:$B,2,FALSE),CLEAN(SUBSTITUTE(C434," ","")))</f>
        <v>ANUGERAH</v>
      </c>
      <c r="L434" s="82" t="str">
        <f t="shared" si="112"/>
        <v>APRIL-3-ANUGERAH</v>
      </c>
      <c r="M434" s="70">
        <f t="shared" si="113"/>
        <v>4.4999999999999929E-2</v>
      </c>
      <c r="N434" s="70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25">
      <c r="A435" t="s">
        <v>38</v>
      </c>
      <c r="B435" s="63">
        <v>3</v>
      </c>
      <c r="C435" t="s">
        <v>16</v>
      </c>
      <c r="D435">
        <v>600</v>
      </c>
      <c r="E435" s="66">
        <v>609</v>
      </c>
      <c r="F435" s="66">
        <v>600</v>
      </c>
      <c r="G435" s="13">
        <f t="shared" si="108"/>
        <v>-9</v>
      </c>
      <c r="H435" s="13">
        <f t="shared" si="109"/>
        <v>0</v>
      </c>
      <c r="I435" s="70">
        <f t="shared" si="110"/>
        <v>0</v>
      </c>
      <c r="J435" s="70">
        <f t="shared" si="111"/>
        <v>-1.4778325123152691E-2</v>
      </c>
      <c r="K435" s="82" t="str">
        <f>_xlfn.IFNA(VLOOKUP(CLEAN(SUBSTITUTE(C435," ","")),Ref_Factory!$A:$B,2,FALSE),CLEAN(SUBSTITUTE(C435," ","")))</f>
        <v>ANUGERAH</v>
      </c>
      <c r="L435" s="82" t="str">
        <f t="shared" si="112"/>
        <v>APRIL-3-ANUGERAH</v>
      </c>
      <c r="M435" s="70">
        <f t="shared" si="113"/>
        <v>4.4999999999999929E-2</v>
      </c>
      <c r="N435" s="70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25">
      <c r="A436" t="s">
        <v>38</v>
      </c>
      <c r="B436" s="63">
        <v>3</v>
      </c>
      <c r="C436" t="s">
        <v>16</v>
      </c>
      <c r="D436">
        <v>400</v>
      </c>
      <c r="E436" s="66">
        <v>376</v>
      </c>
      <c r="F436" s="66">
        <v>363</v>
      </c>
      <c r="G436" s="13">
        <f t="shared" si="108"/>
        <v>-13</v>
      </c>
      <c r="H436" s="13">
        <f t="shared" si="109"/>
        <v>-37</v>
      </c>
      <c r="I436" s="70">
        <f t="shared" si="110"/>
        <v>-9.2500000000000027E-2</v>
      </c>
      <c r="J436" s="70">
        <f t="shared" si="111"/>
        <v>-3.4574468085106336E-2</v>
      </c>
      <c r="K436" s="82" t="str">
        <f>_xlfn.IFNA(VLOOKUP(CLEAN(SUBSTITUTE(C436," ","")),Ref_Factory!$A:$B,2,FALSE),CLEAN(SUBSTITUTE(C436," ","")))</f>
        <v>ANUGERAH</v>
      </c>
      <c r="L436" s="82" t="str">
        <f t="shared" si="112"/>
        <v>APRIL-3-ANUGERAH</v>
      </c>
      <c r="M436" s="70">
        <f t="shared" si="113"/>
        <v>4.4999999999999929E-2</v>
      </c>
      <c r="N436" s="70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25">
      <c r="A437" t="s">
        <v>38</v>
      </c>
      <c r="B437" s="63">
        <v>3</v>
      </c>
      <c r="C437" t="s">
        <v>16</v>
      </c>
      <c r="D437">
        <v>600</v>
      </c>
      <c r="E437" s="66">
        <v>607</v>
      </c>
      <c r="F437" s="66">
        <v>600</v>
      </c>
      <c r="G437" s="13">
        <f t="shared" si="108"/>
        <v>-7</v>
      </c>
      <c r="H437" s="13">
        <f t="shared" si="109"/>
        <v>0</v>
      </c>
      <c r="I437" s="70">
        <f t="shared" si="110"/>
        <v>0</v>
      </c>
      <c r="J437" s="70">
        <f t="shared" si="111"/>
        <v>-1.1532125205930832E-2</v>
      </c>
      <c r="K437" s="82" t="str">
        <f>_xlfn.IFNA(VLOOKUP(CLEAN(SUBSTITUTE(C437," ","")),Ref_Factory!$A:$B,2,FALSE),CLEAN(SUBSTITUTE(C437," ","")))</f>
        <v>ANUGERAH</v>
      </c>
      <c r="L437" s="82" t="str">
        <f t="shared" si="112"/>
        <v>APRIL-3-ANUGERAH</v>
      </c>
      <c r="M437" s="70">
        <f t="shared" si="113"/>
        <v>4.4999999999999929E-2</v>
      </c>
      <c r="N437" s="70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25">
      <c r="A438" t="s">
        <v>38</v>
      </c>
      <c r="B438" s="63">
        <v>3</v>
      </c>
      <c r="C438" t="s">
        <v>16</v>
      </c>
      <c r="D438">
        <v>400</v>
      </c>
      <c r="E438" s="66">
        <v>427</v>
      </c>
      <c r="F438" s="66">
        <v>417</v>
      </c>
      <c r="G438" s="13">
        <f t="shared" si="108"/>
        <v>-10</v>
      </c>
      <c r="H438" s="13">
        <f t="shared" si="109"/>
        <v>17</v>
      </c>
      <c r="I438" s="70">
        <f t="shared" si="110"/>
        <v>4.2499999999999982E-2</v>
      </c>
      <c r="J438" s="70">
        <f t="shared" si="111"/>
        <v>-2.3419203747072626E-2</v>
      </c>
      <c r="K438" s="82" t="str">
        <f>_xlfn.IFNA(VLOOKUP(CLEAN(SUBSTITUTE(C438," ","")),Ref_Factory!$A:$B,2,FALSE),CLEAN(SUBSTITUTE(C438," ","")))</f>
        <v>ANUGERAH</v>
      </c>
      <c r="L438" s="82" t="str">
        <f t="shared" si="112"/>
        <v>APRIL-3-ANUGERAH</v>
      </c>
      <c r="M438" s="70">
        <f t="shared" si="113"/>
        <v>4.4999999999999929E-2</v>
      </c>
      <c r="N438" s="70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25">
      <c r="A439" t="s">
        <v>38</v>
      </c>
      <c r="B439" s="63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70">
        <f t="shared" si="110"/>
        <v>0</v>
      </c>
      <c r="J439" s="70">
        <f t="shared" si="111"/>
        <v>-9.9009900990099098E-3</v>
      </c>
      <c r="K439" s="82" t="str">
        <f>_xlfn.IFNA(VLOOKUP(CLEAN(SUBSTITUTE(C439," ","")),Ref_Factory!$A:$B,2,FALSE),CLEAN(SUBSTITUTE(C439," ","")))</f>
        <v>GM1</v>
      </c>
      <c r="L439" s="82" t="str">
        <f t="shared" si="112"/>
        <v>APRIL-3-GM1</v>
      </c>
      <c r="M439" s="70">
        <f t="shared" si="113"/>
        <v>-6.7708333333333259E-2</v>
      </c>
      <c r="N439" s="70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25">
      <c r="A440" t="s">
        <v>38</v>
      </c>
      <c r="B440" s="63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70">
        <f t="shared" si="110"/>
        <v>0</v>
      </c>
      <c r="J440" s="70">
        <f t="shared" si="111"/>
        <v>0</v>
      </c>
      <c r="K440" s="82" t="str">
        <f>_xlfn.IFNA(VLOOKUP(CLEAN(SUBSTITUTE(C440," ","")),Ref_Factory!$A:$B,2,FALSE),CLEAN(SUBSTITUTE(C440," ","")))</f>
        <v>GM1</v>
      </c>
      <c r="L440" s="82" t="str">
        <f t="shared" si="112"/>
        <v>APRIL-3-GM1</v>
      </c>
      <c r="M440" s="70">
        <f t="shared" si="113"/>
        <v>-6.7708333333333259E-2</v>
      </c>
      <c r="N440" s="70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25">
      <c r="A441" t="s">
        <v>38</v>
      </c>
      <c r="B441" s="63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70">
        <f t="shared" si="110"/>
        <v>0</v>
      </c>
      <c r="J441" s="70">
        <f t="shared" si="111"/>
        <v>-7.0921985815602939E-3</v>
      </c>
      <c r="K441" s="82" t="str">
        <f>_xlfn.IFNA(VLOOKUP(CLEAN(SUBSTITUTE(C441," ","")),Ref_Factory!$A:$B,2,FALSE),CLEAN(SUBSTITUTE(C441," ","")))</f>
        <v>GM1</v>
      </c>
      <c r="L441" s="82" t="str">
        <f t="shared" si="112"/>
        <v>APRIL-3-GM1</v>
      </c>
      <c r="M441" s="70">
        <f t="shared" si="113"/>
        <v>-6.7708333333333259E-2</v>
      </c>
      <c r="N441" s="70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25">
      <c r="A442" t="s">
        <v>38</v>
      </c>
      <c r="B442" s="63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70">
        <f t="shared" si="110"/>
        <v>0</v>
      </c>
      <c r="J442" s="70">
        <f t="shared" si="111"/>
        <v>-2.777777777777779E-2</v>
      </c>
      <c r="K442" s="82" t="str">
        <f>_xlfn.IFNA(VLOOKUP(CLEAN(SUBSTITUTE(C442," ","")),Ref_Factory!$A:$B,2,FALSE),CLEAN(SUBSTITUTE(C442," ","")))</f>
        <v>GM1</v>
      </c>
      <c r="L442" s="82" t="str">
        <f t="shared" si="112"/>
        <v>APRIL-3-GM1</v>
      </c>
      <c r="M442" s="70">
        <f t="shared" si="113"/>
        <v>-6.7708333333333259E-2</v>
      </c>
      <c r="N442" s="70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25">
      <c r="A443" t="s">
        <v>38</v>
      </c>
      <c r="B443" s="63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70">
        <f t="shared" si="110"/>
        <v>-2.604166666666663E-2</v>
      </c>
      <c r="J443" s="70">
        <f t="shared" si="111"/>
        <v>-2.604166666666663E-2</v>
      </c>
      <c r="K443" s="82" t="str">
        <f>_xlfn.IFNA(VLOOKUP(CLEAN(SUBSTITUTE(C443," ","")),Ref_Factory!$A:$B,2,FALSE),CLEAN(SUBSTITUTE(C443," ","")))</f>
        <v>GM1</v>
      </c>
      <c r="L443" s="82" t="str">
        <f t="shared" si="112"/>
        <v>APRIL-3-GM1</v>
      </c>
      <c r="M443" s="70">
        <f t="shared" si="113"/>
        <v>-6.7708333333333259E-2</v>
      </c>
      <c r="N443" s="70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25">
      <c r="A444" t="s">
        <v>38</v>
      </c>
      <c r="B444" s="63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70">
        <f t="shared" si="110"/>
        <v>-4.166666666666663E-2</v>
      </c>
      <c r="J444" s="70">
        <f t="shared" si="111"/>
        <v>-2.4390243902439046E-2</v>
      </c>
      <c r="K444" s="82" t="str">
        <f>_xlfn.IFNA(VLOOKUP(CLEAN(SUBSTITUTE(C444," ","")),Ref_Factory!$A:$B,2,FALSE),CLEAN(SUBSTITUTE(C444," ","")))</f>
        <v>GM1</v>
      </c>
      <c r="L444" s="82" t="str">
        <f t="shared" si="112"/>
        <v>APRIL-3-GM1</v>
      </c>
      <c r="M444" s="70">
        <f t="shared" si="113"/>
        <v>-6.7708333333333259E-2</v>
      </c>
      <c r="N444" s="70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25">
      <c r="A445" t="s">
        <v>38</v>
      </c>
      <c r="B445" s="63">
        <v>4</v>
      </c>
      <c r="C445" t="s">
        <v>15</v>
      </c>
      <c r="D445" s="67">
        <v>531</v>
      </c>
      <c r="E445" s="66">
        <v>489</v>
      </c>
      <c r="F445" s="66">
        <v>462</v>
      </c>
      <c r="G445" s="13">
        <f t="shared" si="108"/>
        <v>-27</v>
      </c>
      <c r="H445" s="13">
        <f t="shared" si="109"/>
        <v>-69</v>
      </c>
      <c r="I445" s="70">
        <f t="shared" si="110"/>
        <v>-0.12994350282485878</v>
      </c>
      <c r="J445" s="70">
        <f t="shared" si="111"/>
        <v>-5.5214723926380382E-2</v>
      </c>
      <c r="K445" s="82" t="str">
        <f>_xlfn.IFNA(VLOOKUP(CLEAN(SUBSTITUTE(C445," ","")),Ref_Factory!$A:$B,2,FALSE),CLEAN(SUBSTITUTE(C445," ","")))</f>
        <v>CHAWAN</v>
      </c>
      <c r="L445" s="82" t="str">
        <f t="shared" si="112"/>
        <v>APRIL-4-CHAWAN</v>
      </c>
      <c r="M445" s="70">
        <f t="shared" si="113"/>
        <v>-0.3277355740222696</v>
      </c>
      <c r="N445" s="70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25">
      <c r="A446" t="s">
        <v>38</v>
      </c>
      <c r="B446" s="63">
        <v>4</v>
      </c>
      <c r="C446" t="s">
        <v>15</v>
      </c>
      <c r="D446" s="67">
        <v>1000</v>
      </c>
      <c r="E446" s="66">
        <v>815</v>
      </c>
      <c r="F446" s="66">
        <v>801</v>
      </c>
      <c r="G446" s="13">
        <f t="shared" si="108"/>
        <v>-14</v>
      </c>
      <c r="H446" s="13">
        <f t="shared" si="109"/>
        <v>-199</v>
      </c>
      <c r="I446" s="70">
        <f t="shared" si="110"/>
        <v>-0.19899999999999995</v>
      </c>
      <c r="J446" s="70">
        <f t="shared" si="111"/>
        <v>-1.717791411042946E-2</v>
      </c>
      <c r="K446" s="82" t="str">
        <f>_xlfn.IFNA(VLOOKUP(CLEAN(SUBSTITUTE(C446," ","")),Ref_Factory!$A:$B,2,FALSE),CLEAN(SUBSTITUTE(C446," ","")))</f>
        <v>CHAWAN</v>
      </c>
      <c r="L446" s="82" t="str">
        <f t="shared" si="112"/>
        <v>APRIL-4-CHAWAN</v>
      </c>
      <c r="M446" s="70">
        <f t="shared" si="113"/>
        <v>-0.3277355740222696</v>
      </c>
      <c r="N446" s="70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25">
      <c r="A447" t="s">
        <v>38</v>
      </c>
      <c r="B447" s="63">
        <v>4</v>
      </c>
      <c r="C447" t="s">
        <v>15</v>
      </c>
      <c r="D447" s="67">
        <v>1236</v>
      </c>
      <c r="E447" s="66">
        <v>1237</v>
      </c>
      <c r="F447" s="66">
        <v>1224</v>
      </c>
      <c r="G447" s="13">
        <f t="shared" si="108"/>
        <v>-13</v>
      </c>
      <c r="H447" s="13">
        <f t="shared" si="109"/>
        <v>-12</v>
      </c>
      <c r="I447" s="70">
        <f t="shared" si="110"/>
        <v>-9.7087378640776656E-3</v>
      </c>
      <c r="J447" s="70">
        <f t="shared" si="111"/>
        <v>-1.0509296685529468E-2</v>
      </c>
      <c r="K447" s="82" t="str">
        <f>_xlfn.IFNA(VLOOKUP(CLEAN(SUBSTITUTE(C447," ","")),Ref_Factory!$A:$B,2,FALSE),CLEAN(SUBSTITUTE(C447," ","")))</f>
        <v>CHAWAN</v>
      </c>
      <c r="L447" s="82" t="str">
        <f t="shared" si="112"/>
        <v>APRIL-4-CHAWAN</v>
      </c>
      <c r="M447" s="70">
        <f t="shared" si="113"/>
        <v>-0.3277355740222696</v>
      </c>
      <c r="N447" s="70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25">
      <c r="A448" t="s">
        <v>38</v>
      </c>
      <c r="B448" s="63">
        <v>4</v>
      </c>
      <c r="C448" t="s">
        <v>15</v>
      </c>
      <c r="D448" s="66">
        <v>2000</v>
      </c>
      <c r="E448" s="66">
        <v>2100</v>
      </c>
      <c r="F448" s="66">
        <v>2051</v>
      </c>
      <c r="G448" s="13">
        <f t="shared" si="108"/>
        <v>-49</v>
      </c>
      <c r="H448" s="13">
        <f t="shared" si="109"/>
        <v>51</v>
      </c>
      <c r="I448" s="70">
        <f t="shared" si="110"/>
        <v>2.5500000000000078E-2</v>
      </c>
      <c r="J448" s="70">
        <f t="shared" si="111"/>
        <v>-2.3333333333333317E-2</v>
      </c>
      <c r="K448" s="82" t="str">
        <f>_xlfn.IFNA(VLOOKUP(CLEAN(SUBSTITUTE(C448," ","")),Ref_Factory!$A:$B,2,FALSE),CLEAN(SUBSTITUTE(C448," ","")))</f>
        <v>CHAWAN</v>
      </c>
      <c r="L448" s="82" t="str">
        <f t="shared" si="112"/>
        <v>APRIL-4-CHAWAN</v>
      </c>
      <c r="M448" s="70">
        <f t="shared" si="113"/>
        <v>-0.3277355740222696</v>
      </c>
      <c r="N448" s="70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25">
      <c r="A449" t="s">
        <v>38</v>
      </c>
      <c r="B449" s="63">
        <v>4</v>
      </c>
      <c r="C449" t="s">
        <v>15</v>
      </c>
      <c r="D449" s="66">
        <v>2400</v>
      </c>
      <c r="E449" s="66">
        <v>2400</v>
      </c>
      <c r="F449" s="66">
        <v>2365</v>
      </c>
      <c r="G449" s="13">
        <f t="shared" si="108"/>
        <v>-35</v>
      </c>
      <c r="H449" s="13">
        <f t="shared" si="109"/>
        <v>-35</v>
      </c>
      <c r="I449" s="70">
        <f t="shared" si="110"/>
        <v>-1.4583333333333282E-2</v>
      </c>
      <c r="J449" s="70">
        <f t="shared" si="111"/>
        <v>-1.4583333333333282E-2</v>
      </c>
      <c r="K449" s="82" t="str">
        <f>_xlfn.IFNA(VLOOKUP(CLEAN(SUBSTITUTE(C449," ","")),Ref_Factory!$A:$B,2,FALSE),CLEAN(SUBSTITUTE(C449," ","")))</f>
        <v>CHAWAN</v>
      </c>
      <c r="L449" s="82" t="str">
        <f t="shared" si="112"/>
        <v>APRIL-4-CHAWAN</v>
      </c>
      <c r="M449" s="70">
        <f t="shared" si="113"/>
        <v>-0.3277355740222696</v>
      </c>
      <c r="N449" s="70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25">
      <c r="A450" t="s">
        <v>38</v>
      </c>
      <c r="B450" s="63">
        <v>4</v>
      </c>
      <c r="C450" t="s">
        <v>10</v>
      </c>
      <c r="D450">
        <v>200</v>
      </c>
      <c r="E450" s="66">
        <v>361</v>
      </c>
      <c r="F450" s="66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70">
        <f t="shared" ref="I450:I513" si="128">F450/D450-1</f>
        <v>0</v>
      </c>
      <c r="J450" s="70">
        <f t="shared" ref="J450:J513" si="129">F450/E450-1</f>
        <v>-0.445983379501385</v>
      </c>
      <c r="K450" s="82" t="str">
        <f>_xlfn.IFNA(VLOOKUP(CLEAN(SUBSTITUTE(C450," ","")),Ref_Factory!$A:$B,2,FALSE),CLEAN(SUBSTITUTE(C450," ","")))</f>
        <v>CNJ2</v>
      </c>
      <c r="L450" s="82" t="str">
        <f t="shared" ref="L450:L513" si="130">A450&amp;"-"&amp;B450&amp;"-"&amp;K450</f>
        <v>APRIL-4-CNJ2</v>
      </c>
      <c r="M450" s="70">
        <f t="shared" ref="M450:M513" si="131">SUMIF($L$2:$L$1420,L450,$I$2:$I$1420)</f>
        <v>1.9333333333333425E-2</v>
      </c>
      <c r="N450" s="70">
        <f t="shared" ref="N450:N513" si="132">SUMIF($L$2:$L$1420,L450,$J$2:$J$1420)</f>
        <v>-0.44956760889206604</v>
      </c>
      <c r="O450" s="13">
        <f t="shared" ref="O450:O513" si="133">SUMIF($A$2:$A$1420,A450,$D$2:$D$1420)</f>
        <v>874798</v>
      </c>
      <c r="P450" s="13">
        <f t="shared" ref="P450:P513" si="134">SUMIF($A$2:$A$1420,A450,$E$2:$E$1420)</f>
        <v>888509</v>
      </c>
      <c r="Q450" s="13">
        <f t="shared" ref="Q450:Q513" si="135">SUMIF($A$2:$A$1420,A450,$F$2:$F$1420)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SUMIF($T$2:$T$1420,T450,$D$2:$D$1420)</f>
        <v>22900</v>
      </c>
      <c r="V450">
        <f t="shared" ref="V450:V513" si="140">SUMIF($T$2:$T$1420,T450,$E$2:$E$1420)</f>
        <v>23199</v>
      </c>
      <c r="W450">
        <f t="shared" ref="W450:W513" si="141">SUMIF($T$2:$T$1420,T450,$F$2:$F$1420)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25">
      <c r="A451" t="s">
        <v>38</v>
      </c>
      <c r="B451" s="63">
        <v>4</v>
      </c>
      <c r="C451" t="s">
        <v>11</v>
      </c>
      <c r="D451" s="66">
        <v>900</v>
      </c>
      <c r="E451" s="66">
        <v>906</v>
      </c>
      <c r="F451" s="66">
        <v>900</v>
      </c>
      <c r="G451" s="13">
        <f t="shared" si="126"/>
        <v>-6</v>
      </c>
      <c r="H451" s="13">
        <f t="shared" si="127"/>
        <v>0</v>
      </c>
      <c r="I451" s="70">
        <f t="shared" si="128"/>
        <v>0</v>
      </c>
      <c r="J451" s="70">
        <f t="shared" si="129"/>
        <v>-6.6225165562914245E-3</v>
      </c>
      <c r="K451" s="82" t="str">
        <f>_xlfn.IFNA(VLOOKUP(CLEAN(SUBSTITUTE(C451," ","")),Ref_Factory!$A:$B,2,FALSE),CLEAN(SUBSTITUTE(C451," ","")))</f>
        <v>GM1</v>
      </c>
      <c r="L451" s="82" t="str">
        <f t="shared" si="130"/>
        <v>APRIL-4-GM1</v>
      </c>
      <c r="M451" s="70">
        <f t="shared" si="131"/>
        <v>0.16366357477662208</v>
      </c>
      <c r="N451" s="70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25">
      <c r="A452" t="s">
        <v>38</v>
      </c>
      <c r="B452" s="63">
        <v>4</v>
      </c>
      <c r="C452" t="s">
        <v>11</v>
      </c>
      <c r="D452" s="66">
        <v>10</v>
      </c>
      <c r="E452" s="66">
        <v>10</v>
      </c>
      <c r="F452" s="66">
        <v>10</v>
      </c>
      <c r="G452" s="13">
        <f t="shared" si="126"/>
        <v>0</v>
      </c>
      <c r="H452" s="13">
        <f t="shared" si="127"/>
        <v>0</v>
      </c>
      <c r="I452" s="70">
        <f t="shared" si="128"/>
        <v>0</v>
      </c>
      <c r="J452" s="70">
        <f t="shared" si="129"/>
        <v>0</v>
      </c>
      <c r="K452" s="82" t="str">
        <f>_xlfn.IFNA(VLOOKUP(CLEAN(SUBSTITUTE(C452," ","")),Ref_Factory!$A:$B,2,FALSE),CLEAN(SUBSTITUTE(C452," ","")))</f>
        <v>GM1</v>
      </c>
      <c r="L452" s="82" t="str">
        <f t="shared" si="130"/>
        <v>APRIL-4-GM1</v>
      </c>
      <c r="M452" s="70">
        <f t="shared" si="131"/>
        <v>0.16366357477662208</v>
      </c>
      <c r="N452" s="70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25">
      <c r="A453" t="s">
        <v>38</v>
      </c>
      <c r="B453" s="63">
        <v>4</v>
      </c>
      <c r="C453" t="s">
        <v>11</v>
      </c>
      <c r="D453">
        <v>100</v>
      </c>
      <c r="E453" s="66">
        <v>102</v>
      </c>
      <c r="F453" s="66">
        <v>100</v>
      </c>
      <c r="G453" s="13">
        <f t="shared" si="126"/>
        <v>-2</v>
      </c>
      <c r="H453" s="13">
        <f t="shared" si="127"/>
        <v>0</v>
      </c>
      <c r="I453" s="70">
        <f t="shared" si="128"/>
        <v>0</v>
      </c>
      <c r="J453" s="70">
        <f t="shared" si="129"/>
        <v>-1.9607843137254943E-2</v>
      </c>
      <c r="K453" s="82" t="str">
        <f>_xlfn.IFNA(VLOOKUP(CLEAN(SUBSTITUTE(C453," ","")),Ref_Factory!$A:$B,2,FALSE),CLEAN(SUBSTITUTE(C453," ","")))</f>
        <v>GM1</v>
      </c>
      <c r="L453" s="82" t="str">
        <f t="shared" si="130"/>
        <v>APRIL-4-GM1</v>
      </c>
      <c r="M453" s="70">
        <f t="shared" si="131"/>
        <v>0.16366357477662208</v>
      </c>
      <c r="N453" s="70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25">
      <c r="A454" t="s">
        <v>38</v>
      </c>
      <c r="B454" s="63">
        <v>4</v>
      </c>
      <c r="C454" t="s">
        <v>11</v>
      </c>
      <c r="D454">
        <v>310</v>
      </c>
      <c r="E454" s="66">
        <v>312</v>
      </c>
      <c r="F454" s="66">
        <v>310</v>
      </c>
      <c r="G454" s="13">
        <f t="shared" si="126"/>
        <v>-2</v>
      </c>
      <c r="H454" s="13">
        <f t="shared" si="127"/>
        <v>0</v>
      </c>
      <c r="I454" s="70">
        <f t="shared" si="128"/>
        <v>0</v>
      </c>
      <c r="J454" s="70">
        <f t="shared" si="129"/>
        <v>-6.4102564102563875E-3</v>
      </c>
      <c r="K454" s="82" t="str">
        <f>_xlfn.IFNA(VLOOKUP(CLEAN(SUBSTITUTE(C454," ","")),Ref_Factory!$A:$B,2,FALSE),CLEAN(SUBSTITUTE(C454," ","")))</f>
        <v>GM1</v>
      </c>
      <c r="L454" s="82" t="str">
        <f t="shared" si="130"/>
        <v>APRIL-4-GM1</v>
      </c>
      <c r="M454" s="70">
        <f t="shared" si="131"/>
        <v>0.16366357477662208</v>
      </c>
      <c r="N454" s="70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25">
      <c r="A455" t="s">
        <v>38</v>
      </c>
      <c r="B455" s="63">
        <v>4</v>
      </c>
      <c r="C455" t="s">
        <v>10</v>
      </c>
      <c r="D455" s="66">
        <v>3000</v>
      </c>
      <c r="E455" s="66">
        <v>3069</v>
      </c>
      <c r="F455" s="66">
        <v>3058</v>
      </c>
      <c r="G455" s="13">
        <f t="shared" si="126"/>
        <v>-11</v>
      </c>
      <c r="H455" s="13">
        <f t="shared" si="127"/>
        <v>58</v>
      </c>
      <c r="I455" s="70">
        <f t="shared" si="128"/>
        <v>1.9333333333333425E-2</v>
      </c>
      <c r="J455" s="70">
        <f t="shared" si="129"/>
        <v>-3.5842293906810374E-3</v>
      </c>
      <c r="K455" s="82" t="str">
        <f>_xlfn.IFNA(VLOOKUP(CLEAN(SUBSTITUTE(C455," ","")),Ref_Factory!$A:$B,2,FALSE),CLEAN(SUBSTITUTE(C455," ","")))</f>
        <v>CNJ2</v>
      </c>
      <c r="L455" s="82" t="str">
        <f t="shared" si="130"/>
        <v>APRIL-4-CNJ2</v>
      </c>
      <c r="M455" s="70">
        <f t="shared" si="131"/>
        <v>1.9333333333333425E-2</v>
      </c>
      <c r="N455" s="70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25">
      <c r="A456" t="s">
        <v>38</v>
      </c>
      <c r="B456" s="63">
        <v>4</v>
      </c>
      <c r="C456" t="s">
        <v>14</v>
      </c>
      <c r="D456" s="67">
        <v>14796</v>
      </c>
      <c r="E456" s="66">
        <v>15256</v>
      </c>
      <c r="F456" s="66">
        <v>15099</v>
      </c>
      <c r="G456" s="13">
        <f t="shared" si="126"/>
        <v>-157</v>
      </c>
      <c r="H456" s="13">
        <f t="shared" si="127"/>
        <v>303</v>
      </c>
      <c r="I456" s="70">
        <f t="shared" si="128"/>
        <v>2.0478507704785098E-2</v>
      </c>
      <c r="J456" s="70">
        <f t="shared" si="129"/>
        <v>-1.0291033036182506E-2</v>
      </c>
      <c r="K456" s="82" t="str">
        <f>_xlfn.IFNA(VLOOKUP(CLEAN(SUBSTITUTE(C456," ","")),Ref_Factory!$A:$B,2,FALSE),CLEAN(SUBSTITUTE(C456," ","")))</f>
        <v>GM2</v>
      </c>
      <c r="L456" s="82" t="str">
        <f t="shared" si="130"/>
        <v>APRIL-4-GM2</v>
      </c>
      <c r="M456" s="70">
        <f t="shared" si="131"/>
        <v>0.40587633359271624</v>
      </c>
      <c r="N456" s="70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25">
      <c r="A457" t="s">
        <v>38</v>
      </c>
      <c r="B457" s="63">
        <v>4</v>
      </c>
      <c r="C457" t="s">
        <v>14</v>
      </c>
      <c r="D457" s="67">
        <v>4860</v>
      </c>
      <c r="E457" s="66">
        <v>5019</v>
      </c>
      <c r="F457" s="66">
        <v>4998</v>
      </c>
      <c r="G457" s="13">
        <f t="shared" si="126"/>
        <v>-21</v>
      </c>
      <c r="H457" s="13">
        <f t="shared" si="127"/>
        <v>138</v>
      </c>
      <c r="I457" s="70">
        <f t="shared" si="128"/>
        <v>2.839506172839501E-2</v>
      </c>
      <c r="J457" s="70">
        <f t="shared" si="129"/>
        <v>-4.1841004184099972E-3</v>
      </c>
      <c r="K457" s="82" t="str">
        <f>_xlfn.IFNA(VLOOKUP(CLEAN(SUBSTITUTE(C457," ","")),Ref_Factory!$A:$B,2,FALSE),CLEAN(SUBSTITUTE(C457," ","")))</f>
        <v>GM2</v>
      </c>
      <c r="L457" s="82" t="str">
        <f t="shared" si="130"/>
        <v>APRIL-4-GM2</v>
      </c>
      <c r="M457" s="70">
        <f t="shared" si="131"/>
        <v>0.40587633359271624</v>
      </c>
      <c r="N457" s="70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25">
      <c r="A458" t="s">
        <v>38</v>
      </c>
      <c r="B458" s="63">
        <v>4</v>
      </c>
      <c r="C458" t="s">
        <v>14</v>
      </c>
      <c r="D458" s="67">
        <v>5940</v>
      </c>
      <c r="E458" s="66">
        <v>6145</v>
      </c>
      <c r="F458" s="66">
        <v>6111</v>
      </c>
      <c r="G458" s="13">
        <f t="shared" si="126"/>
        <v>-34</v>
      </c>
      <c r="H458" s="13">
        <f t="shared" si="127"/>
        <v>171</v>
      </c>
      <c r="I458" s="70">
        <f t="shared" si="128"/>
        <v>2.8787878787878807E-2</v>
      </c>
      <c r="J458" s="70">
        <f t="shared" si="129"/>
        <v>-5.5329536208299501E-3</v>
      </c>
      <c r="K458" s="82" t="str">
        <f>_xlfn.IFNA(VLOOKUP(CLEAN(SUBSTITUTE(C458," ","")),Ref_Factory!$A:$B,2,FALSE),CLEAN(SUBSTITUTE(C458," ","")))</f>
        <v>GM2</v>
      </c>
      <c r="L458" s="82" t="str">
        <f t="shared" si="130"/>
        <v>APRIL-4-GM2</v>
      </c>
      <c r="M458" s="70">
        <f t="shared" si="131"/>
        <v>0.40587633359271624</v>
      </c>
      <c r="N458" s="70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25">
      <c r="A459" t="s">
        <v>38</v>
      </c>
      <c r="B459" s="63">
        <v>4</v>
      </c>
      <c r="C459" t="s">
        <v>14</v>
      </c>
      <c r="D459" s="67">
        <v>6588</v>
      </c>
      <c r="E459" s="66">
        <v>6788</v>
      </c>
      <c r="F459" s="66">
        <v>6690</v>
      </c>
      <c r="G459" s="13">
        <f t="shared" si="126"/>
        <v>-98</v>
      </c>
      <c r="H459" s="13">
        <f t="shared" si="127"/>
        <v>102</v>
      </c>
      <c r="I459" s="70">
        <f t="shared" si="128"/>
        <v>1.5482695810564717E-2</v>
      </c>
      <c r="J459" s="70">
        <f t="shared" si="129"/>
        <v>-1.4437242192103739E-2</v>
      </c>
      <c r="K459" s="82" t="str">
        <f>_xlfn.IFNA(VLOOKUP(CLEAN(SUBSTITUTE(C459," ","")),Ref_Factory!$A:$B,2,FALSE),CLEAN(SUBSTITUTE(C459," ","")))</f>
        <v>GM2</v>
      </c>
      <c r="L459" s="82" t="str">
        <f t="shared" si="130"/>
        <v>APRIL-4-GM2</v>
      </c>
      <c r="M459" s="70">
        <f t="shared" si="131"/>
        <v>0.40587633359271624</v>
      </c>
      <c r="N459" s="70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25">
      <c r="A460" t="s">
        <v>38</v>
      </c>
      <c r="B460" s="63">
        <v>4</v>
      </c>
      <c r="C460" t="s">
        <v>14</v>
      </c>
      <c r="D460" s="67">
        <v>7236</v>
      </c>
      <c r="E460" s="66">
        <v>7461</v>
      </c>
      <c r="F460" s="66">
        <v>7428</v>
      </c>
      <c r="G460" s="13">
        <f t="shared" si="126"/>
        <v>-33</v>
      </c>
      <c r="H460" s="13">
        <f t="shared" si="127"/>
        <v>192</v>
      </c>
      <c r="I460" s="70">
        <f t="shared" si="128"/>
        <v>2.6533996683250516E-2</v>
      </c>
      <c r="J460" s="70">
        <f t="shared" si="129"/>
        <v>-4.4229995979091496E-3</v>
      </c>
      <c r="K460" s="82" t="str">
        <f>_xlfn.IFNA(VLOOKUP(CLEAN(SUBSTITUTE(C460," ","")),Ref_Factory!$A:$B,2,FALSE),CLEAN(SUBSTITUTE(C460," ","")))</f>
        <v>GM2</v>
      </c>
      <c r="L460" s="82" t="str">
        <f t="shared" si="130"/>
        <v>APRIL-4-GM2</v>
      </c>
      <c r="M460" s="70">
        <f t="shared" si="131"/>
        <v>0.40587633359271624</v>
      </c>
      <c r="N460" s="70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25">
      <c r="A461" t="s">
        <v>38</v>
      </c>
      <c r="B461" s="63">
        <v>4</v>
      </c>
      <c r="C461" t="s">
        <v>14</v>
      </c>
      <c r="D461" s="67">
        <v>17928</v>
      </c>
      <c r="E461" s="66">
        <v>18549</v>
      </c>
      <c r="F461" s="66">
        <v>18510</v>
      </c>
      <c r="G461" s="13">
        <f t="shared" si="126"/>
        <v>-39</v>
      </c>
      <c r="H461" s="13">
        <f t="shared" si="127"/>
        <v>582</v>
      </c>
      <c r="I461" s="70">
        <f t="shared" si="128"/>
        <v>3.2463186077643869E-2</v>
      </c>
      <c r="J461" s="70">
        <f t="shared" si="129"/>
        <v>-2.1025392204431226E-3</v>
      </c>
      <c r="K461" s="82" t="str">
        <f>_xlfn.IFNA(VLOOKUP(CLEAN(SUBSTITUTE(C461," ","")),Ref_Factory!$A:$B,2,FALSE),CLEAN(SUBSTITUTE(C461," ","")))</f>
        <v>GM2</v>
      </c>
      <c r="L461" s="82" t="str">
        <f t="shared" si="130"/>
        <v>APRIL-4-GM2</v>
      </c>
      <c r="M461" s="70">
        <f t="shared" si="131"/>
        <v>0.40587633359271624</v>
      </c>
      <c r="N461" s="70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25">
      <c r="A462" t="s">
        <v>38</v>
      </c>
      <c r="B462" s="63">
        <v>4</v>
      </c>
      <c r="C462" t="s">
        <v>14</v>
      </c>
      <c r="D462" s="67">
        <v>8532</v>
      </c>
      <c r="E462" s="66">
        <v>8802</v>
      </c>
      <c r="F462" s="66">
        <v>8652</v>
      </c>
      <c r="G462" s="13">
        <f t="shared" si="126"/>
        <v>-150</v>
      </c>
      <c r="H462" s="13">
        <f t="shared" si="127"/>
        <v>120</v>
      </c>
      <c r="I462" s="70">
        <f t="shared" si="128"/>
        <v>1.4064697609001309E-2</v>
      </c>
      <c r="J462" s="70">
        <f t="shared" si="129"/>
        <v>-1.7041581458759336E-2</v>
      </c>
      <c r="K462" s="82" t="str">
        <f>_xlfn.IFNA(VLOOKUP(CLEAN(SUBSTITUTE(C462," ","")),Ref_Factory!$A:$B,2,FALSE),CLEAN(SUBSTITUTE(C462," ","")))</f>
        <v>GM2</v>
      </c>
      <c r="L462" s="82" t="str">
        <f t="shared" si="130"/>
        <v>APRIL-4-GM2</v>
      </c>
      <c r="M462" s="70">
        <f t="shared" si="131"/>
        <v>0.40587633359271624</v>
      </c>
      <c r="N462" s="70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25">
      <c r="A463" t="s">
        <v>38</v>
      </c>
      <c r="B463" s="63">
        <v>4</v>
      </c>
      <c r="C463" t="s">
        <v>14</v>
      </c>
      <c r="D463" s="67">
        <v>13068</v>
      </c>
      <c r="E463" s="66">
        <v>13470</v>
      </c>
      <c r="F463" s="66">
        <v>13401</v>
      </c>
      <c r="G463" s="13">
        <f t="shared" si="126"/>
        <v>-69</v>
      </c>
      <c r="H463" s="13">
        <f t="shared" si="127"/>
        <v>333</v>
      </c>
      <c r="I463" s="70">
        <f t="shared" si="128"/>
        <v>2.5482093663911742E-2</v>
      </c>
      <c r="J463" s="70">
        <f t="shared" si="129"/>
        <v>-5.1224944320712451E-3</v>
      </c>
      <c r="K463" s="82" t="str">
        <f>_xlfn.IFNA(VLOOKUP(CLEAN(SUBSTITUTE(C463," ","")),Ref_Factory!$A:$B,2,FALSE),CLEAN(SUBSTITUTE(C463," ","")))</f>
        <v>GM2</v>
      </c>
      <c r="L463" s="82" t="str">
        <f t="shared" si="130"/>
        <v>APRIL-4-GM2</v>
      </c>
      <c r="M463" s="70">
        <f t="shared" si="131"/>
        <v>0.40587633359271624</v>
      </c>
      <c r="N463" s="70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25">
      <c r="A464" t="s">
        <v>38</v>
      </c>
      <c r="B464" s="63">
        <v>4</v>
      </c>
      <c r="C464" t="s">
        <v>14</v>
      </c>
      <c r="D464" s="67">
        <v>1404</v>
      </c>
      <c r="E464" s="66">
        <v>1446</v>
      </c>
      <c r="F464" s="66">
        <v>1431</v>
      </c>
      <c r="G464" s="13">
        <f t="shared" si="126"/>
        <v>-15</v>
      </c>
      <c r="H464" s="13">
        <f t="shared" si="127"/>
        <v>27</v>
      </c>
      <c r="I464" s="70">
        <f t="shared" si="128"/>
        <v>1.9230769230769162E-2</v>
      </c>
      <c r="J464" s="70">
        <f t="shared" si="129"/>
        <v>-1.0373443983402453E-2</v>
      </c>
      <c r="K464" s="82" t="str">
        <f>_xlfn.IFNA(VLOOKUP(CLEAN(SUBSTITUTE(C464," ","")),Ref_Factory!$A:$B,2,FALSE),CLEAN(SUBSTITUTE(C464," ","")))</f>
        <v>GM2</v>
      </c>
      <c r="L464" s="82" t="str">
        <f t="shared" si="130"/>
        <v>APRIL-4-GM2</v>
      </c>
      <c r="M464" s="70">
        <f t="shared" si="131"/>
        <v>0.40587633359271624</v>
      </c>
      <c r="N464" s="70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25">
      <c r="A465" t="s">
        <v>38</v>
      </c>
      <c r="B465" s="63">
        <v>4</v>
      </c>
      <c r="C465" t="s">
        <v>14</v>
      </c>
      <c r="D465" s="67">
        <v>6156</v>
      </c>
      <c r="E465" s="66">
        <v>6339</v>
      </c>
      <c r="F465" s="66">
        <v>6333</v>
      </c>
      <c r="G465" s="13">
        <f t="shared" si="126"/>
        <v>-6</v>
      </c>
      <c r="H465" s="13">
        <f t="shared" si="127"/>
        <v>177</v>
      </c>
      <c r="I465" s="70">
        <f t="shared" si="128"/>
        <v>2.8752436647173418E-2</v>
      </c>
      <c r="J465" s="70">
        <f t="shared" si="129"/>
        <v>-9.4652153336483025E-4</v>
      </c>
      <c r="K465" s="82" t="str">
        <f>_xlfn.IFNA(VLOOKUP(CLEAN(SUBSTITUTE(C465," ","")),Ref_Factory!$A:$B,2,FALSE),CLEAN(SUBSTITUTE(C465," ","")))</f>
        <v>GM2</v>
      </c>
      <c r="L465" s="82" t="str">
        <f t="shared" si="130"/>
        <v>APRIL-4-GM2</v>
      </c>
      <c r="M465" s="70">
        <f t="shared" si="131"/>
        <v>0.40587633359271624</v>
      </c>
      <c r="N465" s="70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25">
      <c r="A466" t="s">
        <v>38</v>
      </c>
      <c r="B466" s="63">
        <v>4</v>
      </c>
      <c r="C466" t="s">
        <v>11</v>
      </c>
      <c r="D466" s="67">
        <v>5940</v>
      </c>
      <c r="E466" s="66">
        <v>6130</v>
      </c>
      <c r="F466" s="66">
        <v>6090</v>
      </c>
      <c r="G466" s="13">
        <f t="shared" si="126"/>
        <v>-40</v>
      </c>
      <c r="H466" s="13">
        <f t="shared" si="127"/>
        <v>150</v>
      </c>
      <c r="I466" s="70">
        <f t="shared" si="128"/>
        <v>2.5252525252525304E-2</v>
      </c>
      <c r="J466" s="70">
        <f t="shared" si="129"/>
        <v>-6.525285481239762E-3</v>
      </c>
      <c r="K466" s="82" t="str">
        <f>_xlfn.IFNA(VLOOKUP(CLEAN(SUBSTITUTE(C466," ","")),Ref_Factory!$A:$B,2,FALSE),CLEAN(SUBSTITUTE(C466," ","")))</f>
        <v>GM1</v>
      </c>
      <c r="L466" s="82" t="str">
        <f t="shared" si="130"/>
        <v>APRIL-4-GM1</v>
      </c>
      <c r="M466" s="70">
        <f t="shared" si="131"/>
        <v>0.16366357477662208</v>
      </c>
      <c r="N466" s="70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25">
      <c r="A467" t="s">
        <v>38</v>
      </c>
      <c r="B467" s="63">
        <v>4</v>
      </c>
      <c r="C467" t="s">
        <v>14</v>
      </c>
      <c r="D467" s="67">
        <v>10692</v>
      </c>
      <c r="E467" s="66">
        <v>11017</v>
      </c>
      <c r="F467" s="66">
        <v>10983</v>
      </c>
      <c r="G467" s="13">
        <f t="shared" si="126"/>
        <v>-34</v>
      </c>
      <c r="H467" s="13">
        <f t="shared" si="127"/>
        <v>291</v>
      </c>
      <c r="I467" s="70">
        <f t="shared" si="128"/>
        <v>2.7216610549943843E-2</v>
      </c>
      <c r="J467" s="70">
        <f t="shared" si="129"/>
        <v>-3.0861396024326471E-3</v>
      </c>
      <c r="K467" s="82" t="str">
        <f>_xlfn.IFNA(VLOOKUP(CLEAN(SUBSTITUTE(C467," ","")),Ref_Factory!$A:$B,2,FALSE),CLEAN(SUBSTITUTE(C467," ","")))</f>
        <v>GM2</v>
      </c>
      <c r="L467" s="82" t="str">
        <f t="shared" si="130"/>
        <v>APRIL-4-GM2</v>
      </c>
      <c r="M467" s="70">
        <f t="shared" si="131"/>
        <v>0.40587633359271624</v>
      </c>
      <c r="N467" s="70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25">
      <c r="A468" t="s">
        <v>38</v>
      </c>
      <c r="B468" s="63">
        <v>4</v>
      </c>
      <c r="C468" t="s">
        <v>11</v>
      </c>
      <c r="D468" s="67">
        <v>16308</v>
      </c>
      <c r="E468" s="66">
        <v>16804</v>
      </c>
      <c r="F468" s="66">
        <v>16734</v>
      </c>
      <c r="G468" s="13">
        <f t="shared" si="126"/>
        <v>-70</v>
      </c>
      <c r="H468" s="13">
        <f t="shared" si="127"/>
        <v>426</v>
      </c>
      <c r="I468" s="70">
        <f t="shared" si="128"/>
        <v>2.6122148638704878E-2</v>
      </c>
      <c r="J468" s="70">
        <f t="shared" si="129"/>
        <v>-4.1656748393239518E-3</v>
      </c>
      <c r="K468" s="82" t="str">
        <f>_xlfn.IFNA(VLOOKUP(CLEAN(SUBSTITUTE(C468," ","")),Ref_Factory!$A:$B,2,FALSE),CLEAN(SUBSTITUTE(C468," ","")))</f>
        <v>GM1</v>
      </c>
      <c r="L468" s="82" t="str">
        <f t="shared" si="130"/>
        <v>APRIL-4-GM1</v>
      </c>
      <c r="M468" s="70">
        <f t="shared" si="131"/>
        <v>0.16366357477662208</v>
      </c>
      <c r="N468" s="70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25">
      <c r="A469" t="s">
        <v>38</v>
      </c>
      <c r="B469" s="63">
        <v>4</v>
      </c>
      <c r="C469" t="s">
        <v>11</v>
      </c>
      <c r="D469" s="67">
        <v>8640</v>
      </c>
      <c r="E469" s="66">
        <v>8904</v>
      </c>
      <c r="F469" s="66">
        <v>8835</v>
      </c>
      <c r="G469" s="13">
        <f t="shared" si="126"/>
        <v>-69</v>
      </c>
      <c r="H469" s="13">
        <f t="shared" si="127"/>
        <v>195</v>
      </c>
      <c r="I469" s="70">
        <f t="shared" si="128"/>
        <v>2.256944444444442E-2</v>
      </c>
      <c r="J469" s="70">
        <f t="shared" si="129"/>
        <v>-7.7493261455525708E-3</v>
      </c>
      <c r="K469" s="82" t="str">
        <f>_xlfn.IFNA(VLOOKUP(CLEAN(SUBSTITUTE(C469," ","")),Ref_Factory!$A:$B,2,FALSE),CLEAN(SUBSTITUTE(C469," ","")))</f>
        <v>GM1</v>
      </c>
      <c r="L469" s="82" t="str">
        <f t="shared" si="130"/>
        <v>APRIL-4-GM1</v>
      </c>
      <c r="M469" s="70">
        <f t="shared" si="131"/>
        <v>0.16366357477662208</v>
      </c>
      <c r="N469" s="70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25">
      <c r="A470" t="s">
        <v>38</v>
      </c>
      <c r="B470" s="63">
        <v>4</v>
      </c>
      <c r="C470" t="s">
        <v>11</v>
      </c>
      <c r="D470" s="67">
        <v>12096</v>
      </c>
      <c r="E470" s="66">
        <v>12462</v>
      </c>
      <c r="F470" s="66">
        <v>12399</v>
      </c>
      <c r="G470" s="13">
        <f t="shared" si="126"/>
        <v>-63</v>
      </c>
      <c r="H470" s="13">
        <f t="shared" si="127"/>
        <v>303</v>
      </c>
      <c r="I470" s="70">
        <f t="shared" si="128"/>
        <v>2.5049603174603252E-2</v>
      </c>
      <c r="J470" s="70">
        <f t="shared" si="129"/>
        <v>-5.0553683196918886E-3</v>
      </c>
      <c r="K470" s="82" t="str">
        <f>_xlfn.IFNA(VLOOKUP(CLEAN(SUBSTITUTE(C470," ","")),Ref_Factory!$A:$B,2,FALSE),CLEAN(SUBSTITUTE(C470," ","")))</f>
        <v>GM1</v>
      </c>
      <c r="L470" s="82" t="str">
        <f t="shared" si="130"/>
        <v>APRIL-4-GM1</v>
      </c>
      <c r="M470" s="70">
        <f t="shared" si="131"/>
        <v>0.16366357477662208</v>
      </c>
      <c r="N470" s="70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25">
      <c r="A471" t="s">
        <v>38</v>
      </c>
      <c r="B471" s="63">
        <v>4</v>
      </c>
      <c r="C471" t="s">
        <v>11</v>
      </c>
      <c r="D471" s="67">
        <v>1080</v>
      </c>
      <c r="E471" s="66">
        <v>1113</v>
      </c>
      <c r="F471" s="66">
        <v>1107</v>
      </c>
      <c r="G471" s="13">
        <f t="shared" si="126"/>
        <v>-6</v>
      </c>
      <c r="H471" s="13">
        <f t="shared" si="127"/>
        <v>27</v>
      </c>
      <c r="I471" s="70">
        <f t="shared" si="128"/>
        <v>2.4999999999999911E-2</v>
      </c>
      <c r="J471" s="70">
        <f t="shared" si="129"/>
        <v>-5.3908355795148077E-3</v>
      </c>
      <c r="K471" s="82" t="str">
        <f>_xlfn.IFNA(VLOOKUP(CLEAN(SUBSTITUTE(C471," ","")),Ref_Factory!$A:$B,2,FALSE),CLEAN(SUBSTITUTE(C471," ","")))</f>
        <v>GM1</v>
      </c>
      <c r="L471" s="82" t="str">
        <f t="shared" si="130"/>
        <v>APRIL-4-GM1</v>
      </c>
      <c r="M471" s="70">
        <f t="shared" si="131"/>
        <v>0.16366357477662208</v>
      </c>
      <c r="N471" s="70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25">
      <c r="A472" t="s">
        <v>38</v>
      </c>
      <c r="B472" s="63">
        <v>4</v>
      </c>
      <c r="C472" t="s">
        <v>11</v>
      </c>
      <c r="D472" s="67">
        <v>10692</v>
      </c>
      <c r="E472" s="66">
        <v>11016</v>
      </c>
      <c r="F472" s="66">
        <v>10884</v>
      </c>
      <c r="G472" s="13">
        <f t="shared" si="126"/>
        <v>-132</v>
      </c>
      <c r="H472" s="13">
        <f t="shared" si="127"/>
        <v>192</v>
      </c>
      <c r="I472" s="70">
        <f t="shared" si="128"/>
        <v>1.7957351290684542E-2</v>
      </c>
      <c r="J472" s="70">
        <f t="shared" si="129"/>
        <v>-1.1982570806100212E-2</v>
      </c>
      <c r="K472" s="82" t="str">
        <f>_xlfn.IFNA(VLOOKUP(CLEAN(SUBSTITUTE(C472," ","")),Ref_Factory!$A:$B,2,FALSE),CLEAN(SUBSTITUTE(C472," ","")))</f>
        <v>GM1</v>
      </c>
      <c r="L472" s="82" t="str">
        <f t="shared" si="130"/>
        <v>APRIL-4-GM1</v>
      </c>
      <c r="M472" s="70">
        <f t="shared" si="131"/>
        <v>0.16366357477662208</v>
      </c>
      <c r="N472" s="70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25">
      <c r="A473" t="s">
        <v>38</v>
      </c>
      <c r="B473" s="63">
        <v>4</v>
      </c>
      <c r="C473" t="s">
        <v>11</v>
      </c>
      <c r="D473" s="67">
        <v>10944</v>
      </c>
      <c r="E473" s="66">
        <v>10943</v>
      </c>
      <c r="F473" s="66">
        <v>10892</v>
      </c>
      <c r="G473" s="13">
        <f t="shared" si="126"/>
        <v>-51</v>
      </c>
      <c r="H473" s="13">
        <f t="shared" si="127"/>
        <v>-52</v>
      </c>
      <c r="I473" s="70">
        <f t="shared" si="128"/>
        <v>-4.7514619883041176E-3</v>
      </c>
      <c r="J473" s="70">
        <f t="shared" si="129"/>
        <v>-4.660513570318936E-3</v>
      </c>
      <c r="K473" s="82" t="str">
        <f>_xlfn.IFNA(VLOOKUP(CLEAN(SUBSTITUTE(C473," ","")),Ref_Factory!$A:$B,2,FALSE),CLEAN(SUBSTITUTE(C473," ","")))</f>
        <v>GM1</v>
      </c>
      <c r="L473" s="82" t="str">
        <f t="shared" si="130"/>
        <v>APRIL-4-GM1</v>
      </c>
      <c r="M473" s="70">
        <f t="shared" si="131"/>
        <v>0.16366357477662208</v>
      </c>
      <c r="N473" s="70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25">
      <c r="A474" t="s">
        <v>38</v>
      </c>
      <c r="B474" s="63">
        <v>4</v>
      </c>
      <c r="C474" t="s">
        <v>11</v>
      </c>
      <c r="D474" s="67">
        <v>15984</v>
      </c>
      <c r="E474" s="66">
        <v>16464</v>
      </c>
      <c r="F474" s="66">
        <v>16407</v>
      </c>
      <c r="G474" s="13">
        <f t="shared" si="126"/>
        <v>-57</v>
      </c>
      <c r="H474" s="13">
        <f t="shared" si="127"/>
        <v>423</v>
      </c>
      <c r="I474" s="70">
        <f t="shared" si="128"/>
        <v>2.6463963963963888E-2</v>
      </c>
      <c r="J474" s="70">
        <f t="shared" si="129"/>
        <v>-3.4620991253644373E-3</v>
      </c>
      <c r="K474" s="82" t="str">
        <f>_xlfn.IFNA(VLOOKUP(CLEAN(SUBSTITUTE(C474," ","")),Ref_Factory!$A:$B,2,FALSE),CLEAN(SUBSTITUTE(C474," ","")))</f>
        <v>GM1</v>
      </c>
      <c r="L474" s="82" t="str">
        <f t="shared" si="130"/>
        <v>APRIL-4-GM1</v>
      </c>
      <c r="M474" s="70">
        <f t="shared" si="131"/>
        <v>0.16366357477662208</v>
      </c>
      <c r="N474" s="70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25">
      <c r="A475" t="s">
        <v>38</v>
      </c>
      <c r="B475" s="63">
        <v>4</v>
      </c>
      <c r="C475" t="s">
        <v>14</v>
      </c>
      <c r="D475" s="67">
        <v>15408</v>
      </c>
      <c r="E475" s="66">
        <v>15894</v>
      </c>
      <c r="F475" s="66">
        <v>15804</v>
      </c>
      <c r="G475" s="13">
        <f t="shared" si="126"/>
        <v>-90</v>
      </c>
      <c r="H475" s="13">
        <f t="shared" si="127"/>
        <v>396</v>
      </c>
      <c r="I475" s="70">
        <f t="shared" si="128"/>
        <v>2.5700934579439227E-2</v>
      </c>
      <c r="J475" s="70">
        <f t="shared" si="129"/>
        <v>-5.6625141562853809E-3</v>
      </c>
      <c r="K475" s="82" t="str">
        <f>_xlfn.IFNA(VLOOKUP(CLEAN(SUBSTITUTE(C475," ","")),Ref_Factory!$A:$B,2,FALSE),CLEAN(SUBSTITUTE(C475," ","")))</f>
        <v>GM2</v>
      </c>
      <c r="L475" s="82" t="str">
        <f t="shared" si="130"/>
        <v>APRIL-4-GM2</v>
      </c>
      <c r="M475" s="70">
        <f t="shared" si="131"/>
        <v>0.40587633359271624</v>
      </c>
      <c r="N475" s="70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25">
      <c r="A476" t="s">
        <v>38</v>
      </c>
      <c r="B476" s="63">
        <v>4</v>
      </c>
      <c r="C476" t="s">
        <v>14</v>
      </c>
      <c r="D476" s="67">
        <v>10800</v>
      </c>
      <c r="E476" s="66">
        <v>11158</v>
      </c>
      <c r="F476" s="66">
        <v>11120</v>
      </c>
      <c r="G476" s="13">
        <f t="shared" si="126"/>
        <v>-38</v>
      </c>
      <c r="H476" s="13">
        <f t="shared" si="127"/>
        <v>320</v>
      </c>
      <c r="I476" s="70">
        <f t="shared" si="128"/>
        <v>2.9629629629629672E-2</v>
      </c>
      <c r="J476" s="70">
        <f t="shared" si="129"/>
        <v>-3.4056282487900935E-3</v>
      </c>
      <c r="K476" s="82" t="str">
        <f>_xlfn.IFNA(VLOOKUP(CLEAN(SUBSTITUTE(C476," ","")),Ref_Factory!$A:$B,2,FALSE),CLEAN(SUBSTITUTE(C476," ","")))</f>
        <v>GM2</v>
      </c>
      <c r="L476" s="82" t="str">
        <f t="shared" si="130"/>
        <v>APRIL-4-GM2</v>
      </c>
      <c r="M476" s="70">
        <f t="shared" si="131"/>
        <v>0.40587633359271624</v>
      </c>
      <c r="N476" s="70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25">
      <c r="A477" t="s">
        <v>38</v>
      </c>
      <c r="B477" s="63">
        <v>4</v>
      </c>
      <c r="C477" t="s">
        <v>14</v>
      </c>
      <c r="D477" s="67">
        <v>18864</v>
      </c>
      <c r="E477" s="66">
        <v>19453</v>
      </c>
      <c r="F477" s="66">
        <v>19268</v>
      </c>
      <c r="G477" s="13">
        <f t="shared" si="126"/>
        <v>-185</v>
      </c>
      <c r="H477" s="13">
        <f t="shared" si="127"/>
        <v>404</v>
      </c>
      <c r="I477" s="70">
        <f t="shared" si="128"/>
        <v>2.1416454622561476E-2</v>
      </c>
      <c r="J477" s="70">
        <f t="shared" si="129"/>
        <v>-9.510101269727067E-3</v>
      </c>
      <c r="K477" s="82" t="str">
        <f>_xlfn.IFNA(VLOOKUP(CLEAN(SUBSTITUTE(C477," ","")),Ref_Factory!$A:$B,2,FALSE),CLEAN(SUBSTITUTE(C477," ","")))</f>
        <v>GM2</v>
      </c>
      <c r="L477" s="82" t="str">
        <f t="shared" si="130"/>
        <v>APRIL-4-GM2</v>
      </c>
      <c r="M477" s="70">
        <f t="shared" si="131"/>
        <v>0.40587633359271624</v>
      </c>
      <c r="N477" s="70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25">
      <c r="A478" t="s">
        <v>38</v>
      </c>
      <c r="B478" s="63">
        <v>4</v>
      </c>
      <c r="C478" t="s">
        <v>14</v>
      </c>
      <c r="D478" s="67">
        <v>15408</v>
      </c>
      <c r="E478" s="66">
        <v>15876</v>
      </c>
      <c r="F478" s="66">
        <v>15872</v>
      </c>
      <c r="G478" s="13">
        <f t="shared" si="126"/>
        <v>-4</v>
      </c>
      <c r="H478" s="13">
        <f t="shared" si="127"/>
        <v>464</v>
      </c>
      <c r="I478" s="70">
        <f t="shared" si="128"/>
        <v>3.0114226375908659E-2</v>
      </c>
      <c r="J478" s="70">
        <f t="shared" si="129"/>
        <v>-2.5195263290500591E-4</v>
      </c>
      <c r="K478" s="82" t="str">
        <f>_xlfn.IFNA(VLOOKUP(CLEAN(SUBSTITUTE(C478," ","")),Ref_Factory!$A:$B,2,FALSE),CLEAN(SUBSTITUTE(C478," ","")))</f>
        <v>GM2</v>
      </c>
      <c r="L478" s="82" t="str">
        <f t="shared" si="130"/>
        <v>APRIL-4-GM2</v>
      </c>
      <c r="M478" s="70">
        <f t="shared" si="131"/>
        <v>0.40587633359271624</v>
      </c>
      <c r="N478" s="70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25">
      <c r="A479" t="s">
        <v>38</v>
      </c>
      <c r="B479" s="63">
        <v>4</v>
      </c>
      <c r="C479" t="s">
        <v>14</v>
      </c>
      <c r="D479" s="67">
        <v>4896</v>
      </c>
      <c r="E479">
        <v>4954</v>
      </c>
      <c r="F479" s="66">
        <v>4944</v>
      </c>
      <c r="G479" s="13">
        <f t="shared" si="126"/>
        <v>-10</v>
      </c>
      <c r="H479" s="13">
        <f t="shared" si="127"/>
        <v>48</v>
      </c>
      <c r="I479" s="70">
        <f t="shared" si="128"/>
        <v>9.8039215686274161E-3</v>
      </c>
      <c r="J479" s="70">
        <f t="shared" si="129"/>
        <v>-2.0185708518368761E-3</v>
      </c>
      <c r="K479" s="82" t="str">
        <f>_xlfn.IFNA(VLOOKUP(CLEAN(SUBSTITUTE(C479," ","")),Ref_Factory!$A:$B,2,FALSE),CLEAN(SUBSTITUTE(C479," ","")))</f>
        <v>GM2</v>
      </c>
      <c r="L479" s="82" t="str">
        <f t="shared" si="130"/>
        <v>APRIL-4-GM2</v>
      </c>
      <c r="M479" s="70">
        <f t="shared" si="131"/>
        <v>0.40587633359271624</v>
      </c>
      <c r="N479" s="70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25">
      <c r="A480" t="s">
        <v>38</v>
      </c>
      <c r="B480" s="63">
        <v>4</v>
      </c>
      <c r="C480" t="s">
        <v>14</v>
      </c>
      <c r="D480" s="67">
        <v>7200</v>
      </c>
      <c r="E480">
        <v>7281</v>
      </c>
      <c r="F480" s="66">
        <v>7288</v>
      </c>
      <c r="G480" s="13">
        <f t="shared" si="126"/>
        <v>7</v>
      </c>
      <c r="H480" s="13">
        <f t="shared" si="127"/>
        <v>88</v>
      </c>
      <c r="I480" s="70">
        <f t="shared" si="128"/>
        <v>1.2222222222222134E-2</v>
      </c>
      <c r="J480" s="70">
        <f t="shared" si="129"/>
        <v>9.6140640021968871E-4</v>
      </c>
      <c r="K480" s="82" t="str">
        <f>_xlfn.IFNA(VLOOKUP(CLEAN(SUBSTITUTE(C480," ","")),Ref_Factory!$A:$B,2,FALSE),CLEAN(SUBSTITUTE(C480," ","")))</f>
        <v>GM2</v>
      </c>
      <c r="L480" s="82" t="str">
        <f t="shared" si="130"/>
        <v>APRIL-4-GM2</v>
      </c>
      <c r="M480" s="70">
        <f t="shared" si="131"/>
        <v>0.40587633359271624</v>
      </c>
      <c r="N480" s="70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25">
      <c r="A481" t="s">
        <v>38</v>
      </c>
      <c r="B481" s="63">
        <v>4</v>
      </c>
      <c r="C481" t="s">
        <v>14</v>
      </c>
      <c r="D481" s="67">
        <v>1584</v>
      </c>
      <c r="E481">
        <v>1608</v>
      </c>
      <c r="F481" s="66">
        <v>1600</v>
      </c>
      <c r="G481" s="13">
        <f t="shared" si="126"/>
        <v>-8</v>
      </c>
      <c r="H481" s="13">
        <f t="shared" si="127"/>
        <v>16</v>
      </c>
      <c r="I481" s="70">
        <f t="shared" si="128"/>
        <v>1.0101010101010166E-2</v>
      </c>
      <c r="J481" s="70">
        <f t="shared" si="129"/>
        <v>-4.9751243781094301E-3</v>
      </c>
      <c r="K481" s="82" t="str">
        <f>_xlfn.IFNA(VLOOKUP(CLEAN(SUBSTITUTE(C481," ","")),Ref_Factory!$A:$B,2,FALSE),CLEAN(SUBSTITUTE(C481," ","")))</f>
        <v>GM2</v>
      </c>
      <c r="L481" s="82" t="str">
        <f t="shared" si="130"/>
        <v>APRIL-4-GM2</v>
      </c>
      <c r="M481" s="70">
        <f t="shared" si="131"/>
        <v>0.40587633359271624</v>
      </c>
      <c r="N481" s="70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25">
      <c r="A482" t="s">
        <v>38</v>
      </c>
      <c r="B482" s="63">
        <v>4</v>
      </c>
      <c r="C482" t="s">
        <v>13</v>
      </c>
      <c r="D482" s="67">
        <v>62100</v>
      </c>
      <c r="E482" s="66">
        <v>62727</v>
      </c>
      <c r="F482" s="66">
        <v>62574</v>
      </c>
      <c r="G482" s="13">
        <f t="shared" si="126"/>
        <v>-153</v>
      </c>
      <c r="H482" s="13">
        <f t="shared" si="127"/>
        <v>474</v>
      </c>
      <c r="I482" s="70">
        <f t="shared" si="128"/>
        <v>7.6328502415459187E-3</v>
      </c>
      <c r="J482" s="70">
        <f t="shared" si="129"/>
        <v>-2.4391410397436308E-3</v>
      </c>
      <c r="K482" s="82" t="str">
        <f>_xlfn.IFNA(VLOOKUP(CLEAN(SUBSTITUTE(C482," ","")),Ref_Factory!$A:$B,2,FALSE),CLEAN(SUBSTITUTE(C482," ","")))</f>
        <v>KALIBENDA</v>
      </c>
      <c r="L482" s="82" t="str">
        <f t="shared" si="130"/>
        <v>APRIL-4-KALIBENDA</v>
      </c>
      <c r="M482" s="70">
        <f t="shared" si="131"/>
        <v>1.8041160176029081E-2</v>
      </c>
      <c r="N482" s="70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25">
      <c r="A483" t="s">
        <v>38</v>
      </c>
      <c r="B483" s="63">
        <v>4</v>
      </c>
      <c r="C483" t="s">
        <v>13</v>
      </c>
      <c r="D483" s="67">
        <v>2592</v>
      </c>
      <c r="E483" s="66">
        <v>2622</v>
      </c>
      <c r="F483" s="66">
        <v>2613</v>
      </c>
      <c r="G483" s="13">
        <f t="shared" si="126"/>
        <v>-9</v>
      </c>
      <c r="H483" s="13">
        <f t="shared" si="127"/>
        <v>21</v>
      </c>
      <c r="I483" s="70">
        <f t="shared" si="128"/>
        <v>8.1018518518518601E-3</v>
      </c>
      <c r="J483" s="70">
        <f t="shared" si="129"/>
        <v>-3.4324942791762458E-3</v>
      </c>
      <c r="K483" s="82" t="str">
        <f>_xlfn.IFNA(VLOOKUP(CLEAN(SUBSTITUTE(C483," ","")),Ref_Factory!$A:$B,2,FALSE),CLEAN(SUBSTITUTE(C483," ","")))</f>
        <v>KALIBENDA</v>
      </c>
      <c r="L483" s="82" t="str">
        <f t="shared" si="130"/>
        <v>APRIL-4-KALIBENDA</v>
      </c>
      <c r="M483" s="70">
        <f t="shared" si="131"/>
        <v>1.8041160176029081E-2</v>
      </c>
      <c r="N483" s="70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25">
      <c r="A484" t="s">
        <v>38</v>
      </c>
      <c r="B484" s="63">
        <v>4</v>
      </c>
      <c r="C484" t="s">
        <v>13</v>
      </c>
      <c r="D484" s="67">
        <v>29916</v>
      </c>
      <c r="E484" s="66">
        <v>30063</v>
      </c>
      <c r="F484" s="66">
        <v>29985</v>
      </c>
      <c r="G484" s="13">
        <f t="shared" si="126"/>
        <v>-78</v>
      </c>
      <c r="H484" s="13">
        <f t="shared" si="127"/>
        <v>69</v>
      </c>
      <c r="I484" s="70">
        <f t="shared" si="128"/>
        <v>2.3064580826313019E-3</v>
      </c>
      <c r="J484" s="70">
        <f t="shared" si="129"/>
        <v>-2.5945514419718485E-3</v>
      </c>
      <c r="K484" s="82" t="str">
        <f>_xlfn.IFNA(VLOOKUP(CLEAN(SUBSTITUTE(C484," ","")),Ref_Factory!$A:$B,2,FALSE),CLEAN(SUBSTITUTE(C484," ","")))</f>
        <v>KALIBENDA</v>
      </c>
      <c r="L484" s="82" t="str">
        <f t="shared" si="130"/>
        <v>APRIL-4-KALIBENDA</v>
      </c>
      <c r="M484" s="70">
        <f t="shared" si="131"/>
        <v>1.8041160176029081E-2</v>
      </c>
      <c r="N484" s="70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25">
      <c r="A485" t="s">
        <v>39</v>
      </c>
      <c r="B485" s="63">
        <v>1</v>
      </c>
      <c r="C485" t="s">
        <v>16</v>
      </c>
      <c r="D485" s="65">
        <v>450</v>
      </c>
      <c r="E485" s="65">
        <v>466</v>
      </c>
      <c r="F485" s="65">
        <v>409</v>
      </c>
      <c r="G485" s="13">
        <f t="shared" si="126"/>
        <v>-57</v>
      </c>
      <c r="H485" s="13">
        <f t="shared" si="127"/>
        <v>-41</v>
      </c>
      <c r="I485" s="70">
        <f t="shared" si="128"/>
        <v>-9.1111111111111143E-2</v>
      </c>
      <c r="J485" s="70">
        <f t="shared" si="129"/>
        <v>-0.12231759656652363</v>
      </c>
      <c r="K485" s="82" t="str">
        <f>_xlfn.IFNA(VLOOKUP(CLEAN(SUBSTITUTE(C485," ","")),Ref_Factory!$A:$B,2,FALSE),CLEAN(SUBSTITUTE(C485," ","")))</f>
        <v>ANUGERAH</v>
      </c>
      <c r="L485" s="82" t="str">
        <f t="shared" si="130"/>
        <v>MAY-1-ANUGERAH</v>
      </c>
      <c r="M485" s="70">
        <f t="shared" si="131"/>
        <v>-0.31210089635026961</v>
      </c>
      <c r="N485" s="70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25">
      <c r="A486" t="s">
        <v>39</v>
      </c>
      <c r="B486" s="63">
        <v>1</v>
      </c>
      <c r="C486" t="s">
        <v>16</v>
      </c>
      <c r="D486" s="65">
        <v>1050</v>
      </c>
      <c r="E486" s="65">
        <v>1059</v>
      </c>
      <c r="F486" s="65">
        <v>1050</v>
      </c>
      <c r="G486" s="13">
        <f t="shared" si="126"/>
        <v>-9</v>
      </c>
      <c r="H486" s="13">
        <f t="shared" si="127"/>
        <v>0</v>
      </c>
      <c r="I486" s="70">
        <f t="shared" si="128"/>
        <v>0</v>
      </c>
      <c r="J486" s="70">
        <f t="shared" si="129"/>
        <v>-8.4985835694051381E-3</v>
      </c>
      <c r="K486" s="82" t="str">
        <f>_xlfn.IFNA(VLOOKUP(CLEAN(SUBSTITUTE(C486," ","")),Ref_Factory!$A:$B,2,FALSE),CLEAN(SUBSTITUTE(C486," ","")))</f>
        <v>ANUGERAH</v>
      </c>
      <c r="L486" s="82" t="str">
        <f t="shared" si="130"/>
        <v>MAY-1-ANUGERAH</v>
      </c>
      <c r="M486" s="70">
        <f t="shared" si="131"/>
        <v>-0.31210089635026961</v>
      </c>
      <c r="N486" s="70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25">
      <c r="A487" t="s">
        <v>39</v>
      </c>
      <c r="B487" s="63">
        <v>1</v>
      </c>
      <c r="C487" t="s">
        <v>16</v>
      </c>
      <c r="D487" s="65">
        <v>450</v>
      </c>
      <c r="E487" s="65">
        <v>482</v>
      </c>
      <c r="F487" s="65">
        <v>459</v>
      </c>
      <c r="G487" s="13">
        <f t="shared" si="126"/>
        <v>-23</v>
      </c>
      <c r="H487" s="13">
        <f t="shared" si="127"/>
        <v>9</v>
      </c>
      <c r="I487" s="70">
        <f t="shared" si="128"/>
        <v>2.0000000000000018E-2</v>
      </c>
      <c r="J487" s="70">
        <f t="shared" si="129"/>
        <v>-4.7717842323651505E-2</v>
      </c>
      <c r="K487" s="82" t="str">
        <f>_xlfn.IFNA(VLOOKUP(CLEAN(SUBSTITUTE(C487," ","")),Ref_Factory!$A:$B,2,FALSE),CLEAN(SUBSTITUTE(C487," ","")))</f>
        <v>ANUGERAH</v>
      </c>
      <c r="L487" s="82" t="str">
        <f t="shared" si="130"/>
        <v>MAY-1-ANUGERAH</v>
      </c>
      <c r="M487" s="70">
        <f t="shared" si="131"/>
        <v>-0.31210089635026961</v>
      </c>
      <c r="N487" s="70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25">
      <c r="A488" t="s">
        <v>39</v>
      </c>
      <c r="B488" s="63">
        <v>1</v>
      </c>
      <c r="C488" t="s">
        <v>16</v>
      </c>
      <c r="D488" s="65">
        <v>1050</v>
      </c>
      <c r="E488" s="65">
        <v>1059</v>
      </c>
      <c r="F488" s="65">
        <v>1050</v>
      </c>
      <c r="G488" s="13">
        <f t="shared" si="126"/>
        <v>-9</v>
      </c>
      <c r="H488" s="13">
        <f t="shared" si="127"/>
        <v>0</v>
      </c>
      <c r="I488" s="70">
        <f t="shared" si="128"/>
        <v>0</v>
      </c>
      <c r="J488" s="70">
        <f t="shared" si="129"/>
        <v>-8.4985835694051381E-3</v>
      </c>
      <c r="K488" s="82" t="str">
        <f>_xlfn.IFNA(VLOOKUP(CLEAN(SUBSTITUTE(C488," ","")),Ref_Factory!$A:$B,2,FALSE),CLEAN(SUBSTITUTE(C488," ","")))</f>
        <v>ANUGERAH</v>
      </c>
      <c r="L488" s="82" t="str">
        <f t="shared" si="130"/>
        <v>MAY-1-ANUGERAH</v>
      </c>
      <c r="M488" s="70">
        <f t="shared" si="131"/>
        <v>-0.31210089635026961</v>
      </c>
      <c r="N488" s="70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25">
      <c r="A489" t="s">
        <v>39</v>
      </c>
      <c r="B489" s="63">
        <v>1</v>
      </c>
      <c r="C489" t="s">
        <v>16</v>
      </c>
      <c r="D489" s="65">
        <v>300</v>
      </c>
      <c r="E489" s="65">
        <v>299</v>
      </c>
      <c r="F489" s="65">
        <v>269</v>
      </c>
      <c r="G489" s="13">
        <f t="shared" si="126"/>
        <v>-30</v>
      </c>
      <c r="H489" s="13">
        <f t="shared" si="127"/>
        <v>-31</v>
      </c>
      <c r="I489" s="70">
        <f t="shared" si="128"/>
        <v>-0.10333333333333339</v>
      </c>
      <c r="J489" s="70">
        <f t="shared" si="129"/>
        <v>-0.10033444816053516</v>
      </c>
      <c r="K489" s="82" t="str">
        <f>_xlfn.IFNA(VLOOKUP(CLEAN(SUBSTITUTE(C489," ","")),Ref_Factory!$A:$B,2,FALSE),CLEAN(SUBSTITUTE(C489," ","")))</f>
        <v>ANUGERAH</v>
      </c>
      <c r="L489" s="82" t="str">
        <f t="shared" si="130"/>
        <v>MAY-1-ANUGERAH</v>
      </c>
      <c r="M489" s="70">
        <f t="shared" si="131"/>
        <v>-0.31210089635026961</v>
      </c>
      <c r="N489" s="70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25">
      <c r="A490" t="s">
        <v>39</v>
      </c>
      <c r="B490" s="63">
        <v>1</v>
      </c>
      <c r="C490" t="s">
        <v>16</v>
      </c>
      <c r="D490" s="65">
        <v>900</v>
      </c>
      <c r="E490" s="65">
        <v>926</v>
      </c>
      <c r="F490" s="65">
        <v>900</v>
      </c>
      <c r="G490" s="13">
        <f t="shared" si="126"/>
        <v>-26</v>
      </c>
      <c r="H490" s="13">
        <f t="shared" si="127"/>
        <v>0</v>
      </c>
      <c r="I490" s="70">
        <f t="shared" si="128"/>
        <v>0</v>
      </c>
      <c r="J490" s="70">
        <f t="shared" si="129"/>
        <v>-2.8077753779697678E-2</v>
      </c>
      <c r="K490" s="82" t="str">
        <f>_xlfn.IFNA(VLOOKUP(CLEAN(SUBSTITUTE(C490," ","")),Ref_Factory!$A:$B,2,FALSE),CLEAN(SUBSTITUTE(C490," ","")))</f>
        <v>ANUGERAH</v>
      </c>
      <c r="L490" s="82" t="str">
        <f t="shared" si="130"/>
        <v>MAY-1-ANUGERAH</v>
      </c>
      <c r="M490" s="70">
        <f t="shared" si="131"/>
        <v>-0.31210089635026961</v>
      </c>
      <c r="N490" s="70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25">
      <c r="A491" t="s">
        <v>39</v>
      </c>
      <c r="B491" s="63">
        <v>1</v>
      </c>
      <c r="C491" t="s">
        <v>16</v>
      </c>
      <c r="D491" s="65">
        <v>450</v>
      </c>
      <c r="E491" s="65">
        <v>460</v>
      </c>
      <c r="F491" s="65">
        <v>433</v>
      </c>
      <c r="G491" s="13">
        <f t="shared" si="126"/>
        <v>-27</v>
      </c>
      <c r="H491" s="13">
        <f t="shared" si="127"/>
        <v>-17</v>
      </c>
      <c r="I491" s="70">
        <f t="shared" si="128"/>
        <v>-3.7777777777777799E-2</v>
      </c>
      <c r="J491" s="70">
        <f t="shared" si="129"/>
        <v>-5.8695652173913038E-2</v>
      </c>
      <c r="K491" s="82" t="str">
        <f>_xlfn.IFNA(VLOOKUP(CLEAN(SUBSTITUTE(C491," ","")),Ref_Factory!$A:$B,2,FALSE),CLEAN(SUBSTITUTE(C491," ","")))</f>
        <v>ANUGERAH</v>
      </c>
      <c r="L491" s="82" t="str">
        <f t="shared" si="130"/>
        <v>MAY-1-ANUGERAH</v>
      </c>
      <c r="M491" s="70">
        <f t="shared" si="131"/>
        <v>-0.31210089635026961</v>
      </c>
      <c r="N491" s="70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25">
      <c r="A492" t="s">
        <v>39</v>
      </c>
      <c r="B492" s="63">
        <v>1</v>
      </c>
      <c r="C492" t="s">
        <v>16</v>
      </c>
      <c r="D492" s="65">
        <v>1050</v>
      </c>
      <c r="E492" s="65">
        <v>1088</v>
      </c>
      <c r="F492" s="65">
        <v>1050</v>
      </c>
      <c r="G492" s="13">
        <f t="shared" si="126"/>
        <v>-38</v>
      </c>
      <c r="H492" s="13">
        <f t="shared" si="127"/>
        <v>0</v>
      </c>
      <c r="I492" s="70">
        <f t="shared" si="128"/>
        <v>0</v>
      </c>
      <c r="J492" s="70">
        <f t="shared" si="129"/>
        <v>-3.4926470588235281E-2</v>
      </c>
      <c r="K492" s="82" t="str">
        <f>_xlfn.IFNA(VLOOKUP(CLEAN(SUBSTITUTE(C492," ","")),Ref_Factory!$A:$B,2,FALSE),CLEAN(SUBSTITUTE(C492," ","")))</f>
        <v>ANUGERAH</v>
      </c>
      <c r="L492" s="82" t="str">
        <f t="shared" si="130"/>
        <v>MAY-1-ANUGERAH</v>
      </c>
      <c r="M492" s="70">
        <f t="shared" si="131"/>
        <v>-0.31210089635026961</v>
      </c>
      <c r="N492" s="70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25">
      <c r="A493" t="s">
        <v>39</v>
      </c>
      <c r="B493" s="63">
        <v>1</v>
      </c>
      <c r="C493" t="s">
        <v>16</v>
      </c>
      <c r="D493" s="65">
        <v>119000</v>
      </c>
      <c r="E493" s="65">
        <v>116056</v>
      </c>
      <c r="F493" s="65">
        <v>115314</v>
      </c>
      <c r="G493" s="13">
        <f t="shared" si="126"/>
        <v>-742</v>
      </c>
      <c r="H493" s="13">
        <f t="shared" si="127"/>
        <v>-3686</v>
      </c>
      <c r="I493" s="70">
        <f t="shared" si="128"/>
        <v>-3.0974789915966361E-2</v>
      </c>
      <c r="J493" s="70">
        <f t="shared" si="129"/>
        <v>-6.3934652236851131E-3</v>
      </c>
      <c r="K493" s="82" t="str">
        <f>_xlfn.IFNA(VLOOKUP(CLEAN(SUBSTITUTE(C493," ","")),Ref_Factory!$A:$B,2,FALSE),CLEAN(SUBSTITUTE(C493," ","")))</f>
        <v>ANUGERAH</v>
      </c>
      <c r="L493" s="82" t="str">
        <f t="shared" si="130"/>
        <v>MAY-1-ANUGERAH</v>
      </c>
      <c r="M493" s="70">
        <f t="shared" si="131"/>
        <v>-0.31210089635026961</v>
      </c>
      <c r="N493" s="70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25">
      <c r="A494" t="s">
        <v>39</v>
      </c>
      <c r="B494" s="63">
        <v>1</v>
      </c>
      <c r="C494" t="s">
        <v>16</v>
      </c>
      <c r="D494" s="65">
        <v>122000</v>
      </c>
      <c r="E494" s="65">
        <v>122000</v>
      </c>
      <c r="F494" s="65">
        <v>121214</v>
      </c>
      <c r="G494" s="13">
        <f t="shared" si="126"/>
        <v>-786</v>
      </c>
      <c r="H494" s="13">
        <f t="shared" si="127"/>
        <v>-786</v>
      </c>
      <c r="I494" s="70">
        <f t="shared" si="128"/>
        <v>-6.4426229508196542E-3</v>
      </c>
      <c r="J494" s="70">
        <f t="shared" si="129"/>
        <v>-6.4426229508196542E-3</v>
      </c>
      <c r="K494" s="82" t="str">
        <f>_xlfn.IFNA(VLOOKUP(CLEAN(SUBSTITUTE(C494," ","")),Ref_Factory!$A:$B,2,FALSE),CLEAN(SUBSTITUTE(C494," ","")))</f>
        <v>ANUGERAH</v>
      </c>
      <c r="L494" s="82" t="str">
        <f t="shared" si="130"/>
        <v>MAY-1-ANUGERAH</v>
      </c>
      <c r="M494" s="70">
        <f t="shared" si="131"/>
        <v>-0.31210089635026961</v>
      </c>
      <c r="N494" s="70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25">
      <c r="A495" t="s">
        <v>39</v>
      </c>
      <c r="B495" s="63">
        <v>1</v>
      </c>
      <c r="C495" t="s">
        <v>16</v>
      </c>
      <c r="D495" s="65">
        <v>80000</v>
      </c>
      <c r="E495" s="65">
        <v>79164</v>
      </c>
      <c r="F495" s="65">
        <v>78176</v>
      </c>
      <c r="G495" s="13">
        <f t="shared" si="126"/>
        <v>-988</v>
      </c>
      <c r="H495" s="13">
        <f t="shared" si="127"/>
        <v>-1824</v>
      </c>
      <c r="I495" s="70">
        <f t="shared" si="128"/>
        <v>-2.2800000000000042E-2</v>
      </c>
      <c r="J495" s="70">
        <f t="shared" si="129"/>
        <v>-1.2480420393107927E-2</v>
      </c>
      <c r="K495" s="82" t="str">
        <f>_xlfn.IFNA(VLOOKUP(CLEAN(SUBSTITUTE(C495," ","")),Ref_Factory!$A:$B,2,FALSE),CLEAN(SUBSTITUTE(C495," ","")))</f>
        <v>ANUGERAH</v>
      </c>
      <c r="L495" s="82" t="str">
        <f t="shared" si="130"/>
        <v>MAY-1-ANUGERAH</v>
      </c>
      <c r="M495" s="70">
        <f t="shared" si="131"/>
        <v>-0.31210089635026961</v>
      </c>
      <c r="N495" s="70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25">
      <c r="A496" t="s">
        <v>39</v>
      </c>
      <c r="B496" s="63">
        <v>1</v>
      </c>
      <c r="C496" t="s">
        <v>16</v>
      </c>
      <c r="D496" s="65">
        <v>55500</v>
      </c>
      <c r="E496" s="65">
        <v>55357</v>
      </c>
      <c r="F496" s="65">
        <v>54949</v>
      </c>
      <c r="G496" s="13">
        <f t="shared" si="126"/>
        <v>-408</v>
      </c>
      <c r="H496" s="13">
        <f t="shared" si="127"/>
        <v>-551</v>
      </c>
      <c r="I496" s="70">
        <f t="shared" si="128"/>
        <v>-9.9279279279279598E-3</v>
      </c>
      <c r="J496" s="70">
        <f t="shared" si="129"/>
        <v>-7.3703416008815692E-3</v>
      </c>
      <c r="K496" s="82" t="str">
        <f>_xlfn.IFNA(VLOOKUP(CLEAN(SUBSTITUTE(C496," ","")),Ref_Factory!$A:$B,2,FALSE),CLEAN(SUBSTITUTE(C496," ","")))</f>
        <v>ANUGERAH</v>
      </c>
      <c r="L496" s="82" t="str">
        <f t="shared" si="130"/>
        <v>MAY-1-ANUGERAH</v>
      </c>
      <c r="M496" s="70">
        <f t="shared" si="131"/>
        <v>-0.31210089635026961</v>
      </c>
      <c r="N496" s="70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25">
      <c r="A497" t="s">
        <v>39</v>
      </c>
      <c r="B497" s="63">
        <v>1</v>
      </c>
      <c r="C497" t="s">
        <v>16</v>
      </c>
      <c r="D497" s="65">
        <v>18000</v>
      </c>
      <c r="E497" s="65">
        <v>17967</v>
      </c>
      <c r="F497" s="65">
        <v>17688</v>
      </c>
      <c r="G497" s="13">
        <f t="shared" si="126"/>
        <v>-279</v>
      </c>
      <c r="H497" s="13">
        <f t="shared" si="127"/>
        <v>-312</v>
      </c>
      <c r="I497" s="70">
        <f t="shared" si="128"/>
        <v>-1.7333333333333312E-2</v>
      </c>
      <c r="J497" s="70">
        <f t="shared" si="129"/>
        <v>-1.5528468859575928E-2</v>
      </c>
      <c r="K497" s="82" t="str">
        <f>_xlfn.IFNA(VLOOKUP(CLEAN(SUBSTITUTE(C497," ","")),Ref_Factory!$A:$B,2,FALSE),CLEAN(SUBSTITUTE(C497," ","")))</f>
        <v>ANUGERAH</v>
      </c>
      <c r="L497" s="82" t="str">
        <f t="shared" si="130"/>
        <v>MAY-1-ANUGERAH</v>
      </c>
      <c r="M497" s="70">
        <f t="shared" si="131"/>
        <v>-0.31210089635026961</v>
      </c>
      <c r="N497" s="70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25">
      <c r="A498" t="s">
        <v>39</v>
      </c>
      <c r="B498" s="63">
        <v>1</v>
      </c>
      <c r="C498" t="s">
        <v>16</v>
      </c>
      <c r="D498" s="65">
        <v>7500</v>
      </c>
      <c r="E498" s="65">
        <v>7477</v>
      </c>
      <c r="F498" s="65">
        <v>7407</v>
      </c>
      <c r="G498" s="13">
        <f t="shared" si="126"/>
        <v>-70</v>
      </c>
      <c r="H498" s="13">
        <f t="shared" si="127"/>
        <v>-93</v>
      </c>
      <c r="I498" s="70">
        <f t="shared" si="128"/>
        <v>-1.2399999999999967E-2</v>
      </c>
      <c r="J498" s="70">
        <f t="shared" si="129"/>
        <v>-9.3620436003745144E-3</v>
      </c>
      <c r="K498" s="82" t="str">
        <f>_xlfn.IFNA(VLOOKUP(CLEAN(SUBSTITUTE(C498," ","")),Ref_Factory!$A:$B,2,FALSE),CLEAN(SUBSTITUTE(C498," ","")))</f>
        <v>ANUGERAH</v>
      </c>
      <c r="L498" s="82" t="str">
        <f t="shared" si="130"/>
        <v>MAY-1-ANUGERAH</v>
      </c>
      <c r="M498" s="70">
        <f t="shared" si="131"/>
        <v>-0.31210089635026961</v>
      </c>
      <c r="N498" s="70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25">
      <c r="A499" t="s">
        <v>39</v>
      </c>
      <c r="B499" s="63">
        <v>1</v>
      </c>
      <c r="C499" t="s">
        <v>10</v>
      </c>
      <c r="D499" s="65">
        <v>2830</v>
      </c>
      <c r="E499" s="65">
        <v>2852</v>
      </c>
      <c r="F499" s="65">
        <v>2830</v>
      </c>
      <c r="G499" s="13">
        <f t="shared" si="126"/>
        <v>-22</v>
      </c>
      <c r="H499" s="13">
        <f t="shared" si="127"/>
        <v>0</v>
      </c>
      <c r="I499" s="70">
        <f t="shared" si="128"/>
        <v>0</v>
      </c>
      <c r="J499" s="70">
        <f t="shared" si="129"/>
        <v>-7.7138849929874187E-3</v>
      </c>
      <c r="K499" s="82" t="str">
        <f>_xlfn.IFNA(VLOOKUP(CLEAN(SUBSTITUTE(C499," ","")),Ref_Factory!$A:$B,2,FALSE),CLEAN(SUBSTITUTE(C499," ","")))</f>
        <v>CNJ2</v>
      </c>
      <c r="L499" s="82" t="str">
        <f t="shared" si="130"/>
        <v>MAY-1-CNJ2</v>
      </c>
      <c r="M499" s="70">
        <f t="shared" si="131"/>
        <v>0</v>
      </c>
      <c r="N499" s="70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25">
      <c r="A500" t="s">
        <v>39</v>
      </c>
      <c r="B500" s="63">
        <v>1</v>
      </c>
      <c r="C500" t="s">
        <v>10</v>
      </c>
      <c r="D500" s="65">
        <v>1860</v>
      </c>
      <c r="E500" s="65">
        <v>1878</v>
      </c>
      <c r="F500" s="65">
        <v>1860</v>
      </c>
      <c r="G500" s="13">
        <f t="shared" si="126"/>
        <v>-18</v>
      </c>
      <c r="H500" s="13">
        <f t="shared" si="127"/>
        <v>0</v>
      </c>
      <c r="I500" s="70">
        <f t="shared" si="128"/>
        <v>0</v>
      </c>
      <c r="J500" s="70">
        <f t="shared" si="129"/>
        <v>-9.5846645367412275E-3</v>
      </c>
      <c r="K500" s="82" t="str">
        <f>_xlfn.IFNA(VLOOKUP(CLEAN(SUBSTITUTE(C500," ","")),Ref_Factory!$A:$B,2,FALSE),CLEAN(SUBSTITUTE(C500," ","")))</f>
        <v>CNJ2</v>
      </c>
      <c r="L500" s="82" t="str">
        <f t="shared" si="130"/>
        <v>MAY-1-CNJ2</v>
      </c>
      <c r="M500" s="70">
        <f t="shared" si="131"/>
        <v>0</v>
      </c>
      <c r="N500" s="70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25">
      <c r="A501" t="s">
        <v>39</v>
      </c>
      <c r="B501" s="63">
        <v>1</v>
      </c>
      <c r="C501" t="s">
        <v>10</v>
      </c>
      <c r="D501" s="65">
        <v>1710</v>
      </c>
      <c r="E501" s="65">
        <v>1737</v>
      </c>
      <c r="F501" s="65">
        <v>1710</v>
      </c>
      <c r="G501" s="13">
        <f t="shared" si="126"/>
        <v>-27</v>
      </c>
      <c r="H501" s="13">
        <f t="shared" si="127"/>
        <v>0</v>
      </c>
      <c r="I501" s="70">
        <f t="shared" si="128"/>
        <v>0</v>
      </c>
      <c r="J501" s="70">
        <f t="shared" si="129"/>
        <v>-1.5544041450777257E-2</v>
      </c>
      <c r="K501" s="82" t="str">
        <f>_xlfn.IFNA(VLOOKUP(CLEAN(SUBSTITUTE(C501," ","")),Ref_Factory!$A:$B,2,FALSE),CLEAN(SUBSTITUTE(C501," ","")))</f>
        <v>CNJ2</v>
      </c>
      <c r="L501" s="82" t="str">
        <f t="shared" si="130"/>
        <v>MAY-1-CNJ2</v>
      </c>
      <c r="M501" s="70">
        <f t="shared" si="131"/>
        <v>0</v>
      </c>
      <c r="N501" s="70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25">
      <c r="A502" t="s">
        <v>39</v>
      </c>
      <c r="B502" s="63">
        <v>1</v>
      </c>
      <c r="C502" t="s">
        <v>10</v>
      </c>
      <c r="D502" s="65">
        <v>900</v>
      </c>
      <c r="E502" s="65">
        <v>913</v>
      </c>
      <c r="F502" s="65">
        <v>900</v>
      </c>
      <c r="G502" s="13">
        <f t="shared" si="126"/>
        <v>-13</v>
      </c>
      <c r="H502" s="13">
        <f t="shared" si="127"/>
        <v>0</v>
      </c>
      <c r="I502" s="70">
        <f t="shared" si="128"/>
        <v>0</v>
      </c>
      <c r="J502" s="70">
        <f t="shared" si="129"/>
        <v>-1.4238773274917849E-2</v>
      </c>
      <c r="K502" s="82" t="str">
        <f>_xlfn.IFNA(VLOOKUP(CLEAN(SUBSTITUTE(C502," ","")),Ref_Factory!$A:$B,2,FALSE),CLEAN(SUBSTITUTE(C502," ","")))</f>
        <v>CNJ2</v>
      </c>
      <c r="L502" s="82" t="str">
        <f t="shared" si="130"/>
        <v>MAY-1-CNJ2</v>
      </c>
      <c r="M502" s="70">
        <f t="shared" si="131"/>
        <v>0</v>
      </c>
      <c r="N502" s="70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25">
      <c r="A503" t="s">
        <v>39</v>
      </c>
      <c r="B503" s="63">
        <v>1</v>
      </c>
      <c r="C503" t="s">
        <v>10</v>
      </c>
      <c r="D503" s="65">
        <v>1600</v>
      </c>
      <c r="E503" s="65">
        <v>1626</v>
      </c>
      <c r="F503" s="65">
        <v>1600</v>
      </c>
      <c r="G503" s="13">
        <f t="shared" si="126"/>
        <v>-26</v>
      </c>
      <c r="H503" s="13">
        <f t="shared" si="127"/>
        <v>0</v>
      </c>
      <c r="I503" s="70">
        <f t="shared" si="128"/>
        <v>0</v>
      </c>
      <c r="J503" s="70">
        <f t="shared" si="129"/>
        <v>-1.5990159901599021E-2</v>
      </c>
      <c r="K503" s="82" t="str">
        <f>_xlfn.IFNA(VLOOKUP(CLEAN(SUBSTITUTE(C503," ","")),Ref_Factory!$A:$B,2,FALSE),CLEAN(SUBSTITUTE(C503," ","")))</f>
        <v>CNJ2</v>
      </c>
      <c r="L503" s="82" t="str">
        <f t="shared" si="130"/>
        <v>MAY-1-CNJ2</v>
      </c>
      <c r="M503" s="70">
        <f t="shared" si="131"/>
        <v>0</v>
      </c>
      <c r="N503" s="70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25">
      <c r="A504" t="s">
        <v>39</v>
      </c>
      <c r="B504" s="63">
        <v>1</v>
      </c>
      <c r="C504" t="s">
        <v>10</v>
      </c>
      <c r="D504" s="65">
        <v>2100</v>
      </c>
      <c r="E504" s="65">
        <v>2184</v>
      </c>
      <c r="F504" s="65">
        <v>2100</v>
      </c>
      <c r="G504" s="13">
        <f t="shared" si="126"/>
        <v>-84</v>
      </c>
      <c r="H504" s="13">
        <f t="shared" si="127"/>
        <v>0</v>
      </c>
      <c r="I504" s="70">
        <f t="shared" si="128"/>
        <v>0</v>
      </c>
      <c r="J504" s="70">
        <f t="shared" si="129"/>
        <v>-3.8461538461538436E-2</v>
      </c>
      <c r="K504" s="82" t="str">
        <f>_xlfn.IFNA(VLOOKUP(CLEAN(SUBSTITUTE(C504," ","")),Ref_Factory!$A:$B,2,FALSE),CLEAN(SUBSTITUTE(C504," ","")))</f>
        <v>CNJ2</v>
      </c>
      <c r="L504" s="82" t="str">
        <f t="shared" si="130"/>
        <v>MAY-1-CNJ2</v>
      </c>
      <c r="M504" s="70">
        <f t="shared" si="131"/>
        <v>0</v>
      </c>
      <c r="N504" s="70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25">
      <c r="A505" t="s">
        <v>39</v>
      </c>
      <c r="B505" s="63">
        <v>1</v>
      </c>
      <c r="C505" t="s">
        <v>10</v>
      </c>
      <c r="D505" s="65">
        <v>2000</v>
      </c>
      <c r="E505" s="65">
        <v>2024</v>
      </c>
      <c r="F505" s="65">
        <v>2000</v>
      </c>
      <c r="G505" s="13">
        <f t="shared" si="126"/>
        <v>-24</v>
      </c>
      <c r="H505" s="13">
        <f t="shared" si="127"/>
        <v>0</v>
      </c>
      <c r="I505" s="70">
        <f t="shared" si="128"/>
        <v>0</v>
      </c>
      <c r="J505" s="70">
        <f t="shared" si="129"/>
        <v>-1.1857707509881465E-2</v>
      </c>
      <c r="K505" s="82" t="str">
        <f>_xlfn.IFNA(VLOOKUP(CLEAN(SUBSTITUTE(C505," ","")),Ref_Factory!$A:$B,2,FALSE),CLEAN(SUBSTITUTE(C505," ","")))</f>
        <v>CNJ2</v>
      </c>
      <c r="L505" s="82" t="str">
        <f t="shared" si="130"/>
        <v>MAY-1-CNJ2</v>
      </c>
      <c r="M505" s="70">
        <f t="shared" si="131"/>
        <v>0</v>
      </c>
      <c r="N505" s="70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25">
      <c r="A506" t="s">
        <v>39</v>
      </c>
      <c r="B506" s="63">
        <v>1</v>
      </c>
      <c r="C506" t="s">
        <v>10</v>
      </c>
      <c r="D506" s="65">
        <v>3810</v>
      </c>
      <c r="E506" s="65">
        <v>3832</v>
      </c>
      <c r="F506" s="65">
        <v>3810</v>
      </c>
      <c r="G506" s="13">
        <f t="shared" si="126"/>
        <v>-22</v>
      </c>
      <c r="H506" s="13">
        <f t="shared" si="127"/>
        <v>0</v>
      </c>
      <c r="I506" s="70">
        <f t="shared" si="128"/>
        <v>0</v>
      </c>
      <c r="J506" s="70">
        <f t="shared" si="129"/>
        <v>-5.7411273486429604E-3</v>
      </c>
      <c r="K506" s="82" t="str">
        <f>_xlfn.IFNA(VLOOKUP(CLEAN(SUBSTITUTE(C506," ","")),Ref_Factory!$A:$B,2,FALSE),CLEAN(SUBSTITUTE(C506," ","")))</f>
        <v>CNJ2</v>
      </c>
      <c r="L506" s="82" t="str">
        <f t="shared" si="130"/>
        <v>MAY-1-CNJ2</v>
      </c>
      <c r="M506" s="70">
        <f t="shared" si="131"/>
        <v>0</v>
      </c>
      <c r="N506" s="70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25">
      <c r="A507" t="s">
        <v>39</v>
      </c>
      <c r="B507" s="63">
        <v>1</v>
      </c>
      <c r="C507" t="s">
        <v>13</v>
      </c>
      <c r="D507" s="65">
        <v>90000</v>
      </c>
      <c r="E507" s="65">
        <v>90072</v>
      </c>
      <c r="F507" s="65">
        <v>90072</v>
      </c>
      <c r="G507" s="13">
        <f t="shared" si="126"/>
        <v>0</v>
      </c>
      <c r="H507" s="13">
        <f t="shared" si="127"/>
        <v>72</v>
      </c>
      <c r="I507" s="70">
        <f t="shared" si="128"/>
        <v>7.9999999999991189E-4</v>
      </c>
      <c r="J507" s="70">
        <f t="shared" si="129"/>
        <v>0</v>
      </c>
      <c r="K507" s="82" t="str">
        <f>_xlfn.IFNA(VLOOKUP(CLEAN(SUBSTITUTE(C507," ","")),Ref_Factory!$A:$B,2,FALSE),CLEAN(SUBSTITUTE(C507," ","")))</f>
        <v>KALIBENDA</v>
      </c>
      <c r="L507" s="82" t="str">
        <f t="shared" si="130"/>
        <v>MAY-1-KALIBENDA</v>
      </c>
      <c r="M507" s="70">
        <f t="shared" si="131"/>
        <v>3.6443609295569779E-2</v>
      </c>
      <c r="N507" s="70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25">
      <c r="A508" t="s">
        <v>39</v>
      </c>
      <c r="B508" s="63">
        <v>1</v>
      </c>
      <c r="C508" t="s">
        <v>13</v>
      </c>
      <c r="D508" s="65">
        <v>9180</v>
      </c>
      <c r="E508" s="65">
        <v>9455</v>
      </c>
      <c r="F508" s="65">
        <v>9447</v>
      </c>
      <c r="G508" s="13">
        <f t="shared" si="126"/>
        <v>-8</v>
      </c>
      <c r="H508" s="13">
        <f t="shared" si="127"/>
        <v>267</v>
      </c>
      <c r="I508" s="70">
        <f t="shared" si="128"/>
        <v>2.9084967320261335E-2</v>
      </c>
      <c r="J508" s="70">
        <f t="shared" si="129"/>
        <v>-8.461131676361644E-4</v>
      </c>
      <c r="K508" s="82" t="str">
        <f>_xlfn.IFNA(VLOOKUP(CLEAN(SUBSTITUTE(C508," ","")),Ref_Factory!$A:$B,2,FALSE),CLEAN(SUBSTITUTE(C508," ","")))</f>
        <v>KALIBENDA</v>
      </c>
      <c r="L508" s="82" t="str">
        <f t="shared" si="130"/>
        <v>MAY-1-KALIBENDA</v>
      </c>
      <c r="M508" s="70">
        <f t="shared" si="131"/>
        <v>3.6443609295569779E-2</v>
      </c>
      <c r="N508" s="70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25">
      <c r="A509" t="s">
        <v>39</v>
      </c>
      <c r="B509" s="63">
        <v>1</v>
      </c>
      <c r="C509" t="s">
        <v>14</v>
      </c>
      <c r="D509" s="65">
        <v>6480</v>
      </c>
      <c r="E509" s="65">
        <v>6681</v>
      </c>
      <c r="F509" s="65">
        <v>6603</v>
      </c>
      <c r="G509" s="13">
        <f t="shared" si="126"/>
        <v>-78</v>
      </c>
      <c r="H509" s="13">
        <f t="shared" si="127"/>
        <v>123</v>
      </c>
      <c r="I509" s="70">
        <f t="shared" si="128"/>
        <v>1.8981481481481488E-2</v>
      </c>
      <c r="J509" s="70">
        <f t="shared" si="129"/>
        <v>-1.1674898967220515E-2</v>
      </c>
      <c r="K509" s="82" t="str">
        <f>_xlfn.IFNA(VLOOKUP(CLEAN(SUBSTITUTE(C509," ","")),Ref_Factory!$A:$B,2,FALSE),CLEAN(SUBSTITUTE(C509," ","")))</f>
        <v>GM2</v>
      </c>
      <c r="L509" s="82" t="str">
        <f t="shared" si="130"/>
        <v>MAY-1-GM2</v>
      </c>
      <c r="M509" s="70">
        <f t="shared" si="131"/>
        <v>0.19515119033396189</v>
      </c>
      <c r="N509" s="70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25">
      <c r="A510" t="s">
        <v>39</v>
      </c>
      <c r="B510" s="63">
        <v>1</v>
      </c>
      <c r="C510" t="s">
        <v>14</v>
      </c>
      <c r="D510" s="65">
        <v>9828</v>
      </c>
      <c r="E510" s="65">
        <v>10137</v>
      </c>
      <c r="F510" s="65">
        <v>9996</v>
      </c>
      <c r="G510" s="13">
        <f t="shared" si="126"/>
        <v>-141</v>
      </c>
      <c r="H510" s="13">
        <f t="shared" si="127"/>
        <v>168</v>
      </c>
      <c r="I510" s="70">
        <f t="shared" si="128"/>
        <v>1.7094017094017033E-2</v>
      </c>
      <c r="J510" s="70">
        <f t="shared" si="129"/>
        <v>-1.3909440662917993E-2</v>
      </c>
      <c r="K510" s="82" t="str">
        <f>_xlfn.IFNA(VLOOKUP(CLEAN(SUBSTITUTE(C510," ","")),Ref_Factory!$A:$B,2,FALSE),CLEAN(SUBSTITUTE(C510," ","")))</f>
        <v>GM2</v>
      </c>
      <c r="L510" s="82" t="str">
        <f t="shared" si="130"/>
        <v>MAY-1-GM2</v>
      </c>
      <c r="M510" s="70">
        <f t="shared" si="131"/>
        <v>0.19515119033396189</v>
      </c>
      <c r="N510" s="70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25">
      <c r="A511" t="s">
        <v>39</v>
      </c>
      <c r="B511" s="63">
        <v>1</v>
      </c>
      <c r="C511" t="s">
        <v>14</v>
      </c>
      <c r="D511" s="65">
        <v>3672</v>
      </c>
      <c r="E511" s="65">
        <v>3792</v>
      </c>
      <c r="F511" s="65">
        <v>3729</v>
      </c>
      <c r="G511" s="13">
        <f t="shared" si="126"/>
        <v>-63</v>
      </c>
      <c r="H511" s="13">
        <f t="shared" si="127"/>
        <v>57</v>
      </c>
      <c r="I511" s="70">
        <f t="shared" si="128"/>
        <v>1.5522875816993409E-2</v>
      </c>
      <c r="J511" s="70">
        <f t="shared" si="129"/>
        <v>-1.6613924050632889E-2</v>
      </c>
      <c r="K511" s="82" t="str">
        <f>_xlfn.IFNA(VLOOKUP(CLEAN(SUBSTITUTE(C511," ","")),Ref_Factory!$A:$B,2,FALSE),CLEAN(SUBSTITUTE(C511," ","")))</f>
        <v>GM2</v>
      </c>
      <c r="L511" s="82" t="str">
        <f t="shared" si="130"/>
        <v>MAY-1-GM2</v>
      </c>
      <c r="M511" s="70">
        <f t="shared" si="131"/>
        <v>0.19515119033396189</v>
      </c>
      <c r="N511" s="70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25">
      <c r="A512" t="s">
        <v>39</v>
      </c>
      <c r="B512" s="63">
        <v>1</v>
      </c>
      <c r="C512" t="s">
        <v>14</v>
      </c>
      <c r="D512" s="65">
        <v>3672</v>
      </c>
      <c r="E512" s="65">
        <v>3784</v>
      </c>
      <c r="F512" s="65">
        <v>3753</v>
      </c>
      <c r="G512" s="13">
        <f t="shared" si="126"/>
        <v>-31</v>
      </c>
      <c r="H512" s="13">
        <f t="shared" si="127"/>
        <v>81</v>
      </c>
      <c r="I512" s="70">
        <f t="shared" si="128"/>
        <v>2.2058823529411686E-2</v>
      </c>
      <c r="J512" s="70">
        <f t="shared" si="129"/>
        <v>-8.1923890063424487E-3</v>
      </c>
      <c r="K512" s="82" t="str">
        <f>_xlfn.IFNA(VLOOKUP(CLEAN(SUBSTITUTE(C512," ","")),Ref_Factory!$A:$B,2,FALSE),CLEAN(SUBSTITUTE(C512," ","")))</f>
        <v>GM2</v>
      </c>
      <c r="L512" s="82" t="str">
        <f t="shared" si="130"/>
        <v>MAY-1-GM2</v>
      </c>
      <c r="M512" s="70">
        <f t="shared" si="131"/>
        <v>0.19515119033396189</v>
      </c>
      <c r="N512" s="70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25">
      <c r="A513" t="s">
        <v>39</v>
      </c>
      <c r="B513" s="63">
        <v>1</v>
      </c>
      <c r="C513" t="s">
        <v>14</v>
      </c>
      <c r="D513" s="65">
        <v>9504</v>
      </c>
      <c r="E513" s="65">
        <v>9801</v>
      </c>
      <c r="F513" s="65">
        <v>9747</v>
      </c>
      <c r="G513" s="13">
        <f t="shared" si="126"/>
        <v>-54</v>
      </c>
      <c r="H513" s="13">
        <f t="shared" si="127"/>
        <v>243</v>
      </c>
      <c r="I513" s="70">
        <f t="shared" si="128"/>
        <v>2.5568181818181879E-2</v>
      </c>
      <c r="J513" s="70">
        <f t="shared" si="129"/>
        <v>-5.5096418732781816E-3</v>
      </c>
      <c r="K513" s="82" t="str">
        <f>_xlfn.IFNA(VLOOKUP(CLEAN(SUBSTITUTE(C513," ","")),Ref_Factory!$A:$B,2,FALSE),CLEAN(SUBSTITUTE(C513," ","")))</f>
        <v>GM2</v>
      </c>
      <c r="L513" s="82" t="str">
        <f t="shared" si="130"/>
        <v>MAY-1-GM2</v>
      </c>
      <c r="M513" s="70">
        <f t="shared" si="131"/>
        <v>0.19515119033396189</v>
      </c>
      <c r="N513" s="70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25">
      <c r="A514" t="s">
        <v>39</v>
      </c>
      <c r="B514" s="63">
        <v>1</v>
      </c>
      <c r="C514" t="s">
        <v>11</v>
      </c>
      <c r="D514" s="65">
        <v>13176</v>
      </c>
      <c r="E514" s="65">
        <v>13573</v>
      </c>
      <c r="F514" s="65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70">
        <f t="shared" ref="I514:I577" si="146">F514/D514-1</f>
        <v>2.6183970856102023E-2</v>
      </c>
      <c r="J514" s="70">
        <f t="shared" ref="J514:J577" si="147">F514/E514-1</f>
        <v>-3.8311353422235683E-3</v>
      </c>
      <c r="K514" s="82" t="str">
        <f>_xlfn.IFNA(VLOOKUP(CLEAN(SUBSTITUTE(C514," ","")),Ref_Factory!$A:$B,2,FALSE),CLEAN(SUBSTITUTE(C514," ","")))</f>
        <v>GM1</v>
      </c>
      <c r="L514" s="82" t="str">
        <f t="shared" ref="L514:L577" si="148">A514&amp;"-"&amp;B514&amp;"-"&amp;K514</f>
        <v>MAY-1-GM1</v>
      </c>
      <c r="M514" s="70">
        <f t="shared" ref="M514:M577" si="149">SUMIF($L$2:$L$1420,L514,$I$2:$I$1420)</f>
        <v>9.8783591837961593E-2</v>
      </c>
      <c r="N514" s="70">
        <f t="shared" ref="N514:N577" si="150">SUMIF($L$2:$L$1420,L514,$J$2:$J$1420)</f>
        <v>-6.54499055084522E-2</v>
      </c>
      <c r="O514" s="13">
        <f t="shared" ref="O514:O577" si="151">SUMIF($A$2:$A$1420,A514,$D$2:$D$1420)</f>
        <v>1911391</v>
      </c>
      <c r="P514" s="13">
        <f t="shared" ref="P514:P577" si="152">SUMIF($A$2:$A$1420,A514,$E$2:$E$1420)</f>
        <v>1932701</v>
      </c>
      <c r="Q514" s="13">
        <f t="shared" ref="Q514:Q577" si="153">SUMIF($A$2:$A$1420,A514,$F$2:$F$1420)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SUMIF($T$2:$T$1420,T514,$D$2:$D$1420)</f>
        <v>178416</v>
      </c>
      <c r="V514">
        <f t="shared" ref="V514:V577" si="158">SUMIF($T$2:$T$1420,T514,$E$2:$E$1420)</f>
        <v>183281</v>
      </c>
      <c r="W514">
        <f t="shared" ref="W514:W577" si="159">SUMIF($T$2:$T$1420,T514,$F$2:$F$1420)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25">
      <c r="A515" t="s">
        <v>39</v>
      </c>
      <c r="B515" s="63">
        <v>1</v>
      </c>
      <c r="C515" t="s">
        <v>11</v>
      </c>
      <c r="D515" s="65">
        <v>5400</v>
      </c>
      <c r="E515" s="65">
        <v>5563</v>
      </c>
      <c r="F515" s="65">
        <v>5535</v>
      </c>
      <c r="G515" s="13">
        <f t="shared" si="144"/>
        <v>-28</v>
      </c>
      <c r="H515" s="13">
        <f t="shared" si="145"/>
        <v>135</v>
      </c>
      <c r="I515" s="70">
        <f t="shared" si="146"/>
        <v>2.4999999999999911E-2</v>
      </c>
      <c r="J515" s="70">
        <f t="shared" si="147"/>
        <v>-5.0332554377134908E-3</v>
      </c>
      <c r="K515" s="82" t="str">
        <f>_xlfn.IFNA(VLOOKUP(CLEAN(SUBSTITUTE(C515," ","")),Ref_Factory!$A:$B,2,FALSE),CLEAN(SUBSTITUTE(C515," ","")))</f>
        <v>GM1</v>
      </c>
      <c r="L515" s="82" t="str">
        <f t="shared" si="148"/>
        <v>MAY-1-GM1</v>
      </c>
      <c r="M515" s="70">
        <f t="shared" si="149"/>
        <v>9.8783591837961593E-2</v>
      </c>
      <c r="N515" s="70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25">
      <c r="A516" t="s">
        <v>39</v>
      </c>
      <c r="B516" s="63">
        <v>1</v>
      </c>
      <c r="C516" t="s">
        <v>11</v>
      </c>
      <c r="D516" s="65">
        <v>17928</v>
      </c>
      <c r="E516" s="65">
        <v>18467</v>
      </c>
      <c r="F516" s="65">
        <v>18288</v>
      </c>
      <c r="G516" s="13">
        <f t="shared" si="144"/>
        <v>-179</v>
      </c>
      <c r="H516" s="13">
        <f t="shared" si="145"/>
        <v>360</v>
      </c>
      <c r="I516" s="70">
        <f t="shared" si="146"/>
        <v>2.008032128514059E-2</v>
      </c>
      <c r="J516" s="70">
        <f t="shared" si="147"/>
        <v>-9.6929658309417022E-3</v>
      </c>
      <c r="K516" s="82" t="str">
        <f>_xlfn.IFNA(VLOOKUP(CLEAN(SUBSTITUTE(C516," ","")),Ref_Factory!$A:$B,2,FALSE),CLEAN(SUBSTITUTE(C516," ","")))</f>
        <v>GM1</v>
      </c>
      <c r="L516" s="82" t="str">
        <f t="shared" si="148"/>
        <v>MAY-1-GM1</v>
      </c>
      <c r="M516" s="70">
        <f t="shared" si="149"/>
        <v>9.8783591837961593E-2</v>
      </c>
      <c r="N516" s="70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25">
      <c r="A517" t="s">
        <v>39</v>
      </c>
      <c r="B517" s="63">
        <v>1</v>
      </c>
      <c r="C517" t="s">
        <v>11</v>
      </c>
      <c r="D517" s="65">
        <v>1404</v>
      </c>
      <c r="E517" s="65">
        <v>1449</v>
      </c>
      <c r="F517" s="65">
        <v>1431</v>
      </c>
      <c r="G517" s="13">
        <f t="shared" si="144"/>
        <v>-18</v>
      </c>
      <c r="H517" s="13">
        <f t="shared" si="145"/>
        <v>27</v>
      </c>
      <c r="I517" s="70">
        <f t="shared" si="146"/>
        <v>1.9230769230769162E-2</v>
      </c>
      <c r="J517" s="70">
        <f t="shared" si="147"/>
        <v>-1.2422360248447228E-2</v>
      </c>
      <c r="K517" s="82" t="str">
        <f>_xlfn.IFNA(VLOOKUP(CLEAN(SUBSTITUTE(C517," ","")),Ref_Factory!$A:$B,2,FALSE),CLEAN(SUBSTITUTE(C517," ","")))</f>
        <v>GM1</v>
      </c>
      <c r="L517" s="82" t="str">
        <f t="shared" si="148"/>
        <v>MAY-1-GM1</v>
      </c>
      <c r="M517" s="70">
        <f t="shared" si="149"/>
        <v>9.8783591837961593E-2</v>
      </c>
      <c r="N517" s="70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25">
      <c r="A518" t="s">
        <v>39</v>
      </c>
      <c r="B518" s="63">
        <v>1</v>
      </c>
      <c r="C518" t="s">
        <v>14</v>
      </c>
      <c r="D518" s="65">
        <v>2052</v>
      </c>
      <c r="E518" s="65">
        <v>2062</v>
      </c>
      <c r="F518" s="65">
        <v>2045</v>
      </c>
      <c r="G518" s="13">
        <f t="shared" si="144"/>
        <v>-17</v>
      </c>
      <c r="H518" s="13">
        <f t="shared" si="145"/>
        <v>-7</v>
      </c>
      <c r="I518" s="70">
        <f t="shared" si="146"/>
        <v>-3.4113060428849762E-3</v>
      </c>
      <c r="J518" s="70">
        <f t="shared" si="147"/>
        <v>-8.244422890397618E-3</v>
      </c>
      <c r="K518" s="82" t="str">
        <f>_xlfn.IFNA(VLOOKUP(CLEAN(SUBSTITUTE(C518," ","")),Ref_Factory!$A:$B,2,FALSE),CLEAN(SUBSTITUTE(C518," ","")))</f>
        <v>GM2</v>
      </c>
      <c r="L518" s="82" t="str">
        <f t="shared" si="148"/>
        <v>MAY-1-GM2</v>
      </c>
      <c r="M518" s="70">
        <f t="shared" si="149"/>
        <v>0.19515119033396189</v>
      </c>
      <c r="N518" s="70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25">
      <c r="A519" t="s">
        <v>39</v>
      </c>
      <c r="B519" s="63">
        <v>1</v>
      </c>
      <c r="C519" t="s">
        <v>14</v>
      </c>
      <c r="D519" s="65">
        <v>2808</v>
      </c>
      <c r="E519" s="65">
        <v>2809</v>
      </c>
      <c r="F519" s="65">
        <v>2808</v>
      </c>
      <c r="G519" s="13">
        <f t="shared" si="144"/>
        <v>-1</v>
      </c>
      <c r="H519" s="13">
        <f t="shared" si="145"/>
        <v>0</v>
      </c>
      <c r="I519" s="70">
        <f t="shared" si="146"/>
        <v>0</v>
      </c>
      <c r="J519" s="70">
        <f t="shared" si="147"/>
        <v>-3.559985760056561E-4</v>
      </c>
      <c r="K519" s="82" t="str">
        <f>_xlfn.IFNA(VLOOKUP(CLEAN(SUBSTITUTE(C519," ","")),Ref_Factory!$A:$B,2,FALSE),CLEAN(SUBSTITUTE(C519," ","")))</f>
        <v>GM2</v>
      </c>
      <c r="L519" s="82" t="str">
        <f t="shared" si="148"/>
        <v>MAY-1-GM2</v>
      </c>
      <c r="M519" s="70">
        <f t="shared" si="149"/>
        <v>0.19515119033396189</v>
      </c>
      <c r="N519" s="70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25">
      <c r="A520" t="s">
        <v>39</v>
      </c>
      <c r="B520" s="63">
        <v>1</v>
      </c>
      <c r="C520" t="s">
        <v>14</v>
      </c>
      <c r="D520" s="65">
        <v>13248</v>
      </c>
      <c r="E520" s="65">
        <v>13671</v>
      </c>
      <c r="F520" s="65">
        <v>13496</v>
      </c>
      <c r="G520" s="13">
        <f t="shared" si="144"/>
        <v>-175</v>
      </c>
      <c r="H520" s="13">
        <f t="shared" si="145"/>
        <v>248</v>
      </c>
      <c r="I520" s="70">
        <f t="shared" si="146"/>
        <v>1.8719806763284996E-2</v>
      </c>
      <c r="J520" s="70">
        <f t="shared" si="147"/>
        <v>-1.280081925243215E-2</v>
      </c>
      <c r="K520" s="82" t="str">
        <f>_xlfn.IFNA(VLOOKUP(CLEAN(SUBSTITUTE(C520," ","")),Ref_Factory!$A:$B,2,FALSE),CLEAN(SUBSTITUTE(C520," ","")))</f>
        <v>GM2</v>
      </c>
      <c r="L520" s="82" t="str">
        <f t="shared" si="148"/>
        <v>MAY-1-GM2</v>
      </c>
      <c r="M520" s="70">
        <f t="shared" si="149"/>
        <v>0.19515119033396189</v>
      </c>
      <c r="N520" s="70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25">
      <c r="A521" t="s">
        <v>39</v>
      </c>
      <c r="B521" s="63">
        <v>1</v>
      </c>
      <c r="C521" t="s">
        <v>14</v>
      </c>
      <c r="D521" s="65">
        <v>5760</v>
      </c>
      <c r="E521" s="65">
        <v>5945</v>
      </c>
      <c r="F521" s="65">
        <v>5832</v>
      </c>
      <c r="G521" s="13">
        <f t="shared" si="144"/>
        <v>-113</v>
      </c>
      <c r="H521" s="13">
        <f t="shared" si="145"/>
        <v>72</v>
      </c>
      <c r="I521" s="70">
        <f t="shared" si="146"/>
        <v>1.2499999999999956E-2</v>
      </c>
      <c r="J521" s="70">
        <f t="shared" si="147"/>
        <v>-1.9007569386038647E-2</v>
      </c>
      <c r="K521" s="82" t="str">
        <f>_xlfn.IFNA(VLOOKUP(CLEAN(SUBSTITUTE(C521," ","")),Ref_Factory!$A:$B,2,FALSE),CLEAN(SUBSTITUTE(C521," ","")))</f>
        <v>GM2</v>
      </c>
      <c r="L521" s="82" t="str">
        <f t="shared" si="148"/>
        <v>MAY-1-GM2</v>
      </c>
      <c r="M521" s="70">
        <f t="shared" si="149"/>
        <v>0.19515119033396189</v>
      </c>
      <c r="N521" s="70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25">
      <c r="A522" t="s">
        <v>39</v>
      </c>
      <c r="B522" s="63">
        <v>1</v>
      </c>
      <c r="C522" t="s">
        <v>11</v>
      </c>
      <c r="D522" s="65">
        <v>17856</v>
      </c>
      <c r="E522" s="65">
        <v>18037</v>
      </c>
      <c r="F522" s="65">
        <v>18004</v>
      </c>
      <c r="G522" s="13">
        <f t="shared" si="144"/>
        <v>-33</v>
      </c>
      <c r="H522" s="13">
        <f t="shared" si="145"/>
        <v>148</v>
      </c>
      <c r="I522" s="70">
        <f t="shared" si="146"/>
        <v>8.2885304659499059E-3</v>
      </c>
      <c r="J522" s="70">
        <f t="shared" si="147"/>
        <v>-1.8295725453234546E-3</v>
      </c>
      <c r="K522" s="82" t="str">
        <f>_xlfn.IFNA(VLOOKUP(CLEAN(SUBSTITUTE(C522," ","")),Ref_Factory!$A:$B,2,FALSE),CLEAN(SUBSTITUTE(C522," ","")))</f>
        <v>GM1</v>
      </c>
      <c r="L522" s="82" t="str">
        <f t="shared" si="148"/>
        <v>MAY-1-GM1</v>
      </c>
      <c r="M522" s="70">
        <f t="shared" si="149"/>
        <v>9.8783591837961593E-2</v>
      </c>
      <c r="N522" s="70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25">
      <c r="A523" t="s">
        <v>39</v>
      </c>
      <c r="B523" s="63">
        <v>1</v>
      </c>
      <c r="C523" t="s">
        <v>13</v>
      </c>
      <c r="D523" s="65">
        <v>23328</v>
      </c>
      <c r="E523" s="65">
        <v>23580</v>
      </c>
      <c r="F523" s="65">
        <v>23481</v>
      </c>
      <c r="G523" s="13">
        <f t="shared" si="144"/>
        <v>-99</v>
      </c>
      <c r="H523" s="13">
        <f t="shared" si="145"/>
        <v>153</v>
      </c>
      <c r="I523" s="70">
        <f t="shared" si="146"/>
        <v>6.5586419753085323E-3</v>
      </c>
      <c r="J523" s="70">
        <f t="shared" si="147"/>
        <v>-4.1984732824427162E-3</v>
      </c>
      <c r="K523" s="82" t="str">
        <f>_xlfn.IFNA(VLOOKUP(CLEAN(SUBSTITUTE(C523," ","")),Ref_Factory!$A:$B,2,FALSE),CLEAN(SUBSTITUTE(C523," ","")))</f>
        <v>KALIBENDA</v>
      </c>
      <c r="L523" s="82" t="str">
        <f t="shared" si="148"/>
        <v>MAY-1-KALIBENDA</v>
      </c>
      <c r="M523" s="70">
        <f t="shared" si="149"/>
        <v>3.6443609295569779E-2</v>
      </c>
      <c r="N523" s="70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25">
      <c r="A524" t="s">
        <v>39</v>
      </c>
      <c r="B524" s="63">
        <v>1</v>
      </c>
      <c r="C524" t="s">
        <v>14</v>
      </c>
      <c r="D524" s="65">
        <v>38448</v>
      </c>
      <c r="E524" s="65">
        <v>39620</v>
      </c>
      <c r="F524" s="65">
        <v>39264</v>
      </c>
      <c r="G524" s="13">
        <f t="shared" si="144"/>
        <v>-356</v>
      </c>
      <c r="H524" s="13">
        <f t="shared" si="145"/>
        <v>816</v>
      </c>
      <c r="I524" s="70">
        <f t="shared" si="146"/>
        <v>2.1223470661672961E-2</v>
      </c>
      <c r="J524" s="70">
        <f t="shared" si="147"/>
        <v>-8.985360928823849E-3</v>
      </c>
      <c r="K524" s="82" t="str">
        <f>_xlfn.IFNA(VLOOKUP(CLEAN(SUBSTITUTE(C524," ","")),Ref_Factory!$A:$B,2,FALSE),CLEAN(SUBSTITUTE(C524," ","")))</f>
        <v>GM2</v>
      </c>
      <c r="L524" s="82" t="str">
        <f t="shared" si="148"/>
        <v>MAY-1-GM2</v>
      </c>
      <c r="M524" s="70">
        <f t="shared" si="149"/>
        <v>0.19515119033396189</v>
      </c>
      <c r="N524" s="70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25">
      <c r="A525" t="s">
        <v>39</v>
      </c>
      <c r="B525" s="63">
        <v>1</v>
      </c>
      <c r="C525" t="s">
        <v>14</v>
      </c>
      <c r="D525" s="65">
        <v>2592</v>
      </c>
      <c r="E525" s="65">
        <v>2670</v>
      </c>
      <c r="F525" s="65">
        <v>2649</v>
      </c>
      <c r="G525" s="13">
        <f t="shared" si="144"/>
        <v>-21</v>
      </c>
      <c r="H525" s="13">
        <f t="shared" si="145"/>
        <v>57</v>
      </c>
      <c r="I525" s="70">
        <f t="shared" si="146"/>
        <v>2.19907407407407E-2</v>
      </c>
      <c r="J525" s="70">
        <f t="shared" si="147"/>
        <v>-7.8651685393258397E-3</v>
      </c>
      <c r="K525" s="82" t="str">
        <f>_xlfn.IFNA(VLOOKUP(CLEAN(SUBSTITUTE(C525," ","")),Ref_Factory!$A:$B,2,FALSE),CLEAN(SUBSTITUTE(C525," ","")))</f>
        <v>GM2</v>
      </c>
      <c r="L525" s="82" t="str">
        <f t="shared" si="148"/>
        <v>MAY-1-GM2</v>
      </c>
      <c r="M525" s="70">
        <f t="shared" si="149"/>
        <v>0.19515119033396189</v>
      </c>
      <c r="N525" s="70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25">
      <c r="A526" t="s">
        <v>39</v>
      </c>
      <c r="B526" s="63">
        <v>1</v>
      </c>
      <c r="C526" t="s">
        <v>14</v>
      </c>
      <c r="D526" s="65">
        <v>11448</v>
      </c>
      <c r="E526" s="65">
        <v>11808</v>
      </c>
      <c r="F526" s="65">
        <v>11670</v>
      </c>
      <c r="G526" s="13">
        <f t="shared" si="144"/>
        <v>-138</v>
      </c>
      <c r="H526" s="13">
        <f t="shared" si="145"/>
        <v>222</v>
      </c>
      <c r="I526" s="70">
        <f t="shared" si="146"/>
        <v>1.9392033542976916E-2</v>
      </c>
      <c r="J526" s="70">
        <f t="shared" si="147"/>
        <v>-1.1686991869918728E-2</v>
      </c>
      <c r="K526" s="82" t="str">
        <f>_xlfn.IFNA(VLOOKUP(CLEAN(SUBSTITUTE(C526," ","")),Ref_Factory!$A:$B,2,FALSE),CLEAN(SUBSTITUTE(C526," ","")))</f>
        <v>GM2</v>
      </c>
      <c r="L526" s="82" t="str">
        <f t="shared" si="148"/>
        <v>MAY-1-GM2</v>
      </c>
      <c r="M526" s="70">
        <f t="shared" si="149"/>
        <v>0.19515119033396189</v>
      </c>
      <c r="N526" s="70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25">
      <c r="A527" t="s">
        <v>39</v>
      </c>
      <c r="B527" s="63">
        <v>1</v>
      </c>
      <c r="C527" t="s">
        <v>14</v>
      </c>
      <c r="D527" s="65">
        <v>19008</v>
      </c>
      <c r="E527" s="65">
        <v>19588</v>
      </c>
      <c r="F527" s="65">
        <v>19446</v>
      </c>
      <c r="G527" s="13">
        <f t="shared" si="144"/>
        <v>-142</v>
      </c>
      <c r="H527" s="13">
        <f t="shared" si="145"/>
        <v>438</v>
      </c>
      <c r="I527" s="70">
        <f t="shared" si="146"/>
        <v>2.3042929292929282E-2</v>
      </c>
      <c r="J527" s="70">
        <f t="shared" si="147"/>
        <v>-7.2493363283643308E-3</v>
      </c>
      <c r="K527" s="82" t="str">
        <f>_xlfn.IFNA(VLOOKUP(CLEAN(SUBSTITUTE(C527," ","")),Ref_Factory!$A:$B,2,FALSE),CLEAN(SUBSTITUTE(C527," ","")))</f>
        <v>GM2</v>
      </c>
      <c r="L527" s="82" t="str">
        <f t="shared" si="148"/>
        <v>MAY-1-GM2</v>
      </c>
      <c r="M527" s="70">
        <f t="shared" si="149"/>
        <v>0.19515119033396189</v>
      </c>
      <c r="N527" s="70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25">
      <c r="A528" t="s">
        <v>39</v>
      </c>
      <c r="B528" s="63">
        <v>1</v>
      </c>
      <c r="C528" t="s">
        <v>14</v>
      </c>
      <c r="D528" s="65">
        <v>1512</v>
      </c>
      <c r="E528" s="65">
        <v>1518</v>
      </c>
      <c r="F528" s="65">
        <v>1496</v>
      </c>
      <c r="G528" s="13">
        <f t="shared" si="144"/>
        <v>-22</v>
      </c>
      <c r="H528" s="13">
        <f t="shared" si="145"/>
        <v>-16</v>
      </c>
      <c r="I528" s="70">
        <f t="shared" si="146"/>
        <v>-1.0582010582010581E-2</v>
      </c>
      <c r="J528" s="70">
        <f t="shared" si="147"/>
        <v>-1.4492753623188359E-2</v>
      </c>
      <c r="K528" s="82" t="str">
        <f>_xlfn.IFNA(VLOOKUP(CLEAN(SUBSTITUTE(C528," ","")),Ref_Factory!$A:$B,2,FALSE),CLEAN(SUBSTITUTE(C528," ","")))</f>
        <v>GM2</v>
      </c>
      <c r="L528" s="82" t="str">
        <f t="shared" si="148"/>
        <v>MAY-1-GM2</v>
      </c>
      <c r="M528" s="70">
        <f t="shared" si="149"/>
        <v>0.19515119033396189</v>
      </c>
      <c r="N528" s="70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25">
      <c r="A529" t="s">
        <v>39</v>
      </c>
      <c r="B529" s="63">
        <v>1</v>
      </c>
      <c r="C529" t="s">
        <v>14</v>
      </c>
      <c r="D529" s="65">
        <v>2412</v>
      </c>
      <c r="E529" s="65">
        <v>2426</v>
      </c>
      <c r="F529" s="65">
        <v>2398</v>
      </c>
      <c r="G529" s="13">
        <f t="shared" si="144"/>
        <v>-28</v>
      </c>
      <c r="H529" s="13">
        <f t="shared" si="145"/>
        <v>-14</v>
      </c>
      <c r="I529" s="70">
        <f t="shared" si="146"/>
        <v>-5.8043117744610573E-3</v>
      </c>
      <c r="J529" s="70">
        <f t="shared" si="147"/>
        <v>-1.154163231657046E-2</v>
      </c>
      <c r="K529" s="82" t="str">
        <f>_xlfn.IFNA(VLOOKUP(CLEAN(SUBSTITUTE(C529," ","")),Ref_Factory!$A:$B,2,FALSE),CLEAN(SUBSTITUTE(C529," ","")))</f>
        <v>GM2</v>
      </c>
      <c r="L529" s="82" t="str">
        <f t="shared" si="148"/>
        <v>MAY-1-GM2</v>
      </c>
      <c r="M529" s="70">
        <f t="shared" si="149"/>
        <v>0.19515119033396189</v>
      </c>
      <c r="N529" s="70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25">
      <c r="A530" t="s">
        <v>39</v>
      </c>
      <c r="B530" s="63">
        <v>1</v>
      </c>
      <c r="C530" t="s">
        <v>14</v>
      </c>
      <c r="D530" s="65">
        <v>2448</v>
      </c>
      <c r="E530" s="65">
        <v>2452</v>
      </c>
      <c r="F530" s="65">
        <v>2437</v>
      </c>
      <c r="G530" s="13">
        <f t="shared" si="144"/>
        <v>-15</v>
      </c>
      <c r="H530" s="13">
        <f t="shared" si="145"/>
        <v>-11</v>
      </c>
      <c r="I530" s="70">
        <f t="shared" si="146"/>
        <v>-4.4934640522875657E-3</v>
      </c>
      <c r="J530" s="70">
        <f t="shared" si="147"/>
        <v>-6.1174551386623532E-3</v>
      </c>
      <c r="K530" s="82" t="str">
        <f>_xlfn.IFNA(VLOOKUP(CLEAN(SUBSTITUTE(C530," ","")),Ref_Factory!$A:$B,2,FALSE),CLEAN(SUBSTITUTE(C530," ","")))</f>
        <v>GM2</v>
      </c>
      <c r="L530" s="82" t="str">
        <f t="shared" si="148"/>
        <v>MAY-1-GM2</v>
      </c>
      <c r="M530" s="70">
        <f t="shared" si="149"/>
        <v>0.19515119033396189</v>
      </c>
      <c r="N530" s="70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25">
      <c r="A531" t="s">
        <v>39</v>
      </c>
      <c r="B531" s="63">
        <v>1</v>
      </c>
      <c r="C531" t="s">
        <v>14</v>
      </c>
      <c r="D531" s="65">
        <v>2412</v>
      </c>
      <c r="E531" s="65">
        <v>2422</v>
      </c>
      <c r="F531" s="65">
        <v>2410</v>
      </c>
      <c r="G531" s="13">
        <f t="shared" si="144"/>
        <v>-12</v>
      </c>
      <c r="H531" s="13">
        <f t="shared" si="145"/>
        <v>-2</v>
      </c>
      <c r="I531" s="70">
        <f t="shared" si="146"/>
        <v>-8.2918739635162719E-4</v>
      </c>
      <c r="J531" s="70">
        <f t="shared" si="147"/>
        <v>-4.9545829892650994E-3</v>
      </c>
      <c r="K531" s="82" t="str">
        <f>_xlfn.IFNA(VLOOKUP(CLEAN(SUBSTITUTE(C531," ","")),Ref_Factory!$A:$B,2,FALSE),CLEAN(SUBSTITUTE(C531," ","")))</f>
        <v>GM2</v>
      </c>
      <c r="L531" s="82" t="str">
        <f t="shared" si="148"/>
        <v>MAY-1-GM2</v>
      </c>
      <c r="M531" s="70">
        <f t="shared" si="149"/>
        <v>0.19515119033396189</v>
      </c>
      <c r="N531" s="70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25">
      <c r="A532" t="s">
        <v>39</v>
      </c>
      <c r="B532" s="63">
        <v>1</v>
      </c>
      <c r="C532" t="s">
        <v>14</v>
      </c>
      <c r="D532" s="65">
        <v>5760</v>
      </c>
      <c r="E532" s="65">
        <v>5840</v>
      </c>
      <c r="F532" s="65">
        <v>5760</v>
      </c>
      <c r="G532" s="13">
        <f t="shared" si="144"/>
        <v>-80</v>
      </c>
      <c r="H532" s="13">
        <f t="shared" si="145"/>
        <v>0</v>
      </c>
      <c r="I532" s="70">
        <f t="shared" si="146"/>
        <v>0</v>
      </c>
      <c r="J532" s="70">
        <f t="shared" si="147"/>
        <v>-1.3698630136986356E-2</v>
      </c>
      <c r="K532" s="82" t="str">
        <f>_xlfn.IFNA(VLOOKUP(CLEAN(SUBSTITUTE(C532," ","")),Ref_Factory!$A:$B,2,FALSE),CLEAN(SUBSTITUTE(C532," ","")))</f>
        <v>GM2</v>
      </c>
      <c r="L532" s="82" t="str">
        <f t="shared" si="148"/>
        <v>MAY-1-GM2</v>
      </c>
      <c r="M532" s="70">
        <f t="shared" si="149"/>
        <v>0.19515119033396189</v>
      </c>
      <c r="N532" s="70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25">
      <c r="A533" t="s">
        <v>39</v>
      </c>
      <c r="B533" s="63">
        <v>1</v>
      </c>
      <c r="C533" t="s">
        <v>14</v>
      </c>
      <c r="D533" s="65">
        <v>19152</v>
      </c>
      <c r="E533" s="65">
        <v>19358</v>
      </c>
      <c r="F533" s="65">
        <v>19152</v>
      </c>
      <c r="G533" s="13">
        <f t="shared" si="144"/>
        <v>-206</v>
      </c>
      <c r="H533" s="13">
        <f t="shared" si="145"/>
        <v>0</v>
      </c>
      <c r="I533" s="70">
        <f t="shared" si="146"/>
        <v>0</v>
      </c>
      <c r="J533" s="70">
        <f t="shared" si="147"/>
        <v>-1.0641595206116294E-2</v>
      </c>
      <c r="K533" s="82" t="str">
        <f>_xlfn.IFNA(VLOOKUP(CLEAN(SUBSTITUTE(C533," ","")),Ref_Factory!$A:$B,2,FALSE),CLEAN(SUBSTITUTE(C533," ","")))</f>
        <v>GM2</v>
      </c>
      <c r="L533" s="82" t="str">
        <f t="shared" si="148"/>
        <v>MAY-1-GM2</v>
      </c>
      <c r="M533" s="70">
        <f t="shared" si="149"/>
        <v>0.19515119033396189</v>
      </c>
      <c r="N533" s="70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25">
      <c r="A534" t="s">
        <v>39</v>
      </c>
      <c r="B534" s="63">
        <v>1</v>
      </c>
      <c r="C534" t="s">
        <v>14</v>
      </c>
      <c r="D534" s="65">
        <v>19152</v>
      </c>
      <c r="E534" s="65">
        <v>19359</v>
      </c>
      <c r="F534" s="65">
        <v>19232</v>
      </c>
      <c r="G534" s="13">
        <f t="shared" si="144"/>
        <v>-127</v>
      </c>
      <c r="H534" s="13">
        <f t="shared" si="145"/>
        <v>80</v>
      </c>
      <c r="I534" s="70">
        <f t="shared" si="146"/>
        <v>4.1771094402673903E-3</v>
      </c>
      <c r="J534" s="70">
        <f t="shared" si="147"/>
        <v>-6.5602562115811835E-3</v>
      </c>
      <c r="K534" s="82" t="str">
        <f>_xlfn.IFNA(VLOOKUP(CLEAN(SUBSTITUTE(C534," ","")),Ref_Factory!$A:$B,2,FALSE),CLEAN(SUBSTITUTE(C534," ","")))</f>
        <v>GM2</v>
      </c>
      <c r="L534" s="82" t="str">
        <f t="shared" si="148"/>
        <v>MAY-1-GM2</v>
      </c>
      <c r="M534" s="70">
        <f t="shared" si="149"/>
        <v>0.19515119033396189</v>
      </c>
      <c r="N534" s="70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25">
      <c r="A535" t="s">
        <v>39</v>
      </c>
      <c r="B535" s="63">
        <v>1</v>
      </c>
      <c r="C535" t="s">
        <v>11</v>
      </c>
      <c r="D535" s="65">
        <v>900</v>
      </c>
      <c r="E535" s="65">
        <v>906</v>
      </c>
      <c r="F535" s="65">
        <v>900</v>
      </c>
      <c r="G535" s="13">
        <f t="shared" si="144"/>
        <v>-6</v>
      </c>
      <c r="H535" s="13">
        <f t="shared" si="145"/>
        <v>0</v>
      </c>
      <c r="I535" s="70">
        <f t="shared" si="146"/>
        <v>0</v>
      </c>
      <c r="J535" s="70">
        <f t="shared" si="147"/>
        <v>-6.6225165562914245E-3</v>
      </c>
      <c r="K535" s="82" t="str">
        <f>_xlfn.IFNA(VLOOKUP(CLEAN(SUBSTITUTE(C535," ","")),Ref_Factory!$A:$B,2,FALSE),CLEAN(SUBSTITUTE(C535," ","")))</f>
        <v>GM1</v>
      </c>
      <c r="L535" s="82" t="str">
        <f t="shared" si="148"/>
        <v>MAY-1-GM1</v>
      </c>
      <c r="M535" s="70">
        <f t="shared" si="149"/>
        <v>9.8783591837961593E-2</v>
      </c>
      <c r="N535" s="70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25">
      <c r="A536" t="s">
        <v>39</v>
      </c>
      <c r="B536" s="63">
        <v>1</v>
      </c>
      <c r="C536" t="s">
        <v>11</v>
      </c>
      <c r="D536" s="65">
        <v>100</v>
      </c>
      <c r="E536" s="65">
        <v>102</v>
      </c>
      <c r="F536" s="65">
        <v>100</v>
      </c>
      <c r="G536" s="13">
        <f t="shared" si="144"/>
        <v>-2</v>
      </c>
      <c r="H536" s="13">
        <f t="shared" si="145"/>
        <v>0</v>
      </c>
      <c r="I536" s="70">
        <f t="shared" si="146"/>
        <v>0</v>
      </c>
      <c r="J536" s="70">
        <f t="shared" si="147"/>
        <v>-1.9607843137254943E-2</v>
      </c>
      <c r="K536" s="82" t="str">
        <f>_xlfn.IFNA(VLOOKUP(CLEAN(SUBSTITUTE(C536," ","")),Ref_Factory!$A:$B,2,FALSE),CLEAN(SUBSTITUTE(C536," ","")))</f>
        <v>GM1</v>
      </c>
      <c r="L536" s="82" t="str">
        <f t="shared" si="148"/>
        <v>MAY-1-GM1</v>
      </c>
      <c r="M536" s="70">
        <f t="shared" si="149"/>
        <v>9.8783591837961593E-2</v>
      </c>
      <c r="N536" s="70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25">
      <c r="A537" t="s">
        <v>39</v>
      </c>
      <c r="B537" s="63">
        <v>1</v>
      </c>
      <c r="C537" t="s">
        <v>11</v>
      </c>
      <c r="D537" s="65">
        <v>310</v>
      </c>
      <c r="E537" s="65">
        <v>312</v>
      </c>
      <c r="F537" s="65">
        <v>310</v>
      </c>
      <c r="G537" s="13">
        <f t="shared" si="144"/>
        <v>-2</v>
      </c>
      <c r="H537" s="13">
        <f t="shared" si="145"/>
        <v>0</v>
      </c>
      <c r="I537" s="70">
        <f t="shared" si="146"/>
        <v>0</v>
      </c>
      <c r="J537" s="70">
        <f t="shared" si="147"/>
        <v>-6.4102564102563875E-3</v>
      </c>
      <c r="K537" s="82" t="str">
        <f>_xlfn.IFNA(VLOOKUP(CLEAN(SUBSTITUTE(C537," ","")),Ref_Factory!$A:$B,2,FALSE),CLEAN(SUBSTITUTE(C537," ","")))</f>
        <v>GM1</v>
      </c>
      <c r="L537" s="82" t="str">
        <f t="shared" si="148"/>
        <v>MAY-1-GM1</v>
      </c>
      <c r="M537" s="70">
        <f t="shared" si="149"/>
        <v>9.8783591837961593E-2</v>
      </c>
      <c r="N537" s="70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25">
      <c r="A538" t="s">
        <v>39</v>
      </c>
      <c r="B538" s="63">
        <v>1</v>
      </c>
      <c r="C538" t="s">
        <v>11</v>
      </c>
      <c r="D538" s="65">
        <v>10</v>
      </c>
      <c r="E538" s="65">
        <v>10</v>
      </c>
      <c r="F538" s="65">
        <v>10</v>
      </c>
      <c r="G538" s="13">
        <f t="shared" si="144"/>
        <v>0</v>
      </c>
      <c r="H538" s="13">
        <f t="shared" si="145"/>
        <v>0</v>
      </c>
      <c r="I538" s="70">
        <f t="shared" si="146"/>
        <v>0</v>
      </c>
      <c r="J538" s="70">
        <f t="shared" si="147"/>
        <v>0</v>
      </c>
      <c r="K538" s="82" t="str">
        <f>_xlfn.IFNA(VLOOKUP(CLEAN(SUBSTITUTE(C538," ","")),Ref_Factory!$A:$B,2,FALSE),CLEAN(SUBSTITUTE(C538," ","")))</f>
        <v>GM1</v>
      </c>
      <c r="L538" s="82" t="str">
        <f t="shared" si="148"/>
        <v>MAY-1-GM1</v>
      </c>
      <c r="M538" s="70">
        <f t="shared" si="149"/>
        <v>9.8783591837961593E-2</v>
      </c>
      <c r="N538" s="70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25">
      <c r="A539" t="s">
        <v>39</v>
      </c>
      <c r="B539" s="63">
        <v>1</v>
      </c>
      <c r="C539" t="s">
        <v>10</v>
      </c>
      <c r="D539" s="65">
        <v>760</v>
      </c>
      <c r="E539" s="65">
        <v>760</v>
      </c>
      <c r="F539" s="65">
        <v>760</v>
      </c>
      <c r="G539" s="13">
        <f t="shared" si="144"/>
        <v>0</v>
      </c>
      <c r="H539" s="13">
        <f t="shared" si="145"/>
        <v>0</v>
      </c>
      <c r="I539" s="70">
        <f t="shared" si="146"/>
        <v>0</v>
      </c>
      <c r="J539" s="70">
        <f t="shared" si="147"/>
        <v>0</v>
      </c>
      <c r="K539" s="82" t="str">
        <f>_xlfn.IFNA(VLOOKUP(CLEAN(SUBSTITUTE(C539," ","")),Ref_Factory!$A:$B,2,FALSE),CLEAN(SUBSTITUTE(C539," ","")))</f>
        <v>CNJ2</v>
      </c>
      <c r="L539" s="82" t="str">
        <f t="shared" si="148"/>
        <v>MAY-1-CNJ2</v>
      </c>
      <c r="M539" s="70">
        <f t="shared" si="149"/>
        <v>0</v>
      </c>
      <c r="N539" s="70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25">
      <c r="A540" t="s">
        <v>39</v>
      </c>
      <c r="B540" s="63">
        <v>1</v>
      </c>
      <c r="C540" t="s">
        <v>10</v>
      </c>
      <c r="D540" s="65">
        <v>1420</v>
      </c>
      <c r="E540" s="65">
        <v>1420</v>
      </c>
      <c r="F540" s="65">
        <v>1420</v>
      </c>
      <c r="G540" s="13">
        <f t="shared" si="144"/>
        <v>0</v>
      </c>
      <c r="H540" s="13">
        <f t="shared" si="145"/>
        <v>0</v>
      </c>
      <c r="I540" s="70">
        <f t="shared" si="146"/>
        <v>0</v>
      </c>
      <c r="J540" s="70">
        <f t="shared" si="147"/>
        <v>0</v>
      </c>
      <c r="K540" s="82" t="str">
        <f>_xlfn.IFNA(VLOOKUP(CLEAN(SUBSTITUTE(C540," ","")),Ref_Factory!$A:$B,2,FALSE),CLEAN(SUBSTITUTE(C540," ","")))</f>
        <v>CNJ2</v>
      </c>
      <c r="L540" s="82" t="str">
        <f t="shared" si="148"/>
        <v>MAY-1-CNJ2</v>
      </c>
      <c r="M540" s="70">
        <f t="shared" si="149"/>
        <v>0</v>
      </c>
      <c r="N540" s="70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25">
      <c r="A541" t="s">
        <v>39</v>
      </c>
      <c r="B541" s="63">
        <v>2</v>
      </c>
      <c r="C541" t="s">
        <v>14</v>
      </c>
      <c r="D541" s="65">
        <v>12312</v>
      </c>
      <c r="E541" s="65">
        <v>12686</v>
      </c>
      <c r="F541" s="65">
        <v>12621</v>
      </c>
      <c r="G541" s="13">
        <f t="shared" si="144"/>
        <v>-65</v>
      </c>
      <c r="H541" s="13">
        <f t="shared" si="145"/>
        <v>309</v>
      </c>
      <c r="I541" s="70">
        <f t="shared" si="146"/>
        <v>2.5097465886939618E-2</v>
      </c>
      <c r="J541" s="70">
        <f t="shared" si="147"/>
        <v>-5.1237584739082243E-3</v>
      </c>
      <c r="K541" s="82" t="str">
        <f>_xlfn.IFNA(VLOOKUP(CLEAN(SUBSTITUTE(C541," ","")),Ref_Factory!$A:$B,2,FALSE),CLEAN(SUBSTITUTE(C541," ","")))</f>
        <v>GM2</v>
      </c>
      <c r="L541" s="82" t="str">
        <f t="shared" si="148"/>
        <v>MAY-2-GM2</v>
      </c>
      <c r="M541" s="70">
        <f t="shared" si="149"/>
        <v>2.2422158475839504E-2</v>
      </c>
      <c r="N541" s="70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25">
      <c r="A542" t="s">
        <v>39</v>
      </c>
      <c r="B542" s="63">
        <v>2</v>
      </c>
      <c r="C542" t="s">
        <v>14</v>
      </c>
      <c r="D542" s="65">
        <v>9180</v>
      </c>
      <c r="E542" s="65">
        <v>9378</v>
      </c>
      <c r="F542" s="65">
        <v>9324</v>
      </c>
      <c r="G542" s="13">
        <f t="shared" si="144"/>
        <v>-54</v>
      </c>
      <c r="H542" s="13">
        <f t="shared" si="145"/>
        <v>144</v>
      </c>
      <c r="I542" s="70">
        <f t="shared" si="146"/>
        <v>1.5686274509803866E-2</v>
      </c>
      <c r="J542" s="70">
        <f t="shared" si="147"/>
        <v>-5.7581573896353655E-3</v>
      </c>
      <c r="K542" s="82" t="str">
        <f>_xlfn.IFNA(VLOOKUP(CLEAN(SUBSTITUTE(C542," ","")),Ref_Factory!$A:$B,2,FALSE),CLEAN(SUBSTITUTE(C542," ","")))</f>
        <v>GM2</v>
      </c>
      <c r="L542" s="82" t="str">
        <f t="shared" si="148"/>
        <v>MAY-2-GM2</v>
      </c>
      <c r="M542" s="70">
        <f t="shared" si="149"/>
        <v>2.2422158475839504E-2</v>
      </c>
      <c r="N542" s="70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25">
      <c r="A543" t="s">
        <v>39</v>
      </c>
      <c r="B543" s="63">
        <v>2</v>
      </c>
      <c r="C543" t="s">
        <v>14</v>
      </c>
      <c r="D543" s="65">
        <v>9288</v>
      </c>
      <c r="E543" s="65">
        <v>9483</v>
      </c>
      <c r="F543" s="65">
        <v>9288</v>
      </c>
      <c r="G543" s="13">
        <f t="shared" si="144"/>
        <v>-195</v>
      </c>
      <c r="H543" s="13">
        <f t="shared" si="145"/>
        <v>0</v>
      </c>
      <c r="I543" s="70">
        <f t="shared" si="146"/>
        <v>0</v>
      </c>
      <c r="J543" s="70">
        <f t="shared" si="147"/>
        <v>-2.0563112938943418E-2</v>
      </c>
      <c r="K543" s="82" t="str">
        <f>_xlfn.IFNA(VLOOKUP(CLEAN(SUBSTITUTE(C543," ","")),Ref_Factory!$A:$B,2,FALSE),CLEAN(SUBSTITUTE(C543," ","")))</f>
        <v>GM2</v>
      </c>
      <c r="L543" s="82" t="str">
        <f t="shared" si="148"/>
        <v>MAY-2-GM2</v>
      </c>
      <c r="M543" s="70">
        <f t="shared" si="149"/>
        <v>2.2422158475839504E-2</v>
      </c>
      <c r="N543" s="70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25">
      <c r="A544" t="s">
        <v>39</v>
      </c>
      <c r="B544" s="63">
        <v>2</v>
      </c>
      <c r="C544" t="s">
        <v>14</v>
      </c>
      <c r="D544" s="65">
        <v>8496</v>
      </c>
      <c r="E544" s="65">
        <v>8493</v>
      </c>
      <c r="F544" s="65">
        <v>8340</v>
      </c>
      <c r="G544" s="13">
        <f t="shared" si="144"/>
        <v>-153</v>
      </c>
      <c r="H544" s="13">
        <f t="shared" si="145"/>
        <v>-156</v>
      </c>
      <c r="I544" s="70">
        <f t="shared" si="146"/>
        <v>-1.836158192090398E-2</v>
      </c>
      <c r="J544" s="70">
        <f t="shared" si="147"/>
        <v>-1.8014835747085844E-2</v>
      </c>
      <c r="K544" s="82" t="str">
        <f>_xlfn.IFNA(VLOOKUP(CLEAN(SUBSTITUTE(C544," ","")),Ref_Factory!$A:$B,2,FALSE),CLEAN(SUBSTITUTE(C544," ","")))</f>
        <v>GM2</v>
      </c>
      <c r="L544" s="82" t="str">
        <f t="shared" si="148"/>
        <v>MAY-2-GM2</v>
      </c>
      <c r="M544" s="70">
        <f t="shared" si="149"/>
        <v>2.2422158475839504E-2</v>
      </c>
      <c r="N544" s="70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25">
      <c r="A545" t="s">
        <v>39</v>
      </c>
      <c r="B545" s="63">
        <v>2</v>
      </c>
      <c r="C545" t="s">
        <v>16</v>
      </c>
      <c r="D545" s="65">
        <v>1600</v>
      </c>
      <c r="E545" s="65">
        <v>1592</v>
      </c>
      <c r="F545" s="65">
        <v>1556</v>
      </c>
      <c r="G545" s="13">
        <f t="shared" si="144"/>
        <v>-36</v>
      </c>
      <c r="H545" s="13">
        <f t="shared" si="145"/>
        <v>-44</v>
      </c>
      <c r="I545" s="70">
        <f t="shared" si="146"/>
        <v>-2.7499999999999969E-2</v>
      </c>
      <c r="J545" s="70">
        <f t="shared" si="147"/>
        <v>-2.2613065326633208E-2</v>
      </c>
      <c r="K545" s="82" t="str">
        <f>_xlfn.IFNA(VLOOKUP(CLEAN(SUBSTITUTE(C545," ","")),Ref_Factory!$A:$B,2,FALSE),CLEAN(SUBSTITUTE(C545," ","")))</f>
        <v>ANUGERAH</v>
      </c>
      <c r="L545" s="82" t="str">
        <f t="shared" si="148"/>
        <v>MAY-2-ANUGERAH</v>
      </c>
      <c r="M545" s="70">
        <f t="shared" si="149"/>
        <v>-7.8750000000000098E-2</v>
      </c>
      <c r="N545" s="70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25">
      <c r="A546" t="s">
        <v>39</v>
      </c>
      <c r="B546" s="63">
        <v>2</v>
      </c>
      <c r="C546" t="s">
        <v>16</v>
      </c>
      <c r="D546" s="65">
        <v>2400</v>
      </c>
      <c r="E546" s="65">
        <v>2406</v>
      </c>
      <c r="F546" s="65">
        <v>2352</v>
      </c>
      <c r="G546" s="13">
        <f t="shared" si="144"/>
        <v>-54</v>
      </c>
      <c r="H546" s="13">
        <f t="shared" si="145"/>
        <v>-48</v>
      </c>
      <c r="I546" s="70">
        <f t="shared" si="146"/>
        <v>-2.0000000000000018E-2</v>
      </c>
      <c r="J546" s="70">
        <f t="shared" si="147"/>
        <v>-2.244389027431426E-2</v>
      </c>
      <c r="K546" s="82" t="str">
        <f>_xlfn.IFNA(VLOOKUP(CLEAN(SUBSTITUTE(C546," ","")),Ref_Factory!$A:$B,2,FALSE),CLEAN(SUBSTITUTE(C546," ","")))</f>
        <v>ANUGERAH</v>
      </c>
      <c r="L546" s="82" t="str">
        <f t="shared" si="148"/>
        <v>MAY-2-ANUGERAH</v>
      </c>
      <c r="M546" s="70">
        <f t="shared" si="149"/>
        <v>-7.8750000000000098E-2</v>
      </c>
      <c r="N546" s="70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25">
      <c r="A547" t="s">
        <v>39</v>
      </c>
      <c r="B547" s="63">
        <v>2</v>
      </c>
      <c r="C547" t="s">
        <v>16</v>
      </c>
      <c r="D547" s="65">
        <v>800</v>
      </c>
      <c r="E547" s="65">
        <v>828</v>
      </c>
      <c r="F547" s="65">
        <v>788</v>
      </c>
      <c r="G547" s="13">
        <f t="shared" si="144"/>
        <v>-40</v>
      </c>
      <c r="H547" s="13">
        <f t="shared" si="145"/>
        <v>-12</v>
      </c>
      <c r="I547" s="70">
        <f t="shared" si="146"/>
        <v>-1.5000000000000013E-2</v>
      </c>
      <c r="J547" s="70">
        <f t="shared" si="147"/>
        <v>-4.8309178743961345E-2</v>
      </c>
      <c r="K547" s="82" t="str">
        <f>_xlfn.IFNA(VLOOKUP(CLEAN(SUBSTITUTE(C547," ","")),Ref_Factory!$A:$B,2,FALSE),CLEAN(SUBSTITUTE(C547," ","")))</f>
        <v>ANUGERAH</v>
      </c>
      <c r="L547" s="82" t="str">
        <f t="shared" si="148"/>
        <v>MAY-2-ANUGERAH</v>
      </c>
      <c r="M547" s="70">
        <f t="shared" si="149"/>
        <v>-7.8750000000000098E-2</v>
      </c>
      <c r="N547" s="70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25">
      <c r="A548" t="s">
        <v>39</v>
      </c>
      <c r="B548" s="63">
        <v>2</v>
      </c>
      <c r="C548" t="s">
        <v>16</v>
      </c>
      <c r="D548" s="65">
        <v>2400</v>
      </c>
      <c r="E548" s="65">
        <v>2444</v>
      </c>
      <c r="F548" s="65">
        <v>2412</v>
      </c>
      <c r="G548" s="13">
        <f t="shared" si="144"/>
        <v>-32</v>
      </c>
      <c r="H548" s="13">
        <f t="shared" si="145"/>
        <v>12</v>
      </c>
      <c r="I548" s="70">
        <f t="shared" si="146"/>
        <v>4.9999999999998934E-3</v>
      </c>
      <c r="J548" s="70">
        <f t="shared" si="147"/>
        <v>-1.3093289689034338E-2</v>
      </c>
      <c r="K548" s="82" t="str">
        <f>_xlfn.IFNA(VLOOKUP(CLEAN(SUBSTITUTE(C548," ","")),Ref_Factory!$A:$B,2,FALSE),CLEAN(SUBSTITUTE(C548," ","")))</f>
        <v>ANUGERAH</v>
      </c>
      <c r="L548" s="82" t="str">
        <f t="shared" si="148"/>
        <v>MAY-2-ANUGERAH</v>
      </c>
      <c r="M548" s="70">
        <f t="shared" si="149"/>
        <v>-7.8750000000000098E-2</v>
      </c>
      <c r="N548" s="70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25">
      <c r="A549" t="s">
        <v>39</v>
      </c>
      <c r="B549" s="63">
        <v>2</v>
      </c>
      <c r="C549" t="s">
        <v>16</v>
      </c>
      <c r="D549" s="65">
        <v>800</v>
      </c>
      <c r="E549" s="65">
        <v>803</v>
      </c>
      <c r="F549" s="65">
        <v>783</v>
      </c>
      <c r="G549" s="13">
        <f t="shared" si="144"/>
        <v>-20</v>
      </c>
      <c r="H549" s="13">
        <f t="shared" si="145"/>
        <v>-17</v>
      </c>
      <c r="I549" s="70">
        <f t="shared" si="146"/>
        <v>-2.1249999999999991E-2</v>
      </c>
      <c r="J549" s="70">
        <f t="shared" si="147"/>
        <v>-2.4906600249065991E-2</v>
      </c>
      <c r="K549" s="82" t="str">
        <f>_xlfn.IFNA(VLOOKUP(CLEAN(SUBSTITUTE(C549," ","")),Ref_Factory!$A:$B,2,FALSE),CLEAN(SUBSTITUTE(C549," ","")))</f>
        <v>ANUGERAH</v>
      </c>
      <c r="L549" s="82" t="str">
        <f t="shared" si="148"/>
        <v>MAY-2-ANUGERAH</v>
      </c>
      <c r="M549" s="70">
        <f t="shared" si="149"/>
        <v>-7.8750000000000098E-2</v>
      </c>
      <c r="N549" s="70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25">
      <c r="A550" t="s">
        <v>39</v>
      </c>
      <c r="B550" s="63">
        <v>2</v>
      </c>
      <c r="C550" t="s">
        <v>10</v>
      </c>
      <c r="D550" s="65">
        <v>3810</v>
      </c>
      <c r="E550" s="65">
        <v>3832</v>
      </c>
      <c r="F550" s="65">
        <v>3810</v>
      </c>
      <c r="G550" s="13">
        <f t="shared" si="144"/>
        <v>-22</v>
      </c>
      <c r="H550" s="13">
        <f t="shared" si="145"/>
        <v>0</v>
      </c>
      <c r="I550" s="70">
        <f t="shared" si="146"/>
        <v>0</v>
      </c>
      <c r="J550" s="70">
        <f t="shared" si="147"/>
        <v>-5.7411273486429604E-3</v>
      </c>
      <c r="K550" s="82" t="str">
        <f>_xlfn.IFNA(VLOOKUP(CLEAN(SUBSTITUTE(C550," ","")),Ref_Factory!$A:$B,2,FALSE),CLEAN(SUBSTITUTE(C550," ","")))</f>
        <v>CNJ2</v>
      </c>
      <c r="L550" s="82" t="str">
        <f t="shared" si="148"/>
        <v>MAY-2-CNJ2</v>
      </c>
      <c r="M550" s="70">
        <f t="shared" si="149"/>
        <v>0</v>
      </c>
      <c r="N550" s="70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25">
      <c r="A551" t="s">
        <v>39</v>
      </c>
      <c r="B551" s="63">
        <v>2</v>
      </c>
      <c r="C551" t="s">
        <v>10</v>
      </c>
      <c r="D551" s="65">
        <v>2830</v>
      </c>
      <c r="E551" s="65">
        <v>2852</v>
      </c>
      <c r="F551" s="65">
        <v>2830</v>
      </c>
      <c r="G551" s="13">
        <f t="shared" si="144"/>
        <v>-22</v>
      </c>
      <c r="H551" s="13">
        <f t="shared" si="145"/>
        <v>0</v>
      </c>
      <c r="I551" s="70">
        <f t="shared" si="146"/>
        <v>0</v>
      </c>
      <c r="J551" s="70">
        <f t="shared" si="147"/>
        <v>-7.7138849929874187E-3</v>
      </c>
      <c r="K551" s="82" t="str">
        <f>_xlfn.IFNA(VLOOKUP(CLEAN(SUBSTITUTE(C551," ","")),Ref_Factory!$A:$B,2,FALSE),CLEAN(SUBSTITUTE(C551," ","")))</f>
        <v>CNJ2</v>
      </c>
      <c r="L551" s="82" t="str">
        <f t="shared" si="148"/>
        <v>MAY-2-CNJ2</v>
      </c>
      <c r="M551" s="70">
        <f t="shared" si="149"/>
        <v>0</v>
      </c>
      <c r="N551" s="70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25">
      <c r="A552" t="s">
        <v>39</v>
      </c>
      <c r="B552" s="63">
        <v>2</v>
      </c>
      <c r="C552" t="s">
        <v>10</v>
      </c>
      <c r="D552" s="65">
        <v>1860</v>
      </c>
      <c r="E552" s="65">
        <v>1878</v>
      </c>
      <c r="F552" s="65">
        <v>1860</v>
      </c>
      <c r="G552" s="13">
        <f t="shared" si="144"/>
        <v>-18</v>
      </c>
      <c r="H552" s="13">
        <f t="shared" si="145"/>
        <v>0</v>
      </c>
      <c r="I552" s="70">
        <f t="shared" si="146"/>
        <v>0</v>
      </c>
      <c r="J552" s="70">
        <f t="shared" si="147"/>
        <v>-9.5846645367412275E-3</v>
      </c>
      <c r="K552" s="82" t="str">
        <f>_xlfn.IFNA(VLOOKUP(CLEAN(SUBSTITUTE(C552," ","")),Ref_Factory!$A:$B,2,FALSE),CLEAN(SUBSTITUTE(C552," ","")))</f>
        <v>CNJ2</v>
      </c>
      <c r="L552" s="82" t="str">
        <f t="shared" si="148"/>
        <v>MAY-2-CNJ2</v>
      </c>
      <c r="M552" s="70">
        <f t="shared" si="149"/>
        <v>0</v>
      </c>
      <c r="N552" s="70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25">
      <c r="A553" t="s">
        <v>39</v>
      </c>
      <c r="B553" s="63">
        <v>2</v>
      </c>
      <c r="C553" t="s">
        <v>10</v>
      </c>
      <c r="D553" s="65">
        <v>1710</v>
      </c>
      <c r="E553" s="65">
        <v>1737</v>
      </c>
      <c r="F553" s="65">
        <v>1710</v>
      </c>
      <c r="G553" s="13">
        <f t="shared" si="144"/>
        <v>-27</v>
      </c>
      <c r="H553" s="13">
        <f t="shared" si="145"/>
        <v>0</v>
      </c>
      <c r="I553" s="70">
        <f t="shared" si="146"/>
        <v>0</v>
      </c>
      <c r="J553" s="70">
        <f t="shared" si="147"/>
        <v>-1.5544041450777257E-2</v>
      </c>
      <c r="K553" s="82" t="str">
        <f>_xlfn.IFNA(VLOOKUP(CLEAN(SUBSTITUTE(C553," ","")),Ref_Factory!$A:$B,2,FALSE),CLEAN(SUBSTITUTE(C553," ","")))</f>
        <v>CNJ2</v>
      </c>
      <c r="L553" s="82" t="str">
        <f t="shared" si="148"/>
        <v>MAY-2-CNJ2</v>
      </c>
      <c r="M553" s="70">
        <f t="shared" si="149"/>
        <v>0</v>
      </c>
      <c r="N553" s="70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25">
      <c r="A554" t="s">
        <v>39</v>
      </c>
      <c r="B554" s="63">
        <v>2</v>
      </c>
      <c r="C554" t="s">
        <v>10</v>
      </c>
      <c r="D554" s="65">
        <v>1600</v>
      </c>
      <c r="E554" s="65">
        <v>1626</v>
      </c>
      <c r="F554" s="65">
        <v>1600</v>
      </c>
      <c r="G554" s="13">
        <f t="shared" si="144"/>
        <v>-26</v>
      </c>
      <c r="H554" s="13">
        <f t="shared" si="145"/>
        <v>0</v>
      </c>
      <c r="I554" s="70">
        <f t="shared" si="146"/>
        <v>0</v>
      </c>
      <c r="J554" s="70">
        <f t="shared" si="147"/>
        <v>-1.5990159901599021E-2</v>
      </c>
      <c r="K554" s="82" t="str">
        <f>_xlfn.IFNA(VLOOKUP(CLEAN(SUBSTITUTE(C554," ","")),Ref_Factory!$A:$B,2,FALSE),CLEAN(SUBSTITUTE(C554," ","")))</f>
        <v>CNJ2</v>
      </c>
      <c r="L554" s="82" t="str">
        <f t="shared" si="148"/>
        <v>MAY-2-CNJ2</v>
      </c>
      <c r="M554" s="70">
        <f t="shared" si="149"/>
        <v>0</v>
      </c>
      <c r="N554" s="70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25">
      <c r="A555" t="s">
        <v>39</v>
      </c>
      <c r="B555" s="63">
        <v>2</v>
      </c>
      <c r="C555" t="s">
        <v>10</v>
      </c>
      <c r="D555" s="65">
        <v>900</v>
      </c>
      <c r="E555" s="65">
        <v>913</v>
      </c>
      <c r="F555" s="65">
        <v>900</v>
      </c>
      <c r="G555" s="13">
        <f t="shared" si="144"/>
        <v>-13</v>
      </c>
      <c r="H555" s="13">
        <f t="shared" si="145"/>
        <v>0</v>
      </c>
      <c r="I555" s="70">
        <f t="shared" si="146"/>
        <v>0</v>
      </c>
      <c r="J555" s="70">
        <f t="shared" si="147"/>
        <v>-1.4238773274917849E-2</v>
      </c>
      <c r="K555" s="82" t="str">
        <f>_xlfn.IFNA(VLOOKUP(CLEAN(SUBSTITUTE(C555," ","")),Ref_Factory!$A:$B,2,FALSE),CLEAN(SUBSTITUTE(C555," ","")))</f>
        <v>CNJ2</v>
      </c>
      <c r="L555" s="82" t="str">
        <f t="shared" si="148"/>
        <v>MAY-2-CNJ2</v>
      </c>
      <c r="M555" s="70">
        <f t="shared" si="149"/>
        <v>0</v>
      </c>
      <c r="N555" s="70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25">
      <c r="A556" t="s">
        <v>39</v>
      </c>
      <c r="B556" s="63">
        <v>2</v>
      </c>
      <c r="C556" t="s">
        <v>10</v>
      </c>
      <c r="D556" s="65">
        <v>1000</v>
      </c>
      <c r="E556" s="65">
        <v>1001</v>
      </c>
      <c r="F556" s="65">
        <v>1000</v>
      </c>
      <c r="G556" s="13">
        <f t="shared" si="144"/>
        <v>-1</v>
      </c>
      <c r="H556" s="13">
        <f t="shared" si="145"/>
        <v>0</v>
      </c>
      <c r="I556" s="70">
        <f t="shared" si="146"/>
        <v>0</v>
      </c>
      <c r="J556" s="70">
        <f t="shared" si="147"/>
        <v>-9.9900099900096517E-4</v>
      </c>
      <c r="K556" s="82" t="str">
        <f>_xlfn.IFNA(VLOOKUP(CLEAN(SUBSTITUTE(C556," ","")),Ref_Factory!$A:$B,2,FALSE),CLEAN(SUBSTITUTE(C556," ","")))</f>
        <v>CNJ2</v>
      </c>
      <c r="L556" s="82" t="str">
        <f t="shared" si="148"/>
        <v>MAY-2-CNJ2</v>
      </c>
      <c r="M556" s="70">
        <f t="shared" si="149"/>
        <v>0</v>
      </c>
      <c r="N556" s="70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25">
      <c r="A557" t="s">
        <v>39</v>
      </c>
      <c r="B557" s="63">
        <v>2</v>
      </c>
      <c r="C557" t="s">
        <v>10</v>
      </c>
      <c r="D557" s="65">
        <v>2000</v>
      </c>
      <c r="E557" s="65">
        <v>2024</v>
      </c>
      <c r="F557" s="65">
        <v>2000</v>
      </c>
      <c r="G557" s="13">
        <f t="shared" si="144"/>
        <v>-24</v>
      </c>
      <c r="H557" s="13">
        <f t="shared" si="145"/>
        <v>0</v>
      </c>
      <c r="I557" s="70">
        <f t="shared" si="146"/>
        <v>0</v>
      </c>
      <c r="J557" s="70">
        <f t="shared" si="147"/>
        <v>-1.1857707509881465E-2</v>
      </c>
      <c r="K557" s="82" t="str">
        <f>_xlfn.IFNA(VLOOKUP(CLEAN(SUBSTITUTE(C557," ","")),Ref_Factory!$A:$B,2,FALSE),CLEAN(SUBSTITUTE(C557," ","")))</f>
        <v>CNJ2</v>
      </c>
      <c r="L557" s="82" t="str">
        <f t="shared" si="148"/>
        <v>MAY-2-CNJ2</v>
      </c>
      <c r="M557" s="70">
        <f t="shared" si="149"/>
        <v>0</v>
      </c>
      <c r="N557" s="70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25">
      <c r="A558" t="s">
        <v>39</v>
      </c>
      <c r="B558" s="63">
        <v>2</v>
      </c>
      <c r="C558" t="s">
        <v>10</v>
      </c>
      <c r="D558" s="65">
        <v>2100</v>
      </c>
      <c r="E558" s="65">
        <v>2184</v>
      </c>
      <c r="F558" s="65">
        <v>2100</v>
      </c>
      <c r="G558" s="13">
        <f t="shared" si="144"/>
        <v>-84</v>
      </c>
      <c r="H558" s="13">
        <f t="shared" si="145"/>
        <v>0</v>
      </c>
      <c r="I558" s="70">
        <f t="shared" si="146"/>
        <v>0</v>
      </c>
      <c r="J558" s="70">
        <f t="shared" si="147"/>
        <v>-3.8461538461538436E-2</v>
      </c>
      <c r="K558" s="82" t="str">
        <f>_xlfn.IFNA(VLOOKUP(CLEAN(SUBSTITUTE(C558," ","")),Ref_Factory!$A:$B,2,FALSE),CLEAN(SUBSTITUTE(C558," ","")))</f>
        <v>CNJ2</v>
      </c>
      <c r="L558" s="82" t="str">
        <f t="shared" si="148"/>
        <v>MAY-2-CNJ2</v>
      </c>
      <c r="M558" s="70">
        <f t="shared" si="149"/>
        <v>0</v>
      </c>
      <c r="N558" s="70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25">
      <c r="A559" t="s">
        <v>39</v>
      </c>
      <c r="B559" s="63">
        <v>2</v>
      </c>
      <c r="C559" t="s">
        <v>15</v>
      </c>
      <c r="D559" s="65">
        <v>4210</v>
      </c>
      <c r="E559" s="65">
        <v>4195</v>
      </c>
      <c r="F559" s="65">
        <v>4189</v>
      </c>
      <c r="G559" s="13">
        <f t="shared" si="144"/>
        <v>-6</v>
      </c>
      <c r="H559" s="13">
        <f t="shared" si="145"/>
        <v>-21</v>
      </c>
      <c r="I559" s="70">
        <f t="shared" si="146"/>
        <v>-4.9881235154394243E-3</v>
      </c>
      <c r="J559" s="70">
        <f t="shared" si="147"/>
        <v>-1.4302741358760418E-3</v>
      </c>
      <c r="K559" s="82" t="str">
        <f>_xlfn.IFNA(VLOOKUP(CLEAN(SUBSTITUTE(C559," ","")),Ref_Factory!$A:$B,2,FALSE),CLEAN(SUBSTITUTE(C559," ","")))</f>
        <v>CHAWAN</v>
      </c>
      <c r="L559" s="82" t="str">
        <f t="shared" si="148"/>
        <v>MAY-2-CHAWAN</v>
      </c>
      <c r="M559" s="70">
        <f t="shared" si="149"/>
        <v>-8.1991372116977379E-2</v>
      </c>
      <c r="N559" s="70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25">
      <c r="A560" t="s">
        <v>39</v>
      </c>
      <c r="B560" s="63">
        <v>2</v>
      </c>
      <c r="C560" t="s">
        <v>15</v>
      </c>
      <c r="D560" s="65">
        <v>4210</v>
      </c>
      <c r="E560" s="65">
        <v>4190</v>
      </c>
      <c r="F560" s="65">
        <v>4189</v>
      </c>
      <c r="G560" s="13">
        <f t="shared" si="144"/>
        <v>-1</v>
      </c>
      <c r="H560" s="13">
        <f t="shared" si="145"/>
        <v>-21</v>
      </c>
      <c r="I560" s="70">
        <f t="shared" si="146"/>
        <v>-4.9881235154394243E-3</v>
      </c>
      <c r="J560" s="70">
        <f t="shared" si="147"/>
        <v>-2.3866348448686736E-4</v>
      </c>
      <c r="K560" s="82" t="str">
        <f>_xlfn.IFNA(VLOOKUP(CLEAN(SUBSTITUTE(C560," ","")),Ref_Factory!$A:$B,2,FALSE),CLEAN(SUBSTITUTE(C560," ","")))</f>
        <v>CHAWAN</v>
      </c>
      <c r="L560" s="82" t="str">
        <f t="shared" si="148"/>
        <v>MAY-2-CHAWAN</v>
      </c>
      <c r="M560" s="70">
        <f t="shared" si="149"/>
        <v>-8.1991372116977379E-2</v>
      </c>
      <c r="N560" s="70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25">
      <c r="A561" t="s">
        <v>39</v>
      </c>
      <c r="B561" s="63">
        <v>2</v>
      </c>
      <c r="C561" t="s">
        <v>15</v>
      </c>
      <c r="D561" s="65">
        <v>2153</v>
      </c>
      <c r="E561" s="65">
        <v>2153</v>
      </c>
      <c r="F561" s="65">
        <v>2153</v>
      </c>
      <c r="G561" s="13">
        <f t="shared" si="144"/>
        <v>0</v>
      </c>
      <c r="H561" s="13">
        <f t="shared" si="145"/>
        <v>0</v>
      </c>
      <c r="I561" s="70">
        <f t="shared" si="146"/>
        <v>0</v>
      </c>
      <c r="J561" s="70">
        <f t="shared" si="147"/>
        <v>0</v>
      </c>
      <c r="K561" s="82" t="str">
        <f>_xlfn.IFNA(VLOOKUP(CLEAN(SUBSTITUTE(C561," ","")),Ref_Factory!$A:$B,2,FALSE),CLEAN(SUBSTITUTE(C561," ","")))</f>
        <v>CHAWAN</v>
      </c>
      <c r="L561" s="82" t="str">
        <f t="shared" si="148"/>
        <v>MAY-2-CHAWAN</v>
      </c>
      <c r="M561" s="70">
        <f t="shared" si="149"/>
        <v>-8.1991372116977379E-2</v>
      </c>
      <c r="N561" s="70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25">
      <c r="A562" t="s">
        <v>39</v>
      </c>
      <c r="B562" s="63">
        <v>2</v>
      </c>
      <c r="C562" t="s">
        <v>15</v>
      </c>
      <c r="D562" s="65">
        <v>2153</v>
      </c>
      <c r="E562" s="65">
        <v>2153</v>
      </c>
      <c r="F562" s="65">
        <v>2153</v>
      </c>
      <c r="G562" s="13">
        <f t="shared" si="144"/>
        <v>0</v>
      </c>
      <c r="H562" s="13">
        <f t="shared" si="145"/>
        <v>0</v>
      </c>
      <c r="I562" s="70">
        <f t="shared" si="146"/>
        <v>0</v>
      </c>
      <c r="J562" s="70">
        <f t="shared" si="147"/>
        <v>0</v>
      </c>
      <c r="K562" s="82" t="str">
        <f>_xlfn.IFNA(VLOOKUP(CLEAN(SUBSTITUTE(C562," ","")),Ref_Factory!$A:$B,2,FALSE),CLEAN(SUBSTITUTE(C562," ","")))</f>
        <v>CHAWAN</v>
      </c>
      <c r="L562" s="82" t="str">
        <f t="shared" si="148"/>
        <v>MAY-2-CHAWAN</v>
      </c>
      <c r="M562" s="70">
        <f t="shared" si="149"/>
        <v>-8.1991372116977379E-2</v>
      </c>
      <c r="N562" s="70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25">
      <c r="A563" t="s">
        <v>39</v>
      </c>
      <c r="B563" s="63">
        <v>2</v>
      </c>
      <c r="C563" t="s">
        <v>15</v>
      </c>
      <c r="D563" s="65">
        <v>1164</v>
      </c>
      <c r="E563" s="65">
        <v>1164</v>
      </c>
      <c r="F563" s="65">
        <v>1155</v>
      </c>
      <c r="G563" s="13">
        <f t="shared" si="144"/>
        <v>-9</v>
      </c>
      <c r="H563" s="13">
        <f t="shared" si="145"/>
        <v>-9</v>
      </c>
      <c r="I563" s="70">
        <f t="shared" si="146"/>
        <v>-7.7319587628865705E-3</v>
      </c>
      <c r="J563" s="70">
        <f t="shared" si="147"/>
        <v>-7.7319587628865705E-3</v>
      </c>
      <c r="K563" s="82" t="str">
        <f>_xlfn.IFNA(VLOOKUP(CLEAN(SUBSTITUTE(C563," ","")),Ref_Factory!$A:$B,2,FALSE),CLEAN(SUBSTITUTE(C563," ","")))</f>
        <v>CHAWAN</v>
      </c>
      <c r="L563" s="82" t="str">
        <f t="shared" si="148"/>
        <v>MAY-2-CHAWAN</v>
      </c>
      <c r="M563" s="70">
        <f t="shared" si="149"/>
        <v>-8.1991372116977379E-2</v>
      </c>
      <c r="N563" s="70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25">
      <c r="A564" t="s">
        <v>39</v>
      </c>
      <c r="B564" s="63">
        <v>2</v>
      </c>
      <c r="C564" t="s">
        <v>15</v>
      </c>
      <c r="D564" s="65">
        <v>1164</v>
      </c>
      <c r="E564" s="65">
        <v>1164</v>
      </c>
      <c r="F564" s="65">
        <v>1155</v>
      </c>
      <c r="G564" s="13">
        <f t="shared" si="144"/>
        <v>-9</v>
      </c>
      <c r="H564" s="13">
        <f t="shared" si="145"/>
        <v>-9</v>
      </c>
      <c r="I564" s="70">
        <f t="shared" si="146"/>
        <v>-7.7319587628865705E-3</v>
      </c>
      <c r="J564" s="70">
        <f t="shared" si="147"/>
        <v>-7.7319587628865705E-3</v>
      </c>
      <c r="K564" s="82" t="str">
        <f>_xlfn.IFNA(VLOOKUP(CLEAN(SUBSTITUTE(C564," ","")),Ref_Factory!$A:$B,2,FALSE),CLEAN(SUBSTITUTE(C564," ","")))</f>
        <v>CHAWAN</v>
      </c>
      <c r="L564" s="82" t="str">
        <f t="shared" si="148"/>
        <v>MAY-2-CHAWAN</v>
      </c>
      <c r="M564" s="70">
        <f t="shared" si="149"/>
        <v>-8.1991372116977379E-2</v>
      </c>
      <c r="N564" s="70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25">
      <c r="A565" t="s">
        <v>39</v>
      </c>
      <c r="B565" s="63">
        <v>2</v>
      </c>
      <c r="C565" t="s">
        <v>15</v>
      </c>
      <c r="D565" s="65">
        <v>681</v>
      </c>
      <c r="E565" s="65">
        <v>681</v>
      </c>
      <c r="F565" s="65">
        <v>675</v>
      </c>
      <c r="G565" s="13">
        <f t="shared" si="144"/>
        <v>-6</v>
      </c>
      <c r="H565" s="13">
        <f t="shared" si="145"/>
        <v>-6</v>
      </c>
      <c r="I565" s="70">
        <f t="shared" si="146"/>
        <v>-8.8105726872246271E-3</v>
      </c>
      <c r="J565" s="70">
        <f t="shared" si="147"/>
        <v>-8.8105726872246271E-3</v>
      </c>
      <c r="K565" s="82" t="str">
        <f>_xlfn.IFNA(VLOOKUP(CLEAN(SUBSTITUTE(C565," ","")),Ref_Factory!$A:$B,2,FALSE),CLEAN(SUBSTITUTE(C565," ","")))</f>
        <v>CHAWAN</v>
      </c>
      <c r="L565" s="82" t="str">
        <f t="shared" si="148"/>
        <v>MAY-2-CHAWAN</v>
      </c>
      <c r="M565" s="70">
        <f t="shared" si="149"/>
        <v>-8.1991372116977379E-2</v>
      </c>
      <c r="N565" s="70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25">
      <c r="A566" t="s">
        <v>39</v>
      </c>
      <c r="B566" s="63">
        <v>2</v>
      </c>
      <c r="C566" t="s">
        <v>15</v>
      </c>
      <c r="D566" s="65">
        <v>681</v>
      </c>
      <c r="E566" s="65">
        <v>681</v>
      </c>
      <c r="F566" s="65">
        <v>675</v>
      </c>
      <c r="G566" s="13">
        <f t="shared" si="144"/>
        <v>-6</v>
      </c>
      <c r="H566" s="13">
        <f t="shared" si="145"/>
        <v>-6</v>
      </c>
      <c r="I566" s="70">
        <f t="shared" si="146"/>
        <v>-8.8105726872246271E-3</v>
      </c>
      <c r="J566" s="70">
        <f t="shared" si="147"/>
        <v>-8.8105726872246271E-3</v>
      </c>
      <c r="K566" s="82" t="str">
        <f>_xlfn.IFNA(VLOOKUP(CLEAN(SUBSTITUTE(C566," ","")),Ref_Factory!$A:$B,2,FALSE),CLEAN(SUBSTITUTE(C566," ","")))</f>
        <v>CHAWAN</v>
      </c>
      <c r="L566" s="82" t="str">
        <f t="shared" si="148"/>
        <v>MAY-2-CHAWAN</v>
      </c>
      <c r="M566" s="70">
        <f t="shared" si="149"/>
        <v>-8.1991372116977379E-2</v>
      </c>
      <c r="N566" s="70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25">
      <c r="A567" t="s">
        <v>39</v>
      </c>
      <c r="B567" s="63">
        <v>2</v>
      </c>
      <c r="C567" t="s">
        <v>15</v>
      </c>
      <c r="D567" s="65">
        <v>903</v>
      </c>
      <c r="E567" s="65">
        <v>897</v>
      </c>
      <c r="F567" s="65">
        <v>897</v>
      </c>
      <c r="G567" s="13">
        <f t="shared" si="144"/>
        <v>0</v>
      </c>
      <c r="H567" s="13">
        <f t="shared" si="145"/>
        <v>-6</v>
      </c>
      <c r="I567" s="70">
        <f t="shared" si="146"/>
        <v>-6.6445182724252927E-3</v>
      </c>
      <c r="J567" s="70">
        <f t="shared" si="147"/>
        <v>0</v>
      </c>
      <c r="K567" s="82" t="str">
        <f>_xlfn.IFNA(VLOOKUP(CLEAN(SUBSTITUTE(C567," ","")),Ref_Factory!$A:$B,2,FALSE),CLEAN(SUBSTITUTE(C567," ","")))</f>
        <v>CHAWAN</v>
      </c>
      <c r="L567" s="82" t="str">
        <f t="shared" si="148"/>
        <v>MAY-2-CHAWAN</v>
      </c>
      <c r="M567" s="70">
        <f t="shared" si="149"/>
        <v>-8.1991372116977379E-2</v>
      </c>
      <c r="N567" s="70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25">
      <c r="A568" t="s">
        <v>39</v>
      </c>
      <c r="B568" s="63">
        <v>2</v>
      </c>
      <c r="C568" t="s">
        <v>15</v>
      </c>
      <c r="D568" s="65">
        <v>903</v>
      </c>
      <c r="E568" s="65">
        <v>901</v>
      </c>
      <c r="F568" s="65">
        <v>897</v>
      </c>
      <c r="G568" s="13">
        <f t="shared" si="144"/>
        <v>-4</v>
      </c>
      <c r="H568" s="13">
        <f t="shared" si="145"/>
        <v>-6</v>
      </c>
      <c r="I568" s="70">
        <f t="shared" si="146"/>
        <v>-6.6445182724252927E-3</v>
      </c>
      <c r="J568" s="70">
        <f t="shared" si="147"/>
        <v>-4.4395116537181423E-3</v>
      </c>
      <c r="K568" s="82" t="str">
        <f>_xlfn.IFNA(VLOOKUP(CLEAN(SUBSTITUTE(C568," ","")),Ref_Factory!$A:$B,2,FALSE),CLEAN(SUBSTITUTE(C568," ","")))</f>
        <v>CHAWAN</v>
      </c>
      <c r="L568" s="82" t="str">
        <f t="shared" si="148"/>
        <v>MAY-2-CHAWAN</v>
      </c>
      <c r="M568" s="70">
        <f t="shared" si="149"/>
        <v>-8.1991372116977379E-2</v>
      </c>
      <c r="N568" s="70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25">
      <c r="A569" t="s">
        <v>39</v>
      </c>
      <c r="B569" s="63">
        <v>2</v>
      </c>
      <c r="C569" t="s">
        <v>15</v>
      </c>
      <c r="D569" s="65">
        <v>468</v>
      </c>
      <c r="E569" s="65">
        <v>468</v>
      </c>
      <c r="F569" s="65">
        <v>462</v>
      </c>
      <c r="G569" s="13">
        <f t="shared" si="144"/>
        <v>-6</v>
      </c>
      <c r="H569" s="13">
        <f t="shared" si="145"/>
        <v>-6</v>
      </c>
      <c r="I569" s="70">
        <f t="shared" si="146"/>
        <v>-1.2820512820512775E-2</v>
      </c>
      <c r="J569" s="70">
        <f t="shared" si="147"/>
        <v>-1.2820512820512775E-2</v>
      </c>
      <c r="K569" s="82" t="str">
        <f>_xlfn.IFNA(VLOOKUP(CLEAN(SUBSTITUTE(C569," ","")),Ref_Factory!$A:$B,2,FALSE),CLEAN(SUBSTITUTE(C569," ","")))</f>
        <v>CHAWAN</v>
      </c>
      <c r="L569" s="82" t="str">
        <f t="shared" si="148"/>
        <v>MAY-2-CHAWAN</v>
      </c>
      <c r="M569" s="70">
        <f t="shared" si="149"/>
        <v>-8.1991372116977379E-2</v>
      </c>
      <c r="N569" s="70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25">
      <c r="A570" t="s">
        <v>39</v>
      </c>
      <c r="B570" s="63">
        <v>2</v>
      </c>
      <c r="C570" t="s">
        <v>15</v>
      </c>
      <c r="D570" s="65">
        <v>468</v>
      </c>
      <c r="E570" s="65">
        <v>468</v>
      </c>
      <c r="F570" s="65">
        <v>462</v>
      </c>
      <c r="G570" s="13">
        <f t="shared" si="144"/>
        <v>-6</v>
      </c>
      <c r="H570" s="13">
        <f t="shared" si="145"/>
        <v>-6</v>
      </c>
      <c r="I570" s="70">
        <f t="shared" si="146"/>
        <v>-1.2820512820512775E-2</v>
      </c>
      <c r="J570" s="70">
        <f t="shared" si="147"/>
        <v>-1.2820512820512775E-2</v>
      </c>
      <c r="K570" s="82" t="str">
        <f>_xlfn.IFNA(VLOOKUP(CLEAN(SUBSTITUTE(C570," ","")),Ref_Factory!$A:$B,2,FALSE),CLEAN(SUBSTITUTE(C570," ","")))</f>
        <v>CHAWAN</v>
      </c>
      <c r="L570" s="82" t="str">
        <f t="shared" si="148"/>
        <v>MAY-2-CHAWAN</v>
      </c>
      <c r="M570" s="70">
        <f t="shared" si="149"/>
        <v>-8.1991372116977379E-2</v>
      </c>
      <c r="N570" s="70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25">
      <c r="A571" t="s">
        <v>39</v>
      </c>
      <c r="B571" s="63">
        <v>3</v>
      </c>
      <c r="C571" t="s">
        <v>16</v>
      </c>
      <c r="D571" s="65">
        <v>37000</v>
      </c>
      <c r="E571" s="65">
        <v>36445</v>
      </c>
      <c r="F571" s="65">
        <v>36167</v>
      </c>
      <c r="G571" s="13">
        <f t="shared" si="144"/>
        <v>-278</v>
      </c>
      <c r="H571" s="13">
        <f t="shared" si="145"/>
        <v>-833</v>
      </c>
      <c r="I571" s="70">
        <f t="shared" si="146"/>
        <v>-2.2513513513513495E-2</v>
      </c>
      <c r="J571" s="70">
        <f t="shared" si="147"/>
        <v>-7.627932501029E-3</v>
      </c>
      <c r="K571" s="82" t="str">
        <f>_xlfn.IFNA(VLOOKUP(CLEAN(SUBSTITUTE(C571," ","")),Ref_Factory!$A:$B,2,FALSE),CLEAN(SUBSTITUTE(C571," ","")))</f>
        <v>ANUGERAH</v>
      </c>
      <c r="L571" s="82" t="str">
        <f t="shared" si="148"/>
        <v>MAY-3-ANUGERAH</v>
      </c>
      <c r="M571" s="70">
        <f t="shared" si="149"/>
        <v>-8.563456614509235E-2</v>
      </c>
      <c r="N571" s="70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25">
      <c r="A572" t="s">
        <v>39</v>
      </c>
      <c r="B572" s="63">
        <v>3</v>
      </c>
      <c r="C572" t="s">
        <v>16</v>
      </c>
      <c r="D572" s="65">
        <v>38000</v>
      </c>
      <c r="E572" s="65">
        <v>37153</v>
      </c>
      <c r="F572" s="65">
        <v>36958</v>
      </c>
      <c r="G572" s="13">
        <f t="shared" si="144"/>
        <v>-195</v>
      </c>
      <c r="H572" s="13">
        <f t="shared" si="145"/>
        <v>-1042</v>
      </c>
      <c r="I572" s="70">
        <f t="shared" si="146"/>
        <v>-2.7421052631578902E-2</v>
      </c>
      <c r="J572" s="70">
        <f t="shared" si="147"/>
        <v>-5.248566737544702E-3</v>
      </c>
      <c r="K572" s="82" t="str">
        <f>_xlfn.IFNA(VLOOKUP(CLEAN(SUBSTITUTE(C572," ","")),Ref_Factory!$A:$B,2,FALSE),CLEAN(SUBSTITUTE(C572," ","")))</f>
        <v>ANUGERAH</v>
      </c>
      <c r="L572" s="82" t="str">
        <f t="shared" si="148"/>
        <v>MAY-3-ANUGERAH</v>
      </c>
      <c r="M572" s="70">
        <f t="shared" si="149"/>
        <v>-8.563456614509235E-2</v>
      </c>
      <c r="N572" s="70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25">
      <c r="A573" t="s">
        <v>39</v>
      </c>
      <c r="B573" s="63">
        <v>3</v>
      </c>
      <c r="C573" t="s">
        <v>16</v>
      </c>
      <c r="D573" s="65">
        <v>30000</v>
      </c>
      <c r="E573" s="65">
        <v>29550</v>
      </c>
      <c r="F573" s="65">
        <v>29297</v>
      </c>
      <c r="G573" s="13">
        <f t="shared" si="144"/>
        <v>-253</v>
      </c>
      <c r="H573" s="13">
        <f t="shared" si="145"/>
        <v>-703</v>
      </c>
      <c r="I573" s="70">
        <f t="shared" si="146"/>
        <v>-2.3433333333333306E-2</v>
      </c>
      <c r="J573" s="70">
        <f t="shared" si="147"/>
        <v>-8.5617597292724223E-3</v>
      </c>
      <c r="K573" s="82" t="str">
        <f>_xlfn.IFNA(VLOOKUP(CLEAN(SUBSTITUTE(C573," ","")),Ref_Factory!$A:$B,2,FALSE),CLEAN(SUBSTITUTE(C573," ","")))</f>
        <v>ANUGERAH</v>
      </c>
      <c r="L573" s="82" t="str">
        <f t="shared" si="148"/>
        <v>MAY-3-ANUGERAH</v>
      </c>
      <c r="M573" s="70">
        <f t="shared" si="149"/>
        <v>-8.563456614509235E-2</v>
      </c>
      <c r="N573" s="70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25">
      <c r="A574" t="s">
        <v>39</v>
      </c>
      <c r="B574" s="63">
        <v>3</v>
      </c>
      <c r="C574" t="s">
        <v>16</v>
      </c>
      <c r="D574" s="65">
        <v>7500</v>
      </c>
      <c r="E574" s="65">
        <v>7530</v>
      </c>
      <c r="F574" s="65">
        <v>7408</v>
      </c>
      <c r="G574" s="13">
        <f t="shared" si="144"/>
        <v>-122</v>
      </c>
      <c r="H574" s="13">
        <f t="shared" si="145"/>
        <v>-92</v>
      </c>
      <c r="I574" s="70">
        <f t="shared" si="146"/>
        <v>-1.2266666666666648E-2</v>
      </c>
      <c r="J574" s="70">
        <f t="shared" si="147"/>
        <v>-1.6201859229747706E-2</v>
      </c>
      <c r="K574" s="82" t="str">
        <f>_xlfn.IFNA(VLOOKUP(CLEAN(SUBSTITUTE(C574," ","")),Ref_Factory!$A:$B,2,FALSE),CLEAN(SUBSTITUTE(C574," ","")))</f>
        <v>ANUGERAH</v>
      </c>
      <c r="L574" s="82" t="str">
        <f t="shared" si="148"/>
        <v>MAY-3-ANUGERAH</v>
      </c>
      <c r="M574" s="70">
        <f t="shared" si="149"/>
        <v>-8.563456614509235E-2</v>
      </c>
      <c r="N574" s="70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25">
      <c r="A575" t="s">
        <v>39</v>
      </c>
      <c r="B575" s="63">
        <v>3</v>
      </c>
      <c r="C575" t="s">
        <v>13</v>
      </c>
      <c r="D575" s="65">
        <v>131760</v>
      </c>
      <c r="E575" s="65">
        <v>135714</v>
      </c>
      <c r="F575" s="65">
        <v>135372</v>
      </c>
      <c r="G575" s="13">
        <f t="shared" si="144"/>
        <v>-342</v>
      </c>
      <c r="H575" s="13">
        <f t="shared" si="145"/>
        <v>3612</v>
      </c>
      <c r="I575" s="70">
        <f t="shared" si="146"/>
        <v>2.741347905282332E-2</v>
      </c>
      <c r="J575" s="70">
        <f t="shared" si="147"/>
        <v>-2.5200053052742977E-3</v>
      </c>
      <c r="K575" s="82" t="str">
        <f>_xlfn.IFNA(VLOOKUP(CLEAN(SUBSTITUTE(C575," ","")),Ref_Factory!$A:$B,2,FALSE),CLEAN(SUBSTITUTE(C575," ","")))</f>
        <v>KALIBENDA</v>
      </c>
      <c r="L575" s="82" t="str">
        <f t="shared" si="148"/>
        <v>MAY-3-KALIBENDA</v>
      </c>
      <c r="M575" s="70">
        <f t="shared" si="149"/>
        <v>2.5429352068696343E-2</v>
      </c>
      <c r="N575" s="70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25">
      <c r="A576" t="s">
        <v>39</v>
      </c>
      <c r="B576" s="63">
        <v>3</v>
      </c>
      <c r="C576" t="s">
        <v>14</v>
      </c>
      <c r="D576" s="65">
        <v>17388</v>
      </c>
      <c r="E576" s="65">
        <v>17740</v>
      </c>
      <c r="F576" s="65">
        <v>17619</v>
      </c>
      <c r="G576" s="13">
        <f t="shared" si="144"/>
        <v>-121</v>
      </c>
      <c r="H576" s="13">
        <f t="shared" si="145"/>
        <v>231</v>
      </c>
      <c r="I576" s="70">
        <f t="shared" si="146"/>
        <v>1.3285024154589431E-2</v>
      </c>
      <c r="J576" s="70">
        <f t="shared" si="147"/>
        <v>-6.8207440811725029E-3</v>
      </c>
      <c r="K576" s="82" t="str">
        <f>_xlfn.IFNA(VLOOKUP(CLEAN(SUBSTITUTE(C576," ","")),Ref_Factory!$A:$B,2,FALSE),CLEAN(SUBSTITUTE(C576," ","")))</f>
        <v>GM2</v>
      </c>
      <c r="L576" s="82" t="str">
        <f t="shared" si="148"/>
        <v>MAY-3-GM2</v>
      </c>
      <c r="M576" s="70">
        <f t="shared" si="149"/>
        <v>8.9343120561025668E-2</v>
      </c>
      <c r="N576" s="70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25">
      <c r="A577" t="s">
        <v>39</v>
      </c>
      <c r="B577" s="63">
        <v>3</v>
      </c>
      <c r="C577" t="s">
        <v>14</v>
      </c>
      <c r="D577" s="65">
        <v>61776</v>
      </c>
      <c r="E577" s="65">
        <v>63644</v>
      </c>
      <c r="F577" s="65">
        <v>63234</v>
      </c>
      <c r="G577" s="13">
        <f t="shared" si="144"/>
        <v>-410</v>
      </c>
      <c r="H577" s="13">
        <f t="shared" si="145"/>
        <v>1458</v>
      </c>
      <c r="I577" s="70">
        <f t="shared" si="146"/>
        <v>2.3601398601398538E-2</v>
      </c>
      <c r="J577" s="70">
        <f t="shared" si="147"/>
        <v>-6.4420840927660317E-3</v>
      </c>
      <c r="K577" s="82" t="str">
        <f>_xlfn.IFNA(VLOOKUP(CLEAN(SUBSTITUTE(C577," ","")),Ref_Factory!$A:$B,2,FALSE),CLEAN(SUBSTITUTE(C577," ","")))</f>
        <v>GM2</v>
      </c>
      <c r="L577" s="82" t="str">
        <f t="shared" si="148"/>
        <v>MAY-3-GM2</v>
      </c>
      <c r="M577" s="70">
        <f t="shared" si="149"/>
        <v>8.9343120561025668E-2</v>
      </c>
      <c r="N577" s="70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25">
      <c r="A578" t="s">
        <v>39</v>
      </c>
      <c r="B578" s="63">
        <v>3</v>
      </c>
      <c r="C578" t="s">
        <v>14</v>
      </c>
      <c r="D578" s="65">
        <v>7560</v>
      </c>
      <c r="E578" s="65">
        <v>7788</v>
      </c>
      <c r="F578" s="65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70">
        <f t="shared" ref="I578:I641" si="164">F578/D578-1</f>
        <v>2.4603174603174516E-2</v>
      </c>
      <c r="J578" s="70">
        <f t="shared" ref="J578:J641" si="165">F578/E578-1</f>
        <v>-5.3929121725732054E-3</v>
      </c>
      <c r="K578" s="82" t="str">
        <f>_xlfn.IFNA(VLOOKUP(CLEAN(SUBSTITUTE(C578," ","")),Ref_Factory!$A:$B,2,FALSE),CLEAN(SUBSTITUTE(C578," ","")))</f>
        <v>GM2</v>
      </c>
      <c r="L578" s="82" t="str">
        <f t="shared" ref="L578:L641" si="166">A578&amp;"-"&amp;B578&amp;"-"&amp;K578</f>
        <v>MAY-3-GM2</v>
      </c>
      <c r="M578" s="70">
        <f t="shared" ref="M578:M641" si="167">SUMIF($L$2:$L$1420,L578,$I$2:$I$1420)</f>
        <v>8.9343120561025668E-2</v>
      </c>
      <c r="N578" s="70">
        <f t="shared" ref="N578:N641" si="168">SUMIF($L$2:$L$1420,L578,$J$2:$J$1420)</f>
        <v>-2.1534157302172341E-2</v>
      </c>
      <c r="O578" s="13">
        <f t="shared" ref="O578:O641" si="169">SUMIF($A$2:$A$1420,A578,$D$2:$D$1420)</f>
        <v>1911391</v>
      </c>
      <c r="P578" s="13">
        <f t="shared" ref="P578:P641" si="170">SUMIF($A$2:$A$1420,A578,$E$2:$E$1420)</f>
        <v>1932701</v>
      </c>
      <c r="Q578" s="13">
        <f t="shared" ref="Q578:Q641" si="171">SUMIF($A$2:$A$1420,A578,$F$2:$F$1420)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SUMIF($T$2:$T$1420,T578,$D$2:$D$1420)</f>
        <v>602172</v>
      </c>
      <c r="V578">
        <f t="shared" ref="V578:V641" si="176">SUMIF($T$2:$T$1420,T578,$E$2:$E$1420)</f>
        <v>615513</v>
      </c>
      <c r="W578">
        <f t="shared" ref="W578:W641" si="177">SUMIF($T$2:$T$1420,T578,$F$2:$F$1420)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25">
      <c r="A579" t="s">
        <v>39</v>
      </c>
      <c r="B579" s="63">
        <v>3</v>
      </c>
      <c r="C579" t="s">
        <v>14</v>
      </c>
      <c r="D579" s="65">
        <v>34236</v>
      </c>
      <c r="E579" s="65">
        <v>34237</v>
      </c>
      <c r="F579" s="65">
        <v>34158</v>
      </c>
      <c r="G579" s="13">
        <f t="shared" si="162"/>
        <v>-79</v>
      </c>
      <c r="H579" s="13">
        <f t="shared" si="163"/>
        <v>-78</v>
      </c>
      <c r="I579" s="70">
        <f t="shared" si="164"/>
        <v>-2.278303540133142E-3</v>
      </c>
      <c r="J579" s="70">
        <f t="shared" si="165"/>
        <v>-2.3074451616672542E-3</v>
      </c>
      <c r="K579" s="82" t="str">
        <f>_xlfn.IFNA(VLOOKUP(CLEAN(SUBSTITUTE(C579," ","")),Ref_Factory!$A:$B,2,FALSE),CLEAN(SUBSTITUTE(C579," ","")))</f>
        <v>GM2</v>
      </c>
      <c r="L579" s="82" t="str">
        <f t="shared" si="166"/>
        <v>MAY-3-GM2</v>
      </c>
      <c r="M579" s="70">
        <f t="shared" si="167"/>
        <v>8.9343120561025668E-2</v>
      </c>
      <c r="N579" s="70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25">
      <c r="A580" t="s">
        <v>39</v>
      </c>
      <c r="B580" s="63">
        <v>3</v>
      </c>
      <c r="C580" t="s">
        <v>14</v>
      </c>
      <c r="D580" s="65">
        <v>1836</v>
      </c>
      <c r="E580" s="65">
        <v>1836</v>
      </c>
      <c r="F580" s="65">
        <v>1836</v>
      </c>
      <c r="G580" s="13">
        <f t="shared" si="162"/>
        <v>0</v>
      </c>
      <c r="H580" s="13">
        <f t="shared" si="163"/>
        <v>0</v>
      </c>
      <c r="I580" s="70">
        <f t="shared" si="164"/>
        <v>0</v>
      </c>
      <c r="J580" s="70">
        <f t="shared" si="165"/>
        <v>0</v>
      </c>
      <c r="K580" s="82" t="str">
        <f>_xlfn.IFNA(VLOOKUP(CLEAN(SUBSTITUTE(C580," ","")),Ref_Factory!$A:$B,2,FALSE),CLEAN(SUBSTITUTE(C580," ","")))</f>
        <v>GM2</v>
      </c>
      <c r="L580" s="82" t="str">
        <f t="shared" si="166"/>
        <v>MAY-3-GM2</v>
      </c>
      <c r="M580" s="70">
        <f t="shared" si="167"/>
        <v>8.9343120561025668E-2</v>
      </c>
      <c r="N580" s="70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25">
      <c r="A581" t="s">
        <v>39</v>
      </c>
      <c r="B581" s="63">
        <v>3</v>
      </c>
      <c r="C581" t="s">
        <v>13</v>
      </c>
      <c r="D581" s="65">
        <v>28728</v>
      </c>
      <c r="E581" s="65">
        <v>28730</v>
      </c>
      <c r="F581" s="65">
        <v>28671</v>
      </c>
      <c r="G581" s="13">
        <f t="shared" si="162"/>
        <v>-59</v>
      </c>
      <c r="H581" s="13">
        <f t="shared" si="163"/>
        <v>-57</v>
      </c>
      <c r="I581" s="70">
        <f t="shared" si="164"/>
        <v>-1.9841269841269771E-3</v>
      </c>
      <c r="J581" s="70">
        <f t="shared" si="165"/>
        <v>-2.0536025060912122E-3</v>
      </c>
      <c r="K581" s="82" t="str">
        <f>_xlfn.IFNA(VLOOKUP(CLEAN(SUBSTITUTE(C581," ","")),Ref_Factory!$A:$B,2,FALSE),CLEAN(SUBSTITUTE(C581," ","")))</f>
        <v>KALIBENDA</v>
      </c>
      <c r="L581" s="82" t="str">
        <f t="shared" si="166"/>
        <v>MAY-3-KALIBENDA</v>
      </c>
      <c r="M581" s="70">
        <f t="shared" si="167"/>
        <v>2.5429352068696343E-2</v>
      </c>
      <c r="N581" s="70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25">
      <c r="A582" t="s">
        <v>39</v>
      </c>
      <c r="B582" s="63">
        <v>3</v>
      </c>
      <c r="C582" t="s">
        <v>11</v>
      </c>
      <c r="D582" s="65">
        <v>23112</v>
      </c>
      <c r="E582" s="65">
        <v>23819</v>
      </c>
      <c r="F582" s="65">
        <v>23592</v>
      </c>
      <c r="G582" s="13">
        <f t="shared" si="162"/>
        <v>-227</v>
      </c>
      <c r="H582" s="13">
        <f t="shared" si="163"/>
        <v>480</v>
      </c>
      <c r="I582" s="70">
        <f t="shared" si="164"/>
        <v>2.0768431983385183E-2</v>
      </c>
      <c r="J582" s="70">
        <f t="shared" si="165"/>
        <v>-9.5302069776228571E-3</v>
      </c>
      <c r="K582" s="82" t="str">
        <f>_xlfn.IFNA(VLOOKUP(CLEAN(SUBSTITUTE(C582," ","")),Ref_Factory!$A:$B,2,FALSE),CLEAN(SUBSTITUTE(C582," ","")))</f>
        <v>GM1</v>
      </c>
      <c r="L582" s="82" t="str">
        <f t="shared" si="166"/>
        <v>MAY-3-GM1</v>
      </c>
      <c r="M582" s="70">
        <f t="shared" si="167"/>
        <v>7.8439133262782068E-2</v>
      </c>
      <c r="N582" s="70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25">
      <c r="A583" t="s">
        <v>39</v>
      </c>
      <c r="B583" s="63">
        <v>3</v>
      </c>
      <c r="C583" t="s">
        <v>11</v>
      </c>
      <c r="D583" s="65">
        <v>1512</v>
      </c>
      <c r="E583" s="65">
        <v>1560</v>
      </c>
      <c r="F583" s="65">
        <v>1542</v>
      </c>
      <c r="G583" s="13">
        <f t="shared" si="162"/>
        <v>-18</v>
      </c>
      <c r="H583" s="13">
        <f t="shared" si="163"/>
        <v>30</v>
      </c>
      <c r="I583" s="70">
        <f t="shared" si="164"/>
        <v>1.9841269841269771E-2</v>
      </c>
      <c r="J583" s="70">
        <f t="shared" si="165"/>
        <v>-1.1538461538461497E-2</v>
      </c>
      <c r="K583" s="82" t="str">
        <f>_xlfn.IFNA(VLOOKUP(CLEAN(SUBSTITUTE(C583," ","")),Ref_Factory!$A:$B,2,FALSE),CLEAN(SUBSTITUTE(C583," ","")))</f>
        <v>GM1</v>
      </c>
      <c r="L583" s="82" t="str">
        <f t="shared" si="166"/>
        <v>MAY-3-GM1</v>
      </c>
      <c r="M583" s="70">
        <f t="shared" si="167"/>
        <v>7.8439133262782068E-2</v>
      </c>
      <c r="N583" s="70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25">
      <c r="A584" t="s">
        <v>39</v>
      </c>
      <c r="B584" s="63">
        <v>3</v>
      </c>
      <c r="C584" t="s">
        <v>11</v>
      </c>
      <c r="D584" s="65">
        <v>9936</v>
      </c>
      <c r="E584" s="65">
        <v>10201</v>
      </c>
      <c r="F584" s="65">
        <v>10125</v>
      </c>
      <c r="G584" s="13">
        <f t="shared" si="162"/>
        <v>-76</v>
      </c>
      <c r="H584" s="13">
        <f t="shared" si="163"/>
        <v>189</v>
      </c>
      <c r="I584" s="70">
        <f t="shared" si="164"/>
        <v>1.9021739130434812E-2</v>
      </c>
      <c r="J584" s="70">
        <f t="shared" si="165"/>
        <v>-7.4502499754925955E-3</v>
      </c>
      <c r="K584" s="82" t="str">
        <f>_xlfn.IFNA(VLOOKUP(CLEAN(SUBSTITUTE(C584," ","")),Ref_Factory!$A:$B,2,FALSE),CLEAN(SUBSTITUTE(C584," ","")))</f>
        <v>GM1</v>
      </c>
      <c r="L584" s="82" t="str">
        <f t="shared" si="166"/>
        <v>MAY-3-GM1</v>
      </c>
      <c r="M584" s="70">
        <f t="shared" si="167"/>
        <v>7.8439133262782068E-2</v>
      </c>
      <c r="N584" s="70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25">
      <c r="A585" t="s">
        <v>39</v>
      </c>
      <c r="B585" s="63">
        <v>3</v>
      </c>
      <c r="C585" t="s">
        <v>11</v>
      </c>
      <c r="D585" s="65">
        <v>1080</v>
      </c>
      <c r="E585" s="65">
        <v>1115</v>
      </c>
      <c r="F585" s="65">
        <v>1080</v>
      </c>
      <c r="G585" s="13">
        <f t="shared" si="162"/>
        <v>-35</v>
      </c>
      <c r="H585" s="13">
        <f t="shared" si="163"/>
        <v>0</v>
      </c>
      <c r="I585" s="70">
        <f t="shared" si="164"/>
        <v>0</v>
      </c>
      <c r="J585" s="70">
        <f t="shared" si="165"/>
        <v>-3.1390134529147962E-2</v>
      </c>
      <c r="K585" s="82" t="str">
        <f>_xlfn.IFNA(VLOOKUP(CLEAN(SUBSTITUTE(C585," ","")),Ref_Factory!$A:$B,2,FALSE),CLEAN(SUBSTITUTE(C585," ","")))</f>
        <v>GM1</v>
      </c>
      <c r="L585" s="82" t="str">
        <f t="shared" si="166"/>
        <v>MAY-3-GM1</v>
      </c>
      <c r="M585" s="70">
        <f t="shared" si="167"/>
        <v>7.8439133262782068E-2</v>
      </c>
      <c r="N585" s="70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25">
      <c r="A586" t="s">
        <v>39</v>
      </c>
      <c r="B586" s="63">
        <v>3</v>
      </c>
      <c r="C586" t="s">
        <v>11</v>
      </c>
      <c r="D586" s="65">
        <v>5616</v>
      </c>
      <c r="E586" s="65">
        <v>5784</v>
      </c>
      <c r="F586" s="65">
        <v>5643</v>
      </c>
      <c r="G586" s="13">
        <f t="shared" si="162"/>
        <v>-141</v>
      </c>
      <c r="H586" s="13">
        <f t="shared" si="163"/>
        <v>27</v>
      </c>
      <c r="I586" s="70">
        <f t="shared" si="164"/>
        <v>4.8076923076922906E-3</v>
      </c>
      <c r="J586" s="70">
        <f t="shared" si="165"/>
        <v>-2.4377593360995875E-2</v>
      </c>
      <c r="K586" s="82" t="str">
        <f>_xlfn.IFNA(VLOOKUP(CLEAN(SUBSTITUTE(C586," ","")),Ref_Factory!$A:$B,2,FALSE),CLEAN(SUBSTITUTE(C586," ","")))</f>
        <v>GM1</v>
      </c>
      <c r="L586" s="82" t="str">
        <f t="shared" si="166"/>
        <v>MAY-3-GM1</v>
      </c>
      <c r="M586" s="70">
        <f t="shared" si="167"/>
        <v>7.8439133262782068E-2</v>
      </c>
      <c r="N586" s="70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25">
      <c r="A587" t="s">
        <v>39</v>
      </c>
      <c r="B587" s="63">
        <v>3</v>
      </c>
      <c r="C587" t="s">
        <v>11</v>
      </c>
      <c r="D587" s="65">
        <v>1188</v>
      </c>
      <c r="E587" s="65">
        <v>1224</v>
      </c>
      <c r="F587" s="65">
        <v>1188</v>
      </c>
      <c r="G587" s="13">
        <f t="shared" si="162"/>
        <v>-36</v>
      </c>
      <c r="H587" s="13">
        <f t="shared" si="163"/>
        <v>0</v>
      </c>
      <c r="I587" s="70">
        <f t="shared" si="164"/>
        <v>0</v>
      </c>
      <c r="J587" s="70">
        <f t="shared" si="165"/>
        <v>-2.9411764705882359E-2</v>
      </c>
      <c r="K587" s="82" t="str">
        <f>_xlfn.IFNA(VLOOKUP(CLEAN(SUBSTITUTE(C587," ","")),Ref_Factory!$A:$B,2,FALSE),CLEAN(SUBSTITUTE(C587," ","")))</f>
        <v>GM1</v>
      </c>
      <c r="L587" s="82" t="str">
        <f t="shared" si="166"/>
        <v>MAY-3-GM1</v>
      </c>
      <c r="M587" s="70">
        <f t="shared" si="167"/>
        <v>7.8439133262782068E-2</v>
      </c>
      <c r="N587" s="70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25">
      <c r="A588" t="s">
        <v>39</v>
      </c>
      <c r="B588" s="63">
        <v>3</v>
      </c>
      <c r="C588" t="s">
        <v>14</v>
      </c>
      <c r="D588" s="65">
        <v>8496</v>
      </c>
      <c r="E588" s="65">
        <v>8757</v>
      </c>
      <c r="F588" s="65">
        <v>8752</v>
      </c>
      <c r="G588" s="13">
        <f t="shared" si="162"/>
        <v>-5</v>
      </c>
      <c r="H588" s="13">
        <f t="shared" si="163"/>
        <v>256</v>
      </c>
      <c r="I588" s="70">
        <f t="shared" si="164"/>
        <v>3.0131826741996326E-2</v>
      </c>
      <c r="J588" s="70">
        <f t="shared" si="165"/>
        <v>-5.7097179399334674E-4</v>
      </c>
      <c r="K588" s="82" t="str">
        <f>_xlfn.IFNA(VLOOKUP(CLEAN(SUBSTITUTE(C588," ","")),Ref_Factory!$A:$B,2,FALSE),CLEAN(SUBSTITUTE(C588," ","")))</f>
        <v>GM2</v>
      </c>
      <c r="L588" s="82" t="str">
        <f t="shared" si="166"/>
        <v>MAY-3-GM2</v>
      </c>
      <c r="M588" s="70">
        <f t="shared" si="167"/>
        <v>8.9343120561025668E-2</v>
      </c>
      <c r="N588" s="70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25">
      <c r="A589" t="s">
        <v>39</v>
      </c>
      <c r="B589" s="63">
        <v>3</v>
      </c>
      <c r="C589" t="s">
        <v>10</v>
      </c>
      <c r="D589" s="65">
        <v>1365</v>
      </c>
      <c r="E589" s="65">
        <v>1365</v>
      </c>
      <c r="F589" s="65">
        <v>1365</v>
      </c>
      <c r="G589" s="13">
        <f t="shared" si="162"/>
        <v>0</v>
      </c>
      <c r="H589" s="13">
        <f t="shared" si="163"/>
        <v>0</v>
      </c>
      <c r="I589" s="70">
        <f t="shared" si="164"/>
        <v>0</v>
      </c>
      <c r="J589" s="70">
        <f t="shared" si="165"/>
        <v>0</v>
      </c>
      <c r="K589" s="82" t="str">
        <f>_xlfn.IFNA(VLOOKUP(CLEAN(SUBSTITUTE(C589," ","")),Ref_Factory!$A:$B,2,FALSE),CLEAN(SUBSTITUTE(C589," ","")))</f>
        <v>CNJ2</v>
      </c>
      <c r="L589" s="82" t="str">
        <f t="shared" si="166"/>
        <v>MAY-3-CNJ2</v>
      </c>
      <c r="M589" s="70">
        <f t="shared" si="167"/>
        <v>0</v>
      </c>
      <c r="N589" s="70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25">
      <c r="A590" t="s">
        <v>39</v>
      </c>
      <c r="B590" s="63">
        <v>3</v>
      </c>
      <c r="C590" t="s">
        <v>10</v>
      </c>
      <c r="D590" s="65">
        <v>4780</v>
      </c>
      <c r="E590" s="65">
        <v>4780</v>
      </c>
      <c r="F590" s="65">
        <v>4780</v>
      </c>
      <c r="G590" s="13">
        <f t="shared" si="162"/>
        <v>0</v>
      </c>
      <c r="H590" s="13">
        <f t="shared" si="163"/>
        <v>0</v>
      </c>
      <c r="I590" s="70">
        <f t="shared" si="164"/>
        <v>0</v>
      </c>
      <c r="J590" s="70">
        <f t="shared" si="165"/>
        <v>0</v>
      </c>
      <c r="K590" s="82" t="str">
        <f>_xlfn.IFNA(VLOOKUP(CLEAN(SUBSTITUTE(C590," ","")),Ref_Factory!$A:$B,2,FALSE),CLEAN(SUBSTITUTE(C590," ","")))</f>
        <v>CNJ2</v>
      </c>
      <c r="L590" s="82" t="str">
        <f t="shared" si="166"/>
        <v>MAY-3-CNJ2</v>
      </c>
      <c r="M590" s="70">
        <f t="shared" si="167"/>
        <v>0</v>
      </c>
      <c r="N590" s="70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25">
      <c r="A591" t="s">
        <v>39</v>
      </c>
      <c r="B591" s="63">
        <v>3</v>
      </c>
      <c r="C591" t="s">
        <v>10</v>
      </c>
      <c r="D591" s="65">
        <v>1190</v>
      </c>
      <c r="E591" s="65">
        <v>1190</v>
      </c>
      <c r="F591" s="65">
        <v>1190</v>
      </c>
      <c r="G591" s="13">
        <f t="shared" si="162"/>
        <v>0</v>
      </c>
      <c r="H591" s="13">
        <f t="shared" si="163"/>
        <v>0</v>
      </c>
      <c r="I591" s="70">
        <f t="shared" si="164"/>
        <v>0</v>
      </c>
      <c r="J591" s="70">
        <f t="shared" si="165"/>
        <v>0</v>
      </c>
      <c r="K591" s="82" t="str">
        <f>_xlfn.IFNA(VLOOKUP(CLEAN(SUBSTITUTE(C591," ","")),Ref_Factory!$A:$B,2,FALSE),CLEAN(SUBSTITUTE(C591," ","")))</f>
        <v>CNJ2</v>
      </c>
      <c r="L591" s="82" t="str">
        <f t="shared" si="166"/>
        <v>MAY-3-CNJ2</v>
      </c>
      <c r="M591" s="70">
        <f t="shared" si="167"/>
        <v>0</v>
      </c>
      <c r="N591" s="70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25">
      <c r="A592" t="s">
        <v>39</v>
      </c>
      <c r="B592" s="63">
        <v>3</v>
      </c>
      <c r="C592" t="s">
        <v>10</v>
      </c>
      <c r="D592" s="65">
        <v>160</v>
      </c>
      <c r="E592" s="65">
        <v>160</v>
      </c>
      <c r="F592" s="65">
        <v>160</v>
      </c>
      <c r="G592" s="13">
        <f t="shared" si="162"/>
        <v>0</v>
      </c>
      <c r="H592" s="13">
        <f t="shared" si="163"/>
        <v>0</v>
      </c>
      <c r="I592" s="70">
        <f t="shared" si="164"/>
        <v>0</v>
      </c>
      <c r="J592" s="70">
        <f t="shared" si="165"/>
        <v>0</v>
      </c>
      <c r="K592" s="82" t="str">
        <f>_xlfn.IFNA(VLOOKUP(CLEAN(SUBSTITUTE(C592," ","")),Ref_Factory!$A:$B,2,FALSE),CLEAN(SUBSTITUTE(C592," ","")))</f>
        <v>CNJ2</v>
      </c>
      <c r="L592" s="82" t="str">
        <f t="shared" si="166"/>
        <v>MAY-3-CNJ2</v>
      </c>
      <c r="M592" s="70">
        <f t="shared" si="167"/>
        <v>0</v>
      </c>
      <c r="N592" s="70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25">
      <c r="A593" t="s">
        <v>39</v>
      </c>
      <c r="B593" s="63">
        <v>3</v>
      </c>
      <c r="C593" t="s">
        <v>10</v>
      </c>
      <c r="D593" s="65">
        <v>165</v>
      </c>
      <c r="E593" s="65">
        <v>165</v>
      </c>
      <c r="F593" s="65">
        <v>165</v>
      </c>
      <c r="G593" s="13">
        <f t="shared" si="162"/>
        <v>0</v>
      </c>
      <c r="H593" s="13">
        <f t="shared" si="163"/>
        <v>0</v>
      </c>
      <c r="I593" s="70">
        <f t="shared" si="164"/>
        <v>0</v>
      </c>
      <c r="J593" s="70">
        <f t="shared" si="165"/>
        <v>0</v>
      </c>
      <c r="K593" s="82" t="str">
        <f>_xlfn.IFNA(VLOOKUP(CLEAN(SUBSTITUTE(C593," ","")),Ref_Factory!$A:$B,2,FALSE),CLEAN(SUBSTITUTE(C593," ","")))</f>
        <v>CNJ2</v>
      </c>
      <c r="L593" s="82" t="str">
        <f t="shared" si="166"/>
        <v>MAY-3-CNJ2</v>
      </c>
      <c r="M593" s="70">
        <f t="shared" si="167"/>
        <v>0</v>
      </c>
      <c r="N593" s="70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25">
      <c r="A594" t="s">
        <v>39</v>
      </c>
      <c r="B594" s="63">
        <v>3</v>
      </c>
      <c r="C594" t="s">
        <v>10</v>
      </c>
      <c r="D594" s="65">
        <v>6540</v>
      </c>
      <c r="E594" s="65">
        <v>6540</v>
      </c>
      <c r="F594" s="65">
        <v>6540</v>
      </c>
      <c r="G594" s="13">
        <f t="shared" si="162"/>
        <v>0</v>
      </c>
      <c r="H594" s="13">
        <f t="shared" si="163"/>
        <v>0</v>
      </c>
      <c r="I594" s="70">
        <f t="shared" si="164"/>
        <v>0</v>
      </c>
      <c r="J594" s="70">
        <f t="shared" si="165"/>
        <v>0</v>
      </c>
      <c r="K594" s="82" t="str">
        <f>_xlfn.IFNA(VLOOKUP(CLEAN(SUBSTITUTE(C594," ","")),Ref_Factory!$A:$B,2,FALSE),CLEAN(SUBSTITUTE(C594," ","")))</f>
        <v>CNJ2</v>
      </c>
      <c r="L594" s="82" t="str">
        <f t="shared" si="166"/>
        <v>MAY-3-CNJ2</v>
      </c>
      <c r="M594" s="70">
        <f t="shared" si="167"/>
        <v>0</v>
      </c>
      <c r="N594" s="70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25">
      <c r="A595" t="s">
        <v>39</v>
      </c>
      <c r="B595" s="63">
        <v>3</v>
      </c>
      <c r="C595" t="s">
        <v>10</v>
      </c>
      <c r="D595" s="65">
        <v>9075</v>
      </c>
      <c r="E595" s="65">
        <v>9075</v>
      </c>
      <c r="F595" s="65">
        <v>9075</v>
      </c>
      <c r="G595" s="13">
        <f t="shared" si="162"/>
        <v>0</v>
      </c>
      <c r="H595" s="13">
        <f t="shared" si="163"/>
        <v>0</v>
      </c>
      <c r="I595" s="70">
        <f t="shared" si="164"/>
        <v>0</v>
      </c>
      <c r="J595" s="70">
        <f t="shared" si="165"/>
        <v>0</v>
      </c>
      <c r="K595" s="82" t="str">
        <f>_xlfn.IFNA(VLOOKUP(CLEAN(SUBSTITUTE(C595," ","")),Ref_Factory!$A:$B,2,FALSE),CLEAN(SUBSTITUTE(C595," ","")))</f>
        <v>CNJ2</v>
      </c>
      <c r="L595" s="82" t="str">
        <f t="shared" si="166"/>
        <v>MAY-3-CNJ2</v>
      </c>
      <c r="M595" s="70">
        <f t="shared" si="167"/>
        <v>0</v>
      </c>
      <c r="N595" s="70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25">
      <c r="A596" t="s">
        <v>39</v>
      </c>
      <c r="B596" s="63">
        <v>3</v>
      </c>
      <c r="C596" t="s">
        <v>10</v>
      </c>
      <c r="D596" s="65">
        <v>2305</v>
      </c>
      <c r="E596" s="65">
        <v>2305</v>
      </c>
      <c r="F596" s="65">
        <v>2305</v>
      </c>
      <c r="G596" s="13">
        <f t="shared" si="162"/>
        <v>0</v>
      </c>
      <c r="H596" s="13">
        <f t="shared" si="163"/>
        <v>0</v>
      </c>
      <c r="I596" s="70">
        <f t="shared" si="164"/>
        <v>0</v>
      </c>
      <c r="J596" s="70">
        <f t="shared" si="165"/>
        <v>0</v>
      </c>
      <c r="K596" s="82" t="str">
        <f>_xlfn.IFNA(VLOOKUP(CLEAN(SUBSTITUTE(C596," ","")),Ref_Factory!$A:$B,2,FALSE),CLEAN(SUBSTITUTE(C596," ","")))</f>
        <v>CNJ2</v>
      </c>
      <c r="L596" s="82" t="str">
        <f t="shared" si="166"/>
        <v>MAY-3-CNJ2</v>
      </c>
      <c r="M596" s="70">
        <f t="shared" si="167"/>
        <v>0</v>
      </c>
      <c r="N596" s="70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25">
      <c r="A597" t="s">
        <v>39</v>
      </c>
      <c r="B597" s="63">
        <v>3</v>
      </c>
      <c r="C597" t="s">
        <v>10</v>
      </c>
      <c r="D597" s="65">
        <v>815</v>
      </c>
      <c r="E597" s="65">
        <v>815</v>
      </c>
      <c r="F597" s="65">
        <v>815</v>
      </c>
      <c r="G597" s="13">
        <f t="shared" si="162"/>
        <v>0</v>
      </c>
      <c r="H597" s="13">
        <f t="shared" si="163"/>
        <v>0</v>
      </c>
      <c r="I597" s="70">
        <f t="shared" si="164"/>
        <v>0</v>
      </c>
      <c r="J597" s="70">
        <f t="shared" si="165"/>
        <v>0</v>
      </c>
      <c r="K597" s="82" t="str">
        <f>_xlfn.IFNA(VLOOKUP(CLEAN(SUBSTITUTE(C597," ","")),Ref_Factory!$A:$B,2,FALSE),CLEAN(SUBSTITUTE(C597," ","")))</f>
        <v>CNJ2</v>
      </c>
      <c r="L597" s="82" t="str">
        <f t="shared" si="166"/>
        <v>MAY-3-CNJ2</v>
      </c>
      <c r="M597" s="70">
        <f t="shared" si="167"/>
        <v>0</v>
      </c>
      <c r="N597" s="70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25">
      <c r="A598" t="s">
        <v>39</v>
      </c>
      <c r="B598" s="63">
        <v>3</v>
      </c>
      <c r="C598" t="s">
        <v>10</v>
      </c>
      <c r="D598" s="65">
        <v>1840</v>
      </c>
      <c r="E598" s="65">
        <v>1840</v>
      </c>
      <c r="F598" s="65">
        <v>1840</v>
      </c>
      <c r="G598" s="13">
        <f t="shared" si="162"/>
        <v>0</v>
      </c>
      <c r="H598" s="13">
        <f t="shared" si="163"/>
        <v>0</v>
      </c>
      <c r="I598" s="70">
        <f t="shared" si="164"/>
        <v>0</v>
      </c>
      <c r="J598" s="70">
        <f t="shared" si="165"/>
        <v>0</v>
      </c>
      <c r="K598" s="82" t="str">
        <f>_xlfn.IFNA(VLOOKUP(CLEAN(SUBSTITUTE(C598," ","")),Ref_Factory!$A:$B,2,FALSE),CLEAN(SUBSTITUTE(C598," ","")))</f>
        <v>CNJ2</v>
      </c>
      <c r="L598" s="82" t="str">
        <f t="shared" si="166"/>
        <v>MAY-3-CNJ2</v>
      </c>
      <c r="M598" s="70">
        <f t="shared" si="167"/>
        <v>0</v>
      </c>
      <c r="N598" s="70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25">
      <c r="A599" t="s">
        <v>39</v>
      </c>
      <c r="B599" s="63">
        <v>3</v>
      </c>
      <c r="C599" t="s">
        <v>10</v>
      </c>
      <c r="D599" s="65">
        <v>1635</v>
      </c>
      <c r="E599" s="65">
        <v>1635</v>
      </c>
      <c r="F599" s="65">
        <v>1635</v>
      </c>
      <c r="G599" s="13">
        <f t="shared" si="162"/>
        <v>0</v>
      </c>
      <c r="H599" s="13">
        <f t="shared" si="163"/>
        <v>0</v>
      </c>
      <c r="I599" s="70">
        <f t="shared" si="164"/>
        <v>0</v>
      </c>
      <c r="J599" s="70">
        <f t="shared" si="165"/>
        <v>0</v>
      </c>
      <c r="K599" s="82" t="str">
        <f>_xlfn.IFNA(VLOOKUP(CLEAN(SUBSTITUTE(C599," ","")),Ref_Factory!$A:$B,2,FALSE),CLEAN(SUBSTITUTE(C599," ","")))</f>
        <v>CNJ2</v>
      </c>
      <c r="L599" s="82" t="str">
        <f t="shared" si="166"/>
        <v>MAY-3-CNJ2</v>
      </c>
      <c r="M599" s="70">
        <f t="shared" si="167"/>
        <v>0</v>
      </c>
      <c r="N599" s="70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25">
      <c r="A600" t="s">
        <v>39</v>
      </c>
      <c r="B600" s="63">
        <v>3</v>
      </c>
      <c r="C600" t="s">
        <v>10</v>
      </c>
      <c r="D600" s="65">
        <v>100</v>
      </c>
      <c r="E600" s="65">
        <v>100</v>
      </c>
      <c r="F600" s="65">
        <v>100</v>
      </c>
      <c r="G600" s="13">
        <f t="shared" si="162"/>
        <v>0</v>
      </c>
      <c r="H600" s="13">
        <f t="shared" si="163"/>
        <v>0</v>
      </c>
      <c r="I600" s="70">
        <f t="shared" si="164"/>
        <v>0</v>
      </c>
      <c r="J600" s="70">
        <f t="shared" si="165"/>
        <v>0</v>
      </c>
      <c r="K600" s="82" t="str">
        <f>_xlfn.IFNA(VLOOKUP(CLEAN(SUBSTITUTE(C600," ","")),Ref_Factory!$A:$B,2,FALSE),CLEAN(SUBSTITUTE(C600," ","")))</f>
        <v>CNJ2</v>
      </c>
      <c r="L600" s="82" t="str">
        <f t="shared" si="166"/>
        <v>MAY-3-CNJ2</v>
      </c>
      <c r="M600" s="70">
        <f t="shared" si="167"/>
        <v>0</v>
      </c>
      <c r="N600" s="70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25">
      <c r="A601" t="s">
        <v>39</v>
      </c>
      <c r="B601" s="63">
        <v>3</v>
      </c>
      <c r="C601" t="s">
        <v>10</v>
      </c>
      <c r="D601" s="65">
        <v>975</v>
      </c>
      <c r="E601" s="65">
        <v>975</v>
      </c>
      <c r="F601" s="65">
        <v>975</v>
      </c>
      <c r="G601" s="13">
        <f t="shared" si="162"/>
        <v>0</v>
      </c>
      <c r="H601" s="13">
        <f t="shared" si="163"/>
        <v>0</v>
      </c>
      <c r="I601" s="70">
        <f t="shared" si="164"/>
        <v>0</v>
      </c>
      <c r="J601" s="70">
        <f t="shared" si="165"/>
        <v>0</v>
      </c>
      <c r="K601" s="82" t="str">
        <f>_xlfn.IFNA(VLOOKUP(CLEAN(SUBSTITUTE(C601," ","")),Ref_Factory!$A:$B,2,FALSE),CLEAN(SUBSTITUTE(C601," ","")))</f>
        <v>CNJ2</v>
      </c>
      <c r="L601" s="82" t="str">
        <f t="shared" si="166"/>
        <v>MAY-3-CNJ2</v>
      </c>
      <c r="M601" s="70">
        <f t="shared" si="167"/>
        <v>0</v>
      </c>
      <c r="N601" s="70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25">
      <c r="A602" t="s">
        <v>39</v>
      </c>
      <c r="B602" s="63">
        <v>3</v>
      </c>
      <c r="C602" t="s">
        <v>11</v>
      </c>
      <c r="D602" s="65">
        <v>385</v>
      </c>
      <c r="E602" s="65">
        <v>387</v>
      </c>
      <c r="F602" s="65">
        <v>385</v>
      </c>
      <c r="G602" s="13">
        <f t="shared" si="162"/>
        <v>-2</v>
      </c>
      <c r="H602" s="13">
        <f t="shared" si="163"/>
        <v>0</v>
      </c>
      <c r="I602" s="70">
        <f t="shared" si="164"/>
        <v>0</v>
      </c>
      <c r="J602" s="70">
        <f t="shared" si="165"/>
        <v>-5.1679586563307955E-3</v>
      </c>
      <c r="K602" s="82" t="str">
        <f>_xlfn.IFNA(VLOOKUP(CLEAN(SUBSTITUTE(C602," ","")),Ref_Factory!$A:$B,2,FALSE),CLEAN(SUBSTITUTE(C602," ","")))</f>
        <v>GM1</v>
      </c>
      <c r="L602" s="82" t="str">
        <f t="shared" si="166"/>
        <v>MAY-3-GM1</v>
      </c>
      <c r="M602" s="70">
        <f t="shared" si="167"/>
        <v>7.8439133262782068E-2</v>
      </c>
      <c r="N602" s="70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25">
      <c r="A603" t="s">
        <v>39</v>
      </c>
      <c r="B603" s="63">
        <v>3</v>
      </c>
      <c r="C603" t="s">
        <v>11</v>
      </c>
      <c r="D603" s="65">
        <v>25</v>
      </c>
      <c r="E603" s="65">
        <v>25</v>
      </c>
      <c r="F603" s="65">
        <v>25</v>
      </c>
      <c r="G603" s="13">
        <f t="shared" si="162"/>
        <v>0</v>
      </c>
      <c r="H603" s="13">
        <f t="shared" si="163"/>
        <v>0</v>
      </c>
      <c r="I603" s="70">
        <f t="shared" si="164"/>
        <v>0</v>
      </c>
      <c r="J603" s="70">
        <f t="shared" si="165"/>
        <v>0</v>
      </c>
      <c r="K603" s="82" t="str">
        <f>_xlfn.IFNA(VLOOKUP(CLEAN(SUBSTITUTE(C603," ","")),Ref_Factory!$A:$B,2,FALSE),CLEAN(SUBSTITUTE(C603," ","")))</f>
        <v>GM1</v>
      </c>
      <c r="L603" s="82" t="str">
        <f t="shared" si="166"/>
        <v>MAY-3-GM1</v>
      </c>
      <c r="M603" s="70">
        <f t="shared" si="167"/>
        <v>7.8439133262782068E-2</v>
      </c>
      <c r="N603" s="70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25">
      <c r="A604" t="s">
        <v>39</v>
      </c>
      <c r="B604" s="63">
        <v>3</v>
      </c>
      <c r="C604" t="s">
        <v>11</v>
      </c>
      <c r="D604" s="65">
        <v>310</v>
      </c>
      <c r="E604" s="65">
        <v>312</v>
      </c>
      <c r="F604" s="65">
        <v>310</v>
      </c>
      <c r="G604" s="13">
        <f t="shared" si="162"/>
        <v>-2</v>
      </c>
      <c r="H604" s="13">
        <f t="shared" si="163"/>
        <v>0</v>
      </c>
      <c r="I604" s="70">
        <f t="shared" si="164"/>
        <v>0</v>
      </c>
      <c r="J604" s="70">
        <f t="shared" si="165"/>
        <v>-6.4102564102563875E-3</v>
      </c>
      <c r="K604" s="82" t="str">
        <f>_xlfn.IFNA(VLOOKUP(CLEAN(SUBSTITUTE(C604," ","")),Ref_Factory!$A:$B,2,FALSE),CLEAN(SUBSTITUTE(C604," ","")))</f>
        <v>GM1</v>
      </c>
      <c r="L604" s="82" t="str">
        <f t="shared" si="166"/>
        <v>MAY-3-GM1</v>
      </c>
      <c r="M604" s="70">
        <f t="shared" si="167"/>
        <v>7.8439133262782068E-2</v>
      </c>
      <c r="N604" s="70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25">
      <c r="A605" t="s">
        <v>39</v>
      </c>
      <c r="B605" s="63">
        <v>3</v>
      </c>
      <c r="C605" t="s">
        <v>11</v>
      </c>
      <c r="D605" s="65">
        <v>10</v>
      </c>
      <c r="E605" s="65">
        <v>10</v>
      </c>
      <c r="F605" s="65">
        <v>10</v>
      </c>
      <c r="G605" s="13">
        <f t="shared" si="162"/>
        <v>0</v>
      </c>
      <c r="H605" s="13">
        <f t="shared" si="163"/>
        <v>0</v>
      </c>
      <c r="I605" s="70">
        <f t="shared" si="164"/>
        <v>0</v>
      </c>
      <c r="J605" s="70">
        <f t="shared" si="165"/>
        <v>0</v>
      </c>
      <c r="K605" s="82" t="str">
        <f>_xlfn.IFNA(VLOOKUP(CLEAN(SUBSTITUTE(C605," ","")),Ref_Factory!$A:$B,2,FALSE),CLEAN(SUBSTITUTE(C605," ","")))</f>
        <v>GM1</v>
      </c>
      <c r="L605" s="82" t="str">
        <f t="shared" si="166"/>
        <v>MAY-3-GM1</v>
      </c>
      <c r="M605" s="70">
        <f t="shared" si="167"/>
        <v>7.8439133262782068E-2</v>
      </c>
      <c r="N605" s="70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25">
      <c r="A606" t="s">
        <v>39</v>
      </c>
      <c r="B606" s="63">
        <v>3</v>
      </c>
      <c r="C606" t="s">
        <v>11</v>
      </c>
      <c r="D606" s="65">
        <v>900</v>
      </c>
      <c r="E606" s="65">
        <v>902</v>
      </c>
      <c r="F606" s="65">
        <v>900</v>
      </c>
      <c r="G606" s="13">
        <f t="shared" si="162"/>
        <v>-2</v>
      </c>
      <c r="H606" s="13">
        <f t="shared" si="163"/>
        <v>0</v>
      </c>
      <c r="I606" s="70">
        <f t="shared" si="164"/>
        <v>0</v>
      </c>
      <c r="J606" s="70">
        <f t="shared" si="165"/>
        <v>-2.2172949002217113E-3</v>
      </c>
      <c r="K606" s="82" t="str">
        <f>_xlfn.IFNA(VLOOKUP(CLEAN(SUBSTITUTE(C606," ","")),Ref_Factory!$A:$B,2,FALSE),CLEAN(SUBSTITUTE(C606," ","")))</f>
        <v>GM1</v>
      </c>
      <c r="L606" s="82" t="str">
        <f t="shared" si="166"/>
        <v>MAY-3-GM1</v>
      </c>
      <c r="M606" s="70">
        <f t="shared" si="167"/>
        <v>7.8439133262782068E-2</v>
      </c>
      <c r="N606" s="70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25">
      <c r="A607" t="s">
        <v>39</v>
      </c>
      <c r="B607" s="63">
        <v>3</v>
      </c>
      <c r="C607" t="s">
        <v>11</v>
      </c>
      <c r="D607" s="65">
        <v>100</v>
      </c>
      <c r="E607" s="65">
        <v>100</v>
      </c>
      <c r="F607" s="65">
        <v>100</v>
      </c>
      <c r="G607" s="13">
        <f t="shared" si="162"/>
        <v>0</v>
      </c>
      <c r="H607" s="13">
        <f t="shared" si="163"/>
        <v>0</v>
      </c>
      <c r="I607" s="70">
        <f t="shared" si="164"/>
        <v>0</v>
      </c>
      <c r="J607" s="70">
        <f t="shared" si="165"/>
        <v>0</v>
      </c>
      <c r="K607" s="82" t="str">
        <f>_xlfn.IFNA(VLOOKUP(CLEAN(SUBSTITUTE(C607," ","")),Ref_Factory!$A:$B,2,FALSE),CLEAN(SUBSTITUTE(C607," ","")))</f>
        <v>GM1</v>
      </c>
      <c r="L607" s="82" t="str">
        <f t="shared" si="166"/>
        <v>MAY-3-GM1</v>
      </c>
      <c r="M607" s="70">
        <f t="shared" si="167"/>
        <v>7.8439133262782068E-2</v>
      </c>
      <c r="N607" s="70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25">
      <c r="A608" t="s">
        <v>39</v>
      </c>
      <c r="B608" s="63">
        <v>3</v>
      </c>
      <c r="C608" t="s">
        <v>10</v>
      </c>
      <c r="D608" s="65">
        <v>1200</v>
      </c>
      <c r="E608" s="65">
        <v>1226</v>
      </c>
      <c r="F608" s="65">
        <v>1200</v>
      </c>
      <c r="G608" s="13">
        <f t="shared" si="162"/>
        <v>-26</v>
      </c>
      <c r="H608" s="13">
        <f t="shared" si="163"/>
        <v>0</v>
      </c>
      <c r="I608" s="70">
        <f t="shared" si="164"/>
        <v>0</v>
      </c>
      <c r="J608" s="70">
        <f t="shared" si="165"/>
        <v>-2.1207177814029365E-2</v>
      </c>
      <c r="K608" s="82" t="str">
        <f>_xlfn.IFNA(VLOOKUP(CLEAN(SUBSTITUTE(C608," ","")),Ref_Factory!$A:$B,2,FALSE),CLEAN(SUBSTITUTE(C608," ","")))</f>
        <v>CNJ2</v>
      </c>
      <c r="L608" s="82" t="str">
        <f t="shared" si="166"/>
        <v>MAY-3-CNJ2</v>
      </c>
      <c r="M608" s="70">
        <f t="shared" si="167"/>
        <v>0</v>
      </c>
      <c r="N608" s="70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25">
      <c r="A609" t="s">
        <v>39</v>
      </c>
      <c r="B609" s="63">
        <v>3</v>
      </c>
      <c r="C609" t="s">
        <v>11</v>
      </c>
      <c r="D609" s="65">
        <v>1000</v>
      </c>
      <c r="E609" s="65">
        <v>1020</v>
      </c>
      <c r="F609" s="65">
        <v>1014</v>
      </c>
      <c r="G609" s="13">
        <f t="shared" si="162"/>
        <v>-6</v>
      </c>
      <c r="H609" s="13">
        <f t="shared" si="163"/>
        <v>14</v>
      </c>
      <c r="I609" s="70">
        <f t="shared" si="164"/>
        <v>1.4000000000000012E-2</v>
      </c>
      <c r="J609" s="70">
        <f t="shared" si="165"/>
        <v>-5.8823529411764497E-3</v>
      </c>
      <c r="K609" s="82" t="str">
        <f>_xlfn.IFNA(VLOOKUP(CLEAN(SUBSTITUTE(C609," ","")),Ref_Factory!$A:$B,2,FALSE),CLEAN(SUBSTITUTE(C609," ","")))</f>
        <v>GM1</v>
      </c>
      <c r="L609" s="82" t="str">
        <f t="shared" si="166"/>
        <v>MAY-3-GM1</v>
      </c>
      <c r="M609" s="70">
        <f t="shared" si="167"/>
        <v>7.8439133262782068E-2</v>
      </c>
      <c r="N609" s="70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25">
      <c r="A610" t="s">
        <v>39</v>
      </c>
      <c r="B610" s="63">
        <v>3</v>
      </c>
      <c r="C610" t="s">
        <v>11</v>
      </c>
      <c r="D610" s="65">
        <v>450</v>
      </c>
      <c r="E610" s="65">
        <v>461</v>
      </c>
      <c r="F610" s="65">
        <v>450</v>
      </c>
      <c r="G610" s="13">
        <f t="shared" si="162"/>
        <v>-11</v>
      </c>
      <c r="H610" s="13">
        <f t="shared" si="163"/>
        <v>0</v>
      </c>
      <c r="I610" s="70">
        <f t="shared" si="164"/>
        <v>0</v>
      </c>
      <c r="J610" s="70">
        <f t="shared" si="165"/>
        <v>-2.386117136659438E-2</v>
      </c>
      <c r="K610" s="82" t="str">
        <f>_xlfn.IFNA(VLOOKUP(CLEAN(SUBSTITUTE(C610," ","")),Ref_Factory!$A:$B,2,FALSE),CLEAN(SUBSTITUTE(C610," ","")))</f>
        <v>GM1</v>
      </c>
      <c r="L610" s="82" t="str">
        <f t="shared" si="166"/>
        <v>MAY-3-GM1</v>
      </c>
      <c r="M610" s="70">
        <f t="shared" si="167"/>
        <v>7.8439133262782068E-2</v>
      </c>
      <c r="N610" s="70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25">
      <c r="A611" t="s">
        <v>39</v>
      </c>
      <c r="B611" s="63">
        <v>3</v>
      </c>
      <c r="C611" t="s">
        <v>17</v>
      </c>
      <c r="D611" s="65">
        <v>850</v>
      </c>
      <c r="E611" s="65">
        <v>870</v>
      </c>
      <c r="F611" s="65">
        <v>862</v>
      </c>
      <c r="G611" s="13">
        <f t="shared" si="162"/>
        <v>-8</v>
      </c>
      <c r="H611" s="13">
        <f t="shared" si="163"/>
        <v>12</v>
      </c>
      <c r="I611" s="70">
        <f t="shared" si="164"/>
        <v>1.4117647058823568E-2</v>
      </c>
      <c r="J611" s="70">
        <f t="shared" si="165"/>
        <v>-9.1954022988506301E-3</v>
      </c>
      <c r="K611" s="82" t="str">
        <f>_xlfn.IFNA(VLOOKUP(CLEAN(SUBSTITUTE(C611," ","")),Ref_Factory!$A:$B,2,FALSE),CLEAN(SUBSTITUTE(C611," ","")))</f>
        <v>CBA</v>
      </c>
      <c r="L611" s="82" t="str">
        <f t="shared" si="166"/>
        <v>MAY-3-CBA</v>
      </c>
      <c r="M611" s="70">
        <f t="shared" si="167"/>
        <v>5.6046871107789942E-2</v>
      </c>
      <c r="N611" s="70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25">
      <c r="A612" t="s">
        <v>39</v>
      </c>
      <c r="B612" s="63">
        <v>3</v>
      </c>
      <c r="C612" t="s">
        <v>17</v>
      </c>
      <c r="D612" s="65">
        <v>640</v>
      </c>
      <c r="E612" s="65">
        <v>659</v>
      </c>
      <c r="F612" s="65">
        <v>654</v>
      </c>
      <c r="G612" s="13">
        <f t="shared" si="162"/>
        <v>-5</v>
      </c>
      <c r="H612" s="13">
        <f t="shared" si="163"/>
        <v>14</v>
      </c>
      <c r="I612" s="70">
        <f t="shared" si="164"/>
        <v>2.1875000000000089E-2</v>
      </c>
      <c r="J612" s="70">
        <f t="shared" si="165"/>
        <v>-7.587253414264028E-3</v>
      </c>
      <c r="K612" s="82" t="str">
        <f>_xlfn.IFNA(VLOOKUP(CLEAN(SUBSTITUTE(C612," ","")),Ref_Factory!$A:$B,2,FALSE),CLEAN(SUBSTITUTE(C612," ","")))</f>
        <v>CBA</v>
      </c>
      <c r="L612" s="82" t="str">
        <f t="shared" si="166"/>
        <v>MAY-3-CBA</v>
      </c>
      <c r="M612" s="70">
        <f t="shared" si="167"/>
        <v>5.6046871107789942E-2</v>
      </c>
      <c r="N612" s="70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25">
      <c r="A613" t="s">
        <v>39</v>
      </c>
      <c r="B613" s="63">
        <v>3</v>
      </c>
      <c r="C613" t="s">
        <v>17</v>
      </c>
      <c r="D613" s="65">
        <v>870</v>
      </c>
      <c r="E613" s="65">
        <v>889</v>
      </c>
      <c r="F613" s="65">
        <v>881</v>
      </c>
      <c r="G613" s="13">
        <f t="shared" si="162"/>
        <v>-8</v>
      </c>
      <c r="H613" s="13">
        <f t="shared" si="163"/>
        <v>11</v>
      </c>
      <c r="I613" s="70">
        <f t="shared" si="164"/>
        <v>1.2643678160919603E-2</v>
      </c>
      <c r="J613" s="70">
        <f t="shared" si="165"/>
        <v>-8.9988751406073764E-3</v>
      </c>
      <c r="K613" s="82" t="str">
        <f>_xlfn.IFNA(VLOOKUP(CLEAN(SUBSTITUTE(C613," ","")),Ref_Factory!$A:$B,2,FALSE),CLEAN(SUBSTITUTE(C613," ","")))</f>
        <v>CBA</v>
      </c>
      <c r="L613" s="82" t="str">
        <f t="shared" si="166"/>
        <v>MAY-3-CBA</v>
      </c>
      <c r="M613" s="70">
        <f t="shared" si="167"/>
        <v>5.6046871107789942E-2</v>
      </c>
      <c r="N613" s="70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25">
      <c r="A614" t="s">
        <v>39</v>
      </c>
      <c r="B614" s="63">
        <v>3</v>
      </c>
      <c r="C614" t="s">
        <v>17</v>
      </c>
      <c r="D614" s="65">
        <v>510</v>
      </c>
      <c r="E614" s="65">
        <v>524</v>
      </c>
      <c r="F614" s="65">
        <v>515</v>
      </c>
      <c r="G614" s="13">
        <f t="shared" si="162"/>
        <v>-9</v>
      </c>
      <c r="H614" s="13">
        <f t="shared" si="163"/>
        <v>5</v>
      </c>
      <c r="I614" s="70">
        <f t="shared" si="164"/>
        <v>9.8039215686274161E-3</v>
      </c>
      <c r="J614" s="70">
        <f t="shared" si="165"/>
        <v>-1.717557251908397E-2</v>
      </c>
      <c r="K614" s="82" t="str">
        <f>_xlfn.IFNA(VLOOKUP(CLEAN(SUBSTITUTE(C614," ","")),Ref_Factory!$A:$B,2,FALSE),CLEAN(SUBSTITUTE(C614," ","")))</f>
        <v>CBA</v>
      </c>
      <c r="L614" s="82" t="str">
        <f t="shared" si="166"/>
        <v>MAY-3-CBA</v>
      </c>
      <c r="M614" s="70">
        <f t="shared" si="167"/>
        <v>5.6046871107789942E-2</v>
      </c>
      <c r="N614" s="70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25">
      <c r="A615" t="s">
        <v>39</v>
      </c>
      <c r="B615" s="63">
        <v>3</v>
      </c>
      <c r="C615" t="s">
        <v>17</v>
      </c>
      <c r="D615" s="65">
        <v>4640</v>
      </c>
      <c r="E615" s="65">
        <v>4673</v>
      </c>
      <c r="F615" s="65">
        <v>4635</v>
      </c>
      <c r="G615" s="13">
        <f t="shared" si="162"/>
        <v>-38</v>
      </c>
      <c r="H615" s="13">
        <f t="shared" si="163"/>
        <v>-5</v>
      </c>
      <c r="I615" s="70">
        <f t="shared" si="164"/>
        <v>-1.0775862068965747E-3</v>
      </c>
      <c r="J615" s="70">
        <f t="shared" si="165"/>
        <v>-8.1318210999358209E-3</v>
      </c>
      <c r="K615" s="82" t="str">
        <f>_xlfn.IFNA(VLOOKUP(CLEAN(SUBSTITUTE(C615," ","")),Ref_Factory!$A:$B,2,FALSE),CLEAN(SUBSTITUTE(C615," ","")))</f>
        <v>CBA</v>
      </c>
      <c r="L615" s="82" t="str">
        <f t="shared" si="166"/>
        <v>MAY-3-CBA</v>
      </c>
      <c r="M615" s="70">
        <f t="shared" si="167"/>
        <v>5.6046871107789942E-2</v>
      </c>
      <c r="N615" s="70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25">
      <c r="A616" t="s">
        <v>39</v>
      </c>
      <c r="B616" s="63">
        <v>3</v>
      </c>
      <c r="C616" t="s">
        <v>17</v>
      </c>
      <c r="D616" s="65">
        <v>12160</v>
      </c>
      <c r="E616" s="65">
        <v>12234</v>
      </c>
      <c r="F616" s="65">
        <v>12144</v>
      </c>
      <c r="G616" s="13">
        <f t="shared" si="162"/>
        <v>-90</v>
      </c>
      <c r="H616" s="13">
        <f t="shared" si="163"/>
        <v>-16</v>
      </c>
      <c r="I616" s="70">
        <f t="shared" si="164"/>
        <v>-1.3157894736841591E-3</v>
      </c>
      <c r="J616" s="70">
        <f t="shared" si="165"/>
        <v>-7.356547327121099E-3</v>
      </c>
      <c r="K616" s="82" t="str">
        <f>_xlfn.IFNA(VLOOKUP(CLEAN(SUBSTITUTE(C616," ","")),Ref_Factory!$A:$B,2,FALSE),CLEAN(SUBSTITUTE(C616," ","")))</f>
        <v>CBA</v>
      </c>
      <c r="L616" s="82" t="str">
        <f t="shared" si="166"/>
        <v>MAY-3-CBA</v>
      </c>
      <c r="M616" s="70">
        <f t="shared" si="167"/>
        <v>5.6046871107789942E-2</v>
      </c>
      <c r="N616" s="70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25">
      <c r="A617" t="s">
        <v>39</v>
      </c>
      <c r="B617" s="63">
        <v>4</v>
      </c>
      <c r="C617" t="s">
        <v>69</v>
      </c>
      <c r="D617" s="65">
        <v>200</v>
      </c>
      <c r="E617" s="65">
        <v>200</v>
      </c>
      <c r="F617" s="65">
        <v>200</v>
      </c>
      <c r="G617" s="13">
        <f t="shared" si="162"/>
        <v>0</v>
      </c>
      <c r="H617" s="13">
        <f t="shared" si="163"/>
        <v>0</v>
      </c>
      <c r="I617" s="70">
        <f t="shared" si="164"/>
        <v>0</v>
      </c>
      <c r="J617" s="70">
        <f t="shared" si="165"/>
        <v>0</v>
      </c>
      <c r="K617" s="82" t="str">
        <f>_xlfn.IFNA(VLOOKUP(CLEAN(SUBSTITUTE(C617," ","")),Ref_Factory!$A:$B,2,FALSE),CLEAN(SUBSTITUTE(C617," ","")))</f>
        <v>SAMPLE</v>
      </c>
      <c r="L617" s="82" t="str">
        <f t="shared" si="166"/>
        <v>MAY-4-SAMPLE</v>
      </c>
      <c r="M617" s="70">
        <f t="shared" si="167"/>
        <v>-2.2499999999999964E-2</v>
      </c>
      <c r="N617" s="70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25">
      <c r="A618" t="s">
        <v>39</v>
      </c>
      <c r="B618" s="63">
        <v>4</v>
      </c>
      <c r="C618" t="s">
        <v>69</v>
      </c>
      <c r="D618" s="65">
        <v>300</v>
      </c>
      <c r="E618" s="65">
        <v>300</v>
      </c>
      <c r="F618" s="65">
        <v>300</v>
      </c>
      <c r="G618" s="13">
        <f t="shared" si="162"/>
        <v>0</v>
      </c>
      <c r="H618" s="13">
        <f t="shared" si="163"/>
        <v>0</v>
      </c>
      <c r="I618" s="70">
        <f t="shared" si="164"/>
        <v>0</v>
      </c>
      <c r="J618" s="70">
        <f t="shared" si="165"/>
        <v>0</v>
      </c>
      <c r="K618" s="82" t="str">
        <f>_xlfn.IFNA(VLOOKUP(CLEAN(SUBSTITUTE(C618," ","")),Ref_Factory!$A:$B,2,FALSE),CLEAN(SUBSTITUTE(C618," ","")))</f>
        <v>SAMPLE</v>
      </c>
      <c r="L618" s="82" t="str">
        <f t="shared" si="166"/>
        <v>MAY-4-SAMPLE</v>
      </c>
      <c r="M618" s="70">
        <f t="shared" si="167"/>
        <v>-2.2499999999999964E-2</v>
      </c>
      <c r="N618" s="70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25">
      <c r="A619" t="s">
        <v>39</v>
      </c>
      <c r="B619" s="63">
        <v>4</v>
      </c>
      <c r="C619" t="s">
        <v>69</v>
      </c>
      <c r="D619" s="65">
        <v>400</v>
      </c>
      <c r="E619" s="65">
        <v>400</v>
      </c>
      <c r="F619" s="65">
        <v>391</v>
      </c>
      <c r="G619" s="13">
        <f t="shared" si="162"/>
        <v>-9</v>
      </c>
      <c r="H619" s="13">
        <f t="shared" si="163"/>
        <v>-9</v>
      </c>
      <c r="I619" s="70">
        <f t="shared" si="164"/>
        <v>-2.2499999999999964E-2</v>
      </c>
      <c r="J619" s="70">
        <f t="shared" si="165"/>
        <v>-2.2499999999999964E-2</v>
      </c>
      <c r="K619" s="82" t="str">
        <f>_xlfn.IFNA(VLOOKUP(CLEAN(SUBSTITUTE(C619," ","")),Ref_Factory!$A:$B,2,FALSE),CLEAN(SUBSTITUTE(C619," ","")))</f>
        <v>SAMPLE</v>
      </c>
      <c r="L619" s="82" t="str">
        <f t="shared" si="166"/>
        <v>MAY-4-SAMPLE</v>
      </c>
      <c r="M619" s="70">
        <f t="shared" si="167"/>
        <v>-2.2499999999999964E-2</v>
      </c>
      <c r="N619" s="70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25">
      <c r="A620" t="s">
        <v>39</v>
      </c>
      <c r="B620" s="63">
        <v>4</v>
      </c>
      <c r="C620" t="s">
        <v>68</v>
      </c>
      <c r="D620" s="65">
        <v>400</v>
      </c>
      <c r="E620" s="65">
        <v>400</v>
      </c>
      <c r="F620" s="65">
        <v>395</v>
      </c>
      <c r="G620" s="13">
        <f t="shared" si="162"/>
        <v>-5</v>
      </c>
      <c r="H620" s="13">
        <f t="shared" si="163"/>
        <v>-5</v>
      </c>
      <c r="I620" s="70">
        <f t="shared" si="164"/>
        <v>-1.2499999999999956E-2</v>
      </c>
      <c r="J620" s="70">
        <f t="shared" si="165"/>
        <v>-1.2499999999999956E-2</v>
      </c>
      <c r="K620" s="82" t="str">
        <f>_xlfn.IFNA(VLOOKUP(CLEAN(SUBSTITUTE(C620," ","")),Ref_Factory!$A:$B,2,FALSE),CLEAN(SUBSTITUTE(C620," ","")))</f>
        <v>CLN</v>
      </c>
      <c r="L620" s="82" t="str">
        <f t="shared" si="166"/>
        <v>MAY-4-CLN</v>
      </c>
      <c r="M620" s="70">
        <f t="shared" si="167"/>
        <v>-0.14083333333333337</v>
      </c>
      <c r="N620" s="70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25">
      <c r="A621" t="s">
        <v>39</v>
      </c>
      <c r="B621" s="63">
        <v>4</v>
      </c>
      <c r="C621" t="s">
        <v>68</v>
      </c>
      <c r="D621" s="65">
        <v>300</v>
      </c>
      <c r="E621" s="65">
        <v>302</v>
      </c>
      <c r="F621" s="65">
        <v>287</v>
      </c>
      <c r="G621" s="13">
        <f t="shared" si="162"/>
        <v>-15</v>
      </c>
      <c r="H621" s="13">
        <f t="shared" si="163"/>
        <v>-13</v>
      </c>
      <c r="I621" s="70">
        <f t="shared" si="164"/>
        <v>-4.3333333333333335E-2</v>
      </c>
      <c r="J621" s="70">
        <f t="shared" si="165"/>
        <v>-4.9668874172185462E-2</v>
      </c>
      <c r="K621" s="82" t="str">
        <f>_xlfn.IFNA(VLOOKUP(CLEAN(SUBSTITUTE(C621," ","")),Ref_Factory!$A:$B,2,FALSE),CLEAN(SUBSTITUTE(C621," ","")))</f>
        <v>CLN</v>
      </c>
      <c r="L621" s="82" t="str">
        <f t="shared" si="166"/>
        <v>MAY-4-CLN</v>
      </c>
      <c r="M621" s="70">
        <f t="shared" si="167"/>
        <v>-0.14083333333333337</v>
      </c>
      <c r="N621" s="70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25">
      <c r="A622" t="s">
        <v>39</v>
      </c>
      <c r="B622" s="63">
        <v>4</v>
      </c>
      <c r="C622" t="s">
        <v>68</v>
      </c>
      <c r="D622" s="65">
        <v>200</v>
      </c>
      <c r="E622" s="65">
        <v>200</v>
      </c>
      <c r="F622" s="65">
        <v>193</v>
      </c>
      <c r="G622" s="13">
        <f t="shared" si="162"/>
        <v>-7</v>
      </c>
      <c r="H622" s="13">
        <f t="shared" si="163"/>
        <v>-7</v>
      </c>
      <c r="I622" s="70">
        <f t="shared" si="164"/>
        <v>-3.5000000000000031E-2</v>
      </c>
      <c r="J622" s="70">
        <f t="shared" si="165"/>
        <v>-3.5000000000000031E-2</v>
      </c>
      <c r="K622" s="82" t="str">
        <f>_xlfn.IFNA(VLOOKUP(CLEAN(SUBSTITUTE(C622," ","")),Ref_Factory!$A:$B,2,FALSE),CLEAN(SUBSTITUTE(C622," ","")))</f>
        <v>CLN</v>
      </c>
      <c r="L622" s="82" t="str">
        <f t="shared" si="166"/>
        <v>MAY-4-CLN</v>
      </c>
      <c r="M622" s="70">
        <f t="shared" si="167"/>
        <v>-0.14083333333333337</v>
      </c>
      <c r="N622" s="70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25">
      <c r="A623" t="s">
        <v>39</v>
      </c>
      <c r="B623" s="63">
        <v>4</v>
      </c>
      <c r="C623" t="s">
        <v>68</v>
      </c>
      <c r="D623" s="65">
        <v>40</v>
      </c>
      <c r="E623" s="65">
        <v>40</v>
      </c>
      <c r="F623" s="65">
        <v>39</v>
      </c>
      <c r="G623" s="13">
        <f t="shared" si="162"/>
        <v>-1</v>
      </c>
      <c r="H623" s="13">
        <f t="shared" si="163"/>
        <v>-1</v>
      </c>
      <c r="I623" s="70">
        <f t="shared" si="164"/>
        <v>-2.5000000000000022E-2</v>
      </c>
      <c r="J623" s="70">
        <f t="shared" si="165"/>
        <v>-2.5000000000000022E-2</v>
      </c>
      <c r="K623" s="82" t="str">
        <f>_xlfn.IFNA(VLOOKUP(CLEAN(SUBSTITUTE(C623," ","")),Ref_Factory!$A:$B,2,FALSE),CLEAN(SUBSTITUTE(C623," ","")))</f>
        <v>CLN</v>
      </c>
      <c r="L623" s="82" t="str">
        <f t="shared" si="166"/>
        <v>MAY-4-CLN</v>
      </c>
      <c r="M623" s="70">
        <f t="shared" si="167"/>
        <v>-0.14083333333333337</v>
      </c>
      <c r="N623" s="70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25">
      <c r="A624" t="s">
        <v>39</v>
      </c>
      <c r="B624" s="63">
        <v>4</v>
      </c>
      <c r="C624" t="s">
        <v>68</v>
      </c>
      <c r="D624" s="65">
        <v>40</v>
      </c>
      <c r="E624" s="65">
        <v>40</v>
      </c>
      <c r="F624" s="65">
        <v>39</v>
      </c>
      <c r="G624" s="13">
        <f t="shared" si="162"/>
        <v>-1</v>
      </c>
      <c r="H624" s="13">
        <f t="shared" si="163"/>
        <v>-1</v>
      </c>
      <c r="I624" s="70">
        <f t="shared" si="164"/>
        <v>-2.5000000000000022E-2</v>
      </c>
      <c r="J624" s="70">
        <f t="shared" si="165"/>
        <v>-2.5000000000000022E-2</v>
      </c>
      <c r="K624" s="82" t="str">
        <f>_xlfn.IFNA(VLOOKUP(CLEAN(SUBSTITUTE(C624," ","")),Ref_Factory!$A:$B,2,FALSE),CLEAN(SUBSTITUTE(C624," ","")))</f>
        <v>CLN</v>
      </c>
      <c r="L624" s="82" t="str">
        <f t="shared" si="166"/>
        <v>MAY-4-CLN</v>
      </c>
      <c r="M624" s="70">
        <f t="shared" si="167"/>
        <v>-0.14083333333333337</v>
      </c>
      <c r="N624" s="70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25">
      <c r="A625" t="s">
        <v>39</v>
      </c>
      <c r="B625" s="63">
        <v>4</v>
      </c>
      <c r="C625" t="s">
        <v>10</v>
      </c>
      <c r="D625" s="65">
        <v>650</v>
      </c>
      <c r="E625" s="65">
        <v>674</v>
      </c>
      <c r="F625" s="65">
        <v>647</v>
      </c>
      <c r="G625" s="13">
        <f t="shared" si="162"/>
        <v>-27</v>
      </c>
      <c r="H625" s="13">
        <f t="shared" si="163"/>
        <v>-3</v>
      </c>
      <c r="I625" s="70">
        <f t="shared" si="164"/>
        <v>-4.6153846153845768E-3</v>
      </c>
      <c r="J625" s="70">
        <f t="shared" si="165"/>
        <v>-4.0059347181008897E-2</v>
      </c>
      <c r="K625" s="82" t="str">
        <f>_xlfn.IFNA(VLOOKUP(CLEAN(SUBSTITUTE(C625," ","")),Ref_Factory!$A:$B,2,FALSE),CLEAN(SUBSTITUTE(C625," ","")))</f>
        <v>CNJ2</v>
      </c>
      <c r="L625" s="82" t="str">
        <f t="shared" si="166"/>
        <v>MAY-4-CNJ2</v>
      </c>
      <c r="M625" s="70">
        <f t="shared" si="167"/>
        <v>-6.7936863166420891E-2</v>
      </c>
      <c r="N625" s="70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25">
      <c r="A626" t="s">
        <v>39</v>
      </c>
      <c r="B626" s="63">
        <v>4</v>
      </c>
      <c r="C626" t="s">
        <v>10</v>
      </c>
      <c r="D626" s="65">
        <v>375</v>
      </c>
      <c r="E626" s="65">
        <v>385</v>
      </c>
      <c r="F626" s="65">
        <v>375</v>
      </c>
      <c r="G626" s="13">
        <f t="shared" si="162"/>
        <v>-10</v>
      </c>
      <c r="H626" s="13">
        <f t="shared" si="163"/>
        <v>0</v>
      </c>
      <c r="I626" s="70">
        <f t="shared" si="164"/>
        <v>0</v>
      </c>
      <c r="J626" s="70">
        <f t="shared" si="165"/>
        <v>-2.5974025974025983E-2</v>
      </c>
      <c r="K626" s="82" t="str">
        <f>_xlfn.IFNA(VLOOKUP(CLEAN(SUBSTITUTE(C626," ","")),Ref_Factory!$A:$B,2,FALSE),CLEAN(SUBSTITUTE(C626," ","")))</f>
        <v>CNJ2</v>
      </c>
      <c r="L626" s="82" t="str">
        <f t="shared" si="166"/>
        <v>MAY-4-CNJ2</v>
      </c>
      <c r="M626" s="70">
        <f t="shared" si="167"/>
        <v>-6.7936863166420891E-2</v>
      </c>
      <c r="N626" s="70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25">
      <c r="A627" t="s">
        <v>39</v>
      </c>
      <c r="B627" s="63">
        <v>4</v>
      </c>
      <c r="C627" t="s">
        <v>10</v>
      </c>
      <c r="D627" s="65">
        <v>1530</v>
      </c>
      <c r="E627" s="65">
        <v>1563</v>
      </c>
      <c r="F627" s="65">
        <v>1530</v>
      </c>
      <c r="G627" s="13">
        <f t="shared" si="162"/>
        <v>-33</v>
      </c>
      <c r="H627" s="13">
        <f t="shared" si="163"/>
        <v>0</v>
      </c>
      <c r="I627" s="70">
        <f t="shared" si="164"/>
        <v>0</v>
      </c>
      <c r="J627" s="70">
        <f t="shared" si="165"/>
        <v>-2.1113243761996192E-2</v>
      </c>
      <c r="K627" s="82" t="str">
        <f>_xlfn.IFNA(VLOOKUP(CLEAN(SUBSTITUTE(C627," ","")),Ref_Factory!$A:$B,2,FALSE),CLEAN(SUBSTITUTE(C627," ","")))</f>
        <v>CNJ2</v>
      </c>
      <c r="L627" s="82" t="str">
        <f t="shared" si="166"/>
        <v>MAY-4-CNJ2</v>
      </c>
      <c r="M627" s="70">
        <f t="shared" si="167"/>
        <v>-6.7936863166420891E-2</v>
      </c>
      <c r="N627" s="70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25">
      <c r="A628" t="s">
        <v>39</v>
      </c>
      <c r="B628" s="63">
        <v>4</v>
      </c>
      <c r="C628" t="s">
        <v>10</v>
      </c>
      <c r="D628" s="65">
        <v>500</v>
      </c>
      <c r="E628" s="65">
        <v>519</v>
      </c>
      <c r="F628" s="65">
        <v>500</v>
      </c>
      <c r="G628" s="13">
        <f t="shared" si="162"/>
        <v>-19</v>
      </c>
      <c r="H628" s="13">
        <f t="shared" si="163"/>
        <v>0</v>
      </c>
      <c r="I628" s="70">
        <f t="shared" si="164"/>
        <v>0</v>
      </c>
      <c r="J628" s="70">
        <f t="shared" si="165"/>
        <v>-3.6608863198458574E-2</v>
      </c>
      <c r="K628" s="82" t="str">
        <f>_xlfn.IFNA(VLOOKUP(CLEAN(SUBSTITUTE(C628," ","")),Ref_Factory!$A:$B,2,FALSE),CLEAN(SUBSTITUTE(C628," ","")))</f>
        <v>CNJ2</v>
      </c>
      <c r="L628" s="82" t="str">
        <f t="shared" si="166"/>
        <v>MAY-4-CNJ2</v>
      </c>
      <c r="M628" s="70">
        <f t="shared" si="167"/>
        <v>-6.7936863166420891E-2</v>
      </c>
      <c r="N628" s="70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25">
      <c r="A629" t="s">
        <v>39</v>
      </c>
      <c r="B629" s="63">
        <v>4</v>
      </c>
      <c r="C629" t="s">
        <v>10</v>
      </c>
      <c r="D629" s="65">
        <v>579</v>
      </c>
      <c r="E629" s="65">
        <v>576</v>
      </c>
      <c r="F629" s="65">
        <v>576</v>
      </c>
      <c r="G629" s="13">
        <f t="shared" si="162"/>
        <v>0</v>
      </c>
      <c r="H629" s="13">
        <f t="shared" si="163"/>
        <v>-3</v>
      </c>
      <c r="I629" s="70">
        <f t="shared" si="164"/>
        <v>-5.1813471502590858E-3</v>
      </c>
      <c r="J629" s="70">
        <f t="shared" si="165"/>
        <v>0</v>
      </c>
      <c r="K629" s="82" t="str">
        <f>_xlfn.IFNA(VLOOKUP(CLEAN(SUBSTITUTE(C629," ","")),Ref_Factory!$A:$B,2,FALSE),CLEAN(SUBSTITUTE(C629," ","")))</f>
        <v>CNJ2</v>
      </c>
      <c r="L629" s="82" t="str">
        <f t="shared" si="166"/>
        <v>MAY-4-CNJ2</v>
      </c>
      <c r="M629" s="70">
        <f t="shared" si="167"/>
        <v>-6.7936863166420891E-2</v>
      </c>
      <c r="N629" s="70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25">
      <c r="A630" t="s">
        <v>39</v>
      </c>
      <c r="B630" s="63">
        <v>4</v>
      </c>
      <c r="C630" t="s">
        <v>10</v>
      </c>
      <c r="D630" s="65">
        <v>303</v>
      </c>
      <c r="E630" s="65">
        <v>303</v>
      </c>
      <c r="F630" s="65">
        <v>294</v>
      </c>
      <c r="G630" s="13">
        <f t="shared" si="162"/>
        <v>-9</v>
      </c>
      <c r="H630" s="13">
        <f t="shared" si="163"/>
        <v>-9</v>
      </c>
      <c r="I630" s="70">
        <f t="shared" si="164"/>
        <v>-2.9702970297029729E-2</v>
      </c>
      <c r="J630" s="70">
        <f t="shared" si="165"/>
        <v>-2.9702970297029729E-2</v>
      </c>
      <c r="K630" s="82" t="str">
        <f>_xlfn.IFNA(VLOOKUP(CLEAN(SUBSTITUTE(C630," ","")),Ref_Factory!$A:$B,2,FALSE),CLEAN(SUBSTITUTE(C630," ","")))</f>
        <v>CNJ2</v>
      </c>
      <c r="L630" s="82" t="str">
        <f t="shared" si="166"/>
        <v>MAY-4-CNJ2</v>
      </c>
      <c r="M630" s="70">
        <f t="shared" si="167"/>
        <v>-6.7936863166420891E-2</v>
      </c>
      <c r="N630" s="70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25">
      <c r="A631" t="s">
        <v>39</v>
      </c>
      <c r="B631" s="63">
        <v>4</v>
      </c>
      <c r="C631" t="s">
        <v>10</v>
      </c>
      <c r="D631" s="65">
        <v>301</v>
      </c>
      <c r="E631" s="65">
        <v>305</v>
      </c>
      <c r="F631" s="65">
        <v>294</v>
      </c>
      <c r="G631" s="13">
        <f t="shared" si="162"/>
        <v>-11</v>
      </c>
      <c r="H631" s="13">
        <f t="shared" si="163"/>
        <v>-7</v>
      </c>
      <c r="I631" s="70">
        <f t="shared" si="164"/>
        <v>-2.3255813953488413E-2</v>
      </c>
      <c r="J631" s="70">
        <f t="shared" si="165"/>
        <v>-3.6065573770491799E-2</v>
      </c>
      <c r="K631" s="82" t="str">
        <f>_xlfn.IFNA(VLOOKUP(CLEAN(SUBSTITUTE(C631," ","")),Ref_Factory!$A:$B,2,FALSE),CLEAN(SUBSTITUTE(C631," ","")))</f>
        <v>CNJ2</v>
      </c>
      <c r="L631" s="82" t="str">
        <f t="shared" si="166"/>
        <v>MAY-4-CNJ2</v>
      </c>
      <c r="M631" s="70">
        <f t="shared" si="167"/>
        <v>-6.7936863166420891E-2</v>
      </c>
      <c r="N631" s="70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25">
      <c r="A632" t="s">
        <v>39</v>
      </c>
      <c r="B632" s="63">
        <v>4</v>
      </c>
      <c r="C632" t="s">
        <v>10</v>
      </c>
      <c r="D632" s="65">
        <v>210</v>
      </c>
      <c r="E632" s="65">
        <v>213</v>
      </c>
      <c r="F632" s="65">
        <v>210</v>
      </c>
      <c r="G632" s="13">
        <f t="shared" si="162"/>
        <v>-3</v>
      </c>
      <c r="H632" s="13">
        <f t="shared" si="163"/>
        <v>0</v>
      </c>
      <c r="I632" s="70">
        <f t="shared" si="164"/>
        <v>0</v>
      </c>
      <c r="J632" s="70">
        <f t="shared" si="165"/>
        <v>-1.4084507042253502E-2</v>
      </c>
      <c r="K632" s="82" t="str">
        <f>_xlfn.IFNA(VLOOKUP(CLEAN(SUBSTITUTE(C632," ","")),Ref_Factory!$A:$B,2,FALSE),CLEAN(SUBSTITUTE(C632," ","")))</f>
        <v>CNJ2</v>
      </c>
      <c r="L632" s="82" t="str">
        <f t="shared" si="166"/>
        <v>MAY-4-CNJ2</v>
      </c>
      <c r="M632" s="70">
        <f t="shared" si="167"/>
        <v>-6.7936863166420891E-2</v>
      </c>
      <c r="N632" s="70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25">
      <c r="A633" t="s">
        <v>39</v>
      </c>
      <c r="B633" s="63">
        <v>4</v>
      </c>
      <c r="C633" t="s">
        <v>10</v>
      </c>
      <c r="D633" s="65">
        <v>210</v>
      </c>
      <c r="E633" s="65">
        <v>216</v>
      </c>
      <c r="F633" s="65">
        <v>210</v>
      </c>
      <c r="G633" s="13">
        <f t="shared" si="162"/>
        <v>-6</v>
      </c>
      <c r="H633" s="13">
        <f t="shared" si="163"/>
        <v>0</v>
      </c>
      <c r="I633" s="70">
        <f t="shared" si="164"/>
        <v>0</v>
      </c>
      <c r="J633" s="70">
        <f t="shared" si="165"/>
        <v>-2.777777777777779E-2</v>
      </c>
      <c r="K633" s="82" t="str">
        <f>_xlfn.IFNA(VLOOKUP(CLEAN(SUBSTITUTE(C633," ","")),Ref_Factory!$A:$B,2,FALSE),CLEAN(SUBSTITUTE(C633," ","")))</f>
        <v>CNJ2</v>
      </c>
      <c r="L633" s="82" t="str">
        <f t="shared" si="166"/>
        <v>MAY-4-CNJ2</v>
      </c>
      <c r="M633" s="70">
        <f t="shared" si="167"/>
        <v>-6.7936863166420891E-2</v>
      </c>
      <c r="N633" s="70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25">
      <c r="A634" t="s">
        <v>39</v>
      </c>
      <c r="B634" s="63">
        <v>4</v>
      </c>
      <c r="C634" t="s">
        <v>10</v>
      </c>
      <c r="D634" s="65">
        <v>579</v>
      </c>
      <c r="E634" s="65">
        <v>576</v>
      </c>
      <c r="F634" s="65">
        <v>576</v>
      </c>
      <c r="G634" s="13">
        <f t="shared" si="162"/>
        <v>0</v>
      </c>
      <c r="H634" s="13">
        <f t="shared" si="163"/>
        <v>-3</v>
      </c>
      <c r="I634" s="70">
        <f t="shared" si="164"/>
        <v>-5.1813471502590858E-3</v>
      </c>
      <c r="J634" s="70">
        <f t="shared" si="165"/>
        <v>0</v>
      </c>
      <c r="K634" s="82" t="str">
        <f>_xlfn.IFNA(VLOOKUP(CLEAN(SUBSTITUTE(C634," ","")),Ref_Factory!$A:$B,2,FALSE),CLEAN(SUBSTITUTE(C634," ","")))</f>
        <v>CNJ2</v>
      </c>
      <c r="L634" s="82" t="str">
        <f t="shared" si="166"/>
        <v>MAY-4-CNJ2</v>
      </c>
      <c r="M634" s="70">
        <f t="shared" si="167"/>
        <v>-6.7936863166420891E-2</v>
      </c>
      <c r="N634" s="70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25">
      <c r="A635" t="s">
        <v>39</v>
      </c>
      <c r="B635" s="63">
        <v>4</v>
      </c>
      <c r="C635" t="s">
        <v>10</v>
      </c>
      <c r="D635" s="65">
        <v>303</v>
      </c>
      <c r="E635" s="65">
        <v>303</v>
      </c>
      <c r="F635" s="65">
        <v>303</v>
      </c>
      <c r="G635" s="13">
        <f t="shared" si="162"/>
        <v>0</v>
      </c>
      <c r="H635" s="13">
        <f t="shared" si="163"/>
        <v>0</v>
      </c>
      <c r="I635" s="70">
        <f t="shared" si="164"/>
        <v>0</v>
      </c>
      <c r="J635" s="70">
        <f t="shared" si="165"/>
        <v>0</v>
      </c>
      <c r="K635" s="82" t="str">
        <f>_xlfn.IFNA(VLOOKUP(CLEAN(SUBSTITUTE(C635," ","")),Ref_Factory!$A:$B,2,FALSE),CLEAN(SUBSTITUTE(C635," ","")))</f>
        <v>CNJ2</v>
      </c>
      <c r="L635" s="82" t="str">
        <f t="shared" si="166"/>
        <v>MAY-4-CNJ2</v>
      </c>
      <c r="M635" s="70">
        <f t="shared" si="167"/>
        <v>-6.7936863166420891E-2</v>
      </c>
      <c r="N635" s="70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25">
      <c r="A636" t="s">
        <v>39</v>
      </c>
      <c r="B636" s="63">
        <v>5</v>
      </c>
      <c r="C636" t="s">
        <v>14</v>
      </c>
      <c r="D636" s="66">
        <v>12672</v>
      </c>
      <c r="E636" s="66">
        <v>12754</v>
      </c>
      <c r="F636" s="66">
        <v>12584</v>
      </c>
      <c r="G636" s="13">
        <f t="shared" si="162"/>
        <v>-170</v>
      </c>
      <c r="H636" s="13">
        <f t="shared" si="163"/>
        <v>-88</v>
      </c>
      <c r="I636" s="70">
        <f t="shared" si="164"/>
        <v>-6.9444444444444198E-3</v>
      </c>
      <c r="J636" s="70">
        <f t="shared" si="165"/>
        <v>-1.3329151638701631E-2</v>
      </c>
      <c r="K636" s="82" t="str">
        <f>_xlfn.IFNA(VLOOKUP(CLEAN(SUBSTITUTE(C636," ","")),Ref_Factory!$A:$B,2,FALSE),CLEAN(SUBSTITUTE(C636," ","")))</f>
        <v>GM2</v>
      </c>
      <c r="L636" s="82" t="str">
        <f t="shared" si="166"/>
        <v>MAY-5-GM2</v>
      </c>
      <c r="M636" s="70">
        <f t="shared" si="167"/>
        <v>0.32341279227578323</v>
      </c>
      <c r="N636" s="70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25">
      <c r="A637" t="s">
        <v>39</v>
      </c>
      <c r="B637" s="63">
        <v>5</v>
      </c>
      <c r="C637" t="s">
        <v>14</v>
      </c>
      <c r="D637" s="66">
        <v>1872</v>
      </c>
      <c r="E637" s="66">
        <v>1872</v>
      </c>
      <c r="F637" s="66">
        <v>1800</v>
      </c>
      <c r="G637" s="13">
        <f t="shared" si="162"/>
        <v>-72</v>
      </c>
      <c r="H637" s="13">
        <f t="shared" si="163"/>
        <v>-72</v>
      </c>
      <c r="I637" s="70">
        <f t="shared" si="164"/>
        <v>-3.8461538461538436E-2</v>
      </c>
      <c r="J637" s="70">
        <f t="shared" si="165"/>
        <v>-3.8461538461538436E-2</v>
      </c>
      <c r="K637" s="82" t="str">
        <f>_xlfn.IFNA(VLOOKUP(CLEAN(SUBSTITUTE(C637," ","")),Ref_Factory!$A:$B,2,FALSE),CLEAN(SUBSTITUTE(C637," ","")))</f>
        <v>GM2</v>
      </c>
      <c r="L637" s="82" t="str">
        <f t="shared" si="166"/>
        <v>MAY-5-GM2</v>
      </c>
      <c r="M637" s="70">
        <f t="shared" si="167"/>
        <v>0.32341279227578323</v>
      </c>
      <c r="N637" s="70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25">
      <c r="A638" t="s">
        <v>39</v>
      </c>
      <c r="B638" s="63">
        <v>5</v>
      </c>
      <c r="C638" t="s">
        <v>13</v>
      </c>
      <c r="D638" s="66">
        <v>35856</v>
      </c>
      <c r="E638" s="66">
        <v>35745</v>
      </c>
      <c r="F638" s="66">
        <v>35577</v>
      </c>
      <c r="G638" s="13">
        <f t="shared" si="162"/>
        <v>-168</v>
      </c>
      <c r="H638" s="13">
        <f t="shared" si="163"/>
        <v>-279</v>
      </c>
      <c r="I638" s="70">
        <f t="shared" si="164"/>
        <v>-7.7811244979919536E-3</v>
      </c>
      <c r="J638" s="70">
        <f t="shared" si="165"/>
        <v>-4.6999580360889137E-3</v>
      </c>
      <c r="K638" s="82" t="str">
        <f>_xlfn.IFNA(VLOOKUP(CLEAN(SUBSTITUTE(C638," ","")),Ref_Factory!$A:$B,2,FALSE),CLEAN(SUBSTITUTE(C638," ","")))</f>
        <v>KALIBENDA</v>
      </c>
      <c r="L638" s="82" t="str">
        <f t="shared" si="166"/>
        <v>MAY-5-KALIBENDA</v>
      </c>
      <c r="M638" s="70">
        <f t="shared" si="167"/>
        <v>7.2541838839677575E-2</v>
      </c>
      <c r="N638" s="70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25">
      <c r="A639" t="s">
        <v>39</v>
      </c>
      <c r="B639" s="63">
        <v>5</v>
      </c>
      <c r="C639" t="s">
        <v>14</v>
      </c>
      <c r="D639" s="66">
        <v>32688</v>
      </c>
      <c r="E639" s="66">
        <v>33024</v>
      </c>
      <c r="F639" s="66">
        <v>32688</v>
      </c>
      <c r="G639" s="13">
        <f t="shared" si="162"/>
        <v>-336</v>
      </c>
      <c r="H639" s="13">
        <f t="shared" si="163"/>
        <v>0</v>
      </c>
      <c r="I639" s="70">
        <f t="shared" si="164"/>
        <v>0</v>
      </c>
      <c r="J639" s="70">
        <f t="shared" si="165"/>
        <v>-1.0174418604651181E-2</v>
      </c>
      <c r="K639" s="82" t="str">
        <f>_xlfn.IFNA(VLOOKUP(CLEAN(SUBSTITUTE(C639," ","")),Ref_Factory!$A:$B,2,FALSE),CLEAN(SUBSTITUTE(C639," ","")))</f>
        <v>GM2</v>
      </c>
      <c r="L639" s="82" t="str">
        <f t="shared" si="166"/>
        <v>MAY-5-GM2</v>
      </c>
      <c r="M639" s="70">
        <f t="shared" si="167"/>
        <v>0.32341279227578323</v>
      </c>
      <c r="N639" s="70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25">
      <c r="A640" t="s">
        <v>39</v>
      </c>
      <c r="B640" s="63">
        <v>5</v>
      </c>
      <c r="C640" t="s">
        <v>14</v>
      </c>
      <c r="D640" s="66">
        <v>19296</v>
      </c>
      <c r="E640" s="66">
        <v>19298</v>
      </c>
      <c r="F640" s="66">
        <v>19296</v>
      </c>
      <c r="G640" s="13">
        <f t="shared" si="162"/>
        <v>-2</v>
      </c>
      <c r="H640" s="13">
        <f t="shared" si="163"/>
        <v>0</v>
      </c>
      <c r="I640" s="70">
        <f t="shared" si="164"/>
        <v>0</v>
      </c>
      <c r="J640" s="70">
        <f t="shared" si="165"/>
        <v>-1.0363768266141715E-4</v>
      </c>
      <c r="K640" s="82" t="str">
        <f>_xlfn.IFNA(VLOOKUP(CLEAN(SUBSTITUTE(C640," ","")),Ref_Factory!$A:$B,2,FALSE),CLEAN(SUBSTITUTE(C640," ","")))</f>
        <v>GM2</v>
      </c>
      <c r="L640" s="82" t="str">
        <f t="shared" si="166"/>
        <v>MAY-5-GM2</v>
      </c>
      <c r="M640" s="70">
        <f t="shared" si="167"/>
        <v>0.32341279227578323</v>
      </c>
      <c r="N640" s="70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25">
      <c r="A641" t="s">
        <v>39</v>
      </c>
      <c r="B641" s="63">
        <v>5</v>
      </c>
      <c r="C641" t="s">
        <v>14</v>
      </c>
      <c r="D641" s="66">
        <v>19296</v>
      </c>
      <c r="E641" s="66">
        <v>19361</v>
      </c>
      <c r="F641" s="66">
        <v>19188</v>
      </c>
      <c r="G641" s="13">
        <f t="shared" si="162"/>
        <v>-173</v>
      </c>
      <c r="H641" s="13">
        <f t="shared" si="163"/>
        <v>-108</v>
      </c>
      <c r="I641" s="70">
        <f t="shared" si="164"/>
        <v>-5.5970149253731227E-3</v>
      </c>
      <c r="J641" s="70">
        <f t="shared" si="165"/>
        <v>-8.9354888693765622E-3</v>
      </c>
      <c r="K641" s="82" t="str">
        <f>_xlfn.IFNA(VLOOKUP(CLEAN(SUBSTITUTE(C641," ","")),Ref_Factory!$A:$B,2,FALSE),CLEAN(SUBSTITUTE(C641," ","")))</f>
        <v>GM2</v>
      </c>
      <c r="L641" s="82" t="str">
        <f t="shared" si="166"/>
        <v>MAY-5-GM2</v>
      </c>
      <c r="M641" s="70">
        <f t="shared" si="167"/>
        <v>0.32341279227578323</v>
      </c>
      <c r="N641" s="70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25">
      <c r="A642" t="s">
        <v>39</v>
      </c>
      <c r="B642" s="63">
        <v>5</v>
      </c>
      <c r="C642" t="s">
        <v>14</v>
      </c>
      <c r="D642" s="66">
        <v>19008</v>
      </c>
      <c r="E642" s="66">
        <v>19320</v>
      </c>
      <c r="F642" s="66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70">
        <f t="shared" ref="I642:I705" si="182">F642/D642-1</f>
        <v>0</v>
      </c>
      <c r="J642" s="70">
        <f t="shared" ref="J642:J705" si="183">F642/E642-1</f>
        <v>-1.6149068322981353E-2</v>
      </c>
      <c r="K642" s="82" t="str">
        <f>_xlfn.IFNA(VLOOKUP(CLEAN(SUBSTITUTE(C642," ","")),Ref_Factory!$A:$B,2,FALSE),CLEAN(SUBSTITUTE(C642," ","")))</f>
        <v>GM2</v>
      </c>
      <c r="L642" s="82" t="str">
        <f t="shared" ref="L642:L705" si="184">A642&amp;"-"&amp;B642&amp;"-"&amp;K642</f>
        <v>MAY-5-GM2</v>
      </c>
      <c r="M642" s="70">
        <f t="shared" ref="M642:M705" si="185">SUMIF($L$2:$L$1420,L642,$I$2:$I$1420)</f>
        <v>0.32341279227578323</v>
      </c>
      <c r="N642" s="70">
        <f t="shared" ref="N642:N705" si="186">SUMIF($L$2:$L$1420,L642,$J$2:$J$1420)</f>
        <v>-0.22913844509815406</v>
      </c>
      <c r="O642" s="13">
        <f t="shared" ref="O642:O705" si="187">SUMIF($A$2:$A$1420,A642,$D$2:$D$1420)</f>
        <v>1911391</v>
      </c>
      <c r="P642" s="13">
        <f t="shared" ref="P642:P705" si="188">SUMIF($A$2:$A$1420,A642,$E$2:$E$1420)</f>
        <v>1932701</v>
      </c>
      <c r="Q642" s="13">
        <f t="shared" ref="Q642:Q705" si="189">SUMIF($A$2:$A$1420,A642,$F$2:$F$1420)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SUMIF($T$2:$T$1420,T642,$D$2:$D$1420)</f>
        <v>602172</v>
      </c>
      <c r="V642">
        <f t="shared" ref="V642:V705" si="194">SUMIF($T$2:$T$1420,T642,$E$2:$E$1420)</f>
        <v>615513</v>
      </c>
      <c r="W642">
        <f t="shared" ref="W642:W705" si="195">SUMIF($T$2:$T$1420,T642,$F$2:$F$1420)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25">
      <c r="A643" t="s">
        <v>39</v>
      </c>
      <c r="B643" s="63">
        <v>5</v>
      </c>
      <c r="C643" t="s">
        <v>11</v>
      </c>
      <c r="D643" s="65">
        <v>20412</v>
      </c>
      <c r="E643" s="65">
        <v>20994</v>
      </c>
      <c r="F643" s="65">
        <v>20883</v>
      </c>
      <c r="G643" s="13">
        <f t="shared" si="180"/>
        <v>-111</v>
      </c>
      <c r="H643" s="13">
        <f t="shared" si="181"/>
        <v>471</v>
      </c>
      <c r="I643" s="70">
        <f t="shared" si="182"/>
        <v>2.3074661963550902E-2</v>
      </c>
      <c r="J643" s="70">
        <f t="shared" si="183"/>
        <v>-5.2872249214060973E-3</v>
      </c>
      <c r="K643" s="82" t="str">
        <f>_xlfn.IFNA(VLOOKUP(CLEAN(SUBSTITUTE(C643," ","")),Ref_Factory!$A:$B,2,FALSE),CLEAN(SUBSTITUTE(C643," ","")))</f>
        <v>GM1</v>
      </c>
      <c r="L643" s="82" t="str">
        <f t="shared" si="184"/>
        <v>MAY-5-GM1</v>
      </c>
      <c r="M643" s="70">
        <f t="shared" si="185"/>
        <v>0.15843480634501828</v>
      </c>
      <c r="N643" s="70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25">
      <c r="A644" t="s">
        <v>39</v>
      </c>
      <c r="B644" s="63">
        <v>5</v>
      </c>
      <c r="C644" t="s">
        <v>11</v>
      </c>
      <c r="D644" s="65">
        <v>7560</v>
      </c>
      <c r="E644" s="65">
        <v>7782</v>
      </c>
      <c r="F644" s="65">
        <v>7722</v>
      </c>
      <c r="G644" s="13">
        <f t="shared" si="180"/>
        <v>-60</v>
      </c>
      <c r="H644" s="13">
        <f t="shared" si="181"/>
        <v>162</v>
      </c>
      <c r="I644" s="70">
        <f t="shared" si="182"/>
        <v>2.1428571428571352E-2</v>
      </c>
      <c r="J644" s="70">
        <f t="shared" si="183"/>
        <v>-7.7101002313030298E-3</v>
      </c>
      <c r="K644" s="82" t="str">
        <f>_xlfn.IFNA(VLOOKUP(CLEAN(SUBSTITUTE(C644," ","")),Ref_Factory!$A:$B,2,FALSE),CLEAN(SUBSTITUTE(C644," ","")))</f>
        <v>GM1</v>
      </c>
      <c r="L644" s="82" t="str">
        <f t="shared" si="184"/>
        <v>MAY-5-GM1</v>
      </c>
      <c r="M644" s="70">
        <f t="shared" si="185"/>
        <v>0.15843480634501828</v>
      </c>
      <c r="N644" s="70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25">
      <c r="A645" t="s">
        <v>39</v>
      </c>
      <c r="B645" s="63">
        <v>5</v>
      </c>
      <c r="C645" t="s">
        <v>11</v>
      </c>
      <c r="D645" s="65">
        <v>13392</v>
      </c>
      <c r="E645" s="65">
        <v>13785</v>
      </c>
      <c r="F645" s="65">
        <v>13680</v>
      </c>
      <c r="G645" s="13">
        <f t="shared" si="180"/>
        <v>-105</v>
      </c>
      <c r="H645" s="13">
        <f t="shared" si="181"/>
        <v>288</v>
      </c>
      <c r="I645" s="70">
        <f t="shared" si="182"/>
        <v>2.1505376344086002E-2</v>
      </c>
      <c r="J645" s="70">
        <f t="shared" si="183"/>
        <v>-7.6169749727965641E-3</v>
      </c>
      <c r="K645" s="82" t="str">
        <f>_xlfn.IFNA(VLOOKUP(CLEAN(SUBSTITUTE(C645," ","")),Ref_Factory!$A:$B,2,FALSE),CLEAN(SUBSTITUTE(C645," ","")))</f>
        <v>GM1</v>
      </c>
      <c r="L645" s="82" t="str">
        <f t="shared" si="184"/>
        <v>MAY-5-GM1</v>
      </c>
      <c r="M645" s="70">
        <f t="shared" si="185"/>
        <v>0.15843480634501828</v>
      </c>
      <c r="N645" s="70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25">
      <c r="A646" t="s">
        <v>39</v>
      </c>
      <c r="B646" s="63">
        <v>5</v>
      </c>
      <c r="C646" t="s">
        <v>11</v>
      </c>
      <c r="D646" s="65">
        <v>1080</v>
      </c>
      <c r="E646" s="65">
        <v>1112</v>
      </c>
      <c r="F646" s="65">
        <v>1086</v>
      </c>
      <c r="G646" s="13">
        <f t="shared" si="180"/>
        <v>-26</v>
      </c>
      <c r="H646" s="13">
        <f t="shared" si="181"/>
        <v>6</v>
      </c>
      <c r="I646" s="70">
        <f t="shared" si="182"/>
        <v>5.5555555555555358E-3</v>
      </c>
      <c r="J646" s="70">
        <f t="shared" si="183"/>
        <v>-2.3381294964028743E-2</v>
      </c>
      <c r="K646" s="82" t="str">
        <f>_xlfn.IFNA(VLOOKUP(CLEAN(SUBSTITUTE(C646," ","")),Ref_Factory!$A:$B,2,FALSE),CLEAN(SUBSTITUTE(C646," ","")))</f>
        <v>GM1</v>
      </c>
      <c r="L646" s="82" t="str">
        <f t="shared" si="184"/>
        <v>MAY-5-GM1</v>
      </c>
      <c r="M646" s="70">
        <f t="shared" si="185"/>
        <v>0.15843480634501828</v>
      </c>
      <c r="N646" s="70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25">
      <c r="A647" t="s">
        <v>39</v>
      </c>
      <c r="B647" s="63">
        <v>5</v>
      </c>
      <c r="C647" t="s">
        <v>13</v>
      </c>
      <c r="D647" s="66">
        <v>67932</v>
      </c>
      <c r="E647" s="66">
        <v>69971</v>
      </c>
      <c r="F647" s="66">
        <v>69720</v>
      </c>
      <c r="G647" s="13">
        <f t="shared" si="180"/>
        <v>-251</v>
      </c>
      <c r="H647" s="13">
        <f t="shared" si="181"/>
        <v>1788</v>
      </c>
      <c r="I647" s="70">
        <f t="shared" si="182"/>
        <v>2.632043808514406E-2</v>
      </c>
      <c r="J647" s="70">
        <f t="shared" si="183"/>
        <v>-3.5872004115991007E-3</v>
      </c>
      <c r="K647" s="82" t="str">
        <f>_xlfn.IFNA(VLOOKUP(CLEAN(SUBSTITUTE(C647," ","")),Ref_Factory!$A:$B,2,FALSE),CLEAN(SUBSTITUTE(C647," ","")))</f>
        <v>KALIBENDA</v>
      </c>
      <c r="L647" s="82" t="str">
        <f t="shared" si="184"/>
        <v>MAY-5-KALIBENDA</v>
      </c>
      <c r="M647" s="70">
        <f t="shared" si="185"/>
        <v>7.2541838839677575E-2</v>
      </c>
      <c r="N647" s="70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25">
      <c r="A648" t="s">
        <v>39</v>
      </c>
      <c r="B648" s="63">
        <v>5</v>
      </c>
      <c r="C648" t="s">
        <v>13</v>
      </c>
      <c r="D648" s="66">
        <v>2376</v>
      </c>
      <c r="E648" s="66">
        <v>2448</v>
      </c>
      <c r="F648" s="66">
        <v>2436</v>
      </c>
      <c r="G648" s="13">
        <f t="shared" si="180"/>
        <v>-12</v>
      </c>
      <c r="H648" s="13">
        <f t="shared" si="181"/>
        <v>60</v>
      </c>
      <c r="I648" s="70">
        <f t="shared" si="182"/>
        <v>2.5252525252525304E-2</v>
      </c>
      <c r="J648" s="70">
        <f t="shared" si="183"/>
        <v>-4.9019607843137081E-3</v>
      </c>
      <c r="K648" s="82" t="str">
        <f>_xlfn.IFNA(VLOOKUP(CLEAN(SUBSTITUTE(C648," ","")),Ref_Factory!$A:$B,2,FALSE),CLEAN(SUBSTITUTE(C648," ","")))</f>
        <v>KALIBENDA</v>
      </c>
      <c r="L648" s="82" t="str">
        <f t="shared" si="184"/>
        <v>MAY-5-KALIBENDA</v>
      </c>
      <c r="M648" s="70">
        <f t="shared" si="185"/>
        <v>7.2541838839677575E-2</v>
      </c>
      <c r="N648" s="70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25">
      <c r="A649" t="s">
        <v>39</v>
      </c>
      <c r="B649" s="63">
        <v>5</v>
      </c>
      <c r="C649" t="s">
        <v>11</v>
      </c>
      <c r="D649" s="65">
        <v>12744</v>
      </c>
      <c r="E649" s="65">
        <v>13142</v>
      </c>
      <c r="F649" s="65">
        <v>13041</v>
      </c>
      <c r="G649" s="13">
        <f t="shared" si="180"/>
        <v>-101</v>
      </c>
      <c r="H649" s="13">
        <f t="shared" si="181"/>
        <v>297</v>
      </c>
      <c r="I649" s="70">
        <f t="shared" si="182"/>
        <v>2.3305084745762761E-2</v>
      </c>
      <c r="J649" s="70">
        <f t="shared" si="183"/>
        <v>-7.6852838228580467E-3</v>
      </c>
      <c r="K649" s="82" t="str">
        <f>_xlfn.IFNA(VLOOKUP(CLEAN(SUBSTITUTE(C649," ","")),Ref_Factory!$A:$B,2,FALSE),CLEAN(SUBSTITUTE(C649," ","")))</f>
        <v>GM1</v>
      </c>
      <c r="L649" s="82" t="str">
        <f t="shared" si="184"/>
        <v>MAY-5-GM1</v>
      </c>
      <c r="M649" s="70">
        <f t="shared" si="185"/>
        <v>0.15843480634501828</v>
      </c>
      <c r="N649" s="70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25">
      <c r="A650" t="s">
        <v>39</v>
      </c>
      <c r="B650" s="63">
        <v>5</v>
      </c>
      <c r="C650" t="s">
        <v>11</v>
      </c>
      <c r="D650" s="65">
        <v>2376</v>
      </c>
      <c r="E650" s="65">
        <v>2448</v>
      </c>
      <c r="F650" s="65">
        <v>2427</v>
      </c>
      <c r="G650" s="13">
        <f t="shared" si="180"/>
        <v>-21</v>
      </c>
      <c r="H650" s="13">
        <f t="shared" si="181"/>
        <v>51</v>
      </c>
      <c r="I650" s="70">
        <f t="shared" si="182"/>
        <v>2.1464646464646409E-2</v>
      </c>
      <c r="J650" s="70">
        <f t="shared" si="183"/>
        <v>-8.5784313725489891E-3</v>
      </c>
      <c r="K650" s="82" t="str">
        <f>_xlfn.IFNA(VLOOKUP(CLEAN(SUBSTITUTE(C650," ","")),Ref_Factory!$A:$B,2,FALSE),CLEAN(SUBSTITUTE(C650," ","")))</f>
        <v>GM1</v>
      </c>
      <c r="L650" s="82" t="str">
        <f t="shared" si="184"/>
        <v>MAY-5-GM1</v>
      </c>
      <c r="M650" s="70">
        <f t="shared" si="185"/>
        <v>0.15843480634501828</v>
      </c>
      <c r="N650" s="70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25">
      <c r="A651" t="s">
        <v>39</v>
      </c>
      <c r="B651" s="63">
        <v>5</v>
      </c>
      <c r="C651" t="s">
        <v>11</v>
      </c>
      <c r="D651" s="65">
        <v>16740</v>
      </c>
      <c r="E651" s="65">
        <v>17230</v>
      </c>
      <c r="F651" s="65">
        <v>16944</v>
      </c>
      <c r="G651" s="13">
        <f t="shared" si="180"/>
        <v>-286</v>
      </c>
      <c r="H651" s="13">
        <f t="shared" si="181"/>
        <v>204</v>
      </c>
      <c r="I651" s="70">
        <f t="shared" si="182"/>
        <v>1.2186379928315505E-2</v>
      </c>
      <c r="J651" s="70">
        <f t="shared" si="183"/>
        <v>-1.6598955310504926E-2</v>
      </c>
      <c r="K651" s="82" t="str">
        <f>_xlfn.IFNA(VLOOKUP(CLEAN(SUBSTITUTE(C651," ","")),Ref_Factory!$A:$B,2,FALSE),CLEAN(SUBSTITUTE(C651," ","")))</f>
        <v>GM1</v>
      </c>
      <c r="L651" s="82" t="str">
        <f t="shared" si="184"/>
        <v>MAY-5-GM1</v>
      </c>
      <c r="M651" s="70">
        <f t="shared" si="185"/>
        <v>0.15843480634501828</v>
      </c>
      <c r="N651" s="70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25">
      <c r="A652" t="s">
        <v>39</v>
      </c>
      <c r="B652" s="63">
        <v>5</v>
      </c>
      <c r="C652" t="s">
        <v>11</v>
      </c>
      <c r="D652" s="65">
        <v>1404</v>
      </c>
      <c r="E652" s="65">
        <v>1449</v>
      </c>
      <c r="F652" s="65">
        <v>1446</v>
      </c>
      <c r="G652" s="13">
        <f t="shared" si="180"/>
        <v>-3</v>
      </c>
      <c r="H652" s="13">
        <f t="shared" si="181"/>
        <v>42</v>
      </c>
      <c r="I652" s="70">
        <f t="shared" si="182"/>
        <v>2.9914529914529808E-2</v>
      </c>
      <c r="J652" s="70">
        <f t="shared" si="183"/>
        <v>-2.0703933747412417E-3</v>
      </c>
      <c r="K652" s="82" t="str">
        <f>_xlfn.IFNA(VLOOKUP(CLEAN(SUBSTITUTE(C652," ","")),Ref_Factory!$A:$B,2,FALSE),CLEAN(SUBSTITUTE(C652," ","")))</f>
        <v>GM1</v>
      </c>
      <c r="L652" s="82" t="str">
        <f t="shared" si="184"/>
        <v>MAY-5-GM1</v>
      </c>
      <c r="M652" s="70">
        <f t="shared" si="185"/>
        <v>0.15843480634501828</v>
      </c>
      <c r="N652" s="70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25">
      <c r="A653" t="s">
        <v>39</v>
      </c>
      <c r="B653" s="63">
        <v>5</v>
      </c>
      <c r="C653" t="s">
        <v>14</v>
      </c>
      <c r="D653" s="66">
        <v>19584</v>
      </c>
      <c r="E653" s="66">
        <v>20180</v>
      </c>
      <c r="F653" s="66">
        <v>19464</v>
      </c>
      <c r="G653" s="13">
        <f t="shared" si="180"/>
        <v>-716</v>
      </c>
      <c r="H653" s="13">
        <f t="shared" si="181"/>
        <v>-120</v>
      </c>
      <c r="I653" s="70">
        <f t="shared" si="182"/>
        <v>-6.1274509803921351E-3</v>
      </c>
      <c r="J653" s="70">
        <f t="shared" si="183"/>
        <v>-3.5480673934588647E-2</v>
      </c>
      <c r="K653" s="82" t="str">
        <f>_xlfn.IFNA(VLOOKUP(CLEAN(SUBSTITUTE(C653," ","")),Ref_Factory!$A:$B,2,FALSE),CLEAN(SUBSTITUTE(C653," ","")))</f>
        <v>GM2</v>
      </c>
      <c r="L653" s="82" t="str">
        <f t="shared" si="184"/>
        <v>MAY-5-GM2</v>
      </c>
      <c r="M653" s="70">
        <f t="shared" si="185"/>
        <v>0.32341279227578323</v>
      </c>
      <c r="N653" s="70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25">
      <c r="A654" t="s">
        <v>39</v>
      </c>
      <c r="B654" s="63">
        <v>5</v>
      </c>
      <c r="C654" t="s">
        <v>14</v>
      </c>
      <c r="D654" s="66">
        <v>16308</v>
      </c>
      <c r="E654" s="66">
        <v>16806</v>
      </c>
      <c r="F654" s="66">
        <v>16557</v>
      </c>
      <c r="G654" s="13">
        <f t="shared" si="180"/>
        <v>-249</v>
      </c>
      <c r="H654" s="13">
        <f t="shared" si="181"/>
        <v>249</v>
      </c>
      <c r="I654" s="70">
        <f t="shared" si="182"/>
        <v>1.5268579838116247E-2</v>
      </c>
      <c r="J654" s="70">
        <f t="shared" si="183"/>
        <v>-1.4816137093895065E-2</v>
      </c>
      <c r="K654" s="82" t="str">
        <f>_xlfn.IFNA(VLOOKUP(CLEAN(SUBSTITUTE(C654," ","")),Ref_Factory!$A:$B,2,FALSE),CLEAN(SUBSTITUTE(C654," ","")))</f>
        <v>GM2</v>
      </c>
      <c r="L654" s="82" t="str">
        <f t="shared" si="184"/>
        <v>MAY-5-GM2</v>
      </c>
      <c r="M654" s="70">
        <f t="shared" si="185"/>
        <v>0.32341279227578323</v>
      </c>
      <c r="N654" s="70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25">
      <c r="A655" t="s">
        <v>39</v>
      </c>
      <c r="B655" s="63">
        <v>5</v>
      </c>
      <c r="C655" t="s">
        <v>14</v>
      </c>
      <c r="D655" s="66">
        <v>1188</v>
      </c>
      <c r="E655" s="66">
        <v>1224</v>
      </c>
      <c r="F655" s="66">
        <v>1215</v>
      </c>
      <c r="G655" s="13">
        <f t="shared" si="180"/>
        <v>-9</v>
      </c>
      <c r="H655" s="13">
        <f t="shared" si="181"/>
        <v>27</v>
      </c>
      <c r="I655" s="70">
        <f t="shared" si="182"/>
        <v>2.2727272727272707E-2</v>
      </c>
      <c r="J655" s="70">
        <f t="shared" si="183"/>
        <v>-7.3529411764705621E-3</v>
      </c>
      <c r="K655" s="82" t="str">
        <f>_xlfn.IFNA(VLOOKUP(CLEAN(SUBSTITUTE(C655," ","")),Ref_Factory!$A:$B,2,FALSE),CLEAN(SUBSTITUTE(C655," ","")))</f>
        <v>GM2</v>
      </c>
      <c r="L655" s="82" t="str">
        <f t="shared" si="184"/>
        <v>MAY-5-GM2</v>
      </c>
      <c r="M655" s="70">
        <f t="shared" si="185"/>
        <v>0.32341279227578323</v>
      </c>
      <c r="N655" s="70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25">
      <c r="A656" t="s">
        <v>39</v>
      </c>
      <c r="B656" s="63">
        <v>5</v>
      </c>
      <c r="C656" t="s">
        <v>14</v>
      </c>
      <c r="D656" s="66">
        <v>9612</v>
      </c>
      <c r="E656" s="66">
        <v>9971</v>
      </c>
      <c r="F656" s="66">
        <v>9849</v>
      </c>
      <c r="G656" s="13">
        <f t="shared" si="180"/>
        <v>-122</v>
      </c>
      <c r="H656" s="13">
        <f t="shared" si="181"/>
        <v>237</v>
      </c>
      <c r="I656" s="70">
        <f t="shared" si="182"/>
        <v>2.4656679151061178E-2</v>
      </c>
      <c r="J656" s="70">
        <f t="shared" si="183"/>
        <v>-1.223548290041121E-2</v>
      </c>
      <c r="K656" s="82" t="str">
        <f>_xlfn.IFNA(VLOOKUP(CLEAN(SUBSTITUTE(C656," ","")),Ref_Factory!$A:$B,2,FALSE),CLEAN(SUBSTITUTE(C656," ","")))</f>
        <v>GM2</v>
      </c>
      <c r="L656" s="82" t="str">
        <f t="shared" si="184"/>
        <v>MAY-5-GM2</v>
      </c>
      <c r="M656" s="70">
        <f t="shared" si="185"/>
        <v>0.32341279227578323</v>
      </c>
      <c r="N656" s="70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25">
      <c r="A657" t="s">
        <v>39</v>
      </c>
      <c r="B657" s="63">
        <v>5</v>
      </c>
      <c r="C657" t="s">
        <v>14</v>
      </c>
      <c r="D657" s="66">
        <v>540</v>
      </c>
      <c r="E657" s="66">
        <v>555</v>
      </c>
      <c r="F657" s="66">
        <v>552</v>
      </c>
      <c r="G657" s="13">
        <f t="shared" si="180"/>
        <v>-3</v>
      </c>
      <c r="H657" s="13">
        <f t="shared" si="181"/>
        <v>12</v>
      </c>
      <c r="I657" s="70">
        <f t="shared" si="182"/>
        <v>2.2222222222222143E-2</v>
      </c>
      <c r="J657" s="70">
        <f t="shared" si="183"/>
        <v>-5.4054054054053502E-3</v>
      </c>
      <c r="K657" s="82" t="str">
        <f>_xlfn.IFNA(VLOOKUP(CLEAN(SUBSTITUTE(C657," ","")),Ref_Factory!$A:$B,2,FALSE),CLEAN(SUBSTITUTE(C657," ","")))</f>
        <v>GM2</v>
      </c>
      <c r="L657" s="82" t="str">
        <f t="shared" si="184"/>
        <v>MAY-5-GM2</v>
      </c>
      <c r="M657" s="70">
        <f t="shared" si="185"/>
        <v>0.32341279227578323</v>
      </c>
      <c r="N657" s="70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25">
      <c r="A658" t="s">
        <v>39</v>
      </c>
      <c r="B658" s="63">
        <v>5</v>
      </c>
      <c r="C658" t="s">
        <v>14</v>
      </c>
      <c r="D658" s="66">
        <v>25056</v>
      </c>
      <c r="E658" s="66">
        <v>25823</v>
      </c>
      <c r="F658" s="66">
        <v>25692</v>
      </c>
      <c r="G658" s="13">
        <f t="shared" si="180"/>
        <v>-131</v>
      </c>
      <c r="H658" s="13">
        <f t="shared" si="181"/>
        <v>636</v>
      </c>
      <c r="I658" s="70">
        <f t="shared" si="182"/>
        <v>2.5383141762452155E-2</v>
      </c>
      <c r="J658" s="70">
        <f t="shared" si="183"/>
        <v>-5.072996940711727E-3</v>
      </c>
      <c r="K658" s="82" t="str">
        <f>_xlfn.IFNA(VLOOKUP(CLEAN(SUBSTITUTE(C658," ","")),Ref_Factory!$A:$B,2,FALSE),CLEAN(SUBSTITUTE(C658," ","")))</f>
        <v>GM2</v>
      </c>
      <c r="L658" s="82" t="str">
        <f t="shared" si="184"/>
        <v>MAY-5-GM2</v>
      </c>
      <c r="M658" s="70">
        <f t="shared" si="185"/>
        <v>0.32341279227578323</v>
      </c>
      <c r="N658" s="70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25">
      <c r="A659" t="s">
        <v>39</v>
      </c>
      <c r="B659" s="63">
        <v>5</v>
      </c>
      <c r="C659" t="s">
        <v>14</v>
      </c>
      <c r="D659" s="66">
        <v>1080</v>
      </c>
      <c r="E659" s="66">
        <v>1116</v>
      </c>
      <c r="F659" s="66">
        <v>1113</v>
      </c>
      <c r="G659" s="13">
        <f t="shared" si="180"/>
        <v>-3</v>
      </c>
      <c r="H659" s="13">
        <f t="shared" si="181"/>
        <v>33</v>
      </c>
      <c r="I659" s="70">
        <f t="shared" si="182"/>
        <v>3.0555555555555447E-2</v>
      </c>
      <c r="J659" s="70">
        <f t="shared" si="183"/>
        <v>-2.6881720430107503E-3</v>
      </c>
      <c r="K659" s="82" t="str">
        <f>_xlfn.IFNA(VLOOKUP(CLEAN(SUBSTITUTE(C659," ","")),Ref_Factory!$A:$B,2,FALSE),CLEAN(SUBSTITUTE(C659," ","")))</f>
        <v>GM2</v>
      </c>
      <c r="L659" s="82" t="str">
        <f t="shared" si="184"/>
        <v>MAY-5-GM2</v>
      </c>
      <c r="M659" s="70">
        <f t="shared" si="185"/>
        <v>0.32341279227578323</v>
      </c>
      <c r="N659" s="70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25">
      <c r="A660" t="s">
        <v>39</v>
      </c>
      <c r="B660" s="63">
        <v>5</v>
      </c>
      <c r="C660" t="s">
        <v>14</v>
      </c>
      <c r="D660" s="66">
        <v>12636</v>
      </c>
      <c r="E660" s="66">
        <v>13036</v>
      </c>
      <c r="F660" s="66">
        <v>13017</v>
      </c>
      <c r="G660" s="13">
        <f t="shared" si="180"/>
        <v>-19</v>
      </c>
      <c r="H660" s="13">
        <f t="shared" si="181"/>
        <v>381</v>
      </c>
      <c r="I660" s="70">
        <f t="shared" si="182"/>
        <v>3.0151946818613551E-2</v>
      </c>
      <c r="J660" s="70">
        <f t="shared" si="183"/>
        <v>-1.4575023013194688E-3</v>
      </c>
      <c r="K660" s="82" t="str">
        <f>_xlfn.IFNA(VLOOKUP(CLEAN(SUBSTITUTE(C660," ","")),Ref_Factory!$A:$B,2,FALSE),CLEAN(SUBSTITUTE(C660," ","")))</f>
        <v>GM2</v>
      </c>
      <c r="L660" s="82" t="str">
        <f t="shared" si="184"/>
        <v>MAY-5-GM2</v>
      </c>
      <c r="M660" s="70">
        <f t="shared" si="185"/>
        <v>0.32341279227578323</v>
      </c>
      <c r="N660" s="70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25">
      <c r="A661" t="s">
        <v>39</v>
      </c>
      <c r="B661" s="63">
        <v>5</v>
      </c>
      <c r="C661" t="s">
        <v>14</v>
      </c>
      <c r="D661" s="66">
        <v>1080</v>
      </c>
      <c r="E661" s="66">
        <v>1112</v>
      </c>
      <c r="F661" s="66">
        <v>1110</v>
      </c>
      <c r="G661" s="13">
        <f t="shared" si="180"/>
        <v>-2</v>
      </c>
      <c r="H661" s="13">
        <f t="shared" si="181"/>
        <v>30</v>
      </c>
      <c r="I661" s="70">
        <f t="shared" si="182"/>
        <v>2.7777777777777679E-2</v>
      </c>
      <c r="J661" s="70">
        <f t="shared" si="183"/>
        <v>-1.7985611510791255E-3</v>
      </c>
      <c r="K661" s="82" t="str">
        <f>_xlfn.IFNA(VLOOKUP(CLEAN(SUBSTITUTE(C661," ","")),Ref_Factory!$A:$B,2,FALSE),CLEAN(SUBSTITUTE(C661," ","")))</f>
        <v>GM2</v>
      </c>
      <c r="L661" s="82" t="str">
        <f t="shared" si="184"/>
        <v>MAY-5-GM2</v>
      </c>
      <c r="M661" s="70">
        <f t="shared" si="185"/>
        <v>0.32341279227578323</v>
      </c>
      <c r="N661" s="70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25">
      <c r="A662" t="s">
        <v>39</v>
      </c>
      <c r="B662" s="63">
        <v>5</v>
      </c>
      <c r="C662" t="s">
        <v>14</v>
      </c>
      <c r="D662" s="66">
        <v>12744</v>
      </c>
      <c r="E662" s="66">
        <v>13262</v>
      </c>
      <c r="F662" s="66">
        <v>13113</v>
      </c>
      <c r="G662" s="13">
        <f t="shared" si="180"/>
        <v>-149</v>
      </c>
      <c r="H662" s="13">
        <f t="shared" si="181"/>
        <v>369</v>
      </c>
      <c r="I662" s="70">
        <f t="shared" si="182"/>
        <v>2.8954802259887114E-2</v>
      </c>
      <c r="J662" s="70">
        <f t="shared" si="183"/>
        <v>-1.1235107826873758E-2</v>
      </c>
      <c r="K662" s="82" t="str">
        <f>_xlfn.IFNA(VLOOKUP(CLEAN(SUBSTITUTE(C662," ","")),Ref_Factory!$A:$B,2,FALSE),CLEAN(SUBSTITUTE(C662," ","")))</f>
        <v>GM2</v>
      </c>
      <c r="L662" s="82" t="str">
        <f t="shared" si="184"/>
        <v>MAY-5-GM2</v>
      </c>
      <c r="M662" s="70">
        <f t="shared" si="185"/>
        <v>0.32341279227578323</v>
      </c>
      <c r="N662" s="70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25">
      <c r="A663" t="s">
        <v>39</v>
      </c>
      <c r="B663" s="63">
        <v>5</v>
      </c>
      <c r="C663" t="s">
        <v>14</v>
      </c>
      <c r="D663" s="66">
        <v>1188</v>
      </c>
      <c r="E663" s="66">
        <v>1224</v>
      </c>
      <c r="F663" s="66">
        <v>1224</v>
      </c>
      <c r="G663" s="13">
        <f t="shared" si="180"/>
        <v>0</v>
      </c>
      <c r="H663" s="13">
        <f t="shared" si="181"/>
        <v>36</v>
      </c>
      <c r="I663" s="70">
        <f t="shared" si="182"/>
        <v>3.0303030303030276E-2</v>
      </c>
      <c r="J663" s="70">
        <f t="shared" si="183"/>
        <v>0</v>
      </c>
      <c r="K663" s="82" t="str">
        <f>_xlfn.IFNA(VLOOKUP(CLEAN(SUBSTITUTE(C663," ","")),Ref_Factory!$A:$B,2,FALSE),CLEAN(SUBSTITUTE(C663," ","")))</f>
        <v>GM2</v>
      </c>
      <c r="L663" s="82" t="str">
        <f t="shared" si="184"/>
        <v>MAY-5-GM2</v>
      </c>
      <c r="M663" s="70">
        <f t="shared" si="185"/>
        <v>0.32341279227578323</v>
      </c>
      <c r="N663" s="70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25">
      <c r="A664" t="s">
        <v>39</v>
      </c>
      <c r="B664" s="63">
        <v>5</v>
      </c>
      <c r="C664" t="s">
        <v>14</v>
      </c>
      <c r="D664" s="66">
        <v>12528</v>
      </c>
      <c r="E664" s="66">
        <v>12933</v>
      </c>
      <c r="F664" s="66">
        <v>12846</v>
      </c>
      <c r="G664" s="13">
        <f t="shared" si="180"/>
        <v>-87</v>
      </c>
      <c r="H664" s="13">
        <f t="shared" si="181"/>
        <v>318</v>
      </c>
      <c r="I664" s="70">
        <f t="shared" si="182"/>
        <v>2.5383141762452155E-2</v>
      </c>
      <c r="J664" s="70">
        <f t="shared" si="183"/>
        <v>-6.7269774994200837E-3</v>
      </c>
      <c r="K664" s="82" t="str">
        <f>_xlfn.IFNA(VLOOKUP(CLEAN(SUBSTITUTE(C664," ","")),Ref_Factory!$A:$B,2,FALSE),CLEAN(SUBSTITUTE(C664," ","")))</f>
        <v>GM2</v>
      </c>
      <c r="L664" s="82" t="str">
        <f t="shared" si="184"/>
        <v>MAY-5-GM2</v>
      </c>
      <c r="M664" s="70">
        <f t="shared" si="185"/>
        <v>0.32341279227578323</v>
      </c>
      <c r="N664" s="70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25">
      <c r="A665" t="s">
        <v>39</v>
      </c>
      <c r="B665" s="63">
        <v>5</v>
      </c>
      <c r="C665" t="s">
        <v>14</v>
      </c>
      <c r="D665" s="66">
        <v>1620</v>
      </c>
      <c r="E665" s="66">
        <v>1693</v>
      </c>
      <c r="F665" s="66">
        <v>1665</v>
      </c>
      <c r="G665" s="13">
        <f t="shared" si="180"/>
        <v>-28</v>
      </c>
      <c r="H665" s="13">
        <f t="shared" si="181"/>
        <v>45</v>
      </c>
      <c r="I665" s="70">
        <f t="shared" si="182"/>
        <v>2.7777777777777679E-2</v>
      </c>
      <c r="J665" s="70">
        <f t="shared" si="183"/>
        <v>-1.6538688718251593E-2</v>
      </c>
      <c r="K665" s="82" t="str">
        <f>_xlfn.IFNA(VLOOKUP(CLEAN(SUBSTITUTE(C665," ","")),Ref_Factory!$A:$B,2,FALSE),CLEAN(SUBSTITUTE(C665," ","")))</f>
        <v>GM2</v>
      </c>
      <c r="L665" s="82" t="str">
        <f t="shared" si="184"/>
        <v>MAY-5-GM2</v>
      </c>
      <c r="M665" s="70">
        <f t="shared" si="185"/>
        <v>0.32341279227578323</v>
      </c>
      <c r="N665" s="70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25">
      <c r="A666" t="s">
        <v>39</v>
      </c>
      <c r="B666" s="63">
        <v>5</v>
      </c>
      <c r="C666" t="s">
        <v>14</v>
      </c>
      <c r="D666" s="66">
        <v>8640</v>
      </c>
      <c r="E666" s="66">
        <v>8903</v>
      </c>
      <c r="F666" s="66">
        <v>8814</v>
      </c>
      <c r="G666" s="13">
        <f t="shared" si="180"/>
        <v>-89</v>
      </c>
      <c r="H666" s="13">
        <f t="shared" si="181"/>
        <v>174</v>
      </c>
      <c r="I666" s="70">
        <f t="shared" si="182"/>
        <v>2.0138888888888928E-2</v>
      </c>
      <c r="J666" s="70">
        <f t="shared" si="183"/>
        <v>-9.9966303493204123E-3</v>
      </c>
      <c r="K666" s="82" t="str">
        <f>_xlfn.IFNA(VLOOKUP(CLEAN(SUBSTITUTE(C666," ","")),Ref_Factory!$A:$B,2,FALSE),CLEAN(SUBSTITUTE(C666," ","")))</f>
        <v>GM2</v>
      </c>
      <c r="L666" s="82" t="str">
        <f t="shared" si="184"/>
        <v>MAY-5-GM2</v>
      </c>
      <c r="M666" s="70">
        <f t="shared" si="185"/>
        <v>0.32341279227578323</v>
      </c>
      <c r="N666" s="70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25">
      <c r="A667" t="s">
        <v>39</v>
      </c>
      <c r="B667" s="63">
        <v>5</v>
      </c>
      <c r="C667" t="s">
        <v>14</v>
      </c>
      <c r="D667" s="66">
        <v>2592</v>
      </c>
      <c r="E667" s="66">
        <v>2670</v>
      </c>
      <c r="F667" s="66">
        <v>2664</v>
      </c>
      <c r="G667" s="13">
        <f t="shared" si="180"/>
        <v>-6</v>
      </c>
      <c r="H667" s="13">
        <f t="shared" si="181"/>
        <v>72</v>
      </c>
      <c r="I667" s="70">
        <f t="shared" si="182"/>
        <v>2.7777777777777679E-2</v>
      </c>
      <c r="J667" s="70">
        <f t="shared" si="183"/>
        <v>-2.2471910112359383E-3</v>
      </c>
      <c r="K667" s="82" t="str">
        <f>_xlfn.IFNA(VLOOKUP(CLEAN(SUBSTITUTE(C667," ","")),Ref_Factory!$A:$B,2,FALSE),CLEAN(SUBSTITUTE(C667," ","")))</f>
        <v>GM2</v>
      </c>
      <c r="L667" s="82" t="str">
        <f t="shared" si="184"/>
        <v>MAY-5-GM2</v>
      </c>
      <c r="M667" s="70">
        <f t="shared" si="185"/>
        <v>0.32341279227578323</v>
      </c>
      <c r="N667" s="70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25">
      <c r="A668" t="s">
        <v>39</v>
      </c>
      <c r="B668" s="63">
        <v>5</v>
      </c>
      <c r="C668" t="s">
        <v>14</v>
      </c>
      <c r="D668" s="66">
        <v>19008</v>
      </c>
      <c r="E668" s="66">
        <v>19591</v>
      </c>
      <c r="F668" s="66">
        <v>19416</v>
      </c>
      <c r="G668" s="13">
        <f t="shared" si="180"/>
        <v>-175</v>
      </c>
      <c r="H668" s="13">
        <f t="shared" si="181"/>
        <v>408</v>
      </c>
      <c r="I668" s="70">
        <f t="shared" si="182"/>
        <v>2.1464646464646409E-2</v>
      </c>
      <c r="J668" s="70">
        <f t="shared" si="183"/>
        <v>-8.9326731662497938E-3</v>
      </c>
      <c r="K668" s="82" t="str">
        <f>_xlfn.IFNA(VLOOKUP(CLEAN(SUBSTITUTE(C668," ","")),Ref_Factory!$A:$B,2,FALSE),CLEAN(SUBSTITUTE(C668," ","")))</f>
        <v>GM2</v>
      </c>
      <c r="L668" s="82" t="str">
        <f t="shared" si="184"/>
        <v>MAY-5-GM2</v>
      </c>
      <c r="M668" s="70">
        <f t="shared" si="185"/>
        <v>0.32341279227578323</v>
      </c>
      <c r="N668" s="70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25">
      <c r="A669" t="s">
        <v>39</v>
      </c>
      <c r="B669" s="63">
        <v>5</v>
      </c>
      <c r="C669" t="s">
        <v>10</v>
      </c>
      <c r="D669" s="66">
        <v>60070</v>
      </c>
      <c r="E669" s="66">
        <v>60670</v>
      </c>
      <c r="F669" s="66">
        <v>60070</v>
      </c>
      <c r="G669" s="13">
        <f t="shared" si="180"/>
        <v>-600</v>
      </c>
      <c r="H669" s="13">
        <f t="shared" si="181"/>
        <v>0</v>
      </c>
      <c r="I669" s="70">
        <f t="shared" si="182"/>
        <v>0</v>
      </c>
      <c r="J669" s="70">
        <f t="shared" si="183"/>
        <v>-9.8895665073347461E-3</v>
      </c>
      <c r="K669" s="82" t="str">
        <f>_xlfn.IFNA(VLOOKUP(CLEAN(SUBSTITUTE(C669," ","")),Ref_Factory!$A:$B,2,FALSE),CLEAN(SUBSTITUTE(C669," ","")))</f>
        <v>CNJ2</v>
      </c>
      <c r="L669" s="82" t="str">
        <f t="shared" si="184"/>
        <v>MAY-5-CNJ2</v>
      </c>
      <c r="M669" s="70">
        <f t="shared" si="185"/>
        <v>0</v>
      </c>
      <c r="N669" s="70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25">
      <c r="A670" t="s">
        <v>39</v>
      </c>
      <c r="B670" s="63">
        <v>5</v>
      </c>
      <c r="C670" t="s">
        <v>10</v>
      </c>
      <c r="D670" s="66">
        <v>18425</v>
      </c>
      <c r="E670" s="66">
        <v>18804</v>
      </c>
      <c r="F670" s="66">
        <v>18425</v>
      </c>
      <c r="G670" s="13">
        <f t="shared" si="180"/>
        <v>-379</v>
      </c>
      <c r="H670" s="13">
        <f t="shared" si="181"/>
        <v>0</v>
      </c>
      <c r="I670" s="70">
        <f t="shared" si="182"/>
        <v>0</v>
      </c>
      <c r="J670" s="70">
        <f t="shared" si="183"/>
        <v>-2.0155286109338477E-2</v>
      </c>
      <c r="K670" s="82" t="str">
        <f>_xlfn.IFNA(VLOOKUP(CLEAN(SUBSTITUTE(C670," ","")),Ref_Factory!$A:$B,2,FALSE),CLEAN(SUBSTITUTE(C670," ","")))</f>
        <v>CNJ2</v>
      </c>
      <c r="L670" s="82" t="str">
        <f t="shared" si="184"/>
        <v>MAY-5-CNJ2</v>
      </c>
      <c r="M670" s="70">
        <f t="shared" si="185"/>
        <v>0</v>
      </c>
      <c r="N670" s="70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25">
      <c r="A671" t="s">
        <v>39</v>
      </c>
      <c r="B671" s="63">
        <v>5</v>
      </c>
      <c r="C671" t="s">
        <v>10</v>
      </c>
      <c r="D671" s="66">
        <v>2000</v>
      </c>
      <c r="E671" s="66">
        <v>2000</v>
      </c>
      <c r="F671" s="66">
        <v>2000</v>
      </c>
      <c r="G671" s="13">
        <f t="shared" si="180"/>
        <v>0</v>
      </c>
      <c r="H671" s="13">
        <f t="shared" si="181"/>
        <v>0</v>
      </c>
      <c r="I671" s="70">
        <f t="shared" si="182"/>
        <v>0</v>
      </c>
      <c r="J671" s="70">
        <f t="shared" si="183"/>
        <v>0</v>
      </c>
      <c r="K671" s="82" t="str">
        <f>_xlfn.IFNA(VLOOKUP(CLEAN(SUBSTITUTE(C671," ","")),Ref_Factory!$A:$B,2,FALSE),CLEAN(SUBSTITUTE(C671," ","")))</f>
        <v>CNJ2</v>
      </c>
      <c r="L671" s="82" t="str">
        <f t="shared" si="184"/>
        <v>MAY-5-CNJ2</v>
      </c>
      <c r="M671" s="70">
        <f t="shared" si="185"/>
        <v>0</v>
      </c>
      <c r="N671" s="70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25">
      <c r="A672" t="s">
        <v>39</v>
      </c>
      <c r="B672" s="63">
        <v>5</v>
      </c>
      <c r="C672" t="s">
        <v>10</v>
      </c>
      <c r="D672" s="66">
        <v>3355</v>
      </c>
      <c r="E672" s="66">
        <v>3355</v>
      </c>
      <c r="F672" s="66">
        <v>3355</v>
      </c>
      <c r="G672" s="13">
        <f t="shared" si="180"/>
        <v>0</v>
      </c>
      <c r="H672" s="13">
        <f t="shared" si="181"/>
        <v>0</v>
      </c>
      <c r="I672" s="70">
        <f t="shared" si="182"/>
        <v>0</v>
      </c>
      <c r="J672" s="70">
        <f t="shared" si="183"/>
        <v>0</v>
      </c>
      <c r="K672" s="82" t="str">
        <f>_xlfn.IFNA(VLOOKUP(CLEAN(SUBSTITUTE(C672," ","")),Ref_Factory!$A:$B,2,FALSE),CLEAN(SUBSTITUTE(C672," ","")))</f>
        <v>CNJ2</v>
      </c>
      <c r="L672" s="82" t="str">
        <f t="shared" si="184"/>
        <v>MAY-5-CNJ2</v>
      </c>
      <c r="M672" s="70">
        <f t="shared" si="185"/>
        <v>0</v>
      </c>
      <c r="N672" s="70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25">
      <c r="A673" t="s">
        <v>39</v>
      </c>
      <c r="B673" s="63">
        <v>5</v>
      </c>
      <c r="C673" t="s">
        <v>13</v>
      </c>
      <c r="D673" s="66">
        <v>2400</v>
      </c>
      <c r="E673" s="66">
        <v>2495</v>
      </c>
      <c r="F673" s="66">
        <v>2439</v>
      </c>
      <c r="G673" s="13">
        <f t="shared" si="180"/>
        <v>-56</v>
      </c>
      <c r="H673" s="13">
        <f t="shared" si="181"/>
        <v>39</v>
      </c>
      <c r="I673" s="70">
        <f t="shared" si="182"/>
        <v>1.6250000000000098E-2</v>
      </c>
      <c r="J673" s="70">
        <f t="shared" si="183"/>
        <v>-2.2444889779559163E-2</v>
      </c>
      <c r="K673" s="82" t="str">
        <f>_xlfn.IFNA(VLOOKUP(CLEAN(SUBSTITUTE(C673," ","")),Ref_Factory!$A:$B,2,FALSE),CLEAN(SUBSTITUTE(C673," ","")))</f>
        <v>KALIBENDA</v>
      </c>
      <c r="L673" s="82" t="str">
        <f t="shared" si="184"/>
        <v>MAY-5-KALIBENDA</v>
      </c>
      <c r="M673" s="70">
        <f t="shared" si="185"/>
        <v>7.2541838839677575E-2</v>
      </c>
      <c r="N673" s="70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25">
      <c r="A674" t="s">
        <v>39</v>
      </c>
      <c r="B674" s="63">
        <v>5</v>
      </c>
      <c r="C674" t="s">
        <v>13</v>
      </c>
      <c r="D674" s="66">
        <v>2400</v>
      </c>
      <c r="E674" s="66">
        <v>2400</v>
      </c>
      <c r="F674" s="66">
        <v>2382</v>
      </c>
      <c r="G674" s="13">
        <f t="shared" si="180"/>
        <v>-18</v>
      </c>
      <c r="H674" s="13">
        <f t="shared" si="181"/>
        <v>-18</v>
      </c>
      <c r="I674" s="70">
        <f t="shared" si="182"/>
        <v>-7.4999999999999512E-3</v>
      </c>
      <c r="J674" s="70">
        <f t="shared" si="183"/>
        <v>-7.4999999999999512E-3</v>
      </c>
      <c r="K674" s="82" t="str">
        <f>_xlfn.IFNA(VLOOKUP(CLEAN(SUBSTITUTE(C674," ","")),Ref_Factory!$A:$B,2,FALSE),CLEAN(SUBSTITUTE(C674," ","")))</f>
        <v>KALIBENDA</v>
      </c>
      <c r="L674" s="82" t="str">
        <f t="shared" si="184"/>
        <v>MAY-5-KALIBENDA</v>
      </c>
      <c r="M674" s="70">
        <f t="shared" si="185"/>
        <v>7.2541838839677575E-2</v>
      </c>
      <c r="N674" s="70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25">
      <c r="A675" t="s">
        <v>39</v>
      </c>
      <c r="B675" s="63">
        <v>5</v>
      </c>
      <c r="C675" t="s">
        <v>13</v>
      </c>
      <c r="D675" s="66">
        <v>2400</v>
      </c>
      <c r="E675" s="66">
        <v>2502</v>
      </c>
      <c r="F675" s="66">
        <v>2448</v>
      </c>
      <c r="G675" s="13">
        <f t="shared" si="180"/>
        <v>-54</v>
      </c>
      <c r="H675" s="13">
        <f t="shared" si="181"/>
        <v>48</v>
      </c>
      <c r="I675" s="70">
        <f t="shared" si="182"/>
        <v>2.0000000000000018E-2</v>
      </c>
      <c r="J675" s="70">
        <f t="shared" si="183"/>
        <v>-2.1582733812949617E-2</v>
      </c>
      <c r="K675" s="82" t="str">
        <f>_xlfn.IFNA(VLOOKUP(CLEAN(SUBSTITUTE(C675," ","")),Ref_Factory!$A:$B,2,FALSE),CLEAN(SUBSTITUTE(C675," ","")))</f>
        <v>KALIBENDA</v>
      </c>
      <c r="L675" s="82" t="str">
        <f t="shared" si="184"/>
        <v>MAY-5-KALIBENDA</v>
      </c>
      <c r="M675" s="70">
        <f t="shared" si="185"/>
        <v>7.2541838839677575E-2</v>
      </c>
      <c r="N675" s="70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25">
      <c r="A676" t="s">
        <v>39</v>
      </c>
      <c r="B676" s="63">
        <v>5</v>
      </c>
      <c r="C676" t="s">
        <v>15</v>
      </c>
      <c r="D676" s="66">
        <v>2400</v>
      </c>
      <c r="E676" s="66">
        <v>2490</v>
      </c>
      <c r="F676" s="66">
        <v>2442</v>
      </c>
      <c r="G676" s="13">
        <f t="shared" si="180"/>
        <v>-48</v>
      </c>
      <c r="H676" s="13">
        <f t="shared" si="181"/>
        <v>42</v>
      </c>
      <c r="I676" s="70">
        <f t="shared" si="182"/>
        <v>1.7500000000000071E-2</v>
      </c>
      <c r="J676" s="70">
        <f t="shared" si="183"/>
        <v>-1.927710843373498E-2</v>
      </c>
      <c r="K676" s="82" t="str">
        <f>_xlfn.IFNA(VLOOKUP(CLEAN(SUBSTITUTE(C676," ","")),Ref_Factory!$A:$B,2,FALSE),CLEAN(SUBSTITUTE(C676," ","")))</f>
        <v>CHAWAN</v>
      </c>
      <c r="L676" s="82" t="str">
        <f t="shared" si="184"/>
        <v>MAY-5-CHAWAN</v>
      </c>
      <c r="M676" s="70">
        <f t="shared" si="185"/>
        <v>4.2083333333333472E-2</v>
      </c>
      <c r="N676" s="70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25">
      <c r="A677" t="s">
        <v>39</v>
      </c>
      <c r="B677" s="63">
        <v>5</v>
      </c>
      <c r="C677" t="s">
        <v>15</v>
      </c>
      <c r="D677" s="66">
        <v>2400</v>
      </c>
      <c r="E677" s="66">
        <v>2496</v>
      </c>
      <c r="F677" s="66">
        <v>2459</v>
      </c>
      <c r="G677" s="13">
        <f t="shared" si="180"/>
        <v>-37</v>
      </c>
      <c r="H677" s="13">
        <f t="shared" si="181"/>
        <v>59</v>
      </c>
      <c r="I677" s="70">
        <f t="shared" si="182"/>
        <v>2.4583333333333401E-2</v>
      </c>
      <c r="J677" s="70">
        <f t="shared" si="183"/>
        <v>-1.4823717948717952E-2</v>
      </c>
      <c r="K677" s="82" t="str">
        <f>_xlfn.IFNA(VLOOKUP(CLEAN(SUBSTITUTE(C677," ","")),Ref_Factory!$A:$B,2,FALSE),CLEAN(SUBSTITUTE(C677," ","")))</f>
        <v>CHAWAN</v>
      </c>
      <c r="L677" s="82" t="str">
        <f t="shared" si="184"/>
        <v>MAY-5-CHAWAN</v>
      </c>
      <c r="M677" s="70">
        <f t="shared" si="185"/>
        <v>4.2083333333333472E-2</v>
      </c>
      <c r="N677" s="70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25">
      <c r="A678" t="s">
        <v>39</v>
      </c>
      <c r="B678" s="63">
        <v>5</v>
      </c>
      <c r="C678" t="s">
        <v>16</v>
      </c>
      <c r="D678" s="66">
        <v>1200</v>
      </c>
      <c r="E678" s="66">
        <v>1199</v>
      </c>
      <c r="F678" s="66">
        <v>1159</v>
      </c>
      <c r="G678" s="13">
        <f t="shared" si="180"/>
        <v>-40</v>
      </c>
      <c r="H678" s="13">
        <f t="shared" si="181"/>
        <v>-41</v>
      </c>
      <c r="I678" s="70">
        <f t="shared" si="182"/>
        <v>-3.4166666666666679E-2</v>
      </c>
      <c r="J678" s="70">
        <f t="shared" si="183"/>
        <v>-3.3361134278565463E-2</v>
      </c>
      <c r="K678" s="82" t="str">
        <f>_xlfn.IFNA(VLOOKUP(CLEAN(SUBSTITUTE(C678," ","")),Ref_Factory!$A:$B,2,FALSE),CLEAN(SUBSTITUTE(C678," ","")))</f>
        <v>ANUGERAH</v>
      </c>
      <c r="L678" s="82" t="str">
        <f t="shared" si="184"/>
        <v>MAY-5-ANUGERAH</v>
      </c>
      <c r="M678" s="70">
        <f t="shared" si="185"/>
        <v>-1.8333333333333313E-2</v>
      </c>
      <c r="N678" s="70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25">
      <c r="A679" t="s">
        <v>39</v>
      </c>
      <c r="B679" s="63">
        <v>5</v>
      </c>
      <c r="C679" t="s">
        <v>16</v>
      </c>
      <c r="D679" s="66">
        <v>1200</v>
      </c>
      <c r="E679" s="66">
        <v>1247</v>
      </c>
      <c r="F679" s="66">
        <v>1219</v>
      </c>
      <c r="G679" s="13">
        <f t="shared" si="180"/>
        <v>-28</v>
      </c>
      <c r="H679" s="13">
        <f t="shared" si="181"/>
        <v>19</v>
      </c>
      <c r="I679" s="70">
        <f t="shared" si="182"/>
        <v>1.5833333333333366E-2</v>
      </c>
      <c r="J679" s="70">
        <f t="shared" si="183"/>
        <v>-2.2453889334402621E-2</v>
      </c>
      <c r="K679" s="82" t="str">
        <f>_xlfn.IFNA(VLOOKUP(CLEAN(SUBSTITUTE(C679," ","")),Ref_Factory!$A:$B,2,FALSE),CLEAN(SUBSTITUTE(C679," ","")))</f>
        <v>ANUGERAH</v>
      </c>
      <c r="L679" s="82" t="str">
        <f t="shared" si="184"/>
        <v>MAY-5-ANUGERAH</v>
      </c>
      <c r="M679" s="70">
        <f t="shared" si="185"/>
        <v>-1.8333333333333313E-2</v>
      </c>
      <c r="N679" s="70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25">
      <c r="A680" t="s">
        <v>40</v>
      </c>
      <c r="B680" s="63">
        <v>1</v>
      </c>
      <c r="C680" t="s">
        <v>13</v>
      </c>
      <c r="D680" s="65">
        <v>42120</v>
      </c>
      <c r="E680" s="65">
        <v>42121</v>
      </c>
      <c r="F680" s="65">
        <v>41937</v>
      </c>
      <c r="G680" s="13">
        <f t="shared" si="180"/>
        <v>-184</v>
      </c>
      <c r="H680" s="13">
        <f t="shared" si="181"/>
        <v>-183</v>
      </c>
      <c r="I680" s="70">
        <f t="shared" si="182"/>
        <v>-4.3447293447292923E-3</v>
      </c>
      <c r="J680" s="70">
        <f t="shared" si="183"/>
        <v>-4.3683673227131736E-3</v>
      </c>
      <c r="K680" s="82" t="str">
        <f>_xlfn.IFNA(VLOOKUP(CLEAN(SUBSTITUTE(C680," ","")),Ref_Factory!$A:$B,2,FALSE),CLEAN(SUBSTITUTE(C680," ","")))</f>
        <v>KALIBENDA</v>
      </c>
      <c r="L680" s="82" t="str">
        <f t="shared" si="184"/>
        <v>JUNE-1-KALIBENDA</v>
      </c>
      <c r="M680" s="70">
        <f t="shared" si="185"/>
        <v>-1.0413823649117693E-2</v>
      </c>
      <c r="N680" s="70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25">
      <c r="A681" t="s">
        <v>40</v>
      </c>
      <c r="B681" s="63">
        <v>1</v>
      </c>
      <c r="C681" t="s">
        <v>13</v>
      </c>
      <c r="D681" s="65">
        <v>12852</v>
      </c>
      <c r="E681" s="65">
        <v>12852</v>
      </c>
      <c r="F681" s="65">
        <v>12795</v>
      </c>
      <c r="G681" s="13">
        <f t="shared" si="180"/>
        <v>-57</v>
      </c>
      <c r="H681" s="13">
        <f t="shared" si="181"/>
        <v>-57</v>
      </c>
      <c r="I681" s="70">
        <f t="shared" si="182"/>
        <v>-4.4351073762838311E-3</v>
      </c>
      <c r="J681" s="70">
        <f t="shared" si="183"/>
        <v>-4.4351073762838311E-3</v>
      </c>
      <c r="K681" s="82" t="str">
        <f>_xlfn.IFNA(VLOOKUP(CLEAN(SUBSTITUTE(C681," ","")),Ref_Factory!$A:$B,2,FALSE),CLEAN(SUBSTITUTE(C681," ","")))</f>
        <v>KALIBENDA</v>
      </c>
      <c r="L681" s="82" t="str">
        <f t="shared" si="184"/>
        <v>JUNE-1-KALIBENDA</v>
      </c>
      <c r="M681" s="70">
        <f t="shared" si="185"/>
        <v>-1.0413823649117693E-2</v>
      </c>
      <c r="N681" s="70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25">
      <c r="A682" t="s">
        <v>40</v>
      </c>
      <c r="B682" s="63">
        <v>1</v>
      </c>
      <c r="C682" t="s">
        <v>13</v>
      </c>
      <c r="D682" s="65">
        <v>1836</v>
      </c>
      <c r="E682" s="65">
        <v>1836</v>
      </c>
      <c r="F682" s="65">
        <v>1833</v>
      </c>
      <c r="G682" s="13">
        <f t="shared" si="180"/>
        <v>-3</v>
      </c>
      <c r="H682" s="13">
        <f t="shared" si="181"/>
        <v>-3</v>
      </c>
      <c r="I682" s="70">
        <f t="shared" si="182"/>
        <v>-1.6339869281045694E-3</v>
      </c>
      <c r="J682" s="70">
        <f t="shared" si="183"/>
        <v>-1.6339869281045694E-3</v>
      </c>
      <c r="K682" s="82" t="str">
        <f>_xlfn.IFNA(VLOOKUP(CLEAN(SUBSTITUTE(C682," ","")),Ref_Factory!$A:$B,2,FALSE),CLEAN(SUBSTITUTE(C682," ","")))</f>
        <v>KALIBENDA</v>
      </c>
      <c r="L682" s="82" t="str">
        <f t="shared" si="184"/>
        <v>JUNE-1-KALIBENDA</v>
      </c>
      <c r="M682" s="70">
        <f t="shared" si="185"/>
        <v>-1.0413823649117693E-2</v>
      </c>
      <c r="N682" s="70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25">
      <c r="A683" t="s">
        <v>40</v>
      </c>
      <c r="B683" s="63">
        <v>1</v>
      </c>
      <c r="C683" t="s">
        <v>14</v>
      </c>
      <c r="D683" s="65">
        <v>5940</v>
      </c>
      <c r="E683" s="65">
        <v>6124</v>
      </c>
      <c r="F683" s="65">
        <v>6006</v>
      </c>
      <c r="G683" s="13">
        <f t="shared" si="180"/>
        <v>-118</v>
      </c>
      <c r="H683" s="13">
        <f t="shared" si="181"/>
        <v>66</v>
      </c>
      <c r="I683" s="70">
        <f t="shared" si="182"/>
        <v>1.1111111111111072E-2</v>
      </c>
      <c r="J683" s="70">
        <f t="shared" si="183"/>
        <v>-1.9268451992161983E-2</v>
      </c>
      <c r="K683" s="82" t="str">
        <f>_xlfn.IFNA(VLOOKUP(CLEAN(SUBSTITUTE(C683," ","")),Ref_Factory!$A:$B,2,FALSE),CLEAN(SUBSTITUTE(C683," ","")))</f>
        <v>GM2</v>
      </c>
      <c r="L683" s="82" t="str">
        <f t="shared" si="184"/>
        <v>JUNE-1-GM2</v>
      </c>
      <c r="M683" s="70">
        <f t="shared" si="185"/>
        <v>0.33533919486015573</v>
      </c>
      <c r="N683" s="70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25">
      <c r="A684" t="s">
        <v>40</v>
      </c>
      <c r="B684" s="63">
        <v>1</v>
      </c>
      <c r="C684" t="s">
        <v>14</v>
      </c>
      <c r="D684" s="65">
        <v>1080</v>
      </c>
      <c r="E684" s="65">
        <v>1116</v>
      </c>
      <c r="F684" s="65">
        <v>1083</v>
      </c>
      <c r="G684" s="13">
        <f t="shared" si="180"/>
        <v>-33</v>
      </c>
      <c r="H684" s="13">
        <f t="shared" si="181"/>
        <v>3</v>
      </c>
      <c r="I684" s="70">
        <f t="shared" si="182"/>
        <v>2.7777777777777679E-3</v>
      </c>
      <c r="J684" s="70">
        <f t="shared" si="183"/>
        <v>-2.9569892473118253E-2</v>
      </c>
      <c r="K684" s="82" t="str">
        <f>_xlfn.IFNA(VLOOKUP(CLEAN(SUBSTITUTE(C684," ","")),Ref_Factory!$A:$B,2,FALSE),CLEAN(SUBSTITUTE(C684," ","")))</f>
        <v>GM2</v>
      </c>
      <c r="L684" s="82" t="str">
        <f t="shared" si="184"/>
        <v>JUNE-1-GM2</v>
      </c>
      <c r="M684" s="70">
        <f t="shared" si="185"/>
        <v>0.33533919486015573</v>
      </c>
      <c r="N684" s="70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25">
      <c r="A685" t="s">
        <v>40</v>
      </c>
      <c r="B685" s="63">
        <v>1</v>
      </c>
      <c r="C685" t="s">
        <v>11</v>
      </c>
      <c r="D685" s="65">
        <v>6696</v>
      </c>
      <c r="E685" s="65">
        <v>6893</v>
      </c>
      <c r="F685" s="65">
        <v>6792</v>
      </c>
      <c r="G685" s="13">
        <f t="shared" si="180"/>
        <v>-101</v>
      </c>
      <c r="H685" s="13">
        <f t="shared" si="181"/>
        <v>96</v>
      </c>
      <c r="I685" s="70">
        <f t="shared" si="182"/>
        <v>1.4336917562723928E-2</v>
      </c>
      <c r="J685" s="70">
        <f t="shared" si="183"/>
        <v>-1.4652546061221572E-2</v>
      </c>
      <c r="K685" s="82" t="str">
        <f>_xlfn.IFNA(VLOOKUP(CLEAN(SUBSTITUTE(C685," ","")),Ref_Factory!$A:$B,2,FALSE),CLEAN(SUBSTITUTE(C685," ","")))</f>
        <v>GM1</v>
      </c>
      <c r="L685" s="82" t="str">
        <f t="shared" si="184"/>
        <v>JUNE-1-GM1</v>
      </c>
      <c r="M685" s="70">
        <f t="shared" si="185"/>
        <v>0.17941338872197221</v>
      </c>
      <c r="N685" s="70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25">
      <c r="A686" t="s">
        <v>40</v>
      </c>
      <c r="B686" s="63">
        <v>1</v>
      </c>
      <c r="C686" t="s">
        <v>11</v>
      </c>
      <c r="D686" s="65">
        <v>1620</v>
      </c>
      <c r="E686" s="65">
        <v>1670</v>
      </c>
      <c r="F686" s="65">
        <v>1644</v>
      </c>
      <c r="G686" s="13">
        <f t="shared" si="180"/>
        <v>-26</v>
      </c>
      <c r="H686" s="13">
        <f t="shared" si="181"/>
        <v>24</v>
      </c>
      <c r="I686" s="70">
        <f t="shared" si="182"/>
        <v>1.4814814814814836E-2</v>
      </c>
      <c r="J686" s="70">
        <f t="shared" si="183"/>
        <v>-1.5568862275449069E-2</v>
      </c>
      <c r="K686" s="82" t="str">
        <f>_xlfn.IFNA(VLOOKUP(CLEAN(SUBSTITUTE(C686," ","")),Ref_Factory!$A:$B,2,FALSE),CLEAN(SUBSTITUTE(C686," ","")))</f>
        <v>GM1</v>
      </c>
      <c r="L686" s="82" t="str">
        <f t="shared" si="184"/>
        <v>JUNE-1-GM1</v>
      </c>
      <c r="M686" s="70">
        <f t="shared" si="185"/>
        <v>0.17941338872197221</v>
      </c>
      <c r="N686" s="70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25">
      <c r="A687" t="s">
        <v>40</v>
      </c>
      <c r="B687" s="63">
        <v>1</v>
      </c>
      <c r="C687" t="s">
        <v>11</v>
      </c>
      <c r="D687" s="65">
        <v>3996</v>
      </c>
      <c r="E687" s="65">
        <v>4130</v>
      </c>
      <c r="F687" s="65">
        <v>4146</v>
      </c>
      <c r="G687" s="13">
        <f t="shared" si="180"/>
        <v>16</v>
      </c>
      <c r="H687" s="13">
        <f t="shared" si="181"/>
        <v>150</v>
      </c>
      <c r="I687" s="70">
        <f t="shared" si="182"/>
        <v>3.7537537537537524E-2</v>
      </c>
      <c r="J687" s="70">
        <f t="shared" si="183"/>
        <v>3.8740920096851372E-3</v>
      </c>
      <c r="K687" s="82" t="str">
        <f>_xlfn.IFNA(VLOOKUP(CLEAN(SUBSTITUTE(C687," ","")),Ref_Factory!$A:$B,2,FALSE),CLEAN(SUBSTITUTE(C687," ","")))</f>
        <v>GM1</v>
      </c>
      <c r="L687" s="82" t="str">
        <f t="shared" si="184"/>
        <v>JUNE-1-GM1</v>
      </c>
      <c r="M687" s="70">
        <f t="shared" si="185"/>
        <v>0.17941338872197221</v>
      </c>
      <c r="N687" s="70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25">
      <c r="A688" t="s">
        <v>40</v>
      </c>
      <c r="B688" s="63">
        <v>1</v>
      </c>
      <c r="C688" t="s">
        <v>11</v>
      </c>
      <c r="D688" s="65">
        <v>1080</v>
      </c>
      <c r="E688" s="65">
        <v>1116</v>
      </c>
      <c r="F688" s="65">
        <v>1110</v>
      </c>
      <c r="G688" s="13">
        <f t="shared" si="180"/>
        <v>-6</v>
      </c>
      <c r="H688" s="13">
        <f t="shared" si="181"/>
        <v>30</v>
      </c>
      <c r="I688" s="70">
        <f t="shared" si="182"/>
        <v>2.7777777777777679E-2</v>
      </c>
      <c r="J688" s="70">
        <f t="shared" si="183"/>
        <v>-5.3763440860215006E-3</v>
      </c>
      <c r="K688" s="82" t="str">
        <f>_xlfn.IFNA(VLOOKUP(CLEAN(SUBSTITUTE(C688," ","")),Ref_Factory!$A:$B,2,FALSE),CLEAN(SUBSTITUTE(C688," ","")))</f>
        <v>GM1</v>
      </c>
      <c r="L688" s="82" t="str">
        <f t="shared" si="184"/>
        <v>JUNE-1-GM1</v>
      </c>
      <c r="M688" s="70">
        <f t="shared" si="185"/>
        <v>0.17941338872197221</v>
      </c>
      <c r="N688" s="70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25">
      <c r="A689" t="s">
        <v>40</v>
      </c>
      <c r="B689" s="63">
        <v>1</v>
      </c>
      <c r="C689" t="s">
        <v>11</v>
      </c>
      <c r="D689" s="65">
        <v>23328</v>
      </c>
      <c r="E689" s="65">
        <v>24050</v>
      </c>
      <c r="F689" s="65">
        <v>23562</v>
      </c>
      <c r="G689" s="13">
        <f t="shared" si="180"/>
        <v>-488</v>
      </c>
      <c r="H689" s="13">
        <f t="shared" si="181"/>
        <v>234</v>
      </c>
      <c r="I689" s="70">
        <f t="shared" si="182"/>
        <v>1.0030864197530853E-2</v>
      </c>
      <c r="J689" s="70">
        <f t="shared" si="183"/>
        <v>-2.0291060291060314E-2</v>
      </c>
      <c r="K689" s="82" t="str">
        <f>_xlfn.IFNA(VLOOKUP(CLEAN(SUBSTITUTE(C689," ","")),Ref_Factory!$A:$B,2,FALSE),CLEAN(SUBSTITUTE(C689," ","")))</f>
        <v>GM1</v>
      </c>
      <c r="L689" s="82" t="str">
        <f t="shared" si="184"/>
        <v>JUNE-1-GM1</v>
      </c>
      <c r="M689" s="70">
        <f t="shared" si="185"/>
        <v>0.17941338872197221</v>
      </c>
      <c r="N689" s="70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25">
      <c r="A690" t="s">
        <v>40</v>
      </c>
      <c r="B690" s="63">
        <v>1</v>
      </c>
      <c r="C690" t="s">
        <v>11</v>
      </c>
      <c r="D690" s="65">
        <v>1296</v>
      </c>
      <c r="E690" s="65">
        <v>1338</v>
      </c>
      <c r="F690" s="65">
        <v>1308</v>
      </c>
      <c r="G690" s="13">
        <f t="shared" si="180"/>
        <v>-30</v>
      </c>
      <c r="H690" s="13">
        <f t="shared" si="181"/>
        <v>12</v>
      </c>
      <c r="I690" s="70">
        <f t="shared" si="182"/>
        <v>9.2592592592593004E-3</v>
      </c>
      <c r="J690" s="70">
        <f t="shared" si="183"/>
        <v>-2.2421524663677084E-2</v>
      </c>
      <c r="K690" s="82" t="str">
        <f>_xlfn.IFNA(VLOOKUP(CLEAN(SUBSTITUTE(C690," ","")),Ref_Factory!$A:$B,2,FALSE),CLEAN(SUBSTITUTE(C690," ","")))</f>
        <v>GM1</v>
      </c>
      <c r="L690" s="82" t="str">
        <f t="shared" si="184"/>
        <v>JUNE-1-GM1</v>
      </c>
      <c r="M690" s="70">
        <f t="shared" si="185"/>
        <v>0.17941338872197221</v>
      </c>
      <c r="N690" s="70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25">
      <c r="A691" t="s">
        <v>40</v>
      </c>
      <c r="B691" s="63">
        <v>1</v>
      </c>
      <c r="C691" t="s">
        <v>11</v>
      </c>
      <c r="D691" s="65">
        <v>29484</v>
      </c>
      <c r="E691" s="65">
        <v>30379</v>
      </c>
      <c r="F691" s="65">
        <v>30030</v>
      </c>
      <c r="G691" s="13">
        <f t="shared" si="180"/>
        <v>-349</v>
      </c>
      <c r="H691" s="13">
        <f t="shared" si="181"/>
        <v>546</v>
      </c>
      <c r="I691" s="70">
        <f t="shared" si="182"/>
        <v>1.8518518518518601E-2</v>
      </c>
      <c r="J691" s="70">
        <f t="shared" si="183"/>
        <v>-1.148819908489418E-2</v>
      </c>
      <c r="K691" s="82" t="str">
        <f>_xlfn.IFNA(VLOOKUP(CLEAN(SUBSTITUTE(C691," ","")),Ref_Factory!$A:$B,2,FALSE),CLEAN(SUBSTITUTE(C691," ","")))</f>
        <v>GM1</v>
      </c>
      <c r="L691" s="82" t="str">
        <f t="shared" si="184"/>
        <v>JUNE-1-GM1</v>
      </c>
      <c r="M691" s="70">
        <f t="shared" si="185"/>
        <v>0.17941338872197221</v>
      </c>
      <c r="N691" s="70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25">
      <c r="A692" t="s">
        <v>40</v>
      </c>
      <c r="B692" s="63">
        <v>1</v>
      </c>
      <c r="C692" t="s">
        <v>11</v>
      </c>
      <c r="D692" s="65">
        <v>1512</v>
      </c>
      <c r="E692" s="65">
        <v>1557</v>
      </c>
      <c r="F692" s="65">
        <v>1542</v>
      </c>
      <c r="G692" s="13">
        <f t="shared" si="180"/>
        <v>-15</v>
      </c>
      <c r="H692" s="13">
        <f t="shared" si="181"/>
        <v>30</v>
      </c>
      <c r="I692" s="70">
        <f t="shared" si="182"/>
        <v>1.9841269841269771E-2</v>
      </c>
      <c r="J692" s="70">
        <f t="shared" si="183"/>
        <v>-9.6339113680153909E-3</v>
      </c>
      <c r="K692" s="82" t="str">
        <f>_xlfn.IFNA(VLOOKUP(CLEAN(SUBSTITUTE(C692," ","")),Ref_Factory!$A:$B,2,FALSE),CLEAN(SUBSTITUTE(C692," ","")))</f>
        <v>GM1</v>
      </c>
      <c r="L692" s="82" t="str">
        <f t="shared" si="184"/>
        <v>JUNE-1-GM1</v>
      </c>
      <c r="M692" s="70">
        <f t="shared" si="185"/>
        <v>0.17941338872197221</v>
      </c>
      <c r="N692" s="70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25">
      <c r="A693" t="s">
        <v>40</v>
      </c>
      <c r="B693" s="63">
        <v>1</v>
      </c>
      <c r="C693" t="s">
        <v>11</v>
      </c>
      <c r="D693" s="65">
        <v>14364</v>
      </c>
      <c r="E693" s="65">
        <v>14793</v>
      </c>
      <c r="F693" s="65">
        <v>14517</v>
      </c>
      <c r="G693" s="13">
        <f t="shared" si="180"/>
        <v>-276</v>
      </c>
      <c r="H693" s="13">
        <f t="shared" si="181"/>
        <v>153</v>
      </c>
      <c r="I693" s="70">
        <f t="shared" si="182"/>
        <v>1.065162907268169E-2</v>
      </c>
      <c r="J693" s="70">
        <f t="shared" si="183"/>
        <v>-1.8657473129182756E-2</v>
      </c>
      <c r="K693" s="82" t="str">
        <f>_xlfn.IFNA(VLOOKUP(CLEAN(SUBSTITUTE(C693," ","")),Ref_Factory!$A:$B,2,FALSE),CLEAN(SUBSTITUTE(C693," ","")))</f>
        <v>GM1</v>
      </c>
      <c r="L693" s="82" t="str">
        <f t="shared" si="184"/>
        <v>JUNE-1-GM1</v>
      </c>
      <c r="M693" s="70">
        <f t="shared" si="185"/>
        <v>0.17941338872197221</v>
      </c>
      <c r="N693" s="70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25">
      <c r="A694" t="s">
        <v>40</v>
      </c>
      <c r="B694" s="63">
        <v>1</v>
      </c>
      <c r="C694" t="s">
        <v>11</v>
      </c>
      <c r="D694" s="65">
        <v>1728</v>
      </c>
      <c r="E694" s="65">
        <v>1788</v>
      </c>
      <c r="F694" s="65">
        <v>1767</v>
      </c>
      <c r="G694" s="13">
        <f t="shared" si="180"/>
        <v>-21</v>
      </c>
      <c r="H694" s="13">
        <f t="shared" si="181"/>
        <v>39</v>
      </c>
      <c r="I694" s="70">
        <f t="shared" si="182"/>
        <v>2.256944444444442E-2</v>
      </c>
      <c r="J694" s="70">
        <f t="shared" si="183"/>
        <v>-1.1744966442952975E-2</v>
      </c>
      <c r="K694" s="82" t="str">
        <f>_xlfn.IFNA(VLOOKUP(CLEAN(SUBSTITUTE(C694," ","")),Ref_Factory!$A:$B,2,FALSE),CLEAN(SUBSTITUTE(C694," ","")))</f>
        <v>GM1</v>
      </c>
      <c r="L694" s="82" t="str">
        <f t="shared" si="184"/>
        <v>JUNE-1-GM1</v>
      </c>
      <c r="M694" s="70">
        <f t="shared" si="185"/>
        <v>0.17941338872197221</v>
      </c>
      <c r="N694" s="70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25">
      <c r="A695" t="s">
        <v>40</v>
      </c>
      <c r="B695" s="63">
        <v>1</v>
      </c>
      <c r="C695" t="s">
        <v>14</v>
      </c>
      <c r="D695" s="65">
        <v>21492</v>
      </c>
      <c r="E695" s="65">
        <v>22147</v>
      </c>
      <c r="F695" s="65">
        <v>21903</v>
      </c>
      <c r="G695" s="13">
        <f t="shared" si="180"/>
        <v>-244</v>
      </c>
      <c r="H695" s="13">
        <f t="shared" si="181"/>
        <v>411</v>
      </c>
      <c r="I695" s="70">
        <f t="shared" si="182"/>
        <v>1.9123394751535461E-2</v>
      </c>
      <c r="J695" s="70">
        <f t="shared" si="183"/>
        <v>-1.1017293538628237E-2</v>
      </c>
      <c r="K695" s="82" t="str">
        <f>_xlfn.IFNA(VLOOKUP(CLEAN(SUBSTITUTE(C695," ","")),Ref_Factory!$A:$B,2,FALSE),CLEAN(SUBSTITUTE(C695," ","")))</f>
        <v>GM2</v>
      </c>
      <c r="L695" s="82" t="str">
        <f t="shared" si="184"/>
        <v>JUNE-1-GM2</v>
      </c>
      <c r="M695" s="70">
        <f t="shared" si="185"/>
        <v>0.33533919486015573</v>
      </c>
      <c r="N695" s="70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25">
      <c r="A696" t="s">
        <v>40</v>
      </c>
      <c r="B696" s="63">
        <v>1</v>
      </c>
      <c r="C696" t="s">
        <v>14</v>
      </c>
      <c r="D696" s="65">
        <v>1944</v>
      </c>
      <c r="E696" s="65">
        <v>2004</v>
      </c>
      <c r="F696" s="65">
        <v>1977</v>
      </c>
      <c r="G696" s="13">
        <f t="shared" si="180"/>
        <v>-27</v>
      </c>
      <c r="H696" s="13">
        <f t="shared" si="181"/>
        <v>33</v>
      </c>
      <c r="I696" s="70">
        <f t="shared" si="182"/>
        <v>1.6975308641975273E-2</v>
      </c>
      <c r="J696" s="70">
        <f t="shared" si="183"/>
        <v>-1.3473053892215536E-2</v>
      </c>
      <c r="K696" s="82" t="str">
        <f>_xlfn.IFNA(VLOOKUP(CLEAN(SUBSTITUTE(C696," ","")),Ref_Factory!$A:$B,2,FALSE),CLEAN(SUBSTITUTE(C696," ","")))</f>
        <v>GM2</v>
      </c>
      <c r="L696" s="82" t="str">
        <f t="shared" si="184"/>
        <v>JUNE-1-GM2</v>
      </c>
      <c r="M696" s="70">
        <f t="shared" si="185"/>
        <v>0.33533919486015573</v>
      </c>
      <c r="N696" s="70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25">
      <c r="A697" t="s">
        <v>40</v>
      </c>
      <c r="B697" s="63">
        <v>1</v>
      </c>
      <c r="C697" t="s">
        <v>14</v>
      </c>
      <c r="D697" s="65">
        <v>16956</v>
      </c>
      <c r="E697" s="65">
        <v>17471</v>
      </c>
      <c r="F697" s="65">
        <v>17322</v>
      </c>
      <c r="G697" s="13">
        <f t="shared" si="180"/>
        <v>-149</v>
      </c>
      <c r="H697" s="13">
        <f t="shared" si="181"/>
        <v>366</v>
      </c>
      <c r="I697" s="70">
        <f t="shared" si="182"/>
        <v>2.1585279547063019E-2</v>
      </c>
      <c r="J697" s="70">
        <f t="shared" si="183"/>
        <v>-8.5284185221223829E-3</v>
      </c>
      <c r="K697" s="82" t="str">
        <f>_xlfn.IFNA(VLOOKUP(CLEAN(SUBSTITUTE(C697," ","")),Ref_Factory!$A:$B,2,FALSE),CLEAN(SUBSTITUTE(C697," ","")))</f>
        <v>GM2</v>
      </c>
      <c r="L697" s="82" t="str">
        <f t="shared" si="184"/>
        <v>JUNE-1-GM2</v>
      </c>
      <c r="M697" s="70">
        <f t="shared" si="185"/>
        <v>0.33533919486015573</v>
      </c>
      <c r="N697" s="70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25">
      <c r="A698" t="s">
        <v>40</v>
      </c>
      <c r="B698" s="63">
        <v>1</v>
      </c>
      <c r="C698" t="s">
        <v>14</v>
      </c>
      <c r="D698" s="65">
        <v>1080</v>
      </c>
      <c r="E698" s="65">
        <v>1116</v>
      </c>
      <c r="F698" s="65">
        <v>1107</v>
      </c>
      <c r="G698" s="13">
        <f t="shared" si="180"/>
        <v>-9</v>
      </c>
      <c r="H698" s="13">
        <f t="shared" si="181"/>
        <v>27</v>
      </c>
      <c r="I698" s="70">
        <f t="shared" si="182"/>
        <v>2.4999999999999911E-2</v>
      </c>
      <c r="J698" s="70">
        <f t="shared" si="183"/>
        <v>-8.0645161290322509E-3</v>
      </c>
      <c r="K698" s="82" t="str">
        <f>_xlfn.IFNA(VLOOKUP(CLEAN(SUBSTITUTE(C698," ","")),Ref_Factory!$A:$B,2,FALSE),CLEAN(SUBSTITUTE(C698," ","")))</f>
        <v>GM2</v>
      </c>
      <c r="L698" s="82" t="str">
        <f t="shared" si="184"/>
        <v>JUNE-1-GM2</v>
      </c>
      <c r="M698" s="70">
        <f t="shared" si="185"/>
        <v>0.33533919486015573</v>
      </c>
      <c r="N698" s="70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25">
      <c r="A699" t="s">
        <v>40</v>
      </c>
      <c r="B699" s="63">
        <v>1</v>
      </c>
      <c r="C699" t="s">
        <v>14</v>
      </c>
      <c r="D699" s="65">
        <v>9504</v>
      </c>
      <c r="E699" s="65">
        <v>9801</v>
      </c>
      <c r="F699" s="65">
        <v>9615</v>
      </c>
      <c r="G699" s="13">
        <f t="shared" si="180"/>
        <v>-186</v>
      </c>
      <c r="H699" s="13">
        <f t="shared" si="181"/>
        <v>111</v>
      </c>
      <c r="I699" s="70">
        <f t="shared" si="182"/>
        <v>1.1679292929293039E-2</v>
      </c>
      <c r="J699" s="70">
        <f t="shared" si="183"/>
        <v>-1.8977655341291699E-2</v>
      </c>
      <c r="K699" s="82" t="str">
        <f>_xlfn.IFNA(VLOOKUP(CLEAN(SUBSTITUTE(C699," ","")),Ref_Factory!$A:$B,2,FALSE),CLEAN(SUBSTITUTE(C699," ","")))</f>
        <v>GM2</v>
      </c>
      <c r="L699" s="82" t="str">
        <f t="shared" si="184"/>
        <v>JUNE-1-GM2</v>
      </c>
      <c r="M699" s="70">
        <f t="shared" si="185"/>
        <v>0.33533919486015573</v>
      </c>
      <c r="N699" s="70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25">
      <c r="A700" t="s">
        <v>40</v>
      </c>
      <c r="B700" s="63">
        <v>1</v>
      </c>
      <c r="C700" t="s">
        <v>14</v>
      </c>
      <c r="D700" s="65">
        <v>1620</v>
      </c>
      <c r="E700" s="65">
        <v>1668</v>
      </c>
      <c r="F700" s="65">
        <v>1638</v>
      </c>
      <c r="G700" s="13">
        <f t="shared" si="180"/>
        <v>-30</v>
      </c>
      <c r="H700" s="13">
        <f t="shared" si="181"/>
        <v>18</v>
      </c>
      <c r="I700" s="70">
        <f t="shared" si="182"/>
        <v>1.1111111111111072E-2</v>
      </c>
      <c r="J700" s="70">
        <f t="shared" si="183"/>
        <v>-1.7985611510791366E-2</v>
      </c>
      <c r="K700" s="82" t="str">
        <f>_xlfn.IFNA(VLOOKUP(CLEAN(SUBSTITUTE(C700," ","")),Ref_Factory!$A:$B,2,FALSE),CLEAN(SUBSTITUTE(C700," ","")))</f>
        <v>GM2</v>
      </c>
      <c r="L700" s="82" t="str">
        <f t="shared" si="184"/>
        <v>JUNE-1-GM2</v>
      </c>
      <c r="M700" s="70">
        <f t="shared" si="185"/>
        <v>0.33533919486015573</v>
      </c>
      <c r="N700" s="70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25">
      <c r="A701" t="s">
        <v>40</v>
      </c>
      <c r="B701" s="63">
        <v>1</v>
      </c>
      <c r="C701" t="s">
        <v>14</v>
      </c>
      <c r="D701" s="65">
        <v>10368</v>
      </c>
      <c r="E701" s="65">
        <v>10555</v>
      </c>
      <c r="F701" s="65">
        <v>10371</v>
      </c>
      <c r="G701" s="13">
        <f t="shared" si="180"/>
        <v>-184</v>
      </c>
      <c r="H701" s="13">
        <f t="shared" si="181"/>
        <v>3</v>
      </c>
      <c r="I701" s="70">
        <f t="shared" si="182"/>
        <v>2.8935185185186008E-4</v>
      </c>
      <c r="J701" s="70">
        <f t="shared" si="183"/>
        <v>-1.7432496447181478E-2</v>
      </c>
      <c r="K701" s="82" t="str">
        <f>_xlfn.IFNA(VLOOKUP(CLEAN(SUBSTITUTE(C701," ","")),Ref_Factory!$A:$B,2,FALSE),CLEAN(SUBSTITUTE(C701," ","")))</f>
        <v>GM2</v>
      </c>
      <c r="L701" s="82" t="str">
        <f t="shared" si="184"/>
        <v>JUNE-1-GM2</v>
      </c>
      <c r="M701" s="70">
        <f t="shared" si="185"/>
        <v>0.33533919486015573</v>
      </c>
      <c r="N701" s="70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25">
      <c r="A702" t="s">
        <v>40</v>
      </c>
      <c r="B702" s="63">
        <v>1</v>
      </c>
      <c r="C702" t="s">
        <v>14</v>
      </c>
      <c r="D702" s="65">
        <v>1728</v>
      </c>
      <c r="E702" s="65">
        <v>1782</v>
      </c>
      <c r="F702" s="65">
        <v>1740</v>
      </c>
      <c r="G702" s="13">
        <f t="shared" si="180"/>
        <v>-42</v>
      </c>
      <c r="H702" s="13">
        <f t="shared" si="181"/>
        <v>12</v>
      </c>
      <c r="I702" s="70">
        <f t="shared" si="182"/>
        <v>6.9444444444444198E-3</v>
      </c>
      <c r="J702" s="70">
        <f t="shared" si="183"/>
        <v>-2.3569023569023573E-2</v>
      </c>
      <c r="K702" s="82" t="str">
        <f>_xlfn.IFNA(VLOOKUP(CLEAN(SUBSTITUTE(C702," ","")),Ref_Factory!$A:$B,2,FALSE),CLEAN(SUBSTITUTE(C702," ","")))</f>
        <v>GM2</v>
      </c>
      <c r="L702" s="82" t="str">
        <f t="shared" si="184"/>
        <v>JUNE-1-GM2</v>
      </c>
      <c r="M702" s="70">
        <f t="shared" si="185"/>
        <v>0.33533919486015573</v>
      </c>
      <c r="N702" s="70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25">
      <c r="A703" t="s">
        <v>40</v>
      </c>
      <c r="B703" s="63">
        <v>1</v>
      </c>
      <c r="C703" t="s">
        <v>14</v>
      </c>
      <c r="D703" s="65">
        <v>2772</v>
      </c>
      <c r="E703" s="65">
        <v>2772</v>
      </c>
      <c r="F703" s="65">
        <v>2740</v>
      </c>
      <c r="G703" s="13">
        <f t="shared" si="180"/>
        <v>-32</v>
      </c>
      <c r="H703" s="13">
        <f t="shared" si="181"/>
        <v>-32</v>
      </c>
      <c r="I703" s="70">
        <f t="shared" si="182"/>
        <v>-1.1544011544011523E-2</v>
      </c>
      <c r="J703" s="70">
        <f t="shared" si="183"/>
        <v>-1.1544011544011523E-2</v>
      </c>
      <c r="K703" s="82" t="str">
        <f>_xlfn.IFNA(VLOOKUP(CLEAN(SUBSTITUTE(C703," ","")),Ref_Factory!$A:$B,2,FALSE),CLEAN(SUBSTITUTE(C703," ","")))</f>
        <v>GM2</v>
      </c>
      <c r="L703" s="82" t="str">
        <f t="shared" si="184"/>
        <v>JUNE-1-GM2</v>
      </c>
      <c r="M703" s="70">
        <f t="shared" si="185"/>
        <v>0.33533919486015573</v>
      </c>
      <c r="N703" s="70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25">
      <c r="A704" t="s">
        <v>40</v>
      </c>
      <c r="B704" s="63">
        <v>1</v>
      </c>
      <c r="C704" t="s">
        <v>14</v>
      </c>
      <c r="D704" s="65">
        <v>2088</v>
      </c>
      <c r="E704" s="65">
        <v>2088</v>
      </c>
      <c r="F704" s="65">
        <v>2085</v>
      </c>
      <c r="G704" s="13">
        <f t="shared" si="180"/>
        <v>-3</v>
      </c>
      <c r="H704" s="13">
        <f t="shared" si="181"/>
        <v>-3</v>
      </c>
      <c r="I704" s="70">
        <f t="shared" si="182"/>
        <v>-1.4367816091953589E-3</v>
      </c>
      <c r="J704" s="70">
        <f t="shared" si="183"/>
        <v>-1.4367816091953589E-3</v>
      </c>
      <c r="K704" s="82" t="str">
        <f>_xlfn.IFNA(VLOOKUP(CLEAN(SUBSTITUTE(C704," ","")),Ref_Factory!$A:$B,2,FALSE),CLEAN(SUBSTITUTE(C704," ","")))</f>
        <v>GM2</v>
      </c>
      <c r="L704" s="82" t="str">
        <f t="shared" si="184"/>
        <v>JUNE-1-GM2</v>
      </c>
      <c r="M704" s="70">
        <f t="shared" si="185"/>
        <v>0.33533919486015573</v>
      </c>
      <c r="N704" s="70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25">
      <c r="A705" t="s">
        <v>40</v>
      </c>
      <c r="B705" s="63">
        <v>1</v>
      </c>
      <c r="C705" t="s">
        <v>14</v>
      </c>
      <c r="D705" s="65">
        <v>1404</v>
      </c>
      <c r="E705" s="65">
        <v>1405</v>
      </c>
      <c r="F705" s="65">
        <v>1399</v>
      </c>
      <c r="G705" s="13">
        <f t="shared" si="180"/>
        <v>-6</v>
      </c>
      <c r="H705" s="13">
        <f t="shared" si="181"/>
        <v>-5</v>
      </c>
      <c r="I705" s="70">
        <f t="shared" si="182"/>
        <v>-3.5612535612535856E-3</v>
      </c>
      <c r="J705" s="70">
        <f t="shared" si="183"/>
        <v>-4.270462633451988E-3</v>
      </c>
      <c r="K705" s="82" t="str">
        <f>_xlfn.IFNA(VLOOKUP(CLEAN(SUBSTITUTE(C705," ","")),Ref_Factory!$A:$B,2,FALSE),CLEAN(SUBSTITUTE(C705," ","")))</f>
        <v>GM2</v>
      </c>
      <c r="L705" s="82" t="str">
        <f t="shared" si="184"/>
        <v>JUNE-1-GM2</v>
      </c>
      <c r="M705" s="70">
        <f t="shared" si="185"/>
        <v>0.33533919486015573</v>
      </c>
      <c r="N705" s="70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25">
      <c r="A706" t="s">
        <v>40</v>
      </c>
      <c r="B706" s="63">
        <v>1</v>
      </c>
      <c r="C706" t="s">
        <v>14</v>
      </c>
      <c r="D706" s="65">
        <v>1260</v>
      </c>
      <c r="E706" s="65">
        <v>1260</v>
      </c>
      <c r="F706" s="65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70">
        <f t="shared" ref="I706:I769" si="200">F706/D706-1</f>
        <v>-2.3809523809523725E-3</v>
      </c>
      <c r="J706" s="70">
        <f t="shared" ref="J706:J769" si="201">F706/E706-1</f>
        <v>-2.3809523809523725E-3</v>
      </c>
      <c r="K706" s="82" t="str">
        <f>_xlfn.IFNA(VLOOKUP(CLEAN(SUBSTITUTE(C706," ","")),Ref_Factory!$A:$B,2,FALSE),CLEAN(SUBSTITUTE(C706," ","")))</f>
        <v>GM2</v>
      </c>
      <c r="L706" s="82" t="str">
        <f t="shared" ref="L706:L769" si="202">A706&amp;"-"&amp;B706&amp;"-"&amp;K706</f>
        <v>JUNE-1-GM2</v>
      </c>
      <c r="M706" s="70">
        <f t="shared" ref="M706:M769" si="203">SUMIF($L$2:$L$1420,L706,$I$2:$I$1420)</f>
        <v>0.33533919486015573</v>
      </c>
      <c r="N706" s="70">
        <f t="shared" ref="N706:N769" si="204">SUMIF($L$2:$L$1420,L706,$J$2:$J$1420)</f>
        <v>-0.49705405886431719</v>
      </c>
      <c r="O706" s="13">
        <f t="shared" ref="O706:O769" si="205">SUMIF($A$2:$A$1420,A706,$D$2:$D$1420)</f>
        <v>952253</v>
      </c>
      <c r="P706" s="13">
        <f t="shared" ref="P706:P769" si="206">SUMIF($A$2:$A$1420,A706,$E$2:$E$1420)</f>
        <v>960304</v>
      </c>
      <c r="Q706" s="13">
        <f t="shared" ref="Q706:Q769" si="207">SUMIF($A$2:$A$1420,A706,$F$2:$F$1420)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SUMIF($T$2:$T$1420,T706,$D$2:$D$1420)</f>
        <v>386892</v>
      </c>
      <c r="V706">
        <f t="shared" ref="V706:V769" si="212">SUMIF($T$2:$T$1420,T706,$E$2:$E$1420)</f>
        <v>393887</v>
      </c>
      <c r="W706">
        <f t="shared" ref="W706:W769" si="213">SUMIF($T$2:$T$1420,T706,$F$2:$F$1420)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25">
      <c r="A707" t="s">
        <v>40</v>
      </c>
      <c r="B707" s="63">
        <v>1</v>
      </c>
      <c r="C707" t="s">
        <v>14</v>
      </c>
      <c r="D707" s="65">
        <v>9792</v>
      </c>
      <c r="E707" s="65">
        <v>10108</v>
      </c>
      <c r="F707" s="65">
        <v>9888</v>
      </c>
      <c r="G707" s="13">
        <f t="shared" si="198"/>
        <v>-220</v>
      </c>
      <c r="H707" s="13">
        <f t="shared" si="199"/>
        <v>96</v>
      </c>
      <c r="I707" s="70">
        <f t="shared" si="200"/>
        <v>9.8039215686274161E-3</v>
      </c>
      <c r="J707" s="70">
        <f t="shared" si="201"/>
        <v>-2.1764938662445554E-2</v>
      </c>
      <c r="K707" s="82" t="str">
        <f>_xlfn.IFNA(VLOOKUP(CLEAN(SUBSTITUTE(C707," ","")),Ref_Factory!$A:$B,2,FALSE),CLEAN(SUBSTITUTE(C707," ","")))</f>
        <v>GM2</v>
      </c>
      <c r="L707" s="82" t="str">
        <f t="shared" si="202"/>
        <v>JUNE-1-GM2</v>
      </c>
      <c r="M707" s="70">
        <f t="shared" si="203"/>
        <v>0.33533919486015573</v>
      </c>
      <c r="N707" s="70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25">
      <c r="A708" t="s">
        <v>40</v>
      </c>
      <c r="B708" s="63">
        <v>1</v>
      </c>
      <c r="C708" t="s">
        <v>14</v>
      </c>
      <c r="D708" s="65">
        <v>21744</v>
      </c>
      <c r="E708" s="65">
        <v>22180</v>
      </c>
      <c r="F708" s="65">
        <v>21912</v>
      </c>
      <c r="G708" s="13">
        <f t="shared" si="198"/>
        <v>-268</v>
      </c>
      <c r="H708" s="13">
        <f t="shared" si="199"/>
        <v>168</v>
      </c>
      <c r="I708" s="70">
        <f t="shared" si="200"/>
        <v>7.7262693156732176E-3</v>
      </c>
      <c r="J708" s="70">
        <f t="shared" si="201"/>
        <v>-1.2082957619476975E-2</v>
      </c>
      <c r="K708" s="82" t="str">
        <f>_xlfn.IFNA(VLOOKUP(CLEAN(SUBSTITUTE(C708," ","")),Ref_Factory!$A:$B,2,FALSE),CLEAN(SUBSTITUTE(C708," ","")))</f>
        <v>GM2</v>
      </c>
      <c r="L708" s="82" t="str">
        <f t="shared" si="202"/>
        <v>JUNE-1-GM2</v>
      </c>
      <c r="M708" s="70">
        <f t="shared" si="203"/>
        <v>0.33533919486015573</v>
      </c>
      <c r="N708" s="70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25">
      <c r="A709" t="s">
        <v>40</v>
      </c>
      <c r="B709" s="63">
        <v>1</v>
      </c>
      <c r="C709" t="s">
        <v>14</v>
      </c>
      <c r="D709" s="65">
        <v>8928</v>
      </c>
      <c r="E709" s="65">
        <v>9010</v>
      </c>
      <c r="F709" s="65">
        <v>8956</v>
      </c>
      <c r="G709" s="13">
        <f t="shared" si="198"/>
        <v>-54</v>
      </c>
      <c r="H709" s="13">
        <f t="shared" si="199"/>
        <v>28</v>
      </c>
      <c r="I709" s="70">
        <f t="shared" si="200"/>
        <v>3.1362007168458383E-3</v>
      </c>
      <c r="J709" s="70">
        <f t="shared" si="201"/>
        <v>-5.9933407325194477E-3</v>
      </c>
      <c r="K709" s="82" t="str">
        <f>_xlfn.IFNA(VLOOKUP(CLEAN(SUBSTITUTE(C709," ","")),Ref_Factory!$A:$B,2,FALSE),CLEAN(SUBSTITUTE(C709," ","")))</f>
        <v>GM2</v>
      </c>
      <c r="L709" s="82" t="str">
        <f t="shared" si="202"/>
        <v>JUNE-1-GM2</v>
      </c>
      <c r="M709" s="70">
        <f t="shared" si="203"/>
        <v>0.33533919486015573</v>
      </c>
      <c r="N709" s="70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25">
      <c r="A710" t="s">
        <v>40</v>
      </c>
      <c r="B710" s="63">
        <v>1</v>
      </c>
      <c r="C710" t="s">
        <v>14</v>
      </c>
      <c r="D710" s="65">
        <v>14400</v>
      </c>
      <c r="E710" s="65">
        <v>14777</v>
      </c>
      <c r="F710" s="65">
        <v>14344</v>
      </c>
      <c r="G710" s="13">
        <f t="shared" si="198"/>
        <v>-433</v>
      </c>
      <c r="H710" s="13">
        <f t="shared" si="199"/>
        <v>-56</v>
      </c>
      <c r="I710" s="70">
        <f t="shared" si="200"/>
        <v>-3.8888888888889417E-3</v>
      </c>
      <c r="J710" s="70">
        <f t="shared" si="201"/>
        <v>-2.930229410570484E-2</v>
      </c>
      <c r="K710" s="82" t="str">
        <f>_xlfn.IFNA(VLOOKUP(CLEAN(SUBSTITUTE(C710," ","")),Ref_Factory!$A:$B,2,FALSE),CLEAN(SUBSTITUTE(C710," ","")))</f>
        <v>GM2</v>
      </c>
      <c r="L710" s="82" t="str">
        <f t="shared" si="202"/>
        <v>JUNE-1-GM2</v>
      </c>
      <c r="M710" s="70">
        <f t="shared" si="203"/>
        <v>0.33533919486015573</v>
      </c>
      <c r="N710" s="70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25">
      <c r="A711" t="s">
        <v>40</v>
      </c>
      <c r="B711" s="63">
        <v>1</v>
      </c>
      <c r="C711" t="s">
        <v>14</v>
      </c>
      <c r="D711" s="65">
        <v>9360</v>
      </c>
      <c r="E711" s="65">
        <v>9533</v>
      </c>
      <c r="F711" s="65">
        <v>9140</v>
      </c>
      <c r="G711" s="13">
        <f t="shared" si="198"/>
        <v>-393</v>
      </c>
      <c r="H711" s="13">
        <f t="shared" si="199"/>
        <v>-220</v>
      </c>
      <c r="I711" s="70">
        <f t="shared" si="200"/>
        <v>-2.3504273504273532E-2</v>
      </c>
      <c r="J711" s="70">
        <f t="shared" si="201"/>
        <v>-4.1225217664953351E-2</v>
      </c>
      <c r="K711" s="82" t="str">
        <f>_xlfn.IFNA(VLOOKUP(CLEAN(SUBSTITUTE(C711," ","")),Ref_Factory!$A:$B,2,FALSE),CLEAN(SUBSTITUTE(C711," ","")))</f>
        <v>GM2</v>
      </c>
      <c r="L711" s="82" t="str">
        <f t="shared" si="202"/>
        <v>JUNE-1-GM2</v>
      </c>
      <c r="M711" s="70">
        <f t="shared" si="203"/>
        <v>0.33533919486015573</v>
      </c>
      <c r="N711" s="70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25">
      <c r="A712" t="s">
        <v>40</v>
      </c>
      <c r="B712" s="63">
        <v>1</v>
      </c>
      <c r="C712" t="s">
        <v>14</v>
      </c>
      <c r="D712" s="65">
        <v>3780</v>
      </c>
      <c r="E712" s="65">
        <v>3911</v>
      </c>
      <c r="F712" s="65">
        <v>3822</v>
      </c>
      <c r="G712" s="13">
        <f t="shared" si="198"/>
        <v>-89</v>
      </c>
      <c r="H712" s="13">
        <f t="shared" si="199"/>
        <v>42</v>
      </c>
      <c r="I712" s="70">
        <f t="shared" si="200"/>
        <v>1.1111111111111072E-2</v>
      </c>
      <c r="J712" s="70">
        <f t="shared" si="201"/>
        <v>-2.2756328304781359E-2</v>
      </c>
      <c r="K712" s="82" t="str">
        <f>_xlfn.IFNA(VLOOKUP(CLEAN(SUBSTITUTE(C712," ","")),Ref_Factory!$A:$B,2,FALSE),CLEAN(SUBSTITUTE(C712," ","")))</f>
        <v>GM2</v>
      </c>
      <c r="L712" s="82" t="str">
        <f t="shared" si="202"/>
        <v>JUNE-1-GM2</v>
      </c>
      <c r="M712" s="70">
        <f t="shared" si="203"/>
        <v>0.33533919486015573</v>
      </c>
      <c r="N712" s="70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25">
      <c r="A713" t="s">
        <v>40</v>
      </c>
      <c r="B713" s="63">
        <v>1</v>
      </c>
      <c r="C713" t="s">
        <v>14</v>
      </c>
      <c r="D713" s="65">
        <v>1404</v>
      </c>
      <c r="E713" s="65">
        <v>1446</v>
      </c>
      <c r="F713" s="65">
        <v>1407</v>
      </c>
      <c r="G713" s="13">
        <f t="shared" si="198"/>
        <v>-39</v>
      </c>
      <c r="H713" s="13">
        <f t="shared" si="199"/>
        <v>3</v>
      </c>
      <c r="I713" s="70">
        <f t="shared" si="200"/>
        <v>2.1367521367521292E-3</v>
      </c>
      <c r="J713" s="70">
        <f t="shared" si="201"/>
        <v>-2.6970954356846488E-2</v>
      </c>
      <c r="K713" s="82" t="str">
        <f>_xlfn.IFNA(VLOOKUP(CLEAN(SUBSTITUTE(C713," ","")),Ref_Factory!$A:$B,2,FALSE),CLEAN(SUBSTITUTE(C713," ","")))</f>
        <v>GM2</v>
      </c>
      <c r="L713" s="82" t="str">
        <f t="shared" si="202"/>
        <v>JUNE-1-GM2</v>
      </c>
      <c r="M713" s="70">
        <f t="shared" si="203"/>
        <v>0.33533919486015573</v>
      </c>
      <c r="N713" s="70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25">
      <c r="A714" t="s">
        <v>40</v>
      </c>
      <c r="B714" s="63">
        <v>1</v>
      </c>
      <c r="C714" t="s">
        <v>14</v>
      </c>
      <c r="D714" s="65">
        <v>3456</v>
      </c>
      <c r="E714" s="65">
        <v>3574</v>
      </c>
      <c r="F714" s="65">
        <v>3537</v>
      </c>
      <c r="G714" s="13">
        <f t="shared" si="198"/>
        <v>-37</v>
      </c>
      <c r="H714" s="13">
        <f t="shared" si="199"/>
        <v>81</v>
      </c>
      <c r="I714" s="70">
        <f t="shared" si="200"/>
        <v>2.34375E-2</v>
      </c>
      <c r="J714" s="70">
        <f t="shared" si="201"/>
        <v>-1.0352546166759957E-2</v>
      </c>
      <c r="K714" s="82" t="str">
        <f>_xlfn.IFNA(VLOOKUP(CLEAN(SUBSTITUTE(C714," ","")),Ref_Factory!$A:$B,2,FALSE),CLEAN(SUBSTITUTE(C714," ","")))</f>
        <v>GM2</v>
      </c>
      <c r="L714" s="82" t="str">
        <f t="shared" si="202"/>
        <v>JUNE-1-GM2</v>
      </c>
      <c r="M714" s="70">
        <f t="shared" si="203"/>
        <v>0.33533919486015573</v>
      </c>
      <c r="N714" s="70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25">
      <c r="A715" t="s">
        <v>40</v>
      </c>
      <c r="B715" s="63">
        <v>1</v>
      </c>
      <c r="C715" t="s">
        <v>14</v>
      </c>
      <c r="D715" s="65">
        <v>1404</v>
      </c>
      <c r="E715" s="65">
        <v>1446</v>
      </c>
      <c r="F715" s="65">
        <v>1434</v>
      </c>
      <c r="G715" s="13">
        <f t="shared" si="198"/>
        <v>-12</v>
      </c>
      <c r="H715" s="13">
        <f t="shared" si="199"/>
        <v>30</v>
      </c>
      <c r="I715" s="70">
        <f t="shared" si="200"/>
        <v>2.1367521367521292E-2</v>
      </c>
      <c r="J715" s="70">
        <f t="shared" si="201"/>
        <v>-8.2987551867219622E-3</v>
      </c>
      <c r="K715" s="82" t="str">
        <f>_xlfn.IFNA(VLOOKUP(CLEAN(SUBSTITUTE(C715," ","")),Ref_Factory!$A:$B,2,FALSE),CLEAN(SUBSTITUTE(C715," ","")))</f>
        <v>GM2</v>
      </c>
      <c r="L715" s="82" t="str">
        <f t="shared" si="202"/>
        <v>JUNE-1-GM2</v>
      </c>
      <c r="M715" s="70">
        <f t="shared" si="203"/>
        <v>0.33533919486015573</v>
      </c>
      <c r="N715" s="70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25">
      <c r="A716" t="s">
        <v>40</v>
      </c>
      <c r="B716" s="63">
        <v>1</v>
      </c>
      <c r="C716" t="s">
        <v>14</v>
      </c>
      <c r="D716" s="65">
        <v>11556</v>
      </c>
      <c r="E716" s="65">
        <v>11908</v>
      </c>
      <c r="F716" s="65">
        <v>11724</v>
      </c>
      <c r="G716" s="13">
        <f t="shared" si="198"/>
        <v>-184</v>
      </c>
      <c r="H716" s="13">
        <f t="shared" si="199"/>
        <v>168</v>
      </c>
      <c r="I716" s="70">
        <f t="shared" si="200"/>
        <v>1.4537902388369606E-2</v>
      </c>
      <c r="J716" s="70">
        <f t="shared" si="201"/>
        <v>-1.5451797111185717E-2</v>
      </c>
      <c r="K716" s="82" t="str">
        <f>_xlfn.IFNA(VLOOKUP(CLEAN(SUBSTITUTE(C716," ","")),Ref_Factory!$A:$B,2,FALSE),CLEAN(SUBSTITUTE(C716," ","")))</f>
        <v>GM2</v>
      </c>
      <c r="L716" s="82" t="str">
        <f t="shared" si="202"/>
        <v>JUNE-1-GM2</v>
      </c>
      <c r="M716" s="70">
        <f t="shared" si="203"/>
        <v>0.33533919486015573</v>
      </c>
      <c r="N716" s="70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25">
      <c r="A717" t="s">
        <v>40</v>
      </c>
      <c r="B717" s="63">
        <v>1</v>
      </c>
      <c r="C717" t="s">
        <v>14</v>
      </c>
      <c r="D717" s="65">
        <v>1080</v>
      </c>
      <c r="E717" s="65">
        <v>1146</v>
      </c>
      <c r="F717" s="65">
        <v>1080</v>
      </c>
      <c r="G717" s="13">
        <f t="shared" si="198"/>
        <v>-66</v>
      </c>
      <c r="H717" s="13">
        <f t="shared" si="199"/>
        <v>0</v>
      </c>
      <c r="I717" s="70">
        <f t="shared" si="200"/>
        <v>0</v>
      </c>
      <c r="J717" s="70">
        <f t="shared" si="201"/>
        <v>-5.759162303664922E-2</v>
      </c>
      <c r="K717" s="82" t="str">
        <f>_xlfn.IFNA(VLOOKUP(CLEAN(SUBSTITUTE(C717," ","")),Ref_Factory!$A:$B,2,FALSE),CLEAN(SUBSTITUTE(C717," ","")))</f>
        <v>GM2</v>
      </c>
      <c r="L717" s="82" t="str">
        <f t="shared" si="202"/>
        <v>JUNE-1-GM2</v>
      </c>
      <c r="M717" s="70">
        <f t="shared" si="203"/>
        <v>0.33533919486015573</v>
      </c>
      <c r="N717" s="70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25">
      <c r="A718" t="s">
        <v>40</v>
      </c>
      <c r="B718" s="63">
        <v>1</v>
      </c>
      <c r="C718" t="s">
        <v>14</v>
      </c>
      <c r="D718" s="65">
        <v>4860</v>
      </c>
      <c r="E718" s="65">
        <v>5013</v>
      </c>
      <c r="F718" s="65">
        <v>4962</v>
      </c>
      <c r="G718" s="13">
        <f t="shared" si="198"/>
        <v>-51</v>
      </c>
      <c r="H718" s="13">
        <f t="shared" si="199"/>
        <v>102</v>
      </c>
      <c r="I718" s="70">
        <f t="shared" si="200"/>
        <v>2.0987654320987703E-2</v>
      </c>
      <c r="J718" s="70">
        <f t="shared" si="201"/>
        <v>-1.0173548773189656E-2</v>
      </c>
      <c r="K718" s="82" t="str">
        <f>_xlfn.IFNA(VLOOKUP(CLEAN(SUBSTITUTE(C718," ","")),Ref_Factory!$A:$B,2,FALSE),CLEAN(SUBSTITUTE(C718," ","")))</f>
        <v>GM2</v>
      </c>
      <c r="L718" s="82" t="str">
        <f t="shared" si="202"/>
        <v>JUNE-1-GM2</v>
      </c>
      <c r="M718" s="70">
        <f t="shared" si="203"/>
        <v>0.33533919486015573</v>
      </c>
      <c r="N718" s="70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25">
      <c r="A719" t="s">
        <v>40</v>
      </c>
      <c r="B719" s="63">
        <v>1</v>
      </c>
      <c r="C719" t="s">
        <v>14</v>
      </c>
      <c r="D719" s="65">
        <v>16308</v>
      </c>
      <c r="E719" s="65">
        <v>16806</v>
      </c>
      <c r="F719" s="65">
        <v>16557</v>
      </c>
      <c r="G719" s="13">
        <f t="shared" si="198"/>
        <v>-249</v>
      </c>
      <c r="H719" s="13">
        <f t="shared" si="199"/>
        <v>249</v>
      </c>
      <c r="I719" s="70">
        <f t="shared" si="200"/>
        <v>1.5268579838116247E-2</v>
      </c>
      <c r="J719" s="70">
        <f t="shared" si="201"/>
        <v>-1.4816137093895065E-2</v>
      </c>
      <c r="K719" s="82" t="str">
        <f>_xlfn.IFNA(VLOOKUP(CLEAN(SUBSTITUTE(C719," ","")),Ref_Factory!$A:$B,2,FALSE),CLEAN(SUBSTITUTE(C719," ","")))</f>
        <v>GM2</v>
      </c>
      <c r="L719" s="82" t="str">
        <f t="shared" si="202"/>
        <v>JUNE-1-GM2</v>
      </c>
      <c r="M719" s="70">
        <f t="shared" si="203"/>
        <v>0.33533919486015573</v>
      </c>
      <c r="N719" s="70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25">
      <c r="A720" t="s">
        <v>40</v>
      </c>
      <c r="B720" s="63">
        <v>1</v>
      </c>
      <c r="C720" t="s">
        <v>14</v>
      </c>
      <c r="D720" s="65">
        <v>1188</v>
      </c>
      <c r="E720" s="65">
        <v>1224</v>
      </c>
      <c r="F720" s="65">
        <v>1215</v>
      </c>
      <c r="G720" s="13">
        <f t="shared" si="198"/>
        <v>-9</v>
      </c>
      <c r="H720" s="13">
        <f t="shared" si="199"/>
        <v>27</v>
      </c>
      <c r="I720" s="70">
        <f t="shared" si="200"/>
        <v>2.2727272727272707E-2</v>
      </c>
      <c r="J720" s="70">
        <f t="shared" si="201"/>
        <v>-7.3529411764705621E-3</v>
      </c>
      <c r="K720" s="82" t="str">
        <f>_xlfn.IFNA(VLOOKUP(CLEAN(SUBSTITUTE(C720," ","")),Ref_Factory!$A:$B,2,FALSE),CLEAN(SUBSTITUTE(C720," ","")))</f>
        <v>GM2</v>
      </c>
      <c r="L720" s="82" t="str">
        <f t="shared" si="202"/>
        <v>JUNE-1-GM2</v>
      </c>
      <c r="M720" s="70">
        <f t="shared" si="203"/>
        <v>0.33533919486015573</v>
      </c>
      <c r="N720" s="70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25">
      <c r="A721" t="s">
        <v>40</v>
      </c>
      <c r="B721" s="63">
        <v>1</v>
      </c>
      <c r="C721" t="s">
        <v>14</v>
      </c>
      <c r="D721" s="65">
        <v>9612</v>
      </c>
      <c r="E721" s="65">
        <v>9971</v>
      </c>
      <c r="F721" s="65">
        <v>9849</v>
      </c>
      <c r="G721" s="13">
        <f t="shared" si="198"/>
        <v>-122</v>
      </c>
      <c r="H721" s="13">
        <f t="shared" si="199"/>
        <v>237</v>
      </c>
      <c r="I721" s="70">
        <f t="shared" si="200"/>
        <v>2.4656679151061178E-2</v>
      </c>
      <c r="J721" s="70">
        <f t="shared" si="201"/>
        <v>-1.223548290041121E-2</v>
      </c>
      <c r="K721" s="82" t="str">
        <f>_xlfn.IFNA(VLOOKUP(CLEAN(SUBSTITUTE(C721," ","")),Ref_Factory!$A:$B,2,FALSE),CLEAN(SUBSTITUTE(C721," ","")))</f>
        <v>GM2</v>
      </c>
      <c r="L721" s="82" t="str">
        <f t="shared" si="202"/>
        <v>JUNE-1-GM2</v>
      </c>
      <c r="M721" s="70">
        <f t="shared" si="203"/>
        <v>0.33533919486015573</v>
      </c>
      <c r="N721" s="70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25">
      <c r="A722" t="s">
        <v>40</v>
      </c>
      <c r="B722" s="63">
        <v>1</v>
      </c>
      <c r="C722" t="s">
        <v>14</v>
      </c>
      <c r="D722" s="65">
        <v>540</v>
      </c>
      <c r="E722" s="65">
        <v>555</v>
      </c>
      <c r="F722" s="65">
        <v>552</v>
      </c>
      <c r="G722" s="13">
        <f t="shared" si="198"/>
        <v>-3</v>
      </c>
      <c r="H722" s="13">
        <f t="shared" si="199"/>
        <v>12</v>
      </c>
      <c r="I722" s="70">
        <f t="shared" si="200"/>
        <v>2.2222222222222143E-2</v>
      </c>
      <c r="J722" s="70">
        <f t="shared" si="201"/>
        <v>-5.4054054054053502E-3</v>
      </c>
      <c r="K722" s="82" t="str">
        <f>_xlfn.IFNA(VLOOKUP(CLEAN(SUBSTITUTE(C722," ","")),Ref_Factory!$A:$B,2,FALSE),CLEAN(SUBSTITUTE(C722," ","")))</f>
        <v>GM2</v>
      </c>
      <c r="L722" s="82" t="str">
        <f t="shared" si="202"/>
        <v>JUNE-1-GM2</v>
      </c>
      <c r="M722" s="70">
        <f t="shared" si="203"/>
        <v>0.33533919486015573</v>
      </c>
      <c r="N722" s="70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25">
      <c r="A723" t="s">
        <v>40</v>
      </c>
      <c r="B723" s="63">
        <v>1</v>
      </c>
      <c r="C723" t="s">
        <v>14</v>
      </c>
      <c r="D723" s="65">
        <v>25056</v>
      </c>
      <c r="E723" s="65">
        <v>25823</v>
      </c>
      <c r="F723" s="65">
        <v>25692</v>
      </c>
      <c r="G723" s="13">
        <f t="shared" si="198"/>
        <v>-131</v>
      </c>
      <c r="H723" s="13">
        <f t="shared" si="199"/>
        <v>636</v>
      </c>
      <c r="I723" s="70">
        <f t="shared" si="200"/>
        <v>2.5383141762452155E-2</v>
      </c>
      <c r="J723" s="70">
        <f t="shared" si="201"/>
        <v>-5.072996940711727E-3</v>
      </c>
      <c r="K723" s="82" t="str">
        <f>_xlfn.IFNA(VLOOKUP(CLEAN(SUBSTITUTE(C723," ","")),Ref_Factory!$A:$B,2,FALSE),CLEAN(SUBSTITUTE(C723," ","")))</f>
        <v>GM2</v>
      </c>
      <c r="L723" s="82" t="str">
        <f t="shared" si="202"/>
        <v>JUNE-1-GM2</v>
      </c>
      <c r="M723" s="70">
        <f t="shared" si="203"/>
        <v>0.33533919486015573</v>
      </c>
      <c r="N723" s="70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25">
      <c r="A724" t="s">
        <v>40</v>
      </c>
      <c r="B724" s="63">
        <v>1</v>
      </c>
      <c r="C724" t="s">
        <v>14</v>
      </c>
      <c r="D724" s="65">
        <v>1080</v>
      </c>
      <c r="E724" s="65">
        <v>1116</v>
      </c>
      <c r="F724" s="65">
        <v>1113</v>
      </c>
      <c r="G724" s="13">
        <f t="shared" si="198"/>
        <v>-3</v>
      </c>
      <c r="H724" s="13">
        <f t="shared" si="199"/>
        <v>33</v>
      </c>
      <c r="I724" s="70">
        <f t="shared" si="200"/>
        <v>3.0555555555555447E-2</v>
      </c>
      <c r="J724" s="70">
        <f t="shared" si="201"/>
        <v>-2.6881720430107503E-3</v>
      </c>
      <c r="K724" s="82" t="str">
        <f>_xlfn.IFNA(VLOOKUP(CLEAN(SUBSTITUTE(C724," ","")),Ref_Factory!$A:$B,2,FALSE),CLEAN(SUBSTITUTE(C724," ","")))</f>
        <v>GM2</v>
      </c>
      <c r="L724" s="82" t="str">
        <f t="shared" si="202"/>
        <v>JUNE-1-GM2</v>
      </c>
      <c r="M724" s="70">
        <f t="shared" si="203"/>
        <v>0.33533919486015573</v>
      </c>
      <c r="N724" s="70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25">
      <c r="A725" t="s">
        <v>40</v>
      </c>
      <c r="B725" s="63">
        <v>1</v>
      </c>
      <c r="C725" t="s">
        <v>10</v>
      </c>
      <c r="D725" s="65">
        <v>1255</v>
      </c>
      <c r="E725" s="65">
        <v>1255</v>
      </c>
      <c r="F725" s="65">
        <v>1250</v>
      </c>
      <c r="G725" s="13">
        <f t="shared" si="198"/>
        <v>-5</v>
      </c>
      <c r="H725" s="13">
        <f t="shared" si="199"/>
        <v>-5</v>
      </c>
      <c r="I725" s="70">
        <f t="shared" si="200"/>
        <v>-3.9840637450199168E-3</v>
      </c>
      <c r="J725" s="70">
        <f t="shared" si="201"/>
        <v>-3.9840637450199168E-3</v>
      </c>
      <c r="K725" s="82" t="str">
        <f>_xlfn.IFNA(VLOOKUP(CLEAN(SUBSTITUTE(C725," ","")),Ref_Factory!$A:$B,2,FALSE),CLEAN(SUBSTITUTE(C725," ","")))</f>
        <v>CNJ2</v>
      </c>
      <c r="L725" s="82" t="str">
        <f t="shared" si="202"/>
        <v>JUNE-1-CNJ2</v>
      </c>
      <c r="M725" s="70">
        <f t="shared" si="203"/>
        <v>-9.936444697400848E-3</v>
      </c>
      <c r="N725" s="70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25">
      <c r="A726" t="s">
        <v>40</v>
      </c>
      <c r="B726" s="63">
        <v>1</v>
      </c>
      <c r="C726" t="s">
        <v>10</v>
      </c>
      <c r="D726" s="65">
        <v>590</v>
      </c>
      <c r="E726" s="65">
        <v>590</v>
      </c>
      <c r="F726" s="65">
        <v>590</v>
      </c>
      <c r="G726" s="13">
        <f t="shared" si="198"/>
        <v>0</v>
      </c>
      <c r="H726" s="13">
        <f t="shared" si="199"/>
        <v>0</v>
      </c>
      <c r="I726" s="70">
        <f t="shared" si="200"/>
        <v>0</v>
      </c>
      <c r="J726" s="70">
        <f t="shared" si="201"/>
        <v>0</v>
      </c>
      <c r="K726" s="82" t="str">
        <f>_xlfn.IFNA(VLOOKUP(CLEAN(SUBSTITUTE(C726," ","")),Ref_Factory!$A:$B,2,FALSE),CLEAN(SUBSTITUTE(C726," ","")))</f>
        <v>CNJ2</v>
      </c>
      <c r="L726" s="82" t="str">
        <f t="shared" si="202"/>
        <v>JUNE-1-CNJ2</v>
      </c>
      <c r="M726" s="70">
        <f t="shared" si="203"/>
        <v>-9.936444697400848E-3</v>
      </c>
      <c r="N726" s="70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25">
      <c r="A727" t="s">
        <v>40</v>
      </c>
      <c r="B727" s="63">
        <v>1</v>
      </c>
      <c r="C727" t="s">
        <v>10</v>
      </c>
      <c r="D727" s="65">
        <v>305</v>
      </c>
      <c r="E727" s="65">
        <v>305</v>
      </c>
      <c r="F727" s="65">
        <v>305</v>
      </c>
      <c r="G727" s="13">
        <f t="shared" si="198"/>
        <v>0</v>
      </c>
      <c r="H727" s="13">
        <f t="shared" si="199"/>
        <v>0</v>
      </c>
      <c r="I727" s="70">
        <f t="shared" si="200"/>
        <v>0</v>
      </c>
      <c r="J727" s="70">
        <f t="shared" si="201"/>
        <v>0</v>
      </c>
      <c r="K727" s="82" t="str">
        <f>_xlfn.IFNA(VLOOKUP(CLEAN(SUBSTITUTE(C727," ","")),Ref_Factory!$A:$B,2,FALSE),CLEAN(SUBSTITUTE(C727," ","")))</f>
        <v>CNJ2</v>
      </c>
      <c r="L727" s="82" t="str">
        <f t="shared" si="202"/>
        <v>JUNE-1-CNJ2</v>
      </c>
      <c r="M727" s="70">
        <f t="shared" si="203"/>
        <v>-9.936444697400848E-3</v>
      </c>
      <c r="N727" s="70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25">
      <c r="A728" t="s">
        <v>40</v>
      </c>
      <c r="B728" s="63">
        <v>1</v>
      </c>
      <c r="C728" t="s">
        <v>10</v>
      </c>
      <c r="D728" s="65">
        <v>2235</v>
      </c>
      <c r="E728" s="65">
        <v>2265</v>
      </c>
      <c r="F728" s="65">
        <v>2235</v>
      </c>
      <c r="G728" s="13">
        <f t="shared" si="198"/>
        <v>-30</v>
      </c>
      <c r="H728" s="13">
        <f t="shared" si="199"/>
        <v>0</v>
      </c>
      <c r="I728" s="70">
        <f t="shared" si="200"/>
        <v>0</v>
      </c>
      <c r="J728" s="70">
        <f t="shared" si="201"/>
        <v>-1.3245033112582738E-2</v>
      </c>
      <c r="K728" s="82" t="str">
        <f>_xlfn.IFNA(VLOOKUP(CLEAN(SUBSTITUTE(C728," ","")),Ref_Factory!$A:$B,2,FALSE),CLEAN(SUBSTITUTE(C728," ","")))</f>
        <v>CNJ2</v>
      </c>
      <c r="L728" s="82" t="str">
        <f t="shared" si="202"/>
        <v>JUNE-1-CNJ2</v>
      </c>
      <c r="M728" s="70">
        <f t="shared" si="203"/>
        <v>-9.936444697400848E-3</v>
      </c>
      <c r="N728" s="70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25">
      <c r="A729" t="s">
        <v>40</v>
      </c>
      <c r="B729" s="63">
        <v>1</v>
      </c>
      <c r="C729" t="s">
        <v>10</v>
      </c>
      <c r="D729" s="65">
        <v>17775</v>
      </c>
      <c r="E729" s="65">
        <v>17970</v>
      </c>
      <c r="F729" s="65">
        <v>17775</v>
      </c>
      <c r="G729" s="13">
        <f t="shared" si="198"/>
        <v>-195</v>
      </c>
      <c r="H729" s="13">
        <f t="shared" si="199"/>
        <v>0</v>
      </c>
      <c r="I729" s="70">
        <f t="shared" si="200"/>
        <v>0</v>
      </c>
      <c r="J729" s="70">
        <f t="shared" si="201"/>
        <v>-1.0851419031719489E-2</v>
      </c>
      <c r="K729" s="82" t="str">
        <f>_xlfn.IFNA(VLOOKUP(CLEAN(SUBSTITUTE(C729," ","")),Ref_Factory!$A:$B,2,FALSE),CLEAN(SUBSTITUTE(C729," ","")))</f>
        <v>CNJ2</v>
      </c>
      <c r="L729" s="82" t="str">
        <f t="shared" si="202"/>
        <v>JUNE-1-CNJ2</v>
      </c>
      <c r="M729" s="70">
        <f t="shared" si="203"/>
        <v>-9.936444697400848E-3</v>
      </c>
      <c r="N729" s="70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25">
      <c r="A730" t="s">
        <v>40</v>
      </c>
      <c r="B730" s="63">
        <v>1</v>
      </c>
      <c r="C730" t="s">
        <v>10</v>
      </c>
      <c r="D730" s="65">
        <v>2390</v>
      </c>
      <c r="E730" s="65">
        <v>2450</v>
      </c>
      <c r="F730" s="65">
        <v>2390</v>
      </c>
      <c r="G730" s="13">
        <f t="shared" si="198"/>
        <v>-60</v>
      </c>
      <c r="H730" s="13">
        <f t="shared" si="199"/>
        <v>0</v>
      </c>
      <c r="I730" s="70">
        <f t="shared" si="200"/>
        <v>0</v>
      </c>
      <c r="J730" s="70">
        <f t="shared" si="201"/>
        <v>-2.4489795918367308E-2</v>
      </c>
      <c r="K730" s="82" t="str">
        <f>_xlfn.IFNA(VLOOKUP(CLEAN(SUBSTITUTE(C730," ","")),Ref_Factory!$A:$B,2,FALSE),CLEAN(SUBSTITUTE(C730," ","")))</f>
        <v>CNJ2</v>
      </c>
      <c r="L730" s="82" t="str">
        <f t="shared" si="202"/>
        <v>JUNE-1-CNJ2</v>
      </c>
      <c r="M730" s="70">
        <f t="shared" si="203"/>
        <v>-9.936444697400848E-3</v>
      </c>
      <c r="N730" s="70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25">
      <c r="A731" t="s">
        <v>40</v>
      </c>
      <c r="B731" s="63">
        <v>1</v>
      </c>
      <c r="C731" t="s">
        <v>10</v>
      </c>
      <c r="D731" s="65">
        <v>90</v>
      </c>
      <c r="E731" s="65">
        <v>90</v>
      </c>
      <c r="F731" s="65">
        <v>90</v>
      </c>
      <c r="G731" s="13">
        <f t="shared" si="198"/>
        <v>0</v>
      </c>
      <c r="H731" s="13">
        <f t="shared" si="199"/>
        <v>0</v>
      </c>
      <c r="I731" s="70">
        <f t="shared" si="200"/>
        <v>0</v>
      </c>
      <c r="J731" s="70">
        <f t="shared" si="201"/>
        <v>0</v>
      </c>
      <c r="K731" s="82" t="str">
        <f>_xlfn.IFNA(VLOOKUP(CLEAN(SUBSTITUTE(C731," ","")),Ref_Factory!$A:$B,2,FALSE),CLEAN(SUBSTITUTE(C731," ","")))</f>
        <v>CNJ2</v>
      </c>
      <c r="L731" s="82" t="str">
        <f t="shared" si="202"/>
        <v>JUNE-1-CNJ2</v>
      </c>
      <c r="M731" s="70">
        <f t="shared" si="203"/>
        <v>-9.936444697400848E-3</v>
      </c>
      <c r="N731" s="70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25">
      <c r="A732" t="s">
        <v>40</v>
      </c>
      <c r="B732" s="63">
        <v>1</v>
      </c>
      <c r="C732" t="s">
        <v>10</v>
      </c>
      <c r="D732" s="65">
        <v>60</v>
      </c>
      <c r="E732" s="65">
        <v>60</v>
      </c>
      <c r="F732" s="65">
        <v>60</v>
      </c>
      <c r="G732" s="13">
        <f t="shared" si="198"/>
        <v>0</v>
      </c>
      <c r="H732" s="13">
        <f t="shared" si="199"/>
        <v>0</v>
      </c>
      <c r="I732" s="70">
        <f t="shared" si="200"/>
        <v>0</v>
      </c>
      <c r="J732" s="70">
        <f t="shared" si="201"/>
        <v>0</v>
      </c>
      <c r="K732" s="82" t="str">
        <f>_xlfn.IFNA(VLOOKUP(CLEAN(SUBSTITUTE(C732," ","")),Ref_Factory!$A:$B,2,FALSE),CLEAN(SUBSTITUTE(C732," ","")))</f>
        <v>CNJ2</v>
      </c>
      <c r="L732" s="82" t="str">
        <f t="shared" si="202"/>
        <v>JUNE-1-CNJ2</v>
      </c>
      <c r="M732" s="70">
        <f t="shared" si="203"/>
        <v>-9.936444697400848E-3</v>
      </c>
      <c r="N732" s="70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25">
      <c r="A733" t="s">
        <v>40</v>
      </c>
      <c r="B733" s="63">
        <v>1</v>
      </c>
      <c r="C733" t="s">
        <v>10</v>
      </c>
      <c r="D733" s="65">
        <v>3390</v>
      </c>
      <c r="E733" s="65">
        <v>3390</v>
      </c>
      <c r="F733" s="65">
        <v>3390</v>
      </c>
      <c r="G733" s="13">
        <f t="shared" si="198"/>
        <v>0</v>
      </c>
      <c r="H733" s="13">
        <f t="shared" si="199"/>
        <v>0</v>
      </c>
      <c r="I733" s="70">
        <f t="shared" si="200"/>
        <v>0</v>
      </c>
      <c r="J733" s="70">
        <f t="shared" si="201"/>
        <v>0</v>
      </c>
      <c r="K733" s="82" t="str">
        <f>_xlfn.IFNA(VLOOKUP(CLEAN(SUBSTITUTE(C733," ","")),Ref_Factory!$A:$B,2,FALSE),CLEAN(SUBSTITUTE(C733," ","")))</f>
        <v>CNJ2</v>
      </c>
      <c r="L733" s="82" t="str">
        <f t="shared" si="202"/>
        <v>JUNE-1-CNJ2</v>
      </c>
      <c r="M733" s="70">
        <f t="shared" si="203"/>
        <v>-9.936444697400848E-3</v>
      </c>
      <c r="N733" s="70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25">
      <c r="A734" t="s">
        <v>40</v>
      </c>
      <c r="B734" s="63">
        <v>1</v>
      </c>
      <c r="C734" t="s">
        <v>10</v>
      </c>
      <c r="D734" s="65">
        <v>710</v>
      </c>
      <c r="E734" s="65">
        <v>730</v>
      </c>
      <c r="F734" s="65">
        <v>710</v>
      </c>
      <c r="G734" s="13">
        <f t="shared" si="198"/>
        <v>-20</v>
      </c>
      <c r="H734" s="13">
        <f t="shared" si="199"/>
        <v>0</v>
      </c>
      <c r="I734" s="70">
        <f t="shared" si="200"/>
        <v>0</v>
      </c>
      <c r="J734" s="70">
        <f t="shared" si="201"/>
        <v>-2.7397260273972601E-2</v>
      </c>
      <c r="K734" s="82" t="str">
        <f>_xlfn.IFNA(VLOOKUP(CLEAN(SUBSTITUTE(C734," ","")),Ref_Factory!$A:$B,2,FALSE),CLEAN(SUBSTITUTE(C734," ","")))</f>
        <v>CNJ2</v>
      </c>
      <c r="L734" s="82" t="str">
        <f t="shared" si="202"/>
        <v>JUNE-1-CNJ2</v>
      </c>
      <c r="M734" s="70">
        <f t="shared" si="203"/>
        <v>-9.936444697400848E-3</v>
      </c>
      <c r="N734" s="70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25">
      <c r="A735" t="s">
        <v>40</v>
      </c>
      <c r="B735" s="63">
        <v>1</v>
      </c>
      <c r="C735" t="s">
        <v>10</v>
      </c>
      <c r="D735" s="65">
        <v>840</v>
      </c>
      <c r="E735" s="65">
        <v>840</v>
      </c>
      <c r="F735" s="65">
        <v>835</v>
      </c>
      <c r="G735" s="13">
        <f t="shared" si="198"/>
        <v>-5</v>
      </c>
      <c r="H735" s="13">
        <f t="shared" si="199"/>
        <v>-5</v>
      </c>
      <c r="I735" s="70">
        <f t="shared" si="200"/>
        <v>-5.9523809523809312E-3</v>
      </c>
      <c r="J735" s="70">
        <f t="shared" si="201"/>
        <v>-5.9523809523809312E-3</v>
      </c>
      <c r="K735" s="82" t="str">
        <f>_xlfn.IFNA(VLOOKUP(CLEAN(SUBSTITUTE(C735," ","")),Ref_Factory!$A:$B,2,FALSE),CLEAN(SUBSTITUTE(C735," ","")))</f>
        <v>CNJ2</v>
      </c>
      <c r="L735" s="82" t="str">
        <f t="shared" si="202"/>
        <v>JUNE-1-CNJ2</v>
      </c>
      <c r="M735" s="70">
        <f t="shared" si="203"/>
        <v>-9.936444697400848E-3</v>
      </c>
      <c r="N735" s="70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25">
      <c r="A736" t="s">
        <v>40</v>
      </c>
      <c r="B736" s="63">
        <v>1</v>
      </c>
      <c r="C736" t="s">
        <v>10</v>
      </c>
      <c r="D736" s="65">
        <v>75</v>
      </c>
      <c r="E736" s="65">
        <v>75</v>
      </c>
      <c r="F736" s="65">
        <v>75</v>
      </c>
      <c r="G736" s="13">
        <f t="shared" si="198"/>
        <v>0</v>
      </c>
      <c r="H736" s="13">
        <f t="shared" si="199"/>
        <v>0</v>
      </c>
      <c r="I736" s="70">
        <f t="shared" si="200"/>
        <v>0</v>
      </c>
      <c r="J736" s="70">
        <f t="shared" si="201"/>
        <v>0</v>
      </c>
      <c r="K736" s="82" t="str">
        <f>_xlfn.IFNA(VLOOKUP(CLEAN(SUBSTITUTE(C736," ","")),Ref_Factory!$A:$B,2,FALSE),CLEAN(SUBSTITUTE(C736," ","")))</f>
        <v>CNJ2</v>
      </c>
      <c r="L736" s="82" t="str">
        <f t="shared" si="202"/>
        <v>JUNE-1-CNJ2</v>
      </c>
      <c r="M736" s="70">
        <f t="shared" si="203"/>
        <v>-9.936444697400848E-3</v>
      </c>
      <c r="N736" s="70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25">
      <c r="A737" t="s">
        <v>40</v>
      </c>
      <c r="B737" s="63">
        <v>1</v>
      </c>
      <c r="C737" t="s">
        <v>10</v>
      </c>
      <c r="D737" s="65">
        <v>120</v>
      </c>
      <c r="E737" s="65">
        <v>120</v>
      </c>
      <c r="F737" s="65">
        <v>120</v>
      </c>
      <c r="G737" s="13">
        <f t="shared" si="198"/>
        <v>0</v>
      </c>
      <c r="H737" s="13">
        <f t="shared" si="199"/>
        <v>0</v>
      </c>
      <c r="I737" s="70">
        <f t="shared" si="200"/>
        <v>0</v>
      </c>
      <c r="J737" s="70">
        <f t="shared" si="201"/>
        <v>0</v>
      </c>
      <c r="K737" s="82" t="str">
        <f>_xlfn.IFNA(VLOOKUP(CLEAN(SUBSTITUTE(C737," ","")),Ref_Factory!$A:$B,2,FALSE),CLEAN(SUBSTITUTE(C737," ","")))</f>
        <v>CNJ2</v>
      </c>
      <c r="L737" s="82" t="str">
        <f t="shared" si="202"/>
        <v>JUNE-1-CNJ2</v>
      </c>
      <c r="M737" s="70">
        <f t="shared" si="203"/>
        <v>-9.936444697400848E-3</v>
      </c>
      <c r="N737" s="70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25">
      <c r="A738" t="s">
        <v>40</v>
      </c>
      <c r="B738" s="63">
        <v>1</v>
      </c>
      <c r="C738" t="s">
        <v>10</v>
      </c>
      <c r="D738" s="65">
        <v>160</v>
      </c>
      <c r="E738" s="65">
        <v>160</v>
      </c>
      <c r="F738" s="65">
        <v>160</v>
      </c>
      <c r="G738" s="13">
        <f t="shared" si="198"/>
        <v>0</v>
      </c>
      <c r="H738" s="13">
        <f t="shared" si="199"/>
        <v>0</v>
      </c>
      <c r="I738" s="70">
        <f t="shared" si="200"/>
        <v>0</v>
      </c>
      <c r="J738" s="70">
        <f t="shared" si="201"/>
        <v>0</v>
      </c>
      <c r="K738" s="82" t="str">
        <f>_xlfn.IFNA(VLOOKUP(CLEAN(SUBSTITUTE(C738," ","")),Ref_Factory!$A:$B,2,FALSE),CLEAN(SUBSTITUTE(C738," ","")))</f>
        <v>CNJ2</v>
      </c>
      <c r="L738" s="82" t="str">
        <f t="shared" si="202"/>
        <v>JUNE-1-CNJ2</v>
      </c>
      <c r="M738" s="70">
        <f t="shared" si="203"/>
        <v>-9.936444697400848E-3</v>
      </c>
      <c r="N738" s="70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25">
      <c r="A739" t="s">
        <v>40</v>
      </c>
      <c r="B739" s="63">
        <v>1</v>
      </c>
      <c r="C739" t="s">
        <v>17</v>
      </c>
      <c r="D739" s="65">
        <v>5000</v>
      </c>
      <c r="E739" s="65">
        <v>5040</v>
      </c>
      <c r="F739" s="65">
        <v>5000</v>
      </c>
      <c r="G739" s="13">
        <f t="shared" si="198"/>
        <v>-40</v>
      </c>
      <c r="H739" s="13">
        <f t="shared" si="199"/>
        <v>0</v>
      </c>
      <c r="I739" s="70">
        <f t="shared" si="200"/>
        <v>0</v>
      </c>
      <c r="J739" s="70">
        <f t="shared" si="201"/>
        <v>-7.9365079365079083E-3</v>
      </c>
      <c r="K739" s="82" t="str">
        <f>_xlfn.IFNA(VLOOKUP(CLEAN(SUBSTITUTE(C739," ","")),Ref_Factory!$A:$B,2,FALSE),CLEAN(SUBSTITUTE(C739," ","")))</f>
        <v>CBA</v>
      </c>
      <c r="L739" s="82" t="str">
        <f t="shared" si="202"/>
        <v>JUNE-1-CBA</v>
      </c>
      <c r="M739" s="70">
        <f t="shared" si="203"/>
        <v>0</v>
      </c>
      <c r="N739" s="70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25">
      <c r="A740" t="s">
        <v>40</v>
      </c>
      <c r="B740" s="63">
        <v>1</v>
      </c>
      <c r="C740" t="s">
        <v>15</v>
      </c>
      <c r="D740" s="65">
        <v>71</v>
      </c>
      <c r="E740" s="65">
        <v>71</v>
      </c>
      <c r="F740" s="65">
        <v>71</v>
      </c>
      <c r="G740" s="13">
        <f t="shared" si="198"/>
        <v>0</v>
      </c>
      <c r="H740" s="13">
        <f t="shared" si="199"/>
        <v>0</v>
      </c>
      <c r="I740" s="70">
        <f t="shared" si="200"/>
        <v>0</v>
      </c>
      <c r="J740" s="70">
        <f t="shared" si="201"/>
        <v>0</v>
      </c>
      <c r="K740" s="82" t="str">
        <f>_xlfn.IFNA(VLOOKUP(CLEAN(SUBSTITUTE(C740," ","")),Ref_Factory!$A:$B,2,FALSE),CLEAN(SUBSTITUTE(C740," ","")))</f>
        <v>CHAWAN</v>
      </c>
      <c r="L740" s="82" t="str">
        <f t="shared" si="202"/>
        <v>JUNE-1-CHAWAN</v>
      </c>
      <c r="M740" s="70">
        <f t="shared" si="203"/>
        <v>0</v>
      </c>
      <c r="N740" s="70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25">
      <c r="A741" t="s">
        <v>40</v>
      </c>
      <c r="B741" s="63">
        <v>1</v>
      </c>
      <c r="C741" t="s">
        <v>15</v>
      </c>
      <c r="D741" s="65">
        <v>71</v>
      </c>
      <c r="E741" s="65">
        <v>71</v>
      </c>
      <c r="F741" s="65">
        <v>71</v>
      </c>
      <c r="G741" s="13">
        <f t="shared" si="198"/>
        <v>0</v>
      </c>
      <c r="H741" s="13">
        <f t="shared" si="199"/>
        <v>0</v>
      </c>
      <c r="I741" s="70">
        <f t="shared" si="200"/>
        <v>0</v>
      </c>
      <c r="J741" s="70">
        <f t="shared" si="201"/>
        <v>0</v>
      </c>
      <c r="K741" s="82" t="str">
        <f>_xlfn.IFNA(VLOOKUP(CLEAN(SUBSTITUTE(C741," ","")),Ref_Factory!$A:$B,2,FALSE),CLEAN(SUBSTITUTE(C741," ","")))</f>
        <v>CHAWAN</v>
      </c>
      <c r="L741" s="82" t="str">
        <f t="shared" si="202"/>
        <v>JUNE-1-CHAWAN</v>
      </c>
      <c r="M741" s="70">
        <f t="shared" si="203"/>
        <v>0</v>
      </c>
      <c r="N741" s="70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25">
      <c r="A742" t="s">
        <v>40</v>
      </c>
      <c r="B742" s="63">
        <v>1</v>
      </c>
      <c r="C742" t="s">
        <v>15</v>
      </c>
      <c r="D742" s="65">
        <v>135</v>
      </c>
      <c r="E742" s="65">
        <v>135</v>
      </c>
      <c r="F742" s="65">
        <v>135</v>
      </c>
      <c r="G742" s="13">
        <f t="shared" si="198"/>
        <v>0</v>
      </c>
      <c r="H742" s="13">
        <f t="shared" si="199"/>
        <v>0</v>
      </c>
      <c r="I742" s="70">
        <f t="shared" si="200"/>
        <v>0</v>
      </c>
      <c r="J742" s="70">
        <f t="shared" si="201"/>
        <v>0</v>
      </c>
      <c r="K742" s="82" t="str">
        <f>_xlfn.IFNA(VLOOKUP(CLEAN(SUBSTITUTE(C742," ","")),Ref_Factory!$A:$B,2,FALSE),CLEAN(SUBSTITUTE(C742," ","")))</f>
        <v>CHAWAN</v>
      </c>
      <c r="L742" s="82" t="str">
        <f t="shared" si="202"/>
        <v>JUNE-1-CHAWAN</v>
      </c>
      <c r="M742" s="70">
        <f t="shared" si="203"/>
        <v>0</v>
      </c>
      <c r="N742" s="70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25">
      <c r="A743" t="s">
        <v>40</v>
      </c>
      <c r="B743" s="63">
        <v>1</v>
      </c>
      <c r="C743" t="s">
        <v>15</v>
      </c>
      <c r="D743" s="65">
        <v>135</v>
      </c>
      <c r="E743" s="65">
        <v>135</v>
      </c>
      <c r="F743" s="65">
        <v>135</v>
      </c>
      <c r="G743" s="13">
        <f t="shared" si="198"/>
        <v>0</v>
      </c>
      <c r="H743" s="13">
        <f t="shared" si="199"/>
        <v>0</v>
      </c>
      <c r="I743" s="70">
        <f t="shared" si="200"/>
        <v>0</v>
      </c>
      <c r="J743" s="70">
        <f t="shared" si="201"/>
        <v>0</v>
      </c>
      <c r="K743" s="82" t="str">
        <f>_xlfn.IFNA(VLOOKUP(CLEAN(SUBSTITUTE(C743," ","")),Ref_Factory!$A:$B,2,FALSE),CLEAN(SUBSTITUTE(C743," ","")))</f>
        <v>CHAWAN</v>
      </c>
      <c r="L743" s="82" t="str">
        <f t="shared" si="202"/>
        <v>JUNE-1-CHAWAN</v>
      </c>
      <c r="M743" s="70">
        <f t="shared" si="203"/>
        <v>0</v>
      </c>
      <c r="N743" s="70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25">
      <c r="A744" t="s">
        <v>40</v>
      </c>
      <c r="B744" s="63">
        <v>1</v>
      </c>
      <c r="C744" t="s">
        <v>15</v>
      </c>
      <c r="D744" s="65">
        <v>26</v>
      </c>
      <c r="E744" s="65">
        <v>26</v>
      </c>
      <c r="F744" s="65">
        <v>26</v>
      </c>
      <c r="G744" s="13">
        <f t="shared" si="198"/>
        <v>0</v>
      </c>
      <c r="H744" s="13">
        <f t="shared" si="199"/>
        <v>0</v>
      </c>
      <c r="I744" s="70">
        <f t="shared" si="200"/>
        <v>0</v>
      </c>
      <c r="J744" s="70">
        <f t="shared" si="201"/>
        <v>0</v>
      </c>
      <c r="K744" s="82" t="str">
        <f>_xlfn.IFNA(VLOOKUP(CLEAN(SUBSTITUTE(C744," ","")),Ref_Factory!$A:$B,2,FALSE),CLEAN(SUBSTITUTE(C744," ","")))</f>
        <v>CHAWAN</v>
      </c>
      <c r="L744" s="82" t="str">
        <f t="shared" si="202"/>
        <v>JUNE-1-CHAWAN</v>
      </c>
      <c r="M744" s="70">
        <f t="shared" si="203"/>
        <v>0</v>
      </c>
      <c r="N744" s="70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25">
      <c r="A745" t="s">
        <v>40</v>
      </c>
      <c r="B745" s="63">
        <v>1</v>
      </c>
      <c r="C745" t="s">
        <v>15</v>
      </c>
      <c r="D745" s="65">
        <v>26</v>
      </c>
      <c r="E745" s="65">
        <v>26</v>
      </c>
      <c r="F745" s="65">
        <v>26</v>
      </c>
      <c r="G745" s="13">
        <f t="shared" si="198"/>
        <v>0</v>
      </c>
      <c r="H745" s="13">
        <f t="shared" si="199"/>
        <v>0</v>
      </c>
      <c r="I745" s="70">
        <f t="shared" si="200"/>
        <v>0</v>
      </c>
      <c r="J745" s="70">
        <f t="shared" si="201"/>
        <v>0</v>
      </c>
      <c r="K745" s="82" t="str">
        <f>_xlfn.IFNA(VLOOKUP(CLEAN(SUBSTITUTE(C745," ","")),Ref_Factory!$A:$B,2,FALSE),CLEAN(SUBSTITUTE(C745," ","")))</f>
        <v>CHAWAN</v>
      </c>
      <c r="L745" s="82" t="str">
        <f t="shared" si="202"/>
        <v>JUNE-1-CHAWAN</v>
      </c>
      <c r="M745" s="70">
        <f t="shared" si="203"/>
        <v>0</v>
      </c>
      <c r="N745" s="70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25">
      <c r="A746" t="s">
        <v>40</v>
      </c>
      <c r="B746" s="63">
        <v>1</v>
      </c>
      <c r="C746" t="s">
        <v>15</v>
      </c>
      <c r="D746" s="65">
        <v>53</v>
      </c>
      <c r="E746" s="65">
        <v>53</v>
      </c>
      <c r="F746" s="65">
        <v>53</v>
      </c>
      <c r="G746" s="13">
        <f t="shared" si="198"/>
        <v>0</v>
      </c>
      <c r="H746" s="13">
        <f t="shared" si="199"/>
        <v>0</v>
      </c>
      <c r="I746" s="70">
        <f t="shared" si="200"/>
        <v>0</v>
      </c>
      <c r="J746" s="70">
        <f t="shared" si="201"/>
        <v>0</v>
      </c>
      <c r="K746" s="82" t="str">
        <f>_xlfn.IFNA(VLOOKUP(CLEAN(SUBSTITUTE(C746," ","")),Ref_Factory!$A:$B,2,FALSE),CLEAN(SUBSTITUTE(C746," ","")))</f>
        <v>CHAWAN</v>
      </c>
      <c r="L746" s="82" t="str">
        <f t="shared" si="202"/>
        <v>JUNE-1-CHAWAN</v>
      </c>
      <c r="M746" s="70">
        <f t="shared" si="203"/>
        <v>0</v>
      </c>
      <c r="N746" s="70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25">
      <c r="A747" t="s">
        <v>40</v>
      </c>
      <c r="B747" s="63">
        <v>1</v>
      </c>
      <c r="C747" t="s">
        <v>15</v>
      </c>
      <c r="D747" s="65">
        <v>53</v>
      </c>
      <c r="E747" s="65">
        <v>53</v>
      </c>
      <c r="F747" s="65">
        <v>53</v>
      </c>
      <c r="G747" s="13">
        <f t="shared" si="198"/>
        <v>0</v>
      </c>
      <c r="H747" s="13">
        <f t="shared" si="199"/>
        <v>0</v>
      </c>
      <c r="I747" s="70">
        <f t="shared" si="200"/>
        <v>0</v>
      </c>
      <c r="J747" s="70">
        <f t="shared" si="201"/>
        <v>0</v>
      </c>
      <c r="K747" s="82" t="str">
        <f>_xlfn.IFNA(VLOOKUP(CLEAN(SUBSTITUTE(C747," ","")),Ref_Factory!$A:$B,2,FALSE),CLEAN(SUBSTITUTE(C747," ","")))</f>
        <v>CHAWAN</v>
      </c>
      <c r="L747" s="82" t="str">
        <f t="shared" si="202"/>
        <v>JUNE-1-CHAWAN</v>
      </c>
      <c r="M747" s="70">
        <f t="shared" si="203"/>
        <v>0</v>
      </c>
      <c r="N747" s="70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25">
      <c r="A748" t="s">
        <v>40</v>
      </c>
      <c r="B748" s="63">
        <v>1</v>
      </c>
      <c r="C748" t="s">
        <v>15</v>
      </c>
      <c r="D748" s="65">
        <v>29</v>
      </c>
      <c r="E748" s="65">
        <v>29</v>
      </c>
      <c r="F748" s="65">
        <v>29</v>
      </c>
      <c r="G748" s="13">
        <f t="shared" si="198"/>
        <v>0</v>
      </c>
      <c r="H748" s="13">
        <f t="shared" si="199"/>
        <v>0</v>
      </c>
      <c r="I748" s="70">
        <f t="shared" si="200"/>
        <v>0</v>
      </c>
      <c r="J748" s="70">
        <f t="shared" si="201"/>
        <v>0</v>
      </c>
      <c r="K748" s="82" t="str">
        <f>_xlfn.IFNA(VLOOKUP(CLEAN(SUBSTITUTE(C748," ","")),Ref_Factory!$A:$B,2,FALSE),CLEAN(SUBSTITUTE(C748," ","")))</f>
        <v>CHAWAN</v>
      </c>
      <c r="L748" s="82" t="str">
        <f t="shared" si="202"/>
        <v>JUNE-1-CHAWAN</v>
      </c>
      <c r="M748" s="70">
        <f t="shared" si="203"/>
        <v>0</v>
      </c>
      <c r="N748" s="70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25">
      <c r="A749" t="s">
        <v>40</v>
      </c>
      <c r="B749" s="63">
        <v>1</v>
      </c>
      <c r="C749" t="s">
        <v>15</v>
      </c>
      <c r="D749" s="65">
        <v>29</v>
      </c>
      <c r="E749" s="65">
        <v>29</v>
      </c>
      <c r="F749" s="65">
        <v>29</v>
      </c>
      <c r="G749" s="13">
        <f t="shared" si="198"/>
        <v>0</v>
      </c>
      <c r="H749" s="13">
        <f t="shared" si="199"/>
        <v>0</v>
      </c>
      <c r="I749" s="70">
        <f t="shared" si="200"/>
        <v>0</v>
      </c>
      <c r="J749" s="70">
        <f t="shared" si="201"/>
        <v>0</v>
      </c>
      <c r="K749" s="82" t="str">
        <f>_xlfn.IFNA(VLOOKUP(CLEAN(SUBSTITUTE(C749," ","")),Ref_Factory!$A:$B,2,FALSE),CLEAN(SUBSTITUTE(C749," ","")))</f>
        <v>CHAWAN</v>
      </c>
      <c r="L749" s="82" t="str">
        <f t="shared" si="202"/>
        <v>JUNE-1-CHAWAN</v>
      </c>
      <c r="M749" s="70">
        <f t="shared" si="203"/>
        <v>0</v>
      </c>
      <c r="N749" s="70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25">
      <c r="A750" t="s">
        <v>40</v>
      </c>
      <c r="B750" s="63">
        <v>1</v>
      </c>
      <c r="C750" t="s">
        <v>10</v>
      </c>
      <c r="D750" s="65">
        <v>354</v>
      </c>
      <c r="E750" s="65">
        <v>354</v>
      </c>
      <c r="F750" s="65">
        <v>354</v>
      </c>
      <c r="G750" s="13">
        <f t="shared" si="198"/>
        <v>0</v>
      </c>
      <c r="H750" s="13">
        <f t="shared" si="199"/>
        <v>0</v>
      </c>
      <c r="I750" s="70">
        <f t="shared" si="200"/>
        <v>0</v>
      </c>
      <c r="J750" s="70">
        <f t="shared" si="201"/>
        <v>0</v>
      </c>
      <c r="K750" s="82" t="str">
        <f>_xlfn.IFNA(VLOOKUP(CLEAN(SUBSTITUTE(C750," ","")),Ref_Factory!$A:$B,2,FALSE),CLEAN(SUBSTITUTE(C750," ","")))</f>
        <v>CNJ2</v>
      </c>
      <c r="L750" s="82" t="str">
        <f t="shared" si="202"/>
        <v>JUNE-1-CNJ2</v>
      </c>
      <c r="M750" s="70">
        <f t="shared" si="203"/>
        <v>-9.936444697400848E-3</v>
      </c>
      <c r="N750" s="70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25">
      <c r="A751" t="s">
        <v>40</v>
      </c>
      <c r="B751" s="63">
        <v>1</v>
      </c>
      <c r="C751" t="s">
        <v>10</v>
      </c>
      <c r="D751" s="65">
        <v>141</v>
      </c>
      <c r="E751" s="65">
        <v>141</v>
      </c>
      <c r="F751" s="65">
        <v>141</v>
      </c>
      <c r="G751" s="13">
        <f t="shared" si="198"/>
        <v>0</v>
      </c>
      <c r="H751" s="13">
        <f t="shared" si="199"/>
        <v>0</v>
      </c>
      <c r="I751" s="70">
        <f t="shared" si="200"/>
        <v>0</v>
      </c>
      <c r="J751" s="70">
        <f t="shared" si="201"/>
        <v>0</v>
      </c>
      <c r="K751" s="82" t="str">
        <f>_xlfn.IFNA(VLOOKUP(CLEAN(SUBSTITUTE(C751," ","")),Ref_Factory!$A:$B,2,FALSE),CLEAN(SUBSTITUTE(C751," ","")))</f>
        <v>CNJ2</v>
      </c>
      <c r="L751" s="82" t="str">
        <f t="shared" si="202"/>
        <v>JUNE-1-CNJ2</v>
      </c>
      <c r="M751" s="70">
        <f t="shared" si="203"/>
        <v>-9.936444697400848E-3</v>
      </c>
      <c r="N751" s="70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25">
      <c r="A752" t="s">
        <v>40</v>
      </c>
      <c r="B752" s="63">
        <v>1</v>
      </c>
      <c r="C752" t="s">
        <v>10</v>
      </c>
      <c r="D752" s="65">
        <v>96</v>
      </c>
      <c r="E752" s="65">
        <v>96</v>
      </c>
      <c r="F752" s="65">
        <v>96</v>
      </c>
      <c r="G752" s="13">
        <f t="shared" si="198"/>
        <v>0</v>
      </c>
      <c r="H752" s="13">
        <f t="shared" si="199"/>
        <v>0</v>
      </c>
      <c r="I752" s="70">
        <f t="shared" si="200"/>
        <v>0</v>
      </c>
      <c r="J752" s="70">
        <f t="shared" si="201"/>
        <v>0</v>
      </c>
      <c r="K752" s="82" t="str">
        <f>_xlfn.IFNA(VLOOKUP(CLEAN(SUBSTITUTE(C752," ","")),Ref_Factory!$A:$B,2,FALSE),CLEAN(SUBSTITUTE(C752," ","")))</f>
        <v>CNJ2</v>
      </c>
      <c r="L752" s="82" t="str">
        <f t="shared" si="202"/>
        <v>JUNE-1-CNJ2</v>
      </c>
      <c r="M752" s="70">
        <f t="shared" si="203"/>
        <v>-9.936444697400848E-3</v>
      </c>
      <c r="N752" s="70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25">
      <c r="A753" t="s">
        <v>40</v>
      </c>
      <c r="B753" s="63">
        <v>1</v>
      </c>
      <c r="C753" t="s">
        <v>10</v>
      </c>
      <c r="D753" s="65">
        <v>102</v>
      </c>
      <c r="E753" s="65">
        <v>102</v>
      </c>
      <c r="F753" s="65">
        <v>102</v>
      </c>
      <c r="G753" s="13">
        <f t="shared" si="198"/>
        <v>0</v>
      </c>
      <c r="H753" s="13">
        <f t="shared" si="199"/>
        <v>0</v>
      </c>
      <c r="I753" s="70">
        <f t="shared" si="200"/>
        <v>0</v>
      </c>
      <c r="J753" s="70">
        <f t="shared" si="201"/>
        <v>0</v>
      </c>
      <c r="K753" s="82" t="str">
        <f>_xlfn.IFNA(VLOOKUP(CLEAN(SUBSTITUTE(C753," ","")),Ref_Factory!$A:$B,2,FALSE),CLEAN(SUBSTITUTE(C753," ","")))</f>
        <v>CNJ2</v>
      </c>
      <c r="L753" s="82" t="str">
        <f t="shared" si="202"/>
        <v>JUNE-1-CNJ2</v>
      </c>
      <c r="M753" s="70">
        <f t="shared" si="203"/>
        <v>-9.936444697400848E-3</v>
      </c>
      <c r="N753" s="70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25">
      <c r="A754" t="s">
        <v>40</v>
      </c>
      <c r="B754" s="63">
        <v>1</v>
      </c>
      <c r="C754" t="s">
        <v>10</v>
      </c>
      <c r="D754" s="65">
        <v>354</v>
      </c>
      <c r="E754" s="65">
        <v>354</v>
      </c>
      <c r="F754" s="65">
        <v>354</v>
      </c>
      <c r="G754" s="13">
        <f t="shared" si="198"/>
        <v>0</v>
      </c>
      <c r="H754" s="13">
        <f t="shared" si="199"/>
        <v>0</v>
      </c>
      <c r="I754" s="70">
        <f t="shared" si="200"/>
        <v>0</v>
      </c>
      <c r="J754" s="70">
        <f t="shared" si="201"/>
        <v>0</v>
      </c>
      <c r="K754" s="82" t="str">
        <f>_xlfn.IFNA(VLOOKUP(CLEAN(SUBSTITUTE(C754," ","")),Ref_Factory!$A:$B,2,FALSE),CLEAN(SUBSTITUTE(C754," ","")))</f>
        <v>CNJ2</v>
      </c>
      <c r="L754" s="82" t="str">
        <f t="shared" si="202"/>
        <v>JUNE-1-CNJ2</v>
      </c>
      <c r="M754" s="70">
        <f t="shared" si="203"/>
        <v>-9.936444697400848E-3</v>
      </c>
      <c r="N754" s="70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25">
      <c r="A755" t="s">
        <v>40</v>
      </c>
      <c r="B755" s="63">
        <v>1</v>
      </c>
      <c r="C755" t="s">
        <v>10</v>
      </c>
      <c r="D755" s="65">
        <v>141</v>
      </c>
      <c r="E755" s="65">
        <v>141</v>
      </c>
      <c r="F755" s="65">
        <v>141</v>
      </c>
      <c r="G755" s="13">
        <f t="shared" si="198"/>
        <v>0</v>
      </c>
      <c r="H755" s="13">
        <f t="shared" si="199"/>
        <v>0</v>
      </c>
      <c r="I755" s="70">
        <f t="shared" si="200"/>
        <v>0</v>
      </c>
      <c r="J755" s="70">
        <f t="shared" si="201"/>
        <v>0</v>
      </c>
      <c r="K755" s="82" t="str">
        <f>_xlfn.IFNA(VLOOKUP(CLEAN(SUBSTITUTE(C755," ","")),Ref_Factory!$A:$B,2,FALSE),CLEAN(SUBSTITUTE(C755," ","")))</f>
        <v>CNJ2</v>
      </c>
      <c r="L755" s="82" t="str">
        <f t="shared" si="202"/>
        <v>JUNE-1-CNJ2</v>
      </c>
      <c r="M755" s="70">
        <f t="shared" si="203"/>
        <v>-9.936444697400848E-3</v>
      </c>
      <c r="N755" s="70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25">
      <c r="A756" t="s">
        <v>40</v>
      </c>
      <c r="B756" s="63">
        <v>1</v>
      </c>
      <c r="C756" t="s">
        <v>10</v>
      </c>
      <c r="D756" s="65">
        <v>96</v>
      </c>
      <c r="E756" s="65">
        <v>96</v>
      </c>
      <c r="F756" s="65">
        <v>96</v>
      </c>
      <c r="G756" s="13">
        <f t="shared" si="198"/>
        <v>0</v>
      </c>
      <c r="H756" s="13">
        <f t="shared" si="199"/>
        <v>0</v>
      </c>
      <c r="I756" s="70">
        <f t="shared" si="200"/>
        <v>0</v>
      </c>
      <c r="J756" s="70">
        <f t="shared" si="201"/>
        <v>0</v>
      </c>
      <c r="K756" s="82" t="str">
        <f>_xlfn.IFNA(VLOOKUP(CLEAN(SUBSTITUTE(C756," ","")),Ref_Factory!$A:$B,2,FALSE),CLEAN(SUBSTITUTE(C756," ","")))</f>
        <v>CNJ2</v>
      </c>
      <c r="L756" s="82" t="str">
        <f t="shared" si="202"/>
        <v>JUNE-1-CNJ2</v>
      </c>
      <c r="M756" s="70">
        <f t="shared" si="203"/>
        <v>-9.936444697400848E-3</v>
      </c>
      <c r="N756" s="70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25">
      <c r="A757" t="s">
        <v>40</v>
      </c>
      <c r="B757" s="63">
        <v>1</v>
      </c>
      <c r="C757" t="s">
        <v>10</v>
      </c>
      <c r="D757" s="65">
        <v>102</v>
      </c>
      <c r="E757" s="65">
        <v>102</v>
      </c>
      <c r="F757" s="65">
        <v>102</v>
      </c>
      <c r="G757" s="13">
        <f t="shared" si="198"/>
        <v>0</v>
      </c>
      <c r="H757" s="13">
        <f t="shared" si="199"/>
        <v>0</v>
      </c>
      <c r="I757" s="70">
        <f t="shared" si="200"/>
        <v>0</v>
      </c>
      <c r="J757" s="70">
        <f t="shared" si="201"/>
        <v>0</v>
      </c>
      <c r="K757" s="82" t="str">
        <f>_xlfn.IFNA(VLOOKUP(CLEAN(SUBSTITUTE(C757," ","")),Ref_Factory!$A:$B,2,FALSE),CLEAN(SUBSTITUTE(C757," ","")))</f>
        <v>CNJ2</v>
      </c>
      <c r="L757" s="82" t="str">
        <f t="shared" si="202"/>
        <v>JUNE-1-CNJ2</v>
      </c>
      <c r="M757" s="70">
        <f t="shared" si="203"/>
        <v>-9.936444697400848E-3</v>
      </c>
      <c r="N757" s="70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25">
      <c r="A758" t="s">
        <v>40</v>
      </c>
      <c r="B758" s="63">
        <v>1</v>
      </c>
      <c r="C758" t="s">
        <v>15</v>
      </c>
      <c r="D758" s="65">
        <v>468</v>
      </c>
      <c r="E758" s="65">
        <v>468</v>
      </c>
      <c r="F758" s="65">
        <v>468</v>
      </c>
      <c r="G758" s="13">
        <f t="shared" si="198"/>
        <v>0</v>
      </c>
      <c r="H758" s="13">
        <f t="shared" si="199"/>
        <v>0</v>
      </c>
      <c r="I758" s="70">
        <f t="shared" si="200"/>
        <v>0</v>
      </c>
      <c r="J758" s="70">
        <f t="shared" si="201"/>
        <v>0</v>
      </c>
      <c r="K758" s="82" t="str">
        <f>_xlfn.IFNA(VLOOKUP(CLEAN(SUBSTITUTE(C758," ","")),Ref_Factory!$A:$B,2,FALSE),CLEAN(SUBSTITUTE(C758," ","")))</f>
        <v>CHAWAN</v>
      </c>
      <c r="L758" s="82" t="str">
        <f t="shared" si="202"/>
        <v>JUNE-1-CHAWAN</v>
      </c>
      <c r="M758" s="70">
        <f t="shared" si="203"/>
        <v>0</v>
      </c>
      <c r="N758" s="70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25">
      <c r="A759" t="s">
        <v>40</v>
      </c>
      <c r="B759" s="63">
        <v>1</v>
      </c>
      <c r="C759" t="s">
        <v>15</v>
      </c>
      <c r="D759" s="65">
        <v>468</v>
      </c>
      <c r="E759" s="65">
        <v>468</v>
      </c>
      <c r="F759" s="65">
        <v>468</v>
      </c>
      <c r="G759" s="13">
        <f t="shared" si="198"/>
        <v>0</v>
      </c>
      <c r="H759" s="13">
        <f t="shared" si="199"/>
        <v>0</v>
      </c>
      <c r="I759" s="70">
        <f t="shared" si="200"/>
        <v>0</v>
      </c>
      <c r="J759" s="70">
        <f t="shared" si="201"/>
        <v>0</v>
      </c>
      <c r="K759" s="82" t="str">
        <f>_xlfn.IFNA(VLOOKUP(CLEAN(SUBSTITUTE(C759," ","")),Ref_Factory!$A:$B,2,FALSE),CLEAN(SUBSTITUTE(C759," ","")))</f>
        <v>CHAWAN</v>
      </c>
      <c r="L759" s="82" t="str">
        <f t="shared" si="202"/>
        <v>JUNE-1-CHAWAN</v>
      </c>
      <c r="M759" s="70">
        <f t="shared" si="203"/>
        <v>0</v>
      </c>
      <c r="N759" s="70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25">
      <c r="A760" t="s">
        <v>40</v>
      </c>
      <c r="B760" s="63">
        <v>1</v>
      </c>
      <c r="C760" t="s">
        <v>15</v>
      </c>
      <c r="D760" s="65">
        <v>594</v>
      </c>
      <c r="E760" s="65">
        <v>594</v>
      </c>
      <c r="F760" s="65">
        <v>594</v>
      </c>
      <c r="G760" s="13">
        <f t="shared" si="198"/>
        <v>0</v>
      </c>
      <c r="H760" s="13">
        <f t="shared" si="199"/>
        <v>0</v>
      </c>
      <c r="I760" s="70">
        <f t="shared" si="200"/>
        <v>0</v>
      </c>
      <c r="J760" s="70">
        <f t="shared" si="201"/>
        <v>0</v>
      </c>
      <c r="K760" s="82" t="str">
        <f>_xlfn.IFNA(VLOOKUP(CLEAN(SUBSTITUTE(C760," ","")),Ref_Factory!$A:$B,2,FALSE),CLEAN(SUBSTITUTE(C760," ","")))</f>
        <v>CHAWAN</v>
      </c>
      <c r="L760" s="82" t="str">
        <f t="shared" si="202"/>
        <v>JUNE-1-CHAWAN</v>
      </c>
      <c r="M760" s="70">
        <f t="shared" si="203"/>
        <v>0</v>
      </c>
      <c r="N760" s="70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25">
      <c r="A761" t="s">
        <v>40</v>
      </c>
      <c r="B761" s="63">
        <v>1</v>
      </c>
      <c r="C761" t="s">
        <v>15</v>
      </c>
      <c r="D761" s="65">
        <v>594</v>
      </c>
      <c r="E761" s="65">
        <v>594</v>
      </c>
      <c r="F761" s="65">
        <v>594</v>
      </c>
      <c r="G761" s="13">
        <f t="shared" si="198"/>
        <v>0</v>
      </c>
      <c r="H761" s="13">
        <f t="shared" si="199"/>
        <v>0</v>
      </c>
      <c r="I761" s="70">
        <f t="shared" si="200"/>
        <v>0</v>
      </c>
      <c r="J761" s="70">
        <f t="shared" si="201"/>
        <v>0</v>
      </c>
      <c r="K761" s="82" t="str">
        <f>_xlfn.IFNA(VLOOKUP(CLEAN(SUBSTITUTE(C761," ","")),Ref_Factory!$A:$B,2,FALSE),CLEAN(SUBSTITUTE(C761," ","")))</f>
        <v>CHAWAN</v>
      </c>
      <c r="L761" s="82" t="str">
        <f t="shared" si="202"/>
        <v>JUNE-1-CHAWAN</v>
      </c>
      <c r="M761" s="70">
        <f t="shared" si="203"/>
        <v>0</v>
      </c>
      <c r="N761" s="70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25">
      <c r="A762" t="s">
        <v>40</v>
      </c>
      <c r="B762" s="63">
        <v>1</v>
      </c>
      <c r="C762" t="s">
        <v>15</v>
      </c>
      <c r="D762" s="65">
        <v>468</v>
      </c>
      <c r="E762" s="65">
        <v>468</v>
      </c>
      <c r="F762" s="65">
        <v>468</v>
      </c>
      <c r="G762" s="13">
        <f t="shared" si="198"/>
        <v>0</v>
      </c>
      <c r="H762" s="13">
        <f t="shared" si="199"/>
        <v>0</v>
      </c>
      <c r="I762" s="70">
        <f t="shared" si="200"/>
        <v>0</v>
      </c>
      <c r="J762" s="70">
        <f t="shared" si="201"/>
        <v>0</v>
      </c>
      <c r="K762" s="82" t="str">
        <f>_xlfn.IFNA(VLOOKUP(CLEAN(SUBSTITUTE(C762," ","")),Ref_Factory!$A:$B,2,FALSE),CLEAN(SUBSTITUTE(C762," ","")))</f>
        <v>CHAWAN</v>
      </c>
      <c r="L762" s="82" t="str">
        <f t="shared" si="202"/>
        <v>JUNE-1-CHAWAN</v>
      </c>
      <c r="M762" s="70">
        <f t="shared" si="203"/>
        <v>0</v>
      </c>
      <c r="N762" s="70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25">
      <c r="A763" t="s">
        <v>40</v>
      </c>
      <c r="B763" s="63">
        <v>1</v>
      </c>
      <c r="C763" t="s">
        <v>15</v>
      </c>
      <c r="D763" s="65">
        <v>594</v>
      </c>
      <c r="E763" s="65">
        <v>594</v>
      </c>
      <c r="F763" s="65">
        <v>594</v>
      </c>
      <c r="G763" s="13">
        <f t="shared" si="198"/>
        <v>0</v>
      </c>
      <c r="H763" s="13">
        <f t="shared" si="199"/>
        <v>0</v>
      </c>
      <c r="I763" s="70">
        <f t="shared" si="200"/>
        <v>0</v>
      </c>
      <c r="J763" s="70">
        <f t="shared" si="201"/>
        <v>0</v>
      </c>
      <c r="K763" s="82" t="str">
        <f>_xlfn.IFNA(VLOOKUP(CLEAN(SUBSTITUTE(C763," ","")),Ref_Factory!$A:$B,2,FALSE),CLEAN(SUBSTITUTE(C763," ","")))</f>
        <v>CHAWAN</v>
      </c>
      <c r="L763" s="82" t="str">
        <f t="shared" si="202"/>
        <v>JUNE-1-CHAWAN</v>
      </c>
      <c r="M763" s="70">
        <f t="shared" si="203"/>
        <v>0</v>
      </c>
      <c r="N763" s="70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25">
      <c r="A764" t="s">
        <v>40</v>
      </c>
      <c r="B764" s="63">
        <v>1</v>
      </c>
      <c r="C764" t="s">
        <v>15</v>
      </c>
      <c r="D764" s="65">
        <v>594</v>
      </c>
      <c r="E764" s="65">
        <v>594</v>
      </c>
      <c r="F764" s="65">
        <v>594</v>
      </c>
      <c r="G764" s="13">
        <f t="shared" si="198"/>
        <v>0</v>
      </c>
      <c r="H764" s="13">
        <f t="shared" si="199"/>
        <v>0</v>
      </c>
      <c r="I764" s="70">
        <f t="shared" si="200"/>
        <v>0</v>
      </c>
      <c r="J764" s="70">
        <f t="shared" si="201"/>
        <v>0</v>
      </c>
      <c r="K764" s="82" t="str">
        <f>_xlfn.IFNA(VLOOKUP(CLEAN(SUBSTITUTE(C764," ","")),Ref_Factory!$A:$B,2,FALSE),CLEAN(SUBSTITUTE(C764," ","")))</f>
        <v>CHAWAN</v>
      </c>
      <c r="L764" s="82" t="str">
        <f t="shared" si="202"/>
        <v>JUNE-1-CHAWAN</v>
      </c>
      <c r="M764" s="70">
        <f t="shared" si="203"/>
        <v>0</v>
      </c>
      <c r="N764" s="70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25">
      <c r="A765" t="s">
        <v>40</v>
      </c>
      <c r="B765" s="63">
        <v>1</v>
      </c>
      <c r="C765" t="s">
        <v>10</v>
      </c>
      <c r="D765" s="65">
        <v>3750</v>
      </c>
      <c r="E765" s="65">
        <v>3750</v>
      </c>
      <c r="F765" s="65">
        <v>3750</v>
      </c>
      <c r="G765" s="13">
        <f t="shared" si="198"/>
        <v>0</v>
      </c>
      <c r="H765" s="13">
        <f t="shared" si="199"/>
        <v>0</v>
      </c>
      <c r="I765" s="70">
        <f t="shared" si="200"/>
        <v>0</v>
      </c>
      <c r="J765" s="70">
        <f t="shared" si="201"/>
        <v>0</v>
      </c>
      <c r="K765" s="82" t="str">
        <f>_xlfn.IFNA(VLOOKUP(CLEAN(SUBSTITUTE(C765," ","")),Ref_Factory!$A:$B,2,FALSE),CLEAN(SUBSTITUTE(C765," ","")))</f>
        <v>CNJ2</v>
      </c>
      <c r="L765" s="82" t="str">
        <f t="shared" si="202"/>
        <v>JUNE-1-CNJ2</v>
      </c>
      <c r="M765" s="70">
        <f t="shared" si="203"/>
        <v>-9.936444697400848E-3</v>
      </c>
      <c r="N765" s="70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25">
      <c r="A766" t="s">
        <v>40</v>
      </c>
      <c r="B766" s="63">
        <v>1</v>
      </c>
      <c r="C766" t="s">
        <v>10</v>
      </c>
      <c r="D766" s="65">
        <v>3750</v>
      </c>
      <c r="E766" s="65">
        <v>3986</v>
      </c>
      <c r="F766" s="65">
        <v>3750</v>
      </c>
      <c r="G766" s="13">
        <f t="shared" si="198"/>
        <v>-236</v>
      </c>
      <c r="H766" s="13">
        <f t="shared" si="199"/>
        <v>0</v>
      </c>
      <c r="I766" s="70">
        <f t="shared" si="200"/>
        <v>0</v>
      </c>
      <c r="J766" s="70">
        <f t="shared" si="201"/>
        <v>-5.9207225288509746E-2</v>
      </c>
      <c r="K766" s="82" t="str">
        <f>_xlfn.IFNA(VLOOKUP(CLEAN(SUBSTITUTE(C766," ","")),Ref_Factory!$A:$B,2,FALSE),CLEAN(SUBSTITUTE(C766," ","")))</f>
        <v>CNJ2</v>
      </c>
      <c r="L766" s="82" t="str">
        <f t="shared" si="202"/>
        <v>JUNE-1-CNJ2</v>
      </c>
      <c r="M766" s="70">
        <f t="shared" si="203"/>
        <v>-9.936444697400848E-3</v>
      </c>
      <c r="N766" s="70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25">
      <c r="A767" t="s">
        <v>40</v>
      </c>
      <c r="B767" s="63">
        <v>1</v>
      </c>
      <c r="C767" t="s">
        <v>11</v>
      </c>
      <c r="D767" s="65">
        <v>1037</v>
      </c>
      <c r="E767" s="65">
        <v>1042</v>
      </c>
      <c r="F767" s="65">
        <v>1035</v>
      </c>
      <c r="G767" s="13">
        <f t="shared" si="198"/>
        <v>-7</v>
      </c>
      <c r="H767" s="13">
        <f t="shared" si="199"/>
        <v>-2</v>
      </c>
      <c r="I767" s="70">
        <f t="shared" si="200"/>
        <v>-1.9286403085824189E-3</v>
      </c>
      <c r="J767" s="70">
        <f t="shared" si="201"/>
        <v>-6.7178502879078339E-3</v>
      </c>
      <c r="K767" s="82" t="str">
        <f>_xlfn.IFNA(VLOOKUP(CLEAN(SUBSTITUTE(C767," ","")),Ref_Factory!$A:$B,2,FALSE),CLEAN(SUBSTITUTE(C767," ","")))</f>
        <v>GM1</v>
      </c>
      <c r="L767" s="82" t="str">
        <f t="shared" si="202"/>
        <v>JUNE-1-GM1</v>
      </c>
      <c r="M767" s="70">
        <f t="shared" si="203"/>
        <v>0.17941338872197221</v>
      </c>
      <c r="N767" s="70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25">
      <c r="A768" t="s">
        <v>40</v>
      </c>
      <c r="B768" s="63">
        <v>1</v>
      </c>
      <c r="C768" t="s">
        <v>11</v>
      </c>
      <c r="D768" s="65">
        <v>2002</v>
      </c>
      <c r="E768" s="65">
        <v>2006</v>
      </c>
      <c r="F768" s="65">
        <v>1994</v>
      </c>
      <c r="G768" s="13">
        <f t="shared" si="198"/>
        <v>-12</v>
      </c>
      <c r="H768" s="13">
        <f t="shared" si="199"/>
        <v>-8</v>
      </c>
      <c r="I768" s="70">
        <f t="shared" si="200"/>
        <v>-3.9960039960039717E-3</v>
      </c>
      <c r="J768" s="70">
        <f t="shared" si="201"/>
        <v>-5.9820538384844912E-3</v>
      </c>
      <c r="K768" s="82" t="str">
        <f>_xlfn.IFNA(VLOOKUP(CLEAN(SUBSTITUTE(C768," ","")),Ref_Factory!$A:$B,2,FALSE),CLEAN(SUBSTITUTE(C768," ","")))</f>
        <v>GM1</v>
      </c>
      <c r="L768" s="82" t="str">
        <f t="shared" si="202"/>
        <v>JUNE-1-GM1</v>
      </c>
      <c r="M768" s="70">
        <f t="shared" si="203"/>
        <v>0.17941338872197221</v>
      </c>
      <c r="N768" s="70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25">
      <c r="A769" t="s">
        <v>40</v>
      </c>
      <c r="B769" s="63">
        <v>1</v>
      </c>
      <c r="C769" t="s">
        <v>11</v>
      </c>
      <c r="D769" s="65">
        <v>1002</v>
      </c>
      <c r="E769" s="65">
        <v>1004</v>
      </c>
      <c r="F769" s="65">
        <v>1002</v>
      </c>
      <c r="G769" s="13">
        <f t="shared" si="198"/>
        <v>-2</v>
      </c>
      <c r="H769" s="13">
        <f t="shared" si="199"/>
        <v>0</v>
      </c>
      <c r="I769" s="70">
        <f t="shared" si="200"/>
        <v>0</v>
      </c>
      <c r="J769" s="70">
        <f t="shared" si="201"/>
        <v>-1.9920318725099584E-3</v>
      </c>
      <c r="K769" s="82" t="str">
        <f>_xlfn.IFNA(VLOOKUP(CLEAN(SUBSTITUTE(C769," ","")),Ref_Factory!$A:$B,2,FALSE),CLEAN(SUBSTITUTE(C769," ","")))</f>
        <v>GM1</v>
      </c>
      <c r="L769" s="82" t="str">
        <f t="shared" si="202"/>
        <v>JUNE-1-GM1</v>
      </c>
      <c r="M769" s="70">
        <f t="shared" si="203"/>
        <v>0.17941338872197221</v>
      </c>
      <c r="N769" s="70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25">
      <c r="A770" t="s">
        <v>40</v>
      </c>
      <c r="B770" s="63">
        <v>1</v>
      </c>
      <c r="C770" t="s">
        <v>68</v>
      </c>
      <c r="D770" s="65">
        <v>1000</v>
      </c>
      <c r="E770" s="65">
        <v>1007</v>
      </c>
      <c r="F770" s="65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70">
        <f t="shared" ref="I770:I833" si="218">F770/D770-1</f>
        <v>0</v>
      </c>
      <c r="J770" s="70">
        <f t="shared" ref="J770:J833" si="219">F770/E770-1</f>
        <v>-6.9513406156901381E-3</v>
      </c>
      <c r="K770" s="82" t="str">
        <f>_xlfn.IFNA(VLOOKUP(CLEAN(SUBSTITUTE(C770," ","")),Ref_Factory!$A:$B,2,FALSE),CLEAN(SUBSTITUTE(C770," ","")))</f>
        <v>CLN</v>
      </c>
      <c r="L770" s="82" t="str">
        <f t="shared" ref="L770:L833" si="220">A770&amp;"-"&amp;B770&amp;"-"&amp;K770</f>
        <v>JUNE-1-CLN</v>
      </c>
      <c r="M770" s="70">
        <f t="shared" ref="M770:M833" si="221">SUMIF($L$2:$L$1420,L770,$I$2:$I$1420)</f>
        <v>0</v>
      </c>
      <c r="N770" s="70">
        <f t="shared" ref="N770:N833" si="222">SUMIF($L$2:$L$1420,L770,$J$2:$J$1420)</f>
        <v>-6.9513406156901381E-3</v>
      </c>
      <c r="O770" s="13">
        <f t="shared" ref="O770:O833" si="223">SUMIF($A$2:$A$1420,A770,$D$2:$D$1420)</f>
        <v>952253</v>
      </c>
      <c r="P770" s="13">
        <f t="shared" ref="P770:P833" si="224">SUMIF($A$2:$A$1420,A770,$E$2:$E$1420)</f>
        <v>960304</v>
      </c>
      <c r="Q770" s="13">
        <f t="shared" ref="Q770:Q833" si="225">SUMIF($A$2:$A$1420,A770,$F$2:$F$1420)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SUMIF($T$2:$T$1420,T770,$D$2:$D$1420)</f>
        <v>1962</v>
      </c>
      <c r="V770">
        <f t="shared" ref="V770:V833" si="230">SUMIF($T$2:$T$1420,T770,$E$2:$E$1420)</f>
        <v>1969</v>
      </c>
      <c r="W770">
        <f t="shared" ref="W770:W833" si="231">SUMIF($T$2:$T$1420,T770,$F$2:$F$1420)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25">
      <c r="A771" t="s">
        <v>40</v>
      </c>
      <c r="B771" s="63">
        <v>1</v>
      </c>
      <c r="C771" t="s">
        <v>16</v>
      </c>
      <c r="D771" s="65">
        <v>450</v>
      </c>
      <c r="E771" s="65">
        <v>458</v>
      </c>
      <c r="F771" s="65">
        <v>458</v>
      </c>
      <c r="G771" s="13">
        <f t="shared" si="216"/>
        <v>0</v>
      </c>
      <c r="H771" s="13">
        <f t="shared" si="217"/>
        <v>8</v>
      </c>
      <c r="I771" s="70">
        <f t="shared" si="218"/>
        <v>1.777777777777767E-2</v>
      </c>
      <c r="J771" s="70">
        <f t="shared" si="219"/>
        <v>0</v>
      </c>
      <c r="K771" s="82" t="str">
        <f>_xlfn.IFNA(VLOOKUP(CLEAN(SUBSTITUTE(C771," ","")),Ref_Factory!$A:$B,2,FALSE),CLEAN(SUBSTITUTE(C771," ","")))</f>
        <v>ANUGERAH</v>
      </c>
      <c r="L771" s="82" t="str">
        <f t="shared" si="220"/>
        <v>JUNE-1-ANUGERAH</v>
      </c>
      <c r="M771" s="70">
        <f t="shared" si="221"/>
        <v>0.10444444444444434</v>
      </c>
      <c r="N771" s="70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25">
      <c r="A772" t="s">
        <v>40</v>
      </c>
      <c r="B772" s="63">
        <v>1</v>
      </c>
      <c r="C772" t="s">
        <v>16</v>
      </c>
      <c r="D772" s="65">
        <v>1050</v>
      </c>
      <c r="E772" s="65">
        <v>1090</v>
      </c>
      <c r="F772" s="65">
        <v>1050</v>
      </c>
      <c r="G772" s="13">
        <f t="shared" si="216"/>
        <v>-40</v>
      </c>
      <c r="H772" s="13">
        <f t="shared" si="217"/>
        <v>0</v>
      </c>
      <c r="I772" s="70">
        <f t="shared" si="218"/>
        <v>0</v>
      </c>
      <c r="J772" s="70">
        <f t="shared" si="219"/>
        <v>-3.669724770642202E-2</v>
      </c>
      <c r="K772" s="82" t="str">
        <f>_xlfn.IFNA(VLOOKUP(CLEAN(SUBSTITUTE(C772," ","")),Ref_Factory!$A:$B,2,FALSE),CLEAN(SUBSTITUTE(C772," ","")))</f>
        <v>ANUGERAH</v>
      </c>
      <c r="L772" s="82" t="str">
        <f t="shared" si="220"/>
        <v>JUNE-1-ANUGERAH</v>
      </c>
      <c r="M772" s="70">
        <f t="shared" si="221"/>
        <v>0.10444444444444434</v>
      </c>
      <c r="N772" s="70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25">
      <c r="A773" t="s">
        <v>40</v>
      </c>
      <c r="B773" s="63">
        <v>1</v>
      </c>
      <c r="C773" t="s">
        <v>16</v>
      </c>
      <c r="D773" s="65">
        <v>450</v>
      </c>
      <c r="E773" s="65">
        <v>510</v>
      </c>
      <c r="F773" s="65">
        <v>489</v>
      </c>
      <c r="G773" s="13">
        <f t="shared" si="216"/>
        <v>-21</v>
      </c>
      <c r="H773" s="13">
        <f t="shared" si="217"/>
        <v>39</v>
      </c>
      <c r="I773" s="70">
        <f t="shared" si="218"/>
        <v>8.666666666666667E-2</v>
      </c>
      <c r="J773" s="70">
        <f t="shared" si="219"/>
        <v>-4.1176470588235259E-2</v>
      </c>
      <c r="K773" s="82" t="str">
        <f>_xlfn.IFNA(VLOOKUP(CLEAN(SUBSTITUTE(C773," ","")),Ref_Factory!$A:$B,2,FALSE),CLEAN(SUBSTITUTE(C773," ","")))</f>
        <v>ANUGERAH</v>
      </c>
      <c r="L773" s="82" t="str">
        <f t="shared" si="220"/>
        <v>JUNE-1-ANUGERAH</v>
      </c>
      <c r="M773" s="70">
        <f t="shared" si="221"/>
        <v>0.10444444444444434</v>
      </c>
      <c r="N773" s="70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25">
      <c r="A774" t="s">
        <v>40</v>
      </c>
      <c r="B774" s="63">
        <v>1</v>
      </c>
      <c r="C774" t="s">
        <v>16</v>
      </c>
      <c r="D774" s="65">
        <v>1050</v>
      </c>
      <c r="E774" s="65">
        <v>1050</v>
      </c>
      <c r="F774" s="65">
        <v>1050</v>
      </c>
      <c r="G774" s="13">
        <f t="shared" si="216"/>
        <v>0</v>
      </c>
      <c r="H774" s="13">
        <f t="shared" si="217"/>
        <v>0</v>
      </c>
      <c r="I774" s="70">
        <f t="shared" si="218"/>
        <v>0</v>
      </c>
      <c r="J774" s="70">
        <f t="shared" si="219"/>
        <v>0</v>
      </c>
      <c r="K774" s="82" t="str">
        <f>_xlfn.IFNA(VLOOKUP(CLEAN(SUBSTITUTE(C774," ","")),Ref_Factory!$A:$B,2,FALSE),CLEAN(SUBSTITUTE(C774," ","")))</f>
        <v>ANUGERAH</v>
      </c>
      <c r="L774" s="82" t="str">
        <f t="shared" si="220"/>
        <v>JUNE-1-ANUGERAH</v>
      </c>
      <c r="M774" s="70">
        <f t="shared" si="221"/>
        <v>0.10444444444444434</v>
      </c>
      <c r="N774" s="70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25">
      <c r="A775" t="s">
        <v>40</v>
      </c>
      <c r="B775" s="63">
        <v>2</v>
      </c>
      <c r="C775" t="s">
        <v>10</v>
      </c>
      <c r="D775" s="65">
        <v>50</v>
      </c>
      <c r="E775" s="65">
        <v>50</v>
      </c>
      <c r="F775" s="65">
        <v>50</v>
      </c>
      <c r="G775" s="13">
        <f t="shared" si="216"/>
        <v>0</v>
      </c>
      <c r="H775" s="13">
        <f t="shared" si="217"/>
        <v>0</v>
      </c>
      <c r="I775" s="70">
        <f t="shared" si="218"/>
        <v>0</v>
      </c>
      <c r="J775" s="70">
        <f t="shared" si="219"/>
        <v>0</v>
      </c>
      <c r="K775" s="82" t="str">
        <f>_xlfn.IFNA(VLOOKUP(CLEAN(SUBSTITUTE(C775," ","")),Ref_Factory!$A:$B,2,FALSE),CLEAN(SUBSTITUTE(C775," ","")))</f>
        <v>CNJ2</v>
      </c>
      <c r="L775" s="82" t="str">
        <f t="shared" si="220"/>
        <v>JUNE-2-CNJ2</v>
      </c>
      <c r="M775" s="70">
        <f t="shared" si="221"/>
        <v>1.4366412213740465E-2</v>
      </c>
      <c r="N775" s="70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25">
      <c r="A776" t="s">
        <v>40</v>
      </c>
      <c r="B776" s="63">
        <v>2</v>
      </c>
      <c r="C776" t="s">
        <v>10</v>
      </c>
      <c r="D776" s="65">
        <v>16575</v>
      </c>
      <c r="E776" s="65">
        <v>16745</v>
      </c>
      <c r="F776" s="65">
        <v>16575</v>
      </c>
      <c r="G776" s="13">
        <f t="shared" si="216"/>
        <v>-170</v>
      </c>
      <c r="H776" s="13">
        <f t="shared" si="217"/>
        <v>0</v>
      </c>
      <c r="I776" s="70">
        <f t="shared" si="218"/>
        <v>0</v>
      </c>
      <c r="J776" s="70">
        <f t="shared" si="219"/>
        <v>-1.0152284263959421E-2</v>
      </c>
      <c r="K776" s="82" t="str">
        <f>_xlfn.IFNA(VLOOKUP(CLEAN(SUBSTITUTE(C776," ","")),Ref_Factory!$A:$B,2,FALSE),CLEAN(SUBSTITUTE(C776," ","")))</f>
        <v>CNJ2</v>
      </c>
      <c r="L776" s="82" t="str">
        <f t="shared" si="220"/>
        <v>JUNE-2-CNJ2</v>
      </c>
      <c r="M776" s="70">
        <f t="shared" si="221"/>
        <v>1.4366412213740465E-2</v>
      </c>
      <c r="N776" s="70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25">
      <c r="A777" t="s">
        <v>40</v>
      </c>
      <c r="B777" s="63">
        <v>2</v>
      </c>
      <c r="C777" t="s">
        <v>10</v>
      </c>
      <c r="D777" s="65">
        <v>5920</v>
      </c>
      <c r="E777" s="65">
        <v>6090</v>
      </c>
      <c r="F777" s="65">
        <v>5920</v>
      </c>
      <c r="G777" s="13">
        <f t="shared" si="216"/>
        <v>-170</v>
      </c>
      <c r="H777" s="13">
        <f t="shared" si="217"/>
        <v>0</v>
      </c>
      <c r="I777" s="70">
        <f t="shared" si="218"/>
        <v>0</v>
      </c>
      <c r="J777" s="70">
        <f t="shared" si="219"/>
        <v>-2.7914614121510639E-2</v>
      </c>
      <c r="K777" s="82" t="str">
        <f>_xlfn.IFNA(VLOOKUP(CLEAN(SUBSTITUTE(C777," ","")),Ref_Factory!$A:$B,2,FALSE),CLEAN(SUBSTITUTE(C777," ","")))</f>
        <v>CNJ2</v>
      </c>
      <c r="L777" s="82" t="str">
        <f t="shared" si="220"/>
        <v>JUNE-2-CNJ2</v>
      </c>
      <c r="M777" s="70">
        <f t="shared" si="221"/>
        <v>1.4366412213740465E-2</v>
      </c>
      <c r="N777" s="70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25">
      <c r="A778" t="s">
        <v>40</v>
      </c>
      <c r="B778" s="63">
        <v>2</v>
      </c>
      <c r="C778" t="s">
        <v>10</v>
      </c>
      <c r="D778" s="65">
        <v>4845</v>
      </c>
      <c r="E778" s="65">
        <v>4845</v>
      </c>
      <c r="F778" s="65">
        <v>4845</v>
      </c>
      <c r="G778" s="13">
        <f t="shared" si="216"/>
        <v>0</v>
      </c>
      <c r="H778" s="13">
        <f t="shared" si="217"/>
        <v>0</v>
      </c>
      <c r="I778" s="70">
        <f t="shared" si="218"/>
        <v>0</v>
      </c>
      <c r="J778" s="70">
        <f t="shared" si="219"/>
        <v>0</v>
      </c>
      <c r="K778" s="82" t="str">
        <f>_xlfn.IFNA(VLOOKUP(CLEAN(SUBSTITUTE(C778," ","")),Ref_Factory!$A:$B,2,FALSE),CLEAN(SUBSTITUTE(C778," ","")))</f>
        <v>CNJ2</v>
      </c>
      <c r="L778" s="82" t="str">
        <f t="shared" si="220"/>
        <v>JUNE-2-CNJ2</v>
      </c>
      <c r="M778" s="70">
        <f t="shared" si="221"/>
        <v>1.4366412213740465E-2</v>
      </c>
      <c r="N778" s="70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25">
      <c r="A779" t="s">
        <v>40</v>
      </c>
      <c r="B779" s="63">
        <v>2</v>
      </c>
      <c r="C779" t="s">
        <v>10</v>
      </c>
      <c r="D779" s="65">
        <v>1645</v>
      </c>
      <c r="E779" s="65">
        <v>1645</v>
      </c>
      <c r="F779" s="65">
        <v>1645</v>
      </c>
      <c r="G779" s="13">
        <f t="shared" si="216"/>
        <v>0</v>
      </c>
      <c r="H779" s="13">
        <f t="shared" si="217"/>
        <v>0</v>
      </c>
      <c r="I779" s="70">
        <f t="shared" si="218"/>
        <v>0</v>
      </c>
      <c r="J779" s="70">
        <f t="shared" si="219"/>
        <v>0</v>
      </c>
      <c r="K779" s="82" t="str">
        <f>_xlfn.IFNA(VLOOKUP(CLEAN(SUBSTITUTE(C779," ","")),Ref_Factory!$A:$B,2,FALSE),CLEAN(SUBSTITUTE(C779," ","")))</f>
        <v>CNJ2</v>
      </c>
      <c r="L779" s="82" t="str">
        <f t="shared" si="220"/>
        <v>JUNE-2-CNJ2</v>
      </c>
      <c r="M779" s="70">
        <f t="shared" si="221"/>
        <v>1.4366412213740465E-2</v>
      </c>
      <c r="N779" s="70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25">
      <c r="A780" t="s">
        <v>40</v>
      </c>
      <c r="B780" s="63">
        <v>2</v>
      </c>
      <c r="C780" t="s">
        <v>10</v>
      </c>
      <c r="D780" s="65">
        <v>465</v>
      </c>
      <c r="E780" s="65">
        <v>465</v>
      </c>
      <c r="F780" s="65">
        <v>465</v>
      </c>
      <c r="G780" s="13">
        <f t="shared" si="216"/>
        <v>0</v>
      </c>
      <c r="H780" s="13">
        <f t="shared" si="217"/>
        <v>0</v>
      </c>
      <c r="I780" s="70">
        <f t="shared" si="218"/>
        <v>0</v>
      </c>
      <c r="J780" s="70">
        <f t="shared" si="219"/>
        <v>0</v>
      </c>
      <c r="K780" s="82" t="str">
        <f>_xlfn.IFNA(VLOOKUP(CLEAN(SUBSTITUTE(C780," ","")),Ref_Factory!$A:$B,2,FALSE),CLEAN(SUBSTITUTE(C780," ","")))</f>
        <v>CNJ2</v>
      </c>
      <c r="L780" s="82" t="str">
        <f t="shared" si="220"/>
        <v>JUNE-2-CNJ2</v>
      </c>
      <c r="M780" s="70">
        <f t="shared" si="221"/>
        <v>1.4366412213740465E-2</v>
      </c>
      <c r="N780" s="70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25">
      <c r="A781" t="s">
        <v>40</v>
      </c>
      <c r="B781" s="63">
        <v>2</v>
      </c>
      <c r="C781" t="s">
        <v>10</v>
      </c>
      <c r="D781" s="65">
        <v>1310</v>
      </c>
      <c r="E781" s="65">
        <v>1310</v>
      </c>
      <c r="F781" s="65">
        <v>1300</v>
      </c>
      <c r="G781" s="13">
        <f t="shared" si="216"/>
        <v>-10</v>
      </c>
      <c r="H781" s="13">
        <f t="shared" si="217"/>
        <v>-10</v>
      </c>
      <c r="I781" s="70">
        <f t="shared" si="218"/>
        <v>-7.6335877862595547E-3</v>
      </c>
      <c r="J781" s="70">
        <f t="shared" si="219"/>
        <v>-7.6335877862595547E-3</v>
      </c>
      <c r="K781" s="82" t="str">
        <f>_xlfn.IFNA(VLOOKUP(CLEAN(SUBSTITUTE(C781," ","")),Ref_Factory!$A:$B,2,FALSE),CLEAN(SUBSTITUTE(C781," ","")))</f>
        <v>CNJ2</v>
      </c>
      <c r="L781" s="82" t="str">
        <f t="shared" si="220"/>
        <v>JUNE-2-CNJ2</v>
      </c>
      <c r="M781" s="70">
        <f t="shared" si="221"/>
        <v>1.4366412213740465E-2</v>
      </c>
      <c r="N781" s="70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25">
      <c r="A782" t="s">
        <v>40</v>
      </c>
      <c r="B782" s="63">
        <v>2</v>
      </c>
      <c r="C782" t="s">
        <v>10</v>
      </c>
      <c r="D782" s="65">
        <v>75</v>
      </c>
      <c r="E782" s="65">
        <v>75</v>
      </c>
      <c r="F782" s="65">
        <v>75</v>
      </c>
      <c r="G782" s="13">
        <f t="shared" si="216"/>
        <v>0</v>
      </c>
      <c r="H782" s="13">
        <f t="shared" si="217"/>
        <v>0</v>
      </c>
      <c r="I782" s="70">
        <f t="shared" si="218"/>
        <v>0</v>
      </c>
      <c r="J782" s="70">
        <f t="shared" si="219"/>
        <v>0</v>
      </c>
      <c r="K782" s="82" t="str">
        <f>_xlfn.IFNA(VLOOKUP(CLEAN(SUBSTITUTE(C782," ","")),Ref_Factory!$A:$B,2,FALSE),CLEAN(SUBSTITUTE(C782," ","")))</f>
        <v>CNJ2</v>
      </c>
      <c r="L782" s="82" t="str">
        <f t="shared" si="220"/>
        <v>JUNE-2-CNJ2</v>
      </c>
      <c r="M782" s="70">
        <f t="shared" si="221"/>
        <v>1.4366412213740465E-2</v>
      </c>
      <c r="N782" s="70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25">
      <c r="A783" t="s">
        <v>40</v>
      </c>
      <c r="B783" s="63">
        <v>2</v>
      </c>
      <c r="C783" t="s">
        <v>10</v>
      </c>
      <c r="D783" s="65">
        <v>4015</v>
      </c>
      <c r="E783" s="65">
        <v>4015</v>
      </c>
      <c r="F783" s="65">
        <v>4015</v>
      </c>
      <c r="G783" s="13">
        <f t="shared" si="216"/>
        <v>0</v>
      </c>
      <c r="H783" s="13">
        <f t="shared" si="217"/>
        <v>0</v>
      </c>
      <c r="I783" s="70">
        <f t="shared" si="218"/>
        <v>0</v>
      </c>
      <c r="J783" s="70">
        <f t="shared" si="219"/>
        <v>0</v>
      </c>
      <c r="K783" s="82" t="str">
        <f>_xlfn.IFNA(VLOOKUP(CLEAN(SUBSTITUTE(C783," ","")),Ref_Factory!$A:$B,2,FALSE),CLEAN(SUBSTITUTE(C783," ","")))</f>
        <v>CNJ2</v>
      </c>
      <c r="L783" s="82" t="str">
        <f t="shared" si="220"/>
        <v>JUNE-2-CNJ2</v>
      </c>
      <c r="M783" s="70">
        <f t="shared" si="221"/>
        <v>1.4366412213740465E-2</v>
      </c>
      <c r="N783" s="70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25">
      <c r="A784" t="s">
        <v>40</v>
      </c>
      <c r="B784" s="63">
        <v>2</v>
      </c>
      <c r="C784" t="s">
        <v>16</v>
      </c>
      <c r="D784" s="65">
        <v>4000</v>
      </c>
      <c r="E784" s="65">
        <v>4053</v>
      </c>
      <c r="F784" s="65">
        <v>3900</v>
      </c>
      <c r="G784" s="13">
        <f t="shared" si="216"/>
        <v>-153</v>
      </c>
      <c r="H784" s="13">
        <f t="shared" si="217"/>
        <v>-100</v>
      </c>
      <c r="I784" s="70">
        <f t="shared" si="218"/>
        <v>-2.5000000000000022E-2</v>
      </c>
      <c r="J784" s="70">
        <f t="shared" si="219"/>
        <v>-3.774981495188745E-2</v>
      </c>
      <c r="K784" s="82" t="str">
        <f>_xlfn.IFNA(VLOOKUP(CLEAN(SUBSTITUTE(C784," ","")),Ref_Factory!$A:$B,2,FALSE),CLEAN(SUBSTITUTE(C784," ","")))</f>
        <v>ANUGERAH</v>
      </c>
      <c r="L784" s="82" t="str">
        <f t="shared" si="220"/>
        <v>JUNE-2-ANUGERAH</v>
      </c>
      <c r="M784" s="70">
        <f t="shared" si="221"/>
        <v>-0.14124999999999999</v>
      </c>
      <c r="N784" s="70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25">
      <c r="A785" t="s">
        <v>40</v>
      </c>
      <c r="B785" s="63">
        <v>2</v>
      </c>
      <c r="C785" t="s">
        <v>11</v>
      </c>
      <c r="D785" s="65">
        <v>1000</v>
      </c>
      <c r="E785" s="65">
        <v>1005</v>
      </c>
      <c r="F785" s="65">
        <v>1000</v>
      </c>
      <c r="G785" s="13">
        <f t="shared" si="216"/>
        <v>-5</v>
      </c>
      <c r="H785" s="13">
        <f t="shared" si="217"/>
        <v>0</v>
      </c>
      <c r="I785" s="70">
        <f t="shared" si="218"/>
        <v>0</v>
      </c>
      <c r="J785" s="70">
        <f t="shared" si="219"/>
        <v>-4.9751243781094301E-3</v>
      </c>
      <c r="K785" s="82" t="str">
        <f>_xlfn.IFNA(VLOOKUP(CLEAN(SUBSTITUTE(C785," ","")),Ref_Factory!$A:$B,2,FALSE),CLEAN(SUBSTITUTE(C785," ","")))</f>
        <v>GM1</v>
      </c>
      <c r="L785" s="82" t="str">
        <f t="shared" si="220"/>
        <v>JUNE-2-GM1</v>
      </c>
      <c r="M785" s="70">
        <f t="shared" si="221"/>
        <v>0</v>
      </c>
      <c r="N785" s="70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25">
      <c r="A786" t="s">
        <v>40</v>
      </c>
      <c r="B786" s="63">
        <v>2</v>
      </c>
      <c r="C786" t="s">
        <v>11</v>
      </c>
      <c r="D786" s="65">
        <v>100</v>
      </c>
      <c r="E786" s="65">
        <v>102</v>
      </c>
      <c r="F786" s="65">
        <v>100</v>
      </c>
      <c r="G786" s="13">
        <f t="shared" si="216"/>
        <v>-2</v>
      </c>
      <c r="H786" s="13">
        <f t="shared" si="217"/>
        <v>0</v>
      </c>
      <c r="I786" s="70">
        <f t="shared" si="218"/>
        <v>0</v>
      </c>
      <c r="J786" s="70">
        <f t="shared" si="219"/>
        <v>-1.9607843137254943E-2</v>
      </c>
      <c r="K786" s="82" t="str">
        <f>_xlfn.IFNA(VLOOKUP(CLEAN(SUBSTITUTE(C786," ","")),Ref_Factory!$A:$B,2,FALSE),CLEAN(SUBSTITUTE(C786," ","")))</f>
        <v>GM1</v>
      </c>
      <c r="L786" s="82" t="str">
        <f t="shared" si="220"/>
        <v>JUNE-2-GM1</v>
      </c>
      <c r="M786" s="70">
        <f t="shared" si="221"/>
        <v>0</v>
      </c>
      <c r="N786" s="70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25">
      <c r="A787" t="s">
        <v>40</v>
      </c>
      <c r="B787" s="63">
        <v>2</v>
      </c>
      <c r="C787" t="s">
        <v>11</v>
      </c>
      <c r="D787" s="65">
        <v>600</v>
      </c>
      <c r="E787" s="65">
        <v>604</v>
      </c>
      <c r="F787" s="65">
        <v>600</v>
      </c>
      <c r="G787" s="13">
        <f t="shared" si="216"/>
        <v>-4</v>
      </c>
      <c r="H787" s="13">
        <f t="shared" si="217"/>
        <v>0</v>
      </c>
      <c r="I787" s="70">
        <f t="shared" si="218"/>
        <v>0</v>
      </c>
      <c r="J787" s="70">
        <f t="shared" si="219"/>
        <v>-6.6225165562914245E-3</v>
      </c>
      <c r="K787" s="82" t="str">
        <f>_xlfn.IFNA(VLOOKUP(CLEAN(SUBSTITUTE(C787," ","")),Ref_Factory!$A:$B,2,FALSE),CLEAN(SUBSTITUTE(C787," ","")))</f>
        <v>GM1</v>
      </c>
      <c r="L787" s="82" t="str">
        <f t="shared" si="220"/>
        <v>JUNE-2-GM1</v>
      </c>
      <c r="M787" s="70">
        <f t="shared" si="221"/>
        <v>0</v>
      </c>
      <c r="N787" s="70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25">
      <c r="A788" t="s">
        <v>40</v>
      </c>
      <c r="B788" s="63">
        <v>2</v>
      </c>
      <c r="C788" t="s">
        <v>10</v>
      </c>
      <c r="D788" s="65">
        <v>3000</v>
      </c>
      <c r="E788" s="65">
        <v>3070</v>
      </c>
      <c r="F788" s="65">
        <v>3066</v>
      </c>
      <c r="G788" s="13">
        <f t="shared" si="216"/>
        <v>-4</v>
      </c>
      <c r="H788" s="13">
        <f t="shared" si="217"/>
        <v>66</v>
      </c>
      <c r="I788" s="70">
        <f t="shared" si="218"/>
        <v>2.200000000000002E-2</v>
      </c>
      <c r="J788" s="70">
        <f t="shared" si="219"/>
        <v>-1.3029315960911836E-3</v>
      </c>
      <c r="K788" s="82" t="str">
        <f>_xlfn.IFNA(VLOOKUP(CLEAN(SUBSTITUTE(C788," ","")),Ref_Factory!$A:$B,2,FALSE),CLEAN(SUBSTITUTE(C788," ","")))</f>
        <v>CNJ2</v>
      </c>
      <c r="L788" s="82" t="str">
        <f t="shared" si="220"/>
        <v>JUNE-2-CNJ2</v>
      </c>
      <c r="M788" s="70">
        <f t="shared" si="221"/>
        <v>1.4366412213740465E-2</v>
      </c>
      <c r="N788" s="70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25">
      <c r="A789" t="s">
        <v>40</v>
      </c>
      <c r="B789" s="63">
        <v>2</v>
      </c>
      <c r="C789" t="s">
        <v>17</v>
      </c>
      <c r="D789" s="65">
        <v>5000</v>
      </c>
      <c r="E789" s="65">
        <v>5040</v>
      </c>
      <c r="F789" s="65">
        <v>5000</v>
      </c>
      <c r="G789" s="13">
        <f t="shared" si="216"/>
        <v>-40</v>
      </c>
      <c r="H789" s="13">
        <f t="shared" si="217"/>
        <v>0</v>
      </c>
      <c r="I789" s="70">
        <f t="shared" si="218"/>
        <v>0</v>
      </c>
      <c r="J789" s="70">
        <f t="shared" si="219"/>
        <v>-7.9365079365079083E-3</v>
      </c>
      <c r="K789" s="82" t="str">
        <f>_xlfn.IFNA(VLOOKUP(CLEAN(SUBSTITUTE(C789," ","")),Ref_Factory!$A:$B,2,FALSE),CLEAN(SUBSTITUTE(C789," ","")))</f>
        <v>CBA</v>
      </c>
      <c r="L789" s="82" t="str">
        <f t="shared" si="220"/>
        <v>JUNE-2-CBA</v>
      </c>
      <c r="M789" s="70">
        <f t="shared" si="221"/>
        <v>0</v>
      </c>
      <c r="N789" s="70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25">
      <c r="A790" t="s">
        <v>40</v>
      </c>
      <c r="B790" s="63">
        <v>2</v>
      </c>
      <c r="C790" t="s">
        <v>10</v>
      </c>
      <c r="D790" s="65">
        <v>3750</v>
      </c>
      <c r="E790" s="65">
        <v>3750</v>
      </c>
      <c r="F790" s="65">
        <v>3750</v>
      </c>
      <c r="G790" s="13">
        <f t="shared" si="216"/>
        <v>0</v>
      </c>
      <c r="H790" s="13">
        <f t="shared" si="217"/>
        <v>0</v>
      </c>
      <c r="I790" s="70">
        <f t="shared" si="218"/>
        <v>0</v>
      </c>
      <c r="J790" s="70">
        <f t="shared" si="219"/>
        <v>0</v>
      </c>
      <c r="K790" s="82" t="str">
        <f>_xlfn.IFNA(VLOOKUP(CLEAN(SUBSTITUTE(C790," ","")),Ref_Factory!$A:$B,2,FALSE),CLEAN(SUBSTITUTE(C790," ","")))</f>
        <v>CNJ2</v>
      </c>
      <c r="L790" s="82" t="str">
        <f t="shared" si="220"/>
        <v>JUNE-2-CNJ2</v>
      </c>
      <c r="M790" s="70">
        <f t="shared" si="221"/>
        <v>1.4366412213740465E-2</v>
      </c>
      <c r="N790" s="70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25">
      <c r="A791" t="s">
        <v>40</v>
      </c>
      <c r="B791" s="63">
        <v>2</v>
      </c>
      <c r="C791" t="s">
        <v>10</v>
      </c>
      <c r="D791" s="65">
        <v>3750</v>
      </c>
      <c r="E791" s="65">
        <v>3986</v>
      </c>
      <c r="F791" s="65">
        <v>3750</v>
      </c>
      <c r="G791" s="13">
        <f t="shared" si="216"/>
        <v>-236</v>
      </c>
      <c r="H791" s="13">
        <f t="shared" si="217"/>
        <v>0</v>
      </c>
      <c r="I791" s="70">
        <f t="shared" si="218"/>
        <v>0</v>
      </c>
      <c r="J791" s="70">
        <f t="shared" si="219"/>
        <v>-5.9207225288509746E-2</v>
      </c>
      <c r="K791" s="82" t="str">
        <f>_xlfn.IFNA(VLOOKUP(CLEAN(SUBSTITUTE(C791," ","")),Ref_Factory!$A:$B,2,FALSE),CLEAN(SUBSTITUTE(C791," ","")))</f>
        <v>CNJ2</v>
      </c>
      <c r="L791" s="82" t="str">
        <f t="shared" si="220"/>
        <v>JUNE-2-CNJ2</v>
      </c>
      <c r="M791" s="70">
        <f t="shared" si="221"/>
        <v>1.4366412213740465E-2</v>
      </c>
      <c r="N791" s="70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25">
      <c r="A792" t="s">
        <v>40</v>
      </c>
      <c r="B792" s="63">
        <v>3</v>
      </c>
      <c r="C792" t="s">
        <v>13</v>
      </c>
      <c r="D792" s="65">
        <v>36072</v>
      </c>
      <c r="E792" s="65">
        <v>36072</v>
      </c>
      <c r="F792" s="65">
        <v>35970</v>
      </c>
      <c r="G792" s="13">
        <f t="shared" si="216"/>
        <v>-102</v>
      </c>
      <c r="H792" s="13">
        <f t="shared" si="217"/>
        <v>-102</v>
      </c>
      <c r="I792" s="70">
        <f t="shared" si="218"/>
        <v>-2.8276779773785954E-3</v>
      </c>
      <c r="J792" s="70">
        <f t="shared" si="219"/>
        <v>-2.8276779773785954E-3</v>
      </c>
      <c r="K792" s="82" t="str">
        <f>_xlfn.IFNA(VLOOKUP(CLEAN(SUBSTITUTE(C792," ","")),Ref_Factory!$A:$B,2,FALSE),CLEAN(SUBSTITUTE(C792," ","")))</f>
        <v>KALIBENDA</v>
      </c>
      <c r="L792" s="82" t="str">
        <f t="shared" si="220"/>
        <v>JUNE-3-KALIBENDA</v>
      </c>
      <c r="M792" s="70">
        <f t="shared" si="221"/>
        <v>-1.3247496273414927E-2</v>
      </c>
      <c r="N792" s="70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25">
      <c r="A793" t="s">
        <v>40</v>
      </c>
      <c r="B793" s="63">
        <v>3</v>
      </c>
      <c r="C793" t="s">
        <v>13</v>
      </c>
      <c r="D793" s="65">
        <v>35208</v>
      </c>
      <c r="E793" s="65">
        <v>35208</v>
      </c>
      <c r="F793" s="65">
        <v>35073</v>
      </c>
      <c r="G793" s="13">
        <f t="shared" si="216"/>
        <v>-135</v>
      </c>
      <c r="H793" s="13">
        <f t="shared" si="217"/>
        <v>-135</v>
      </c>
      <c r="I793" s="70">
        <f t="shared" si="218"/>
        <v>-3.8343558282208923E-3</v>
      </c>
      <c r="J793" s="70">
        <f t="shared" si="219"/>
        <v>-3.8343558282208923E-3</v>
      </c>
      <c r="K793" s="82" t="str">
        <f>_xlfn.IFNA(VLOOKUP(CLEAN(SUBSTITUTE(C793," ","")),Ref_Factory!$A:$B,2,FALSE),CLEAN(SUBSTITUTE(C793," ","")))</f>
        <v>KALIBENDA</v>
      </c>
      <c r="L793" s="82" t="str">
        <f t="shared" si="220"/>
        <v>JUNE-3-KALIBENDA</v>
      </c>
      <c r="M793" s="70">
        <f t="shared" si="221"/>
        <v>-1.3247496273414927E-2</v>
      </c>
      <c r="N793" s="70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25">
      <c r="A794" t="s">
        <v>40</v>
      </c>
      <c r="B794" s="63">
        <v>3</v>
      </c>
      <c r="C794" t="s">
        <v>13</v>
      </c>
      <c r="D794" s="65">
        <v>1836</v>
      </c>
      <c r="E794" s="65">
        <v>1836</v>
      </c>
      <c r="F794" s="65">
        <v>1827</v>
      </c>
      <c r="G794" s="13">
        <f t="shared" si="216"/>
        <v>-9</v>
      </c>
      <c r="H794" s="13">
        <f t="shared" si="217"/>
        <v>-9</v>
      </c>
      <c r="I794" s="70">
        <f t="shared" si="218"/>
        <v>-4.9019607843137081E-3</v>
      </c>
      <c r="J794" s="70">
        <f t="shared" si="219"/>
        <v>-4.9019607843137081E-3</v>
      </c>
      <c r="K794" s="82" t="str">
        <f>_xlfn.IFNA(VLOOKUP(CLEAN(SUBSTITUTE(C794," ","")),Ref_Factory!$A:$B,2,FALSE),CLEAN(SUBSTITUTE(C794," ","")))</f>
        <v>KALIBENDA</v>
      </c>
      <c r="L794" s="82" t="str">
        <f t="shared" si="220"/>
        <v>JUNE-3-KALIBENDA</v>
      </c>
      <c r="M794" s="70">
        <f t="shared" si="221"/>
        <v>-1.3247496273414927E-2</v>
      </c>
      <c r="N794" s="70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25">
      <c r="A795" t="s">
        <v>40</v>
      </c>
      <c r="B795" s="63">
        <v>3</v>
      </c>
      <c r="C795" t="s">
        <v>13</v>
      </c>
      <c r="D795" s="65">
        <v>7128</v>
      </c>
      <c r="E795" s="65">
        <v>7128</v>
      </c>
      <c r="F795" s="65">
        <v>7116</v>
      </c>
      <c r="G795" s="13">
        <f t="shared" si="216"/>
        <v>-12</v>
      </c>
      <c r="H795" s="13">
        <f t="shared" si="217"/>
        <v>-12</v>
      </c>
      <c r="I795" s="70">
        <f t="shared" si="218"/>
        <v>-1.6835016835017313E-3</v>
      </c>
      <c r="J795" s="70">
        <f t="shared" si="219"/>
        <v>-1.6835016835017313E-3</v>
      </c>
      <c r="K795" s="82" t="str">
        <f>_xlfn.IFNA(VLOOKUP(CLEAN(SUBSTITUTE(C795," ","")),Ref_Factory!$A:$B,2,FALSE),CLEAN(SUBSTITUTE(C795," ","")))</f>
        <v>KALIBENDA</v>
      </c>
      <c r="L795" s="82" t="str">
        <f t="shared" si="220"/>
        <v>JUNE-3-KALIBENDA</v>
      </c>
      <c r="M795" s="70">
        <f t="shared" si="221"/>
        <v>-1.3247496273414927E-2</v>
      </c>
      <c r="N795" s="70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25">
      <c r="A796" t="s">
        <v>40</v>
      </c>
      <c r="B796" s="63">
        <v>3</v>
      </c>
      <c r="C796" t="s">
        <v>14</v>
      </c>
      <c r="D796" s="65">
        <v>19656</v>
      </c>
      <c r="E796" s="65">
        <v>19681</v>
      </c>
      <c r="F796" s="65">
        <v>19656</v>
      </c>
      <c r="G796" s="13">
        <f t="shared" si="216"/>
        <v>-25</v>
      </c>
      <c r="H796" s="13">
        <f t="shared" si="217"/>
        <v>0</v>
      </c>
      <c r="I796" s="70">
        <f t="shared" si="218"/>
        <v>0</v>
      </c>
      <c r="J796" s="70">
        <f t="shared" si="219"/>
        <v>-1.2702606574869213E-3</v>
      </c>
      <c r="K796" s="82" t="str">
        <f>_xlfn.IFNA(VLOOKUP(CLEAN(SUBSTITUTE(C796," ","")),Ref_Factory!$A:$B,2,FALSE),CLEAN(SUBSTITUTE(C796," ","")))</f>
        <v>GM2</v>
      </c>
      <c r="L796" s="82" t="str">
        <f t="shared" si="220"/>
        <v>JUNE-3-GM2</v>
      </c>
      <c r="M796" s="70">
        <f t="shared" si="221"/>
        <v>-1.0088321042702741E-2</v>
      </c>
      <c r="N796" s="70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25">
      <c r="A797" t="s">
        <v>40</v>
      </c>
      <c r="B797" s="63">
        <v>3</v>
      </c>
      <c r="C797" t="s">
        <v>14</v>
      </c>
      <c r="D797" s="65">
        <v>16956</v>
      </c>
      <c r="E797" s="65">
        <v>16966</v>
      </c>
      <c r="F797" s="65">
        <v>16956</v>
      </c>
      <c r="G797" s="13">
        <f t="shared" si="216"/>
        <v>-10</v>
      </c>
      <c r="H797" s="13">
        <f t="shared" si="217"/>
        <v>0</v>
      </c>
      <c r="I797" s="70">
        <f t="shared" si="218"/>
        <v>0</v>
      </c>
      <c r="J797" s="70">
        <f t="shared" si="219"/>
        <v>-5.894141223623528E-4</v>
      </c>
      <c r="K797" s="82" t="str">
        <f>_xlfn.IFNA(VLOOKUP(CLEAN(SUBSTITUTE(C797," ","")),Ref_Factory!$A:$B,2,FALSE),CLEAN(SUBSTITUTE(C797," ","")))</f>
        <v>GM2</v>
      </c>
      <c r="L797" s="82" t="str">
        <f t="shared" si="220"/>
        <v>JUNE-3-GM2</v>
      </c>
      <c r="M797" s="70">
        <f t="shared" si="221"/>
        <v>-1.0088321042702741E-2</v>
      </c>
      <c r="N797" s="70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25">
      <c r="A798" t="s">
        <v>40</v>
      </c>
      <c r="B798" s="63">
        <v>3</v>
      </c>
      <c r="C798" t="s">
        <v>14</v>
      </c>
      <c r="D798" s="65">
        <v>21276</v>
      </c>
      <c r="E798" s="65">
        <v>21294</v>
      </c>
      <c r="F798" s="65">
        <v>21276</v>
      </c>
      <c r="G798" s="13">
        <f t="shared" si="216"/>
        <v>-18</v>
      </c>
      <c r="H798" s="13">
        <f t="shared" si="217"/>
        <v>0</v>
      </c>
      <c r="I798" s="70">
        <f t="shared" si="218"/>
        <v>0</v>
      </c>
      <c r="J798" s="70">
        <f t="shared" si="219"/>
        <v>-8.4530853761621838E-4</v>
      </c>
      <c r="K798" s="82" t="str">
        <f>_xlfn.IFNA(VLOOKUP(CLEAN(SUBSTITUTE(C798," ","")),Ref_Factory!$A:$B,2,FALSE),CLEAN(SUBSTITUTE(C798," ","")))</f>
        <v>GM2</v>
      </c>
      <c r="L798" s="82" t="str">
        <f t="shared" si="220"/>
        <v>JUNE-3-GM2</v>
      </c>
      <c r="M798" s="70">
        <f t="shared" si="221"/>
        <v>-1.0088321042702741E-2</v>
      </c>
      <c r="N798" s="70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25">
      <c r="A799" t="s">
        <v>40</v>
      </c>
      <c r="B799" s="63">
        <v>3</v>
      </c>
      <c r="C799" t="s">
        <v>14</v>
      </c>
      <c r="D799" s="65">
        <v>1080</v>
      </c>
      <c r="E799" s="65">
        <v>1080</v>
      </c>
      <c r="F799" s="65">
        <v>1065</v>
      </c>
      <c r="G799" s="13">
        <f t="shared" si="216"/>
        <v>-15</v>
      </c>
      <c r="H799" s="13">
        <f t="shared" si="217"/>
        <v>-15</v>
      </c>
      <c r="I799" s="70">
        <f t="shared" si="218"/>
        <v>-1.388888888888884E-2</v>
      </c>
      <c r="J799" s="70">
        <f t="shared" si="219"/>
        <v>-1.388888888888884E-2</v>
      </c>
      <c r="K799" s="82" t="str">
        <f>_xlfn.IFNA(VLOOKUP(CLEAN(SUBSTITUTE(C799," ","")),Ref_Factory!$A:$B,2,FALSE),CLEAN(SUBSTITUTE(C799," ","")))</f>
        <v>GM2</v>
      </c>
      <c r="L799" s="82" t="str">
        <f t="shared" si="220"/>
        <v>JUNE-3-GM2</v>
      </c>
      <c r="M799" s="70">
        <f t="shared" si="221"/>
        <v>-1.0088321042702741E-2</v>
      </c>
      <c r="N799" s="70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25">
      <c r="A800" t="s">
        <v>40</v>
      </c>
      <c r="B800" s="63">
        <v>3</v>
      </c>
      <c r="C800" t="s">
        <v>14</v>
      </c>
      <c r="D800" s="65">
        <v>37044</v>
      </c>
      <c r="E800" s="65">
        <v>37831</v>
      </c>
      <c r="F800" s="65">
        <v>37209</v>
      </c>
      <c r="G800" s="13">
        <f t="shared" si="216"/>
        <v>-622</v>
      </c>
      <c r="H800" s="13">
        <f t="shared" si="217"/>
        <v>165</v>
      </c>
      <c r="I800" s="70">
        <f t="shared" si="218"/>
        <v>4.4541626174279259E-3</v>
      </c>
      <c r="J800" s="70">
        <f t="shared" si="219"/>
        <v>-1.6441542650207475E-2</v>
      </c>
      <c r="K800" s="82" t="str">
        <f>_xlfn.IFNA(VLOOKUP(CLEAN(SUBSTITUTE(C800," ","")),Ref_Factory!$A:$B,2,FALSE),CLEAN(SUBSTITUTE(C800," ","")))</f>
        <v>GM2</v>
      </c>
      <c r="L800" s="82" t="str">
        <f t="shared" si="220"/>
        <v>JUNE-3-GM2</v>
      </c>
      <c r="M800" s="70">
        <f t="shared" si="221"/>
        <v>-1.0088321042702741E-2</v>
      </c>
      <c r="N800" s="70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25">
      <c r="A801" t="s">
        <v>40</v>
      </c>
      <c r="B801" s="63">
        <v>3</v>
      </c>
      <c r="C801" t="s">
        <v>14</v>
      </c>
      <c r="D801" s="65">
        <v>1080</v>
      </c>
      <c r="E801" s="65">
        <v>1101</v>
      </c>
      <c r="F801" s="65">
        <v>1080</v>
      </c>
      <c r="G801" s="13">
        <f t="shared" si="216"/>
        <v>-21</v>
      </c>
      <c r="H801" s="13">
        <f t="shared" si="217"/>
        <v>0</v>
      </c>
      <c r="I801" s="70">
        <f t="shared" si="218"/>
        <v>0</v>
      </c>
      <c r="J801" s="70">
        <f t="shared" si="219"/>
        <v>-1.9073569482288777E-2</v>
      </c>
      <c r="K801" s="82" t="str">
        <f>_xlfn.IFNA(VLOOKUP(CLEAN(SUBSTITUTE(C801," ","")),Ref_Factory!$A:$B,2,FALSE),CLEAN(SUBSTITUTE(C801," ","")))</f>
        <v>GM2</v>
      </c>
      <c r="L801" s="82" t="str">
        <f t="shared" si="220"/>
        <v>JUNE-3-GM2</v>
      </c>
      <c r="M801" s="70">
        <f t="shared" si="221"/>
        <v>-1.0088321042702741E-2</v>
      </c>
      <c r="N801" s="70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25">
      <c r="A802" t="s">
        <v>40</v>
      </c>
      <c r="B802" s="63">
        <v>3</v>
      </c>
      <c r="C802" t="s">
        <v>14</v>
      </c>
      <c r="D802" s="65">
        <v>20952</v>
      </c>
      <c r="E802" s="65">
        <v>20975</v>
      </c>
      <c r="F802" s="65">
        <v>20952</v>
      </c>
      <c r="G802" s="13">
        <f t="shared" si="216"/>
        <v>-23</v>
      </c>
      <c r="H802" s="13">
        <f t="shared" si="217"/>
        <v>0</v>
      </c>
      <c r="I802" s="70">
        <f t="shared" si="218"/>
        <v>0</v>
      </c>
      <c r="J802" s="70">
        <f t="shared" si="219"/>
        <v>-1.0965435041716542E-3</v>
      </c>
      <c r="K802" s="82" t="str">
        <f>_xlfn.IFNA(VLOOKUP(CLEAN(SUBSTITUTE(C802," ","")),Ref_Factory!$A:$B,2,FALSE),CLEAN(SUBSTITUTE(C802," ","")))</f>
        <v>GM2</v>
      </c>
      <c r="L802" s="82" t="str">
        <f t="shared" si="220"/>
        <v>JUNE-3-GM2</v>
      </c>
      <c r="M802" s="70">
        <f t="shared" si="221"/>
        <v>-1.0088321042702741E-2</v>
      </c>
      <c r="N802" s="70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25">
      <c r="A803" t="s">
        <v>40</v>
      </c>
      <c r="B803" s="63">
        <v>3</v>
      </c>
      <c r="C803" t="s">
        <v>14</v>
      </c>
      <c r="D803" s="65">
        <v>1080</v>
      </c>
      <c r="E803" s="65">
        <v>1081</v>
      </c>
      <c r="F803" s="65">
        <v>1080</v>
      </c>
      <c r="G803" s="13">
        <f t="shared" si="216"/>
        <v>-1</v>
      </c>
      <c r="H803" s="13">
        <f t="shared" si="217"/>
        <v>0</v>
      </c>
      <c r="I803" s="70">
        <f t="shared" si="218"/>
        <v>0</v>
      </c>
      <c r="J803" s="70">
        <f t="shared" si="219"/>
        <v>-9.2506938020353591E-4</v>
      </c>
      <c r="K803" s="82" t="str">
        <f>_xlfn.IFNA(VLOOKUP(CLEAN(SUBSTITUTE(C803," ","")),Ref_Factory!$A:$B,2,FALSE),CLEAN(SUBSTITUTE(C803," ","")))</f>
        <v>GM2</v>
      </c>
      <c r="L803" s="82" t="str">
        <f t="shared" si="220"/>
        <v>JUNE-3-GM2</v>
      </c>
      <c r="M803" s="70">
        <f t="shared" si="221"/>
        <v>-1.0088321042702741E-2</v>
      </c>
      <c r="N803" s="70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25">
      <c r="A804" t="s">
        <v>40</v>
      </c>
      <c r="B804" s="63">
        <v>3</v>
      </c>
      <c r="C804" t="s">
        <v>14</v>
      </c>
      <c r="D804" s="65">
        <v>23544</v>
      </c>
      <c r="E804" s="65">
        <v>23574</v>
      </c>
      <c r="F804" s="65">
        <v>23544</v>
      </c>
      <c r="G804" s="13">
        <f t="shared" si="216"/>
        <v>-30</v>
      </c>
      <c r="H804" s="13">
        <f t="shared" si="217"/>
        <v>0</v>
      </c>
      <c r="I804" s="70">
        <f t="shared" si="218"/>
        <v>0</v>
      </c>
      <c r="J804" s="70">
        <f t="shared" si="219"/>
        <v>-1.2725884448969715E-3</v>
      </c>
      <c r="K804" s="82" t="str">
        <f>_xlfn.IFNA(VLOOKUP(CLEAN(SUBSTITUTE(C804," ","")),Ref_Factory!$A:$B,2,FALSE),CLEAN(SUBSTITUTE(C804," ","")))</f>
        <v>GM2</v>
      </c>
      <c r="L804" s="82" t="str">
        <f t="shared" si="220"/>
        <v>JUNE-3-GM2</v>
      </c>
      <c r="M804" s="70">
        <f t="shared" si="221"/>
        <v>-1.0088321042702741E-2</v>
      </c>
      <c r="N804" s="70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25">
      <c r="A805" t="s">
        <v>40</v>
      </c>
      <c r="B805" s="63">
        <v>3</v>
      </c>
      <c r="C805" t="s">
        <v>14</v>
      </c>
      <c r="D805" s="65">
        <v>18360</v>
      </c>
      <c r="E805" s="65">
        <v>18368</v>
      </c>
      <c r="F805" s="65">
        <v>18348</v>
      </c>
      <c r="G805" s="13">
        <f t="shared" si="216"/>
        <v>-20</v>
      </c>
      <c r="H805" s="13">
        <f t="shared" si="217"/>
        <v>-12</v>
      </c>
      <c r="I805" s="70">
        <f t="shared" si="218"/>
        <v>-6.5359477124182774E-4</v>
      </c>
      <c r="J805" s="70">
        <f t="shared" si="219"/>
        <v>-1.0888501742160051E-3</v>
      </c>
      <c r="K805" s="82" t="str">
        <f>_xlfn.IFNA(VLOOKUP(CLEAN(SUBSTITUTE(C805," ","")),Ref_Factory!$A:$B,2,FALSE),CLEAN(SUBSTITUTE(C805," ","")))</f>
        <v>GM2</v>
      </c>
      <c r="L805" s="82" t="str">
        <f t="shared" si="220"/>
        <v>JUNE-3-GM2</v>
      </c>
      <c r="M805" s="70">
        <f t="shared" si="221"/>
        <v>-1.0088321042702741E-2</v>
      </c>
      <c r="N805" s="70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25">
      <c r="A806" t="s">
        <v>40</v>
      </c>
      <c r="B806" s="63">
        <v>3</v>
      </c>
      <c r="C806" t="s">
        <v>14</v>
      </c>
      <c r="D806" s="65">
        <v>1080</v>
      </c>
      <c r="E806" s="65">
        <v>1080</v>
      </c>
      <c r="F806" s="65">
        <v>1080</v>
      </c>
      <c r="G806" s="13">
        <f t="shared" si="216"/>
        <v>0</v>
      </c>
      <c r="H806" s="13">
        <f t="shared" si="217"/>
        <v>0</v>
      </c>
      <c r="I806" s="70">
        <f t="shared" si="218"/>
        <v>0</v>
      </c>
      <c r="J806" s="70">
        <f t="shared" si="219"/>
        <v>0</v>
      </c>
      <c r="K806" s="82" t="str">
        <f>_xlfn.IFNA(VLOOKUP(CLEAN(SUBSTITUTE(C806," ","")),Ref_Factory!$A:$B,2,FALSE),CLEAN(SUBSTITUTE(C806," ","")))</f>
        <v>GM2</v>
      </c>
      <c r="L806" s="82" t="str">
        <f t="shared" si="220"/>
        <v>JUNE-3-GM2</v>
      </c>
      <c r="M806" s="70">
        <f t="shared" si="221"/>
        <v>-1.0088321042702741E-2</v>
      </c>
      <c r="N806" s="70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25">
      <c r="A807" t="s">
        <v>40</v>
      </c>
      <c r="B807" s="63">
        <v>3</v>
      </c>
      <c r="C807" t="s">
        <v>10</v>
      </c>
      <c r="D807" s="65">
        <v>38075</v>
      </c>
      <c r="E807" s="65">
        <v>37325</v>
      </c>
      <c r="F807" s="65">
        <v>37325</v>
      </c>
      <c r="G807" s="13">
        <f t="shared" si="216"/>
        <v>0</v>
      </c>
      <c r="H807" s="13">
        <f t="shared" si="217"/>
        <v>-750</v>
      </c>
      <c r="I807" s="70">
        <f t="shared" si="218"/>
        <v>-1.9697964543663793E-2</v>
      </c>
      <c r="J807" s="70">
        <f t="shared" si="219"/>
        <v>0</v>
      </c>
      <c r="K807" s="82" t="str">
        <f>_xlfn.IFNA(VLOOKUP(CLEAN(SUBSTITUTE(C807," ","")),Ref_Factory!$A:$B,2,FALSE),CLEAN(SUBSTITUTE(C807," ","")))</f>
        <v>CNJ2</v>
      </c>
      <c r="L807" s="82" t="str">
        <f t="shared" si="220"/>
        <v>JUNE-3-CNJ2</v>
      </c>
      <c r="M807" s="70">
        <f t="shared" si="221"/>
        <v>-1.9697964543663793E-2</v>
      </c>
      <c r="N807" s="70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25">
      <c r="A808" t="s">
        <v>40</v>
      </c>
      <c r="B808" s="63">
        <v>3</v>
      </c>
      <c r="C808" t="s">
        <v>11</v>
      </c>
      <c r="D808" s="65">
        <v>216</v>
      </c>
      <c r="E808" s="65">
        <v>218</v>
      </c>
      <c r="F808" s="65">
        <v>216</v>
      </c>
      <c r="G808" s="13">
        <f t="shared" si="216"/>
        <v>-2</v>
      </c>
      <c r="H808" s="13">
        <f t="shared" si="217"/>
        <v>0</v>
      </c>
      <c r="I808" s="70">
        <f t="shared" si="218"/>
        <v>0</v>
      </c>
      <c r="J808" s="70">
        <f t="shared" si="219"/>
        <v>-9.1743119266054496E-3</v>
      </c>
      <c r="K808" s="82" t="str">
        <f>_xlfn.IFNA(VLOOKUP(CLEAN(SUBSTITUTE(C808," ","")),Ref_Factory!$A:$B,2,FALSE),CLEAN(SUBSTITUTE(C808," ","")))</f>
        <v>GM1</v>
      </c>
      <c r="L808" s="82" t="str">
        <f t="shared" si="220"/>
        <v>JUNE-3-GM1</v>
      </c>
      <c r="M808" s="70">
        <f t="shared" si="221"/>
        <v>0</v>
      </c>
      <c r="N808" s="70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25">
      <c r="A809" t="s">
        <v>40</v>
      </c>
      <c r="B809" s="63">
        <v>3</v>
      </c>
      <c r="C809" t="s">
        <v>11</v>
      </c>
      <c r="D809" s="65">
        <v>1130</v>
      </c>
      <c r="E809" s="65">
        <v>1136</v>
      </c>
      <c r="F809" s="65">
        <v>1130</v>
      </c>
      <c r="G809" s="13">
        <f t="shared" si="216"/>
        <v>-6</v>
      </c>
      <c r="H809" s="13">
        <f t="shared" si="217"/>
        <v>0</v>
      </c>
      <c r="I809" s="70">
        <f t="shared" si="218"/>
        <v>0</v>
      </c>
      <c r="J809" s="70">
        <f t="shared" si="219"/>
        <v>-5.2816901408451189E-3</v>
      </c>
      <c r="K809" s="82" t="str">
        <f>_xlfn.IFNA(VLOOKUP(CLEAN(SUBSTITUTE(C809," ","")),Ref_Factory!$A:$B,2,FALSE),CLEAN(SUBSTITUTE(C809," ","")))</f>
        <v>GM1</v>
      </c>
      <c r="L809" s="82" t="str">
        <f t="shared" si="220"/>
        <v>JUNE-3-GM1</v>
      </c>
      <c r="M809" s="70">
        <f t="shared" si="221"/>
        <v>0</v>
      </c>
      <c r="N809" s="70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25">
      <c r="A810" t="s">
        <v>40</v>
      </c>
      <c r="B810" s="63">
        <v>3</v>
      </c>
      <c r="C810" t="s">
        <v>11</v>
      </c>
      <c r="D810" s="65">
        <v>100</v>
      </c>
      <c r="E810" s="65">
        <v>101</v>
      </c>
      <c r="F810" s="65">
        <v>100</v>
      </c>
      <c r="G810" s="13">
        <f t="shared" si="216"/>
        <v>-1</v>
      </c>
      <c r="H810" s="13">
        <f t="shared" si="217"/>
        <v>0</v>
      </c>
      <c r="I810" s="70">
        <f t="shared" si="218"/>
        <v>0</v>
      </c>
      <c r="J810" s="70">
        <f t="shared" si="219"/>
        <v>-9.9009900990099098E-3</v>
      </c>
      <c r="K810" s="82" t="str">
        <f>_xlfn.IFNA(VLOOKUP(CLEAN(SUBSTITUTE(C810," ","")),Ref_Factory!$A:$B,2,FALSE),CLEAN(SUBSTITUTE(C810," ","")))</f>
        <v>GM1</v>
      </c>
      <c r="L810" s="82" t="str">
        <f t="shared" si="220"/>
        <v>JUNE-3-GM1</v>
      </c>
      <c r="M810" s="70">
        <f t="shared" si="221"/>
        <v>0</v>
      </c>
      <c r="N810" s="70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25">
      <c r="A811" t="s">
        <v>40</v>
      </c>
      <c r="B811" s="63">
        <v>3</v>
      </c>
      <c r="C811" t="s">
        <v>68</v>
      </c>
      <c r="D811" s="65">
        <v>48</v>
      </c>
      <c r="E811" s="65">
        <v>48</v>
      </c>
      <c r="F811" s="65">
        <v>47</v>
      </c>
      <c r="G811" s="13">
        <f t="shared" si="216"/>
        <v>-1</v>
      </c>
      <c r="H811" s="13">
        <f t="shared" si="217"/>
        <v>-1</v>
      </c>
      <c r="I811" s="70">
        <f t="shared" si="218"/>
        <v>-2.083333333333337E-2</v>
      </c>
      <c r="J811" s="70">
        <f t="shared" si="219"/>
        <v>-2.083333333333337E-2</v>
      </c>
      <c r="K811" s="82" t="str">
        <f>_xlfn.IFNA(VLOOKUP(CLEAN(SUBSTITUTE(C811," ","")),Ref_Factory!$A:$B,2,FALSE),CLEAN(SUBSTITUTE(C811," ","")))</f>
        <v>CLN</v>
      </c>
      <c r="L811" s="82" t="str">
        <f t="shared" si="220"/>
        <v>JUNE-3-CLN</v>
      </c>
      <c r="M811" s="70">
        <f t="shared" si="221"/>
        <v>-2.083333333333337E-2</v>
      </c>
      <c r="N811" s="70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25">
      <c r="A812" t="s">
        <v>40</v>
      </c>
      <c r="B812" s="63">
        <v>4</v>
      </c>
      <c r="C812" t="s">
        <v>11</v>
      </c>
      <c r="D812" s="66">
        <v>260</v>
      </c>
      <c r="E812" s="66">
        <v>264</v>
      </c>
      <c r="F812" s="66">
        <v>260</v>
      </c>
      <c r="G812" s="13">
        <f t="shared" si="216"/>
        <v>-4</v>
      </c>
      <c r="H812" s="13">
        <f t="shared" si="217"/>
        <v>0</v>
      </c>
      <c r="I812" s="70">
        <f t="shared" si="218"/>
        <v>0</v>
      </c>
      <c r="J812" s="70">
        <f t="shared" si="219"/>
        <v>-1.5151515151515138E-2</v>
      </c>
      <c r="K812" s="82" t="str">
        <f>_xlfn.IFNA(VLOOKUP(CLEAN(SUBSTITUTE(C812," ","")),Ref_Factory!$A:$B,2,FALSE),CLEAN(SUBSTITUTE(C812," ","")))</f>
        <v>GM1</v>
      </c>
      <c r="L812" s="82" t="str">
        <f t="shared" si="220"/>
        <v>JUNE-4-GM1</v>
      </c>
      <c r="M812" s="70">
        <f t="shared" si="221"/>
        <v>0</v>
      </c>
      <c r="N812" s="70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25">
      <c r="A813" t="s">
        <v>40</v>
      </c>
      <c r="B813" s="63">
        <v>4</v>
      </c>
      <c r="C813" t="s">
        <v>16</v>
      </c>
      <c r="D813" s="66">
        <v>15000</v>
      </c>
      <c r="E813" s="66">
        <v>15004</v>
      </c>
      <c r="F813" s="66">
        <v>14776</v>
      </c>
      <c r="G813" s="13">
        <f t="shared" si="216"/>
        <v>-228</v>
      </c>
      <c r="H813" s="13">
        <f t="shared" si="217"/>
        <v>-224</v>
      </c>
      <c r="I813" s="70">
        <f t="shared" si="218"/>
        <v>-1.4933333333333354E-2</v>
      </c>
      <c r="J813" s="70">
        <f t="shared" si="219"/>
        <v>-1.5195947747267402E-2</v>
      </c>
      <c r="K813" s="82" t="str">
        <f>_xlfn.IFNA(VLOOKUP(CLEAN(SUBSTITUTE(C813," ","")),Ref_Factory!$A:$B,2,FALSE),CLEAN(SUBSTITUTE(C813," ","")))</f>
        <v>ANUGERAH</v>
      </c>
      <c r="L813" s="82" t="str">
        <f t="shared" si="220"/>
        <v>JUNE-4-ANUGERAH</v>
      </c>
      <c r="M813" s="70">
        <f t="shared" si="221"/>
        <v>-0.10423571428571432</v>
      </c>
      <c r="N813" s="70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25">
      <c r="A814" t="s">
        <v>40</v>
      </c>
      <c r="B814" s="63">
        <v>4</v>
      </c>
      <c r="C814" t="s">
        <v>16</v>
      </c>
      <c r="D814" s="66">
        <v>15000</v>
      </c>
      <c r="E814" s="66">
        <v>15000</v>
      </c>
      <c r="F814" s="66">
        <v>14625</v>
      </c>
      <c r="G814" s="13">
        <f t="shared" si="216"/>
        <v>-375</v>
      </c>
      <c r="H814" s="13">
        <f t="shared" si="217"/>
        <v>-375</v>
      </c>
      <c r="I814" s="70">
        <f t="shared" si="218"/>
        <v>-2.5000000000000022E-2</v>
      </c>
      <c r="J814" s="70">
        <f t="shared" si="219"/>
        <v>-2.5000000000000022E-2</v>
      </c>
      <c r="K814" s="82" t="str">
        <f>_xlfn.IFNA(VLOOKUP(CLEAN(SUBSTITUTE(C814," ","")),Ref_Factory!$A:$B,2,FALSE),CLEAN(SUBSTITUTE(C814," ","")))</f>
        <v>ANUGERAH</v>
      </c>
      <c r="L814" s="82" t="str">
        <f t="shared" si="220"/>
        <v>JUNE-4-ANUGERAH</v>
      </c>
      <c r="M814" s="70">
        <f t="shared" si="221"/>
        <v>-0.10423571428571432</v>
      </c>
      <c r="N814" s="70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25">
      <c r="A815" t="s">
        <v>40</v>
      </c>
      <c r="B815" s="63">
        <v>4</v>
      </c>
      <c r="C815" t="s">
        <v>16</v>
      </c>
      <c r="D815" s="66">
        <v>20000</v>
      </c>
      <c r="E815" s="66">
        <v>20025</v>
      </c>
      <c r="F815" s="66">
        <v>19711</v>
      </c>
      <c r="G815" s="13">
        <f t="shared" si="216"/>
        <v>-314</v>
      </c>
      <c r="H815" s="13">
        <f t="shared" si="217"/>
        <v>-289</v>
      </c>
      <c r="I815" s="70">
        <f t="shared" si="218"/>
        <v>-1.4449999999999963E-2</v>
      </c>
      <c r="J815" s="70">
        <f t="shared" si="219"/>
        <v>-1.5680399500624165E-2</v>
      </c>
      <c r="K815" s="82" t="str">
        <f>_xlfn.IFNA(VLOOKUP(CLEAN(SUBSTITUTE(C815," ","")),Ref_Factory!$A:$B,2,FALSE),CLEAN(SUBSTITUTE(C815," ","")))</f>
        <v>ANUGERAH</v>
      </c>
      <c r="L815" s="82" t="str">
        <f t="shared" si="220"/>
        <v>JUNE-4-ANUGERAH</v>
      </c>
      <c r="M815" s="70">
        <f t="shared" si="221"/>
        <v>-0.10423571428571432</v>
      </c>
      <c r="N815" s="70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25">
      <c r="A816" t="s">
        <v>40</v>
      </c>
      <c r="B816" s="63">
        <v>4</v>
      </c>
      <c r="C816" t="s">
        <v>16</v>
      </c>
      <c r="D816" s="66">
        <v>10000</v>
      </c>
      <c r="E816" s="66">
        <v>10002</v>
      </c>
      <c r="F816" s="66">
        <v>9671</v>
      </c>
      <c r="G816" s="13">
        <f t="shared" si="216"/>
        <v>-331</v>
      </c>
      <c r="H816" s="13">
        <f t="shared" si="217"/>
        <v>-329</v>
      </c>
      <c r="I816" s="70">
        <f t="shared" si="218"/>
        <v>-3.290000000000004E-2</v>
      </c>
      <c r="J816" s="70">
        <f t="shared" si="219"/>
        <v>-3.3093381323735294E-2</v>
      </c>
      <c r="K816" s="82" t="str">
        <f>_xlfn.IFNA(VLOOKUP(CLEAN(SUBSTITUTE(C816," ","")),Ref_Factory!$A:$B,2,FALSE),CLEAN(SUBSTITUTE(C816," ","")))</f>
        <v>ANUGERAH</v>
      </c>
      <c r="L816" s="82" t="str">
        <f t="shared" si="220"/>
        <v>JUNE-4-ANUGERAH</v>
      </c>
      <c r="M816" s="70">
        <f t="shared" si="221"/>
        <v>-0.10423571428571432</v>
      </c>
      <c r="N816" s="70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25">
      <c r="A817" t="s">
        <v>40</v>
      </c>
      <c r="B817" s="63">
        <v>4</v>
      </c>
      <c r="C817" t="s">
        <v>16</v>
      </c>
      <c r="D817" s="65">
        <v>21000</v>
      </c>
      <c r="E817" s="65">
        <v>21004</v>
      </c>
      <c r="F817" s="65">
        <v>20644</v>
      </c>
      <c r="G817" s="13">
        <f t="shared" si="216"/>
        <v>-360</v>
      </c>
      <c r="H817" s="13">
        <f t="shared" si="217"/>
        <v>-356</v>
      </c>
      <c r="I817" s="70">
        <f t="shared" si="218"/>
        <v>-1.6952380952380941E-2</v>
      </c>
      <c r="J817" s="70">
        <f t="shared" si="219"/>
        <v>-1.7139592458579322E-2</v>
      </c>
      <c r="K817" s="82" t="str">
        <f>_xlfn.IFNA(VLOOKUP(CLEAN(SUBSTITUTE(C817," ","")),Ref_Factory!$A:$B,2,FALSE),CLEAN(SUBSTITUTE(C817," ","")))</f>
        <v>ANUGERAH</v>
      </c>
      <c r="L817" s="82" t="str">
        <f t="shared" si="220"/>
        <v>JUNE-4-ANUGERAH</v>
      </c>
      <c r="M817" s="70">
        <f t="shared" si="221"/>
        <v>-0.10423571428571432</v>
      </c>
      <c r="N817" s="70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25">
      <c r="A818" t="s">
        <v>40</v>
      </c>
      <c r="B818" s="63">
        <v>4</v>
      </c>
      <c r="C818" t="s">
        <v>10</v>
      </c>
      <c r="D818" s="65">
        <v>265</v>
      </c>
      <c r="E818" s="65">
        <v>265</v>
      </c>
      <c r="F818" s="65">
        <v>265</v>
      </c>
      <c r="G818" s="13">
        <f t="shared" si="216"/>
        <v>0</v>
      </c>
      <c r="H818" s="13">
        <f t="shared" si="217"/>
        <v>0</v>
      </c>
      <c r="I818" s="70">
        <f t="shared" si="218"/>
        <v>0</v>
      </c>
      <c r="J818" s="70">
        <f t="shared" si="219"/>
        <v>0</v>
      </c>
      <c r="K818" s="82" t="str">
        <f>_xlfn.IFNA(VLOOKUP(CLEAN(SUBSTITUTE(C818," ","")),Ref_Factory!$A:$B,2,FALSE),CLEAN(SUBSTITUTE(C818," ","")))</f>
        <v>CNJ2</v>
      </c>
      <c r="L818" s="82" t="str">
        <f t="shared" si="220"/>
        <v>JUNE-4-CNJ2</v>
      </c>
      <c r="M818" s="70">
        <f t="shared" si="221"/>
        <v>-0.2615117842926713</v>
      </c>
      <c r="N818" s="70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25">
      <c r="A819" t="s">
        <v>40</v>
      </c>
      <c r="B819" s="63">
        <v>4</v>
      </c>
      <c r="C819" t="s">
        <v>10</v>
      </c>
      <c r="D819" s="65">
        <v>1185</v>
      </c>
      <c r="E819" s="65">
        <v>1185</v>
      </c>
      <c r="F819" s="65">
        <v>1185</v>
      </c>
      <c r="G819" s="13">
        <f t="shared" si="216"/>
        <v>0</v>
      </c>
      <c r="H819" s="13">
        <f t="shared" si="217"/>
        <v>0</v>
      </c>
      <c r="I819" s="70">
        <f t="shared" si="218"/>
        <v>0</v>
      </c>
      <c r="J819" s="70">
        <f t="shared" si="219"/>
        <v>0</v>
      </c>
      <c r="K819" s="82" t="str">
        <f>_xlfn.IFNA(VLOOKUP(CLEAN(SUBSTITUTE(C819," ","")),Ref_Factory!$A:$B,2,FALSE),CLEAN(SUBSTITUTE(C819," ","")))</f>
        <v>CNJ2</v>
      </c>
      <c r="L819" s="82" t="str">
        <f t="shared" si="220"/>
        <v>JUNE-4-CNJ2</v>
      </c>
      <c r="M819" s="70">
        <f t="shared" si="221"/>
        <v>-0.2615117842926713</v>
      </c>
      <c r="N819" s="70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25">
      <c r="A820" t="s">
        <v>40</v>
      </c>
      <c r="B820" s="63">
        <v>4</v>
      </c>
      <c r="C820" t="s">
        <v>10</v>
      </c>
      <c r="D820" s="65">
        <v>255</v>
      </c>
      <c r="E820" s="65">
        <v>255</v>
      </c>
      <c r="F820" s="65">
        <v>255</v>
      </c>
      <c r="G820" s="13">
        <f t="shared" si="216"/>
        <v>0</v>
      </c>
      <c r="H820" s="13">
        <f t="shared" si="217"/>
        <v>0</v>
      </c>
      <c r="I820" s="70">
        <f t="shared" si="218"/>
        <v>0</v>
      </c>
      <c r="J820" s="70">
        <f t="shared" si="219"/>
        <v>0</v>
      </c>
      <c r="K820" s="82" t="str">
        <f>_xlfn.IFNA(VLOOKUP(CLEAN(SUBSTITUTE(C820," ","")),Ref_Factory!$A:$B,2,FALSE),CLEAN(SUBSTITUTE(C820," ","")))</f>
        <v>CNJ2</v>
      </c>
      <c r="L820" s="82" t="str">
        <f t="shared" si="220"/>
        <v>JUNE-4-CNJ2</v>
      </c>
      <c r="M820" s="70">
        <f t="shared" si="221"/>
        <v>-0.2615117842926713</v>
      </c>
      <c r="N820" s="70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25">
      <c r="A821" t="s">
        <v>40</v>
      </c>
      <c r="B821" s="63">
        <v>4</v>
      </c>
      <c r="C821" t="s">
        <v>10</v>
      </c>
      <c r="D821" s="65">
        <v>540</v>
      </c>
      <c r="E821" s="65">
        <v>540</v>
      </c>
      <c r="F821" s="65">
        <v>540</v>
      </c>
      <c r="G821" s="13">
        <f t="shared" si="216"/>
        <v>0</v>
      </c>
      <c r="H821" s="13">
        <f t="shared" si="217"/>
        <v>0</v>
      </c>
      <c r="I821" s="70">
        <f t="shared" si="218"/>
        <v>0</v>
      </c>
      <c r="J821" s="70">
        <f t="shared" si="219"/>
        <v>0</v>
      </c>
      <c r="K821" s="82" t="str">
        <f>_xlfn.IFNA(VLOOKUP(CLEAN(SUBSTITUTE(C821," ","")),Ref_Factory!$A:$B,2,FALSE),CLEAN(SUBSTITUTE(C821," ","")))</f>
        <v>CNJ2</v>
      </c>
      <c r="L821" s="82" t="str">
        <f t="shared" si="220"/>
        <v>JUNE-4-CNJ2</v>
      </c>
      <c r="M821" s="70">
        <f t="shared" si="221"/>
        <v>-0.2615117842926713</v>
      </c>
      <c r="N821" s="70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25">
      <c r="A822" t="s">
        <v>40</v>
      </c>
      <c r="B822" s="63">
        <v>4</v>
      </c>
      <c r="C822" t="s">
        <v>10</v>
      </c>
      <c r="D822" s="65">
        <v>545</v>
      </c>
      <c r="E822" s="65">
        <v>545</v>
      </c>
      <c r="F822" s="65">
        <v>545</v>
      </c>
      <c r="G822" s="13">
        <f t="shared" si="216"/>
        <v>0</v>
      </c>
      <c r="H822" s="13">
        <f t="shared" si="217"/>
        <v>0</v>
      </c>
      <c r="I822" s="70">
        <f t="shared" si="218"/>
        <v>0</v>
      </c>
      <c r="J822" s="70">
        <f t="shared" si="219"/>
        <v>0</v>
      </c>
      <c r="K822" s="82" t="str">
        <f>_xlfn.IFNA(VLOOKUP(CLEAN(SUBSTITUTE(C822," ","")),Ref_Factory!$A:$B,2,FALSE),CLEAN(SUBSTITUTE(C822," ","")))</f>
        <v>CNJ2</v>
      </c>
      <c r="L822" s="82" t="str">
        <f t="shared" si="220"/>
        <v>JUNE-4-CNJ2</v>
      </c>
      <c r="M822" s="70">
        <f t="shared" si="221"/>
        <v>-0.2615117842926713</v>
      </c>
      <c r="N822" s="70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25">
      <c r="A823" t="s">
        <v>40</v>
      </c>
      <c r="B823" s="63">
        <v>4</v>
      </c>
      <c r="C823" t="s">
        <v>10</v>
      </c>
      <c r="D823" s="65">
        <v>2920</v>
      </c>
      <c r="E823" s="65">
        <v>2920</v>
      </c>
      <c r="F823" s="65">
        <v>2865</v>
      </c>
      <c r="G823" s="13">
        <f t="shared" si="216"/>
        <v>-55</v>
      </c>
      <c r="H823" s="13">
        <f t="shared" si="217"/>
        <v>-55</v>
      </c>
      <c r="I823" s="70">
        <f t="shared" si="218"/>
        <v>-1.8835616438356184E-2</v>
      </c>
      <c r="J823" s="70">
        <f t="shared" si="219"/>
        <v>-1.8835616438356184E-2</v>
      </c>
      <c r="K823" s="82" t="str">
        <f>_xlfn.IFNA(VLOOKUP(CLEAN(SUBSTITUTE(C823," ","")),Ref_Factory!$A:$B,2,FALSE),CLEAN(SUBSTITUTE(C823," ","")))</f>
        <v>CNJ2</v>
      </c>
      <c r="L823" s="82" t="str">
        <f t="shared" si="220"/>
        <v>JUNE-4-CNJ2</v>
      </c>
      <c r="M823" s="70">
        <f t="shared" si="221"/>
        <v>-0.2615117842926713</v>
      </c>
      <c r="N823" s="70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25">
      <c r="A824" t="s">
        <v>40</v>
      </c>
      <c r="B824" s="63">
        <v>4</v>
      </c>
      <c r="C824" t="s">
        <v>10</v>
      </c>
      <c r="D824" s="65">
        <v>215</v>
      </c>
      <c r="E824" s="65">
        <v>215</v>
      </c>
      <c r="F824" s="65">
        <v>215</v>
      </c>
      <c r="G824" s="13">
        <f t="shared" si="216"/>
        <v>0</v>
      </c>
      <c r="H824" s="13">
        <f t="shared" si="217"/>
        <v>0</v>
      </c>
      <c r="I824" s="70">
        <f t="shared" si="218"/>
        <v>0</v>
      </c>
      <c r="J824" s="70">
        <f t="shared" si="219"/>
        <v>0</v>
      </c>
      <c r="K824" s="82" t="str">
        <f>_xlfn.IFNA(VLOOKUP(CLEAN(SUBSTITUTE(C824," ","")),Ref_Factory!$A:$B,2,FALSE),CLEAN(SUBSTITUTE(C824," ","")))</f>
        <v>CNJ2</v>
      </c>
      <c r="L824" s="82" t="str">
        <f t="shared" si="220"/>
        <v>JUNE-4-CNJ2</v>
      </c>
      <c r="M824" s="70">
        <f t="shared" si="221"/>
        <v>-0.2615117842926713</v>
      </c>
      <c r="N824" s="70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25">
      <c r="A825" t="s">
        <v>40</v>
      </c>
      <c r="B825" s="63">
        <v>4</v>
      </c>
      <c r="C825" t="s">
        <v>10</v>
      </c>
      <c r="D825" s="65">
        <v>130</v>
      </c>
      <c r="E825" s="65">
        <v>130</v>
      </c>
      <c r="F825" s="65">
        <v>130</v>
      </c>
      <c r="G825" s="13">
        <f t="shared" si="216"/>
        <v>0</v>
      </c>
      <c r="H825" s="13">
        <f t="shared" si="217"/>
        <v>0</v>
      </c>
      <c r="I825" s="70">
        <f t="shared" si="218"/>
        <v>0</v>
      </c>
      <c r="J825" s="70">
        <f t="shared" si="219"/>
        <v>0</v>
      </c>
      <c r="K825" s="82" t="str">
        <f>_xlfn.IFNA(VLOOKUP(CLEAN(SUBSTITUTE(C825," ","")),Ref_Factory!$A:$B,2,FALSE),CLEAN(SUBSTITUTE(C825," ","")))</f>
        <v>CNJ2</v>
      </c>
      <c r="L825" s="82" t="str">
        <f t="shared" si="220"/>
        <v>JUNE-4-CNJ2</v>
      </c>
      <c r="M825" s="70">
        <f t="shared" si="221"/>
        <v>-0.2615117842926713</v>
      </c>
      <c r="N825" s="70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25">
      <c r="A826" t="s">
        <v>40</v>
      </c>
      <c r="B826" s="63">
        <v>4</v>
      </c>
      <c r="C826" t="s">
        <v>10</v>
      </c>
      <c r="D826" s="65">
        <v>745</v>
      </c>
      <c r="E826" s="65">
        <v>745</v>
      </c>
      <c r="F826" s="65">
        <v>745</v>
      </c>
      <c r="G826" s="13">
        <f t="shared" si="216"/>
        <v>0</v>
      </c>
      <c r="H826" s="13">
        <f t="shared" si="217"/>
        <v>0</v>
      </c>
      <c r="I826" s="70">
        <f t="shared" si="218"/>
        <v>0</v>
      </c>
      <c r="J826" s="70">
        <f t="shared" si="219"/>
        <v>0</v>
      </c>
      <c r="K826" s="82" t="str">
        <f>_xlfn.IFNA(VLOOKUP(CLEAN(SUBSTITUTE(C826," ","")),Ref_Factory!$A:$B,2,FALSE),CLEAN(SUBSTITUTE(C826," ","")))</f>
        <v>CNJ2</v>
      </c>
      <c r="L826" s="82" t="str">
        <f t="shared" si="220"/>
        <v>JUNE-4-CNJ2</v>
      </c>
      <c r="M826" s="70">
        <f t="shared" si="221"/>
        <v>-0.2615117842926713</v>
      </c>
      <c r="N826" s="70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25">
      <c r="A827" t="s">
        <v>40</v>
      </c>
      <c r="B827" s="63">
        <v>4</v>
      </c>
      <c r="C827" t="s">
        <v>10</v>
      </c>
      <c r="D827" s="65">
        <v>110</v>
      </c>
      <c r="E827" s="65">
        <v>110</v>
      </c>
      <c r="F827" s="65">
        <v>110</v>
      </c>
      <c r="G827" s="13">
        <f t="shared" si="216"/>
        <v>0</v>
      </c>
      <c r="H827" s="13">
        <f t="shared" si="217"/>
        <v>0</v>
      </c>
      <c r="I827" s="70">
        <f t="shared" si="218"/>
        <v>0</v>
      </c>
      <c r="J827" s="70">
        <f t="shared" si="219"/>
        <v>0</v>
      </c>
      <c r="K827" s="82" t="str">
        <f>_xlfn.IFNA(VLOOKUP(CLEAN(SUBSTITUTE(C827," ","")),Ref_Factory!$A:$B,2,FALSE),CLEAN(SUBSTITUTE(C827," ","")))</f>
        <v>CNJ2</v>
      </c>
      <c r="L827" s="82" t="str">
        <f t="shared" si="220"/>
        <v>JUNE-4-CNJ2</v>
      </c>
      <c r="M827" s="70">
        <f t="shared" si="221"/>
        <v>-0.2615117842926713</v>
      </c>
      <c r="N827" s="70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25">
      <c r="A828" t="s">
        <v>40</v>
      </c>
      <c r="B828" s="63">
        <v>4</v>
      </c>
      <c r="C828" t="s">
        <v>10</v>
      </c>
      <c r="D828" s="65">
        <v>395</v>
      </c>
      <c r="E828" s="65">
        <v>395</v>
      </c>
      <c r="F828" s="65">
        <v>395</v>
      </c>
      <c r="G828" s="13">
        <f t="shared" si="216"/>
        <v>0</v>
      </c>
      <c r="H828" s="13">
        <f t="shared" si="217"/>
        <v>0</v>
      </c>
      <c r="I828" s="70">
        <f t="shared" si="218"/>
        <v>0</v>
      </c>
      <c r="J828" s="70">
        <f t="shared" si="219"/>
        <v>0</v>
      </c>
      <c r="K828" s="82" t="str">
        <f>_xlfn.IFNA(VLOOKUP(CLEAN(SUBSTITUTE(C828," ","")),Ref_Factory!$A:$B,2,FALSE),CLEAN(SUBSTITUTE(C828," ","")))</f>
        <v>CNJ2</v>
      </c>
      <c r="L828" s="82" t="str">
        <f t="shared" si="220"/>
        <v>JUNE-4-CNJ2</v>
      </c>
      <c r="M828" s="70">
        <f t="shared" si="221"/>
        <v>-0.2615117842926713</v>
      </c>
      <c r="N828" s="70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25">
      <c r="A829" t="s">
        <v>40</v>
      </c>
      <c r="B829" s="63">
        <v>4</v>
      </c>
      <c r="C829" t="s">
        <v>10</v>
      </c>
      <c r="D829" s="65">
        <v>12630</v>
      </c>
      <c r="E829" s="65">
        <v>10006</v>
      </c>
      <c r="F829" s="65">
        <v>9565</v>
      </c>
      <c r="G829" s="13">
        <f t="shared" si="216"/>
        <v>-441</v>
      </c>
      <c r="H829" s="13">
        <f t="shared" si="217"/>
        <v>-3065</v>
      </c>
      <c r="I829" s="70">
        <f t="shared" si="218"/>
        <v>-0.24267616785431512</v>
      </c>
      <c r="J829" s="70">
        <f t="shared" si="219"/>
        <v>-4.4073555866480096E-2</v>
      </c>
      <c r="K829" s="82" t="str">
        <f>_xlfn.IFNA(VLOOKUP(CLEAN(SUBSTITUTE(C829," ","")),Ref_Factory!$A:$B,2,FALSE),CLEAN(SUBSTITUTE(C829," ","")))</f>
        <v>CNJ2</v>
      </c>
      <c r="L829" s="82" t="str">
        <f t="shared" si="220"/>
        <v>JUNE-4-CNJ2</v>
      </c>
      <c r="M829" s="70">
        <f t="shared" si="221"/>
        <v>-0.2615117842926713</v>
      </c>
      <c r="N829" s="70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25">
      <c r="A830" t="s">
        <v>40</v>
      </c>
      <c r="B830" s="63">
        <v>4</v>
      </c>
      <c r="C830" t="s">
        <v>15</v>
      </c>
      <c r="D830" s="65">
        <v>1195</v>
      </c>
      <c r="E830" s="65">
        <v>1195</v>
      </c>
      <c r="F830" s="65">
        <v>1195</v>
      </c>
      <c r="G830" s="13">
        <f t="shared" si="216"/>
        <v>0</v>
      </c>
      <c r="H830" s="13">
        <f t="shared" si="217"/>
        <v>0</v>
      </c>
      <c r="I830" s="70">
        <f t="shared" si="218"/>
        <v>0</v>
      </c>
      <c r="J830" s="70">
        <f t="shared" si="219"/>
        <v>0</v>
      </c>
      <c r="K830" s="82" t="str">
        <f>_xlfn.IFNA(VLOOKUP(CLEAN(SUBSTITUTE(C830," ","")),Ref_Factory!$A:$B,2,FALSE),CLEAN(SUBSTITUTE(C830," ","")))</f>
        <v>CHAWAN</v>
      </c>
      <c r="L830" s="82" t="str">
        <f t="shared" si="220"/>
        <v>JUNE-4-CHAWAN</v>
      </c>
      <c r="M830" s="70">
        <f t="shared" si="221"/>
        <v>0</v>
      </c>
      <c r="N830" s="70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25">
      <c r="A831" t="s">
        <v>40</v>
      </c>
      <c r="B831" s="63">
        <v>4</v>
      </c>
      <c r="C831" t="s">
        <v>15</v>
      </c>
      <c r="D831" s="65">
        <v>268</v>
      </c>
      <c r="E831" s="65">
        <v>269</v>
      </c>
      <c r="F831" s="65">
        <v>268</v>
      </c>
      <c r="G831" s="13">
        <f t="shared" si="216"/>
        <v>-1</v>
      </c>
      <c r="H831" s="13">
        <f t="shared" si="217"/>
        <v>0</v>
      </c>
      <c r="I831" s="70">
        <f t="shared" si="218"/>
        <v>0</v>
      </c>
      <c r="J831" s="70">
        <f t="shared" si="219"/>
        <v>-3.7174721189591198E-3</v>
      </c>
      <c r="K831" s="82" t="str">
        <f>_xlfn.IFNA(VLOOKUP(CLEAN(SUBSTITUTE(C831," ","")),Ref_Factory!$A:$B,2,FALSE),CLEAN(SUBSTITUTE(C831," ","")))</f>
        <v>CHAWAN</v>
      </c>
      <c r="L831" s="82" t="str">
        <f t="shared" si="220"/>
        <v>JUNE-4-CHAWAN</v>
      </c>
      <c r="M831" s="70">
        <f t="shared" si="221"/>
        <v>0</v>
      </c>
      <c r="N831" s="70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25">
      <c r="A832" t="s">
        <v>40</v>
      </c>
      <c r="B832" s="63">
        <v>4</v>
      </c>
      <c r="C832" t="s">
        <v>15</v>
      </c>
      <c r="D832" s="65">
        <v>152</v>
      </c>
      <c r="E832" s="65">
        <v>152</v>
      </c>
      <c r="F832" s="65">
        <v>152</v>
      </c>
      <c r="G832" s="13">
        <f t="shared" si="216"/>
        <v>0</v>
      </c>
      <c r="H832" s="13">
        <f t="shared" si="217"/>
        <v>0</v>
      </c>
      <c r="I832" s="70">
        <f t="shared" si="218"/>
        <v>0</v>
      </c>
      <c r="J832" s="70">
        <f t="shared" si="219"/>
        <v>0</v>
      </c>
      <c r="K832" s="82" t="str">
        <f>_xlfn.IFNA(VLOOKUP(CLEAN(SUBSTITUTE(C832," ","")),Ref_Factory!$A:$B,2,FALSE),CLEAN(SUBSTITUTE(C832," ","")))</f>
        <v>CHAWAN</v>
      </c>
      <c r="L832" s="82" t="str">
        <f t="shared" si="220"/>
        <v>JUNE-4-CHAWAN</v>
      </c>
      <c r="M832" s="70">
        <f t="shared" si="221"/>
        <v>0</v>
      </c>
      <c r="N832" s="70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25">
      <c r="A833" t="s">
        <v>40</v>
      </c>
      <c r="B833" s="63">
        <v>4</v>
      </c>
      <c r="C833" t="s">
        <v>15</v>
      </c>
      <c r="D833" s="65">
        <v>95</v>
      </c>
      <c r="E833" s="65">
        <v>95</v>
      </c>
      <c r="F833" s="65">
        <v>95</v>
      </c>
      <c r="G833" s="13">
        <f t="shared" si="216"/>
        <v>0</v>
      </c>
      <c r="H833" s="13">
        <f t="shared" si="217"/>
        <v>0</v>
      </c>
      <c r="I833" s="70">
        <f t="shared" si="218"/>
        <v>0</v>
      </c>
      <c r="J833" s="70">
        <f t="shared" si="219"/>
        <v>0</v>
      </c>
      <c r="K833" s="82" t="str">
        <f>_xlfn.IFNA(VLOOKUP(CLEAN(SUBSTITUTE(C833," ","")),Ref_Factory!$A:$B,2,FALSE),CLEAN(SUBSTITUTE(C833," ","")))</f>
        <v>CHAWAN</v>
      </c>
      <c r="L833" s="82" t="str">
        <f t="shared" si="220"/>
        <v>JUNE-4-CHAWAN</v>
      </c>
      <c r="M833" s="70">
        <f t="shared" si="221"/>
        <v>0</v>
      </c>
      <c r="N833" s="70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25">
      <c r="A834" t="s">
        <v>40</v>
      </c>
      <c r="B834" s="63">
        <v>4</v>
      </c>
      <c r="C834" t="s">
        <v>15</v>
      </c>
      <c r="D834" s="65">
        <v>107</v>
      </c>
      <c r="E834" s="65">
        <v>107</v>
      </c>
      <c r="F834" s="65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70">
        <f t="shared" ref="I834:I897" si="236">F834/D834-1</f>
        <v>0</v>
      </c>
      <c r="J834" s="70">
        <f t="shared" ref="J834:J897" si="237">F834/E834-1</f>
        <v>0</v>
      </c>
      <c r="K834" s="82" t="str">
        <f>_xlfn.IFNA(VLOOKUP(CLEAN(SUBSTITUTE(C834," ","")),Ref_Factory!$A:$B,2,FALSE),CLEAN(SUBSTITUTE(C834," ","")))</f>
        <v>CHAWAN</v>
      </c>
      <c r="L834" s="82" t="str">
        <f t="shared" ref="L834:L897" si="238">A834&amp;"-"&amp;B834&amp;"-"&amp;K834</f>
        <v>JUNE-4-CHAWAN</v>
      </c>
      <c r="M834" s="70">
        <f t="shared" ref="M834:M897" si="239">SUMIF($L$2:$L$1420,L834,$I$2:$I$1420)</f>
        <v>0</v>
      </c>
      <c r="N834" s="70">
        <f t="shared" ref="N834:N897" si="240">SUMIF($L$2:$L$1420,L834,$J$2:$J$1420)</f>
        <v>-1.3681240234901137E-2</v>
      </c>
      <c r="O834" s="13">
        <f t="shared" ref="O834:O897" si="241">SUMIF($A$2:$A$1420,A834,$D$2:$D$1420)</f>
        <v>952253</v>
      </c>
      <c r="P834" s="13">
        <f t="shared" ref="P834:P897" si="242">SUMIF($A$2:$A$1420,A834,$E$2:$E$1420)</f>
        <v>960304</v>
      </c>
      <c r="Q834" s="13">
        <f t="shared" ref="Q834:Q897" si="243">SUMIF($A$2:$A$1420,A834,$F$2:$F$1420)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SUMIF($T$2:$T$1420,T834,$D$2:$D$1420)</f>
        <v>7385</v>
      </c>
      <c r="V834">
        <f t="shared" ref="V834:V897" si="248">SUMIF($T$2:$T$1420,T834,$E$2:$E$1420)</f>
        <v>7388</v>
      </c>
      <c r="W834">
        <f t="shared" ref="W834:W897" si="249">SUMIF($T$2:$T$1420,T834,$F$2:$F$1420)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25">
      <c r="A835" t="s">
        <v>40</v>
      </c>
      <c r="B835" s="63">
        <v>4</v>
      </c>
      <c r="C835" t="s">
        <v>15</v>
      </c>
      <c r="D835" s="65">
        <v>367</v>
      </c>
      <c r="E835" s="65">
        <v>368</v>
      </c>
      <c r="F835" s="65">
        <v>367</v>
      </c>
      <c r="G835" s="13">
        <f t="shared" si="234"/>
        <v>-1</v>
      </c>
      <c r="H835" s="13">
        <f t="shared" si="235"/>
        <v>0</v>
      </c>
      <c r="I835" s="70">
        <f t="shared" si="236"/>
        <v>0</v>
      </c>
      <c r="J835" s="70">
        <f t="shared" si="237"/>
        <v>-2.7173913043477826E-3</v>
      </c>
      <c r="K835" s="82" t="str">
        <f>_xlfn.IFNA(VLOOKUP(CLEAN(SUBSTITUTE(C835," ","")),Ref_Factory!$A:$B,2,FALSE),CLEAN(SUBSTITUTE(C835," ","")))</f>
        <v>CHAWAN</v>
      </c>
      <c r="L835" s="82" t="str">
        <f t="shared" si="238"/>
        <v>JUNE-4-CHAWAN</v>
      </c>
      <c r="M835" s="70">
        <f t="shared" si="239"/>
        <v>0</v>
      </c>
      <c r="N835" s="70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25">
      <c r="A836" t="s">
        <v>40</v>
      </c>
      <c r="B836" s="63">
        <v>4</v>
      </c>
      <c r="C836" t="s">
        <v>15</v>
      </c>
      <c r="D836" s="65">
        <v>137</v>
      </c>
      <c r="E836" s="65">
        <v>138</v>
      </c>
      <c r="F836" s="65">
        <v>137</v>
      </c>
      <c r="G836" s="13">
        <f t="shared" si="234"/>
        <v>-1</v>
      </c>
      <c r="H836" s="13">
        <f t="shared" si="235"/>
        <v>0</v>
      </c>
      <c r="I836" s="70">
        <f t="shared" si="236"/>
        <v>0</v>
      </c>
      <c r="J836" s="70">
        <f t="shared" si="237"/>
        <v>-7.2463768115942351E-3</v>
      </c>
      <c r="K836" s="82" t="str">
        <f>_xlfn.IFNA(VLOOKUP(CLEAN(SUBSTITUTE(C836," ","")),Ref_Factory!$A:$B,2,FALSE),CLEAN(SUBSTITUTE(C836," ","")))</f>
        <v>CHAWAN</v>
      </c>
      <c r="L836" s="82" t="str">
        <f t="shared" si="238"/>
        <v>JUNE-4-CHAWAN</v>
      </c>
      <c r="M836" s="70">
        <f t="shared" si="239"/>
        <v>0</v>
      </c>
      <c r="N836" s="70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25">
      <c r="A837" t="s">
        <v>40</v>
      </c>
      <c r="B837" s="63">
        <v>4</v>
      </c>
      <c r="C837" t="s">
        <v>15</v>
      </c>
      <c r="D837" s="65">
        <v>50</v>
      </c>
      <c r="E837" s="65">
        <v>50</v>
      </c>
      <c r="F837" s="65">
        <v>50</v>
      </c>
      <c r="G837" s="13">
        <f t="shared" si="234"/>
        <v>0</v>
      </c>
      <c r="H837" s="13">
        <f t="shared" si="235"/>
        <v>0</v>
      </c>
      <c r="I837" s="70">
        <f t="shared" si="236"/>
        <v>0</v>
      </c>
      <c r="J837" s="70">
        <f t="shared" si="237"/>
        <v>0</v>
      </c>
      <c r="K837" s="82" t="str">
        <f>_xlfn.IFNA(VLOOKUP(CLEAN(SUBSTITUTE(C837," ","")),Ref_Factory!$A:$B,2,FALSE),CLEAN(SUBSTITUTE(C837," ","")))</f>
        <v>CHAWAN</v>
      </c>
      <c r="L837" s="82" t="str">
        <f t="shared" si="238"/>
        <v>JUNE-4-CHAWAN</v>
      </c>
      <c r="M837" s="70">
        <f t="shared" si="239"/>
        <v>0</v>
      </c>
      <c r="N837" s="70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25">
      <c r="A838" t="s">
        <v>40</v>
      </c>
      <c r="B838" s="63">
        <v>4</v>
      </c>
      <c r="C838" t="s">
        <v>15</v>
      </c>
      <c r="D838" s="65">
        <v>100</v>
      </c>
      <c r="E838" s="65">
        <v>100</v>
      </c>
      <c r="F838" s="65">
        <v>100</v>
      </c>
      <c r="G838" s="13">
        <f t="shared" si="234"/>
        <v>0</v>
      </c>
      <c r="H838" s="13">
        <f t="shared" si="235"/>
        <v>0</v>
      </c>
      <c r="I838" s="70">
        <f t="shared" si="236"/>
        <v>0</v>
      </c>
      <c r="J838" s="70">
        <f t="shared" si="237"/>
        <v>0</v>
      </c>
      <c r="K838" s="82" t="str">
        <f>_xlfn.IFNA(VLOOKUP(CLEAN(SUBSTITUTE(C838," ","")),Ref_Factory!$A:$B,2,FALSE),CLEAN(SUBSTITUTE(C838," ","")))</f>
        <v>CHAWAN</v>
      </c>
      <c r="L838" s="82" t="str">
        <f t="shared" si="238"/>
        <v>JUNE-4-CHAWAN</v>
      </c>
      <c r="M838" s="70">
        <f t="shared" si="239"/>
        <v>0</v>
      </c>
      <c r="N838" s="70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25">
      <c r="A839" t="s">
        <v>40</v>
      </c>
      <c r="B839" s="63">
        <v>4</v>
      </c>
      <c r="C839" t="s">
        <v>15</v>
      </c>
      <c r="D839" s="65">
        <v>345</v>
      </c>
      <c r="E839" s="65">
        <v>345</v>
      </c>
      <c r="F839" s="65">
        <v>345</v>
      </c>
      <c r="G839" s="13">
        <f t="shared" si="234"/>
        <v>0</v>
      </c>
      <c r="H839" s="13">
        <f t="shared" si="235"/>
        <v>0</v>
      </c>
      <c r="I839" s="70">
        <f t="shared" si="236"/>
        <v>0</v>
      </c>
      <c r="J839" s="70">
        <f t="shared" si="237"/>
        <v>0</v>
      </c>
      <c r="K839" s="82" t="str">
        <f>_xlfn.IFNA(VLOOKUP(CLEAN(SUBSTITUTE(C839," ","")),Ref_Factory!$A:$B,2,FALSE),CLEAN(SUBSTITUTE(C839," ","")))</f>
        <v>CHAWAN</v>
      </c>
      <c r="L839" s="82" t="str">
        <f t="shared" si="238"/>
        <v>JUNE-4-CHAWAN</v>
      </c>
      <c r="M839" s="70">
        <f t="shared" si="239"/>
        <v>0</v>
      </c>
      <c r="N839" s="70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25">
      <c r="A840" t="s">
        <v>40</v>
      </c>
      <c r="B840" s="63">
        <v>4</v>
      </c>
      <c r="C840" t="s">
        <v>15</v>
      </c>
      <c r="D840" s="65">
        <v>161</v>
      </c>
      <c r="E840" s="65">
        <v>161</v>
      </c>
      <c r="F840" s="65">
        <v>161</v>
      </c>
      <c r="G840" s="13">
        <f t="shared" si="234"/>
        <v>0</v>
      </c>
      <c r="H840" s="13">
        <f t="shared" si="235"/>
        <v>0</v>
      </c>
      <c r="I840" s="70">
        <f t="shared" si="236"/>
        <v>0</v>
      </c>
      <c r="J840" s="70">
        <f t="shared" si="237"/>
        <v>0</v>
      </c>
      <c r="K840" s="82" t="str">
        <f>_xlfn.IFNA(VLOOKUP(CLEAN(SUBSTITUTE(C840," ","")),Ref_Factory!$A:$B,2,FALSE),CLEAN(SUBSTITUTE(C840," ","")))</f>
        <v>CHAWAN</v>
      </c>
      <c r="L840" s="82" t="str">
        <f t="shared" si="238"/>
        <v>JUNE-4-CHAWAN</v>
      </c>
      <c r="M840" s="70">
        <f t="shared" si="239"/>
        <v>0</v>
      </c>
      <c r="N840" s="70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25">
      <c r="A841" t="s">
        <v>40</v>
      </c>
      <c r="B841" s="63">
        <v>4</v>
      </c>
      <c r="C841" t="s">
        <v>68</v>
      </c>
      <c r="D841" s="65">
        <v>161</v>
      </c>
      <c r="E841" s="65">
        <v>161</v>
      </c>
      <c r="F841" s="65">
        <v>161</v>
      </c>
      <c r="G841" s="13">
        <f t="shared" si="234"/>
        <v>0</v>
      </c>
      <c r="H841" s="13">
        <f t="shared" si="235"/>
        <v>0</v>
      </c>
      <c r="I841" s="70">
        <f t="shared" si="236"/>
        <v>0</v>
      </c>
      <c r="J841" s="70">
        <f t="shared" si="237"/>
        <v>0</v>
      </c>
      <c r="K841" s="82" t="str">
        <f>_xlfn.IFNA(VLOOKUP(CLEAN(SUBSTITUTE(C841," ","")),Ref_Factory!$A:$B,2,FALSE),CLEAN(SUBSTITUTE(C841," ","")))</f>
        <v>CLN</v>
      </c>
      <c r="L841" s="82" t="str">
        <f t="shared" si="238"/>
        <v>JUNE-4-CLN</v>
      </c>
      <c r="M841" s="70">
        <f t="shared" si="239"/>
        <v>0</v>
      </c>
      <c r="N841" s="70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25">
      <c r="A842" t="s">
        <v>40</v>
      </c>
      <c r="B842" s="63">
        <v>4</v>
      </c>
      <c r="C842" t="s">
        <v>68</v>
      </c>
      <c r="D842" s="65">
        <v>117</v>
      </c>
      <c r="E842" s="65">
        <v>117</v>
      </c>
      <c r="F842" s="65">
        <v>117</v>
      </c>
      <c r="G842" s="13">
        <f t="shared" si="234"/>
        <v>0</v>
      </c>
      <c r="H842" s="13">
        <f t="shared" si="235"/>
        <v>0</v>
      </c>
      <c r="I842" s="70">
        <f t="shared" si="236"/>
        <v>0</v>
      </c>
      <c r="J842" s="70">
        <f t="shared" si="237"/>
        <v>0</v>
      </c>
      <c r="K842" s="82" t="str">
        <f>_xlfn.IFNA(VLOOKUP(CLEAN(SUBSTITUTE(C842," ","")),Ref_Factory!$A:$B,2,FALSE),CLEAN(SUBSTITUTE(C842," ","")))</f>
        <v>CLN</v>
      </c>
      <c r="L842" s="82" t="str">
        <f t="shared" si="238"/>
        <v>JUNE-4-CLN</v>
      </c>
      <c r="M842" s="70">
        <f t="shared" si="239"/>
        <v>0</v>
      </c>
      <c r="N842" s="70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25">
      <c r="A843" t="s">
        <v>40</v>
      </c>
      <c r="B843" s="63">
        <v>4</v>
      </c>
      <c r="C843" t="s">
        <v>68</v>
      </c>
      <c r="D843" s="65">
        <v>91</v>
      </c>
      <c r="E843" s="65">
        <v>91</v>
      </c>
      <c r="F843" s="65">
        <v>91</v>
      </c>
      <c r="G843" s="13">
        <f t="shared" si="234"/>
        <v>0</v>
      </c>
      <c r="H843" s="13">
        <f t="shared" si="235"/>
        <v>0</v>
      </c>
      <c r="I843" s="70">
        <f t="shared" si="236"/>
        <v>0</v>
      </c>
      <c r="J843" s="70">
        <f t="shared" si="237"/>
        <v>0</v>
      </c>
      <c r="K843" s="82" t="str">
        <f>_xlfn.IFNA(VLOOKUP(CLEAN(SUBSTITUTE(C843," ","")),Ref_Factory!$A:$B,2,FALSE),CLEAN(SUBSTITUTE(C843," ","")))</f>
        <v>CLN</v>
      </c>
      <c r="L843" s="82" t="str">
        <f t="shared" si="238"/>
        <v>JUNE-4-CLN</v>
      </c>
      <c r="M843" s="70">
        <f t="shared" si="239"/>
        <v>0</v>
      </c>
      <c r="N843" s="70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25">
      <c r="A844" t="s">
        <v>40</v>
      </c>
      <c r="B844" s="63">
        <v>4</v>
      </c>
      <c r="C844" t="s">
        <v>68</v>
      </c>
      <c r="D844" s="65">
        <v>50</v>
      </c>
      <c r="E844" s="65">
        <v>50</v>
      </c>
      <c r="F844" s="65">
        <v>50</v>
      </c>
      <c r="G844" s="13">
        <f t="shared" si="234"/>
        <v>0</v>
      </c>
      <c r="H844" s="13">
        <f t="shared" si="235"/>
        <v>0</v>
      </c>
      <c r="I844" s="70">
        <f t="shared" si="236"/>
        <v>0</v>
      </c>
      <c r="J844" s="70">
        <f t="shared" si="237"/>
        <v>0</v>
      </c>
      <c r="K844" s="82" t="str">
        <f>_xlfn.IFNA(VLOOKUP(CLEAN(SUBSTITUTE(C844," ","")),Ref_Factory!$A:$B,2,FALSE),CLEAN(SUBSTITUTE(C844," ","")))</f>
        <v>CLN</v>
      </c>
      <c r="L844" s="82" t="str">
        <f t="shared" si="238"/>
        <v>JUNE-4-CLN</v>
      </c>
      <c r="M844" s="70">
        <f t="shared" si="239"/>
        <v>0</v>
      </c>
      <c r="N844" s="70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25">
      <c r="A845" t="s">
        <v>40</v>
      </c>
      <c r="B845" s="63">
        <v>4</v>
      </c>
      <c r="C845" t="s">
        <v>68</v>
      </c>
      <c r="D845" s="65">
        <v>50</v>
      </c>
      <c r="E845" s="65">
        <v>50</v>
      </c>
      <c r="F845" s="65">
        <v>50</v>
      </c>
      <c r="G845" s="13">
        <f t="shared" si="234"/>
        <v>0</v>
      </c>
      <c r="H845" s="13">
        <f t="shared" si="235"/>
        <v>0</v>
      </c>
      <c r="I845" s="70">
        <f t="shared" si="236"/>
        <v>0</v>
      </c>
      <c r="J845" s="70">
        <f t="shared" si="237"/>
        <v>0</v>
      </c>
      <c r="K845" s="82" t="str">
        <f>_xlfn.IFNA(VLOOKUP(CLEAN(SUBSTITUTE(C845," ","")),Ref_Factory!$A:$B,2,FALSE),CLEAN(SUBSTITUTE(C845," ","")))</f>
        <v>CLN</v>
      </c>
      <c r="L845" s="82" t="str">
        <f t="shared" si="238"/>
        <v>JUNE-4-CLN</v>
      </c>
      <c r="M845" s="70">
        <f t="shared" si="239"/>
        <v>0</v>
      </c>
      <c r="N845" s="70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25">
      <c r="A846" t="s">
        <v>40</v>
      </c>
      <c r="B846" s="63">
        <v>4</v>
      </c>
      <c r="C846" t="s">
        <v>68</v>
      </c>
      <c r="D846" s="65">
        <v>67</v>
      </c>
      <c r="E846" s="65">
        <v>67</v>
      </c>
      <c r="F846" s="65">
        <v>67</v>
      </c>
      <c r="G846" s="13">
        <f t="shared" si="234"/>
        <v>0</v>
      </c>
      <c r="H846" s="13">
        <f t="shared" si="235"/>
        <v>0</v>
      </c>
      <c r="I846" s="70">
        <f t="shared" si="236"/>
        <v>0</v>
      </c>
      <c r="J846" s="70">
        <f t="shared" si="237"/>
        <v>0</v>
      </c>
      <c r="K846" s="82" t="str">
        <f>_xlfn.IFNA(VLOOKUP(CLEAN(SUBSTITUTE(C846," ","")),Ref_Factory!$A:$B,2,FALSE),CLEAN(SUBSTITUTE(C846," ","")))</f>
        <v>CLN</v>
      </c>
      <c r="L846" s="82" t="str">
        <f t="shared" si="238"/>
        <v>JUNE-4-CLN</v>
      </c>
      <c r="M846" s="70">
        <f t="shared" si="239"/>
        <v>0</v>
      </c>
      <c r="N846" s="70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25">
      <c r="A847" t="s">
        <v>40</v>
      </c>
      <c r="B847" s="63">
        <v>4</v>
      </c>
      <c r="C847" t="s">
        <v>68</v>
      </c>
      <c r="D847" s="65">
        <v>378</v>
      </c>
      <c r="E847" s="65">
        <v>378</v>
      </c>
      <c r="F847" s="65">
        <v>378</v>
      </c>
      <c r="G847" s="13">
        <f t="shared" si="234"/>
        <v>0</v>
      </c>
      <c r="H847" s="13">
        <f t="shared" si="235"/>
        <v>0</v>
      </c>
      <c r="I847" s="70">
        <f t="shared" si="236"/>
        <v>0</v>
      </c>
      <c r="J847" s="70">
        <f t="shared" si="237"/>
        <v>0</v>
      </c>
      <c r="K847" s="82" t="str">
        <f>_xlfn.IFNA(VLOOKUP(CLEAN(SUBSTITUTE(C847," ","")),Ref_Factory!$A:$B,2,FALSE),CLEAN(SUBSTITUTE(C847," ","")))</f>
        <v>CLN</v>
      </c>
      <c r="L847" s="82" t="str">
        <f t="shared" si="238"/>
        <v>JUNE-4-CLN</v>
      </c>
      <c r="M847" s="70">
        <f t="shared" si="239"/>
        <v>0</v>
      </c>
      <c r="N847" s="70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25">
      <c r="A848" t="s">
        <v>40</v>
      </c>
      <c r="B848" s="63">
        <v>2</v>
      </c>
      <c r="C848" t="s">
        <v>16</v>
      </c>
      <c r="D848" s="68">
        <v>800</v>
      </c>
      <c r="E848" s="68">
        <v>768</v>
      </c>
      <c r="F848" s="65">
        <v>707</v>
      </c>
      <c r="G848" s="13">
        <f t="shared" si="234"/>
        <v>-61</v>
      </c>
      <c r="H848" s="13">
        <f t="shared" si="235"/>
        <v>-93</v>
      </c>
      <c r="I848" s="70">
        <f t="shared" si="236"/>
        <v>-0.11624999999999996</v>
      </c>
      <c r="J848" s="70">
        <f t="shared" si="237"/>
        <v>-7.942708333333337E-2</v>
      </c>
      <c r="K848" s="82" t="str">
        <f>_xlfn.IFNA(VLOOKUP(CLEAN(SUBSTITUTE(C848," ","")),Ref_Factory!$A:$B,2,FALSE),CLEAN(SUBSTITUTE(C848," ","")))</f>
        <v>ANUGERAH</v>
      </c>
      <c r="L848" s="82" t="str">
        <f t="shared" si="238"/>
        <v>JUNE-2-ANUGERAH</v>
      </c>
      <c r="M848" s="70">
        <f t="shared" si="239"/>
        <v>-0.14124999999999999</v>
      </c>
      <c r="N848" s="70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25">
      <c r="A849" t="s">
        <v>40</v>
      </c>
      <c r="B849" s="63">
        <v>2</v>
      </c>
      <c r="C849" t="s">
        <v>13</v>
      </c>
      <c r="D849" s="68">
        <v>14472</v>
      </c>
      <c r="E849" s="68">
        <v>14472</v>
      </c>
      <c r="F849" s="65">
        <v>14400</v>
      </c>
      <c r="G849" s="13">
        <f t="shared" si="234"/>
        <v>-72</v>
      </c>
      <c r="H849" s="13">
        <f t="shared" si="235"/>
        <v>-72</v>
      </c>
      <c r="I849" s="70">
        <f t="shared" si="236"/>
        <v>-4.9751243781094301E-3</v>
      </c>
      <c r="J849" s="70">
        <f t="shared" si="237"/>
        <v>-4.9751243781094301E-3</v>
      </c>
      <c r="K849" s="82" t="str">
        <f>_xlfn.IFNA(VLOOKUP(CLEAN(SUBSTITUTE(C849," ","")),Ref_Factory!$A:$B,2,FALSE),CLEAN(SUBSTITUTE(C849," ","")))</f>
        <v>KALIBENDA</v>
      </c>
      <c r="L849" s="82" t="str">
        <f t="shared" si="238"/>
        <v>JUNE-2-KALIBENDA</v>
      </c>
      <c r="M849" s="70">
        <f t="shared" si="239"/>
        <v>-2.2737728338445562E-2</v>
      </c>
      <c r="N849" s="70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25">
      <c r="A850" t="s">
        <v>40</v>
      </c>
      <c r="B850" s="63">
        <v>2</v>
      </c>
      <c r="C850" t="s">
        <v>13</v>
      </c>
      <c r="D850" s="68">
        <v>29376</v>
      </c>
      <c r="E850" s="68">
        <v>29440</v>
      </c>
      <c r="F850" s="65">
        <v>29328</v>
      </c>
      <c r="G850" s="13">
        <f t="shared" si="234"/>
        <v>-112</v>
      </c>
      <c r="H850" s="13">
        <f t="shared" si="235"/>
        <v>-48</v>
      </c>
      <c r="I850" s="70">
        <f t="shared" si="236"/>
        <v>-1.6339869281045694E-3</v>
      </c>
      <c r="J850" s="70">
        <f t="shared" si="237"/>
        <v>-3.8043478260869623E-3</v>
      </c>
      <c r="K850" s="82" t="str">
        <f>_xlfn.IFNA(VLOOKUP(CLEAN(SUBSTITUTE(C850," ","")),Ref_Factory!$A:$B,2,FALSE),CLEAN(SUBSTITUTE(C850," ","")))</f>
        <v>KALIBENDA</v>
      </c>
      <c r="L850" s="82" t="str">
        <f t="shared" si="238"/>
        <v>JUNE-2-KALIBENDA</v>
      </c>
      <c r="M850" s="70">
        <f t="shared" si="239"/>
        <v>-2.2737728338445562E-2</v>
      </c>
      <c r="N850" s="70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25">
      <c r="A851" t="s">
        <v>40</v>
      </c>
      <c r="B851" s="63">
        <v>2</v>
      </c>
      <c r="C851" t="s">
        <v>13</v>
      </c>
      <c r="D851" s="68">
        <v>35856</v>
      </c>
      <c r="E851" s="68">
        <v>36216</v>
      </c>
      <c r="F851" s="65">
        <v>36063</v>
      </c>
      <c r="G851" s="13">
        <f t="shared" si="234"/>
        <v>-153</v>
      </c>
      <c r="H851" s="13">
        <f t="shared" si="235"/>
        <v>207</v>
      </c>
      <c r="I851" s="70">
        <f t="shared" si="236"/>
        <v>5.7730923694778724E-3</v>
      </c>
      <c r="J851" s="70">
        <f t="shared" si="237"/>
        <v>-4.2246520874751337E-3</v>
      </c>
      <c r="K851" s="82" t="str">
        <f>_xlfn.IFNA(VLOOKUP(CLEAN(SUBSTITUTE(C851," ","")),Ref_Factory!$A:$B,2,FALSE),CLEAN(SUBSTITUTE(C851," ","")))</f>
        <v>KALIBENDA</v>
      </c>
      <c r="L851" s="82" t="str">
        <f t="shared" si="238"/>
        <v>JUNE-2-KALIBENDA</v>
      </c>
      <c r="M851" s="70">
        <f t="shared" si="239"/>
        <v>-2.2737728338445562E-2</v>
      </c>
      <c r="N851" s="70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25">
      <c r="A852" t="s">
        <v>40</v>
      </c>
      <c r="B852" s="63">
        <v>2</v>
      </c>
      <c r="C852" t="s">
        <v>13</v>
      </c>
      <c r="D852" s="68">
        <v>5616</v>
      </c>
      <c r="E852" s="68">
        <v>5535</v>
      </c>
      <c r="F852" s="65">
        <v>5493</v>
      </c>
      <c r="G852" s="13">
        <f t="shared" si="234"/>
        <v>-42</v>
      </c>
      <c r="H852" s="13">
        <f t="shared" si="235"/>
        <v>-123</v>
      </c>
      <c r="I852" s="70">
        <f t="shared" si="236"/>
        <v>-2.1901709401709435E-2</v>
      </c>
      <c r="J852" s="70">
        <f t="shared" si="237"/>
        <v>-7.5880758807588267E-3</v>
      </c>
      <c r="K852" s="82" t="str">
        <f>_xlfn.IFNA(VLOOKUP(CLEAN(SUBSTITUTE(C852," ","")),Ref_Factory!$A:$B,2,FALSE),CLEAN(SUBSTITUTE(C852," ","")))</f>
        <v>KALIBENDA</v>
      </c>
      <c r="L852" s="82" t="str">
        <f t="shared" si="238"/>
        <v>JUNE-2-KALIBENDA</v>
      </c>
      <c r="M852" s="70">
        <f t="shared" si="239"/>
        <v>-2.2737728338445562E-2</v>
      </c>
      <c r="N852" s="70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25">
      <c r="A853" t="s">
        <v>41</v>
      </c>
      <c r="B853" s="63">
        <v>1</v>
      </c>
      <c r="C853" t="s">
        <v>15</v>
      </c>
      <c r="D853" s="65">
        <v>1430</v>
      </c>
      <c r="E853" s="65">
        <v>1430</v>
      </c>
      <c r="F853" s="65">
        <v>1430</v>
      </c>
      <c r="G853" s="13">
        <f t="shared" si="234"/>
        <v>0</v>
      </c>
      <c r="H853" s="13">
        <f t="shared" si="235"/>
        <v>0</v>
      </c>
      <c r="I853" s="70">
        <f t="shared" si="236"/>
        <v>0</v>
      </c>
      <c r="J853" s="70">
        <f t="shared" si="237"/>
        <v>0</v>
      </c>
      <c r="K853" s="82" t="str">
        <f>_xlfn.IFNA(VLOOKUP(CLEAN(SUBSTITUTE(C853," ","")),Ref_Factory!$A:$B,2,FALSE),CLEAN(SUBSTITUTE(C853," ","")))</f>
        <v>CHAWAN</v>
      </c>
      <c r="L853" s="82" t="str">
        <f t="shared" si="238"/>
        <v>JULY-1-CHAWAN</v>
      </c>
      <c r="M853" s="70">
        <f t="shared" si="239"/>
        <v>0</v>
      </c>
      <c r="N853" s="70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25">
      <c r="A854" t="s">
        <v>41</v>
      </c>
      <c r="B854" s="63">
        <v>1</v>
      </c>
      <c r="C854" t="s">
        <v>68</v>
      </c>
      <c r="D854" s="65">
        <v>474</v>
      </c>
      <c r="E854" s="65">
        <v>474</v>
      </c>
      <c r="F854" s="65">
        <v>474</v>
      </c>
      <c r="G854" s="13">
        <f t="shared" si="234"/>
        <v>0</v>
      </c>
      <c r="H854" s="13">
        <f t="shared" si="235"/>
        <v>0</v>
      </c>
      <c r="I854" s="70">
        <f t="shared" si="236"/>
        <v>0</v>
      </c>
      <c r="J854" s="70">
        <f t="shared" si="237"/>
        <v>0</v>
      </c>
      <c r="K854" s="82" t="str">
        <f>_xlfn.IFNA(VLOOKUP(CLEAN(SUBSTITUTE(C854," ","")),Ref_Factory!$A:$B,2,FALSE),CLEAN(SUBSTITUTE(C854," ","")))</f>
        <v>CLN</v>
      </c>
      <c r="L854" s="82" t="str">
        <f t="shared" si="238"/>
        <v>JULY-1-CLN</v>
      </c>
      <c r="M854" s="70">
        <f t="shared" si="239"/>
        <v>0</v>
      </c>
      <c r="N854" s="70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25">
      <c r="A855" t="s">
        <v>41</v>
      </c>
      <c r="B855" s="63">
        <v>1</v>
      </c>
      <c r="C855" t="s">
        <v>11</v>
      </c>
      <c r="D855" s="65">
        <v>3600</v>
      </c>
      <c r="E855" s="65">
        <v>3600</v>
      </c>
      <c r="F855" s="65">
        <v>3272</v>
      </c>
      <c r="G855" s="13">
        <f t="shared" si="234"/>
        <v>-328</v>
      </c>
      <c r="H855" s="13">
        <f t="shared" si="235"/>
        <v>-328</v>
      </c>
      <c r="I855" s="70">
        <f t="shared" si="236"/>
        <v>-9.1111111111111143E-2</v>
      </c>
      <c r="J855" s="70">
        <f t="shared" si="237"/>
        <v>-9.1111111111111143E-2</v>
      </c>
      <c r="K855" s="82" t="str">
        <f>_xlfn.IFNA(VLOOKUP(CLEAN(SUBSTITUTE(C855," ","")),Ref_Factory!$A:$B,2,FALSE),CLEAN(SUBSTITUTE(C855," ","")))</f>
        <v>GM1</v>
      </c>
      <c r="L855" s="82" t="str">
        <f t="shared" si="238"/>
        <v>JULY-1-GM1</v>
      </c>
      <c r="M855" s="70">
        <f t="shared" si="239"/>
        <v>-0.26058357970999091</v>
      </c>
      <c r="N855" s="70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25">
      <c r="A856" t="s">
        <v>41</v>
      </c>
      <c r="B856" s="63">
        <v>1</v>
      </c>
      <c r="C856" t="s">
        <v>11</v>
      </c>
      <c r="D856" s="65">
        <v>6480</v>
      </c>
      <c r="E856" s="65">
        <v>6480</v>
      </c>
      <c r="F856" s="65">
        <v>6180</v>
      </c>
      <c r="G856" s="13">
        <f t="shared" si="234"/>
        <v>-300</v>
      </c>
      <c r="H856" s="13">
        <f t="shared" si="235"/>
        <v>-300</v>
      </c>
      <c r="I856" s="70">
        <f t="shared" si="236"/>
        <v>-4.629629629629628E-2</v>
      </c>
      <c r="J856" s="70">
        <f t="shared" si="237"/>
        <v>-4.629629629629628E-2</v>
      </c>
      <c r="K856" s="82" t="str">
        <f>_xlfn.IFNA(VLOOKUP(CLEAN(SUBSTITUTE(C856," ","")),Ref_Factory!$A:$B,2,FALSE),CLEAN(SUBSTITUTE(C856," ","")))</f>
        <v>GM1</v>
      </c>
      <c r="L856" s="82" t="str">
        <f t="shared" si="238"/>
        <v>JULY-1-GM1</v>
      </c>
      <c r="M856" s="70">
        <f t="shared" si="239"/>
        <v>-0.26058357970999091</v>
      </c>
      <c r="N856" s="70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25">
      <c r="A857" t="s">
        <v>41</v>
      </c>
      <c r="B857" s="63">
        <v>1</v>
      </c>
      <c r="C857" t="s">
        <v>11</v>
      </c>
      <c r="D857" s="65">
        <v>2448</v>
      </c>
      <c r="E857" s="65">
        <v>2448</v>
      </c>
      <c r="F857" s="65">
        <v>2292</v>
      </c>
      <c r="G857" s="13">
        <f t="shared" si="234"/>
        <v>-156</v>
      </c>
      <c r="H857" s="13">
        <f t="shared" si="235"/>
        <v>-156</v>
      </c>
      <c r="I857" s="70">
        <f t="shared" si="236"/>
        <v>-6.3725490196078427E-2</v>
      </c>
      <c r="J857" s="70">
        <f t="shared" si="237"/>
        <v>-6.3725490196078427E-2</v>
      </c>
      <c r="K857" s="82" t="str">
        <f>_xlfn.IFNA(VLOOKUP(CLEAN(SUBSTITUTE(C857," ","")),Ref_Factory!$A:$B,2,FALSE),CLEAN(SUBSTITUTE(C857," ","")))</f>
        <v>GM1</v>
      </c>
      <c r="L857" s="82" t="str">
        <f t="shared" si="238"/>
        <v>JULY-1-GM1</v>
      </c>
      <c r="M857" s="70">
        <f t="shared" si="239"/>
        <v>-0.26058357970999091</v>
      </c>
      <c r="N857" s="70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25">
      <c r="A858" t="s">
        <v>41</v>
      </c>
      <c r="B858" s="63">
        <v>1</v>
      </c>
      <c r="C858" t="s">
        <v>11</v>
      </c>
      <c r="D858" s="65">
        <v>1116</v>
      </c>
      <c r="E858" s="65">
        <v>1116</v>
      </c>
      <c r="F858" s="65">
        <v>1094</v>
      </c>
      <c r="G858" s="13">
        <f t="shared" si="234"/>
        <v>-22</v>
      </c>
      <c r="H858" s="13">
        <f t="shared" si="235"/>
        <v>-22</v>
      </c>
      <c r="I858" s="70">
        <f t="shared" si="236"/>
        <v>-1.9713261648745539E-2</v>
      </c>
      <c r="J858" s="70">
        <f t="shared" si="237"/>
        <v>-1.9713261648745539E-2</v>
      </c>
      <c r="K858" s="82" t="str">
        <f>_xlfn.IFNA(VLOOKUP(CLEAN(SUBSTITUTE(C858," ","")),Ref_Factory!$A:$B,2,FALSE),CLEAN(SUBSTITUTE(C858," ","")))</f>
        <v>GM1</v>
      </c>
      <c r="L858" s="82" t="str">
        <f t="shared" si="238"/>
        <v>JULY-1-GM1</v>
      </c>
      <c r="M858" s="70">
        <f t="shared" si="239"/>
        <v>-0.26058357970999091</v>
      </c>
      <c r="N858" s="70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25">
      <c r="A859" t="s">
        <v>41</v>
      </c>
      <c r="B859" s="63">
        <v>1</v>
      </c>
      <c r="C859" t="s">
        <v>11</v>
      </c>
      <c r="D859" s="65">
        <v>2376</v>
      </c>
      <c r="E859" s="65">
        <v>2376</v>
      </c>
      <c r="F859" s="65">
        <v>2372</v>
      </c>
      <c r="G859" s="13">
        <f t="shared" si="234"/>
        <v>-4</v>
      </c>
      <c r="H859" s="13">
        <f t="shared" si="235"/>
        <v>-4</v>
      </c>
      <c r="I859" s="70">
        <f t="shared" si="236"/>
        <v>-1.6835016835017313E-3</v>
      </c>
      <c r="J859" s="70">
        <f t="shared" si="237"/>
        <v>-1.6835016835017313E-3</v>
      </c>
      <c r="K859" s="82" t="str">
        <f>_xlfn.IFNA(VLOOKUP(CLEAN(SUBSTITUTE(C859," ","")),Ref_Factory!$A:$B,2,FALSE),CLEAN(SUBSTITUTE(C859," ","")))</f>
        <v>GM1</v>
      </c>
      <c r="L859" s="82" t="str">
        <f t="shared" si="238"/>
        <v>JULY-1-GM1</v>
      </c>
      <c r="M859" s="70">
        <f t="shared" si="239"/>
        <v>-0.26058357970999091</v>
      </c>
      <c r="N859" s="70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25">
      <c r="A860" t="s">
        <v>41</v>
      </c>
      <c r="B860" s="63">
        <v>1</v>
      </c>
      <c r="C860" t="s">
        <v>11</v>
      </c>
      <c r="D860" s="65">
        <v>2340</v>
      </c>
      <c r="E860" s="65">
        <v>2342</v>
      </c>
      <c r="F860" s="65">
        <v>2340</v>
      </c>
      <c r="G860" s="13">
        <f t="shared" si="234"/>
        <v>-2</v>
      </c>
      <c r="H860" s="13">
        <f t="shared" si="235"/>
        <v>0</v>
      </c>
      <c r="I860" s="70">
        <f t="shared" si="236"/>
        <v>0</v>
      </c>
      <c r="J860" s="70">
        <f t="shared" si="237"/>
        <v>-8.5397096498718295E-4</v>
      </c>
      <c r="K860" s="82" t="str">
        <f>_xlfn.IFNA(VLOOKUP(CLEAN(SUBSTITUTE(C860," ","")),Ref_Factory!$A:$B,2,FALSE),CLEAN(SUBSTITUTE(C860," ","")))</f>
        <v>GM1</v>
      </c>
      <c r="L860" s="82" t="str">
        <f t="shared" si="238"/>
        <v>JULY-1-GM1</v>
      </c>
      <c r="M860" s="70">
        <f t="shared" si="239"/>
        <v>-0.26058357970999091</v>
      </c>
      <c r="N860" s="70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25">
      <c r="A861" t="s">
        <v>41</v>
      </c>
      <c r="B861" s="63">
        <v>1</v>
      </c>
      <c r="C861" t="s">
        <v>11</v>
      </c>
      <c r="D861" s="65">
        <v>2520</v>
      </c>
      <c r="E861" s="65">
        <v>2520</v>
      </c>
      <c r="F861" s="65">
        <v>2494</v>
      </c>
      <c r="G861" s="13">
        <f t="shared" si="234"/>
        <v>-26</v>
      </c>
      <c r="H861" s="13">
        <f t="shared" si="235"/>
        <v>-26</v>
      </c>
      <c r="I861" s="70">
        <f t="shared" si="236"/>
        <v>-1.0317460317460281E-2</v>
      </c>
      <c r="J861" s="70">
        <f t="shared" si="237"/>
        <v>-1.0317460317460281E-2</v>
      </c>
      <c r="K861" s="82" t="str">
        <f>_xlfn.IFNA(VLOOKUP(CLEAN(SUBSTITUTE(C861," ","")),Ref_Factory!$A:$B,2,FALSE),CLEAN(SUBSTITUTE(C861," ","")))</f>
        <v>GM1</v>
      </c>
      <c r="L861" s="82" t="str">
        <f t="shared" si="238"/>
        <v>JULY-1-GM1</v>
      </c>
      <c r="M861" s="70">
        <f t="shared" si="239"/>
        <v>-0.26058357970999091</v>
      </c>
      <c r="N861" s="70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25">
      <c r="A862" t="s">
        <v>41</v>
      </c>
      <c r="B862" s="63">
        <v>1</v>
      </c>
      <c r="C862" t="s">
        <v>11</v>
      </c>
      <c r="D862" s="65">
        <v>2124</v>
      </c>
      <c r="E862" s="65">
        <v>2124</v>
      </c>
      <c r="F862" s="65">
        <v>2114</v>
      </c>
      <c r="G862" s="13">
        <f t="shared" si="234"/>
        <v>-10</v>
      </c>
      <c r="H862" s="13">
        <f t="shared" si="235"/>
        <v>-10</v>
      </c>
      <c r="I862" s="70">
        <f t="shared" si="236"/>
        <v>-4.7080979284369606E-3</v>
      </c>
      <c r="J862" s="70">
        <f t="shared" si="237"/>
        <v>-4.7080979284369606E-3</v>
      </c>
      <c r="K862" s="82" t="str">
        <f>_xlfn.IFNA(VLOOKUP(CLEAN(SUBSTITUTE(C862," ","")),Ref_Factory!$A:$B,2,FALSE),CLEAN(SUBSTITUTE(C862," ","")))</f>
        <v>GM1</v>
      </c>
      <c r="L862" s="82" t="str">
        <f t="shared" si="238"/>
        <v>JULY-1-GM1</v>
      </c>
      <c r="M862" s="70">
        <f t="shared" si="239"/>
        <v>-0.26058357970999091</v>
      </c>
      <c r="N862" s="70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25">
      <c r="A863" t="s">
        <v>41</v>
      </c>
      <c r="B863" s="63">
        <v>1</v>
      </c>
      <c r="C863" t="s">
        <v>11</v>
      </c>
      <c r="D863" s="65">
        <v>3348</v>
      </c>
      <c r="E863" s="65">
        <v>3358</v>
      </c>
      <c r="F863" s="65">
        <v>3348</v>
      </c>
      <c r="G863" s="13">
        <f t="shared" si="234"/>
        <v>-10</v>
      </c>
      <c r="H863" s="13">
        <f t="shared" si="235"/>
        <v>0</v>
      </c>
      <c r="I863" s="70">
        <f t="shared" si="236"/>
        <v>0</v>
      </c>
      <c r="J863" s="70">
        <f t="shared" si="237"/>
        <v>-2.9779630732579276E-3</v>
      </c>
      <c r="K863" s="82" t="str">
        <f>_xlfn.IFNA(VLOOKUP(CLEAN(SUBSTITUTE(C863," ","")),Ref_Factory!$A:$B,2,FALSE),CLEAN(SUBSTITUTE(C863," ","")))</f>
        <v>GM1</v>
      </c>
      <c r="L863" s="82" t="str">
        <f t="shared" si="238"/>
        <v>JULY-1-GM1</v>
      </c>
      <c r="M863" s="70">
        <f t="shared" si="239"/>
        <v>-0.26058357970999091</v>
      </c>
      <c r="N863" s="70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25">
      <c r="A864" t="s">
        <v>41</v>
      </c>
      <c r="B864" s="63">
        <v>1</v>
      </c>
      <c r="C864" t="s">
        <v>11</v>
      </c>
      <c r="D864" s="65">
        <v>2016</v>
      </c>
      <c r="E864" s="65">
        <v>2054</v>
      </c>
      <c r="F864" s="65">
        <v>2016</v>
      </c>
      <c r="G864" s="13">
        <f t="shared" si="234"/>
        <v>-38</v>
      </c>
      <c r="H864" s="13">
        <f t="shared" si="235"/>
        <v>0</v>
      </c>
      <c r="I864" s="70">
        <f t="shared" si="236"/>
        <v>0</v>
      </c>
      <c r="J864" s="70">
        <f t="shared" si="237"/>
        <v>-1.8500486854917231E-2</v>
      </c>
      <c r="K864" s="82" t="str">
        <f>_xlfn.IFNA(VLOOKUP(CLEAN(SUBSTITUTE(C864," ","")),Ref_Factory!$A:$B,2,FALSE),CLEAN(SUBSTITUTE(C864," ","")))</f>
        <v>GM1</v>
      </c>
      <c r="L864" s="82" t="str">
        <f t="shared" si="238"/>
        <v>JULY-1-GM1</v>
      </c>
      <c r="M864" s="70">
        <f t="shared" si="239"/>
        <v>-0.26058357970999091</v>
      </c>
      <c r="N864" s="70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25">
      <c r="A865" t="s">
        <v>41</v>
      </c>
      <c r="B865" s="63">
        <v>1</v>
      </c>
      <c r="C865" t="s">
        <v>11</v>
      </c>
      <c r="D865" s="65">
        <v>4608</v>
      </c>
      <c r="E865" s="65">
        <v>4618</v>
      </c>
      <c r="F865" s="65">
        <v>4608</v>
      </c>
      <c r="G865" s="13">
        <f t="shared" si="234"/>
        <v>-10</v>
      </c>
      <c r="H865" s="13">
        <f t="shared" si="235"/>
        <v>0</v>
      </c>
      <c r="I865" s="70">
        <f t="shared" si="236"/>
        <v>0</v>
      </c>
      <c r="J865" s="70">
        <f t="shared" si="237"/>
        <v>-2.1654395842356511E-3</v>
      </c>
      <c r="K865" s="82" t="str">
        <f>_xlfn.IFNA(VLOOKUP(CLEAN(SUBSTITUTE(C865," ","")),Ref_Factory!$A:$B,2,FALSE),CLEAN(SUBSTITUTE(C865," ","")))</f>
        <v>GM1</v>
      </c>
      <c r="L865" s="82" t="str">
        <f t="shared" si="238"/>
        <v>JULY-1-GM1</v>
      </c>
      <c r="M865" s="70">
        <f t="shared" si="239"/>
        <v>-0.26058357970999091</v>
      </c>
      <c r="N865" s="70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25">
      <c r="A866" t="s">
        <v>41</v>
      </c>
      <c r="B866" s="63">
        <v>1</v>
      </c>
      <c r="C866" t="s">
        <v>11</v>
      </c>
      <c r="D866" s="65">
        <v>6336</v>
      </c>
      <c r="E866" s="65">
        <v>6301</v>
      </c>
      <c r="F866" s="65">
        <v>6228</v>
      </c>
      <c r="G866" s="13">
        <f t="shared" si="234"/>
        <v>-73</v>
      </c>
      <c r="H866" s="13">
        <f t="shared" si="235"/>
        <v>-108</v>
      </c>
      <c r="I866" s="70">
        <f t="shared" si="236"/>
        <v>-1.7045454545454586E-2</v>
      </c>
      <c r="J866" s="70">
        <f t="shared" si="237"/>
        <v>-1.158546262498017E-2</v>
      </c>
      <c r="K866" s="82" t="str">
        <f>_xlfn.IFNA(VLOOKUP(CLEAN(SUBSTITUTE(C866," ","")),Ref_Factory!$A:$B,2,FALSE),CLEAN(SUBSTITUTE(C866," ","")))</f>
        <v>GM1</v>
      </c>
      <c r="L866" s="82" t="str">
        <f t="shared" si="238"/>
        <v>JULY-1-GM1</v>
      </c>
      <c r="M866" s="70">
        <f t="shared" si="239"/>
        <v>-0.26058357970999091</v>
      </c>
      <c r="N866" s="70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25">
      <c r="A867" t="s">
        <v>41</v>
      </c>
      <c r="B867" s="63">
        <v>1</v>
      </c>
      <c r="C867" t="s">
        <v>11</v>
      </c>
      <c r="D867" s="65">
        <v>9360</v>
      </c>
      <c r="E867" s="65">
        <v>9360</v>
      </c>
      <c r="F867" s="65">
        <v>9304</v>
      </c>
      <c r="G867" s="13">
        <f t="shared" si="234"/>
        <v>-56</v>
      </c>
      <c r="H867" s="13">
        <f t="shared" si="235"/>
        <v>-56</v>
      </c>
      <c r="I867" s="70">
        <f t="shared" si="236"/>
        <v>-5.9829059829059617E-3</v>
      </c>
      <c r="J867" s="70">
        <f t="shared" si="237"/>
        <v>-5.9829059829059617E-3</v>
      </c>
      <c r="K867" s="82" t="str">
        <f>_xlfn.IFNA(VLOOKUP(CLEAN(SUBSTITUTE(C867," ","")),Ref_Factory!$A:$B,2,FALSE),CLEAN(SUBSTITUTE(C867," ","")))</f>
        <v>GM1</v>
      </c>
      <c r="L867" s="82" t="str">
        <f t="shared" si="238"/>
        <v>JULY-1-GM1</v>
      </c>
      <c r="M867" s="70">
        <f t="shared" si="239"/>
        <v>-0.26058357970999091</v>
      </c>
      <c r="N867" s="70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25">
      <c r="A868" t="s">
        <v>41</v>
      </c>
      <c r="B868" s="63">
        <v>1</v>
      </c>
      <c r="C868" t="s">
        <v>14</v>
      </c>
      <c r="D868" s="65">
        <v>25164</v>
      </c>
      <c r="E868" s="65">
        <v>25187</v>
      </c>
      <c r="F868" s="65">
        <v>24924</v>
      </c>
      <c r="G868" s="13">
        <f t="shared" si="234"/>
        <v>-263</v>
      </c>
      <c r="H868" s="13">
        <f t="shared" si="235"/>
        <v>-240</v>
      </c>
      <c r="I868" s="70">
        <f t="shared" si="236"/>
        <v>-9.5374344301383251E-3</v>
      </c>
      <c r="J868" s="70">
        <f t="shared" si="237"/>
        <v>-1.0441894628181236E-2</v>
      </c>
      <c r="K868" s="82" t="str">
        <f>_xlfn.IFNA(VLOOKUP(CLEAN(SUBSTITUTE(C868," ","")),Ref_Factory!$A:$B,2,FALSE),CLEAN(SUBSTITUTE(C868," ","")))</f>
        <v>GM2</v>
      </c>
      <c r="L868" s="82" t="str">
        <f t="shared" si="238"/>
        <v>JULY-1-GM2</v>
      </c>
      <c r="M868" s="70">
        <f t="shared" si="239"/>
        <v>-0.14422769021747106</v>
      </c>
      <c r="N868" s="70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25">
      <c r="A869" t="s">
        <v>41</v>
      </c>
      <c r="B869" s="63">
        <v>1</v>
      </c>
      <c r="C869" t="s">
        <v>14</v>
      </c>
      <c r="D869" s="65">
        <v>16632</v>
      </c>
      <c r="E869" s="65">
        <v>16664</v>
      </c>
      <c r="F869" s="65">
        <v>16632</v>
      </c>
      <c r="G869" s="13">
        <f t="shared" si="234"/>
        <v>-32</v>
      </c>
      <c r="H869" s="13">
        <f t="shared" si="235"/>
        <v>0</v>
      </c>
      <c r="I869" s="70">
        <f t="shared" si="236"/>
        <v>0</v>
      </c>
      <c r="J869" s="70">
        <f t="shared" si="237"/>
        <v>-1.9203072491598139E-3</v>
      </c>
      <c r="K869" s="82" t="str">
        <f>_xlfn.IFNA(VLOOKUP(CLEAN(SUBSTITUTE(C869," ","")),Ref_Factory!$A:$B,2,FALSE),CLEAN(SUBSTITUTE(C869," ","")))</f>
        <v>GM2</v>
      </c>
      <c r="L869" s="82" t="str">
        <f t="shared" si="238"/>
        <v>JULY-1-GM2</v>
      </c>
      <c r="M869" s="70">
        <f t="shared" si="239"/>
        <v>-0.14422769021747106</v>
      </c>
      <c r="N869" s="70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25">
      <c r="A870" t="s">
        <v>41</v>
      </c>
      <c r="B870" s="63">
        <v>1</v>
      </c>
      <c r="C870" t="s">
        <v>14</v>
      </c>
      <c r="D870" s="65">
        <v>11448</v>
      </c>
      <c r="E870" s="65">
        <v>11452</v>
      </c>
      <c r="F870" s="65">
        <v>11331</v>
      </c>
      <c r="G870" s="13">
        <f t="shared" si="234"/>
        <v>-121</v>
      </c>
      <c r="H870" s="13">
        <f t="shared" si="235"/>
        <v>-117</v>
      </c>
      <c r="I870" s="70">
        <f t="shared" si="236"/>
        <v>-1.0220125786163492E-2</v>
      </c>
      <c r="J870" s="70">
        <f t="shared" si="237"/>
        <v>-1.0565840027942697E-2</v>
      </c>
      <c r="K870" s="82" t="str">
        <f>_xlfn.IFNA(VLOOKUP(CLEAN(SUBSTITUTE(C870," ","")),Ref_Factory!$A:$B,2,FALSE),CLEAN(SUBSTITUTE(C870," ","")))</f>
        <v>GM2</v>
      </c>
      <c r="L870" s="82" t="str">
        <f t="shared" si="238"/>
        <v>JULY-1-GM2</v>
      </c>
      <c r="M870" s="70">
        <f t="shared" si="239"/>
        <v>-0.14422769021747106</v>
      </c>
      <c r="N870" s="70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25">
      <c r="A871" t="s">
        <v>41</v>
      </c>
      <c r="B871" s="63">
        <v>1</v>
      </c>
      <c r="C871" t="s">
        <v>14</v>
      </c>
      <c r="D871" s="65">
        <v>21168</v>
      </c>
      <c r="E871" s="65">
        <v>21177</v>
      </c>
      <c r="F871" s="65">
        <v>20991</v>
      </c>
      <c r="G871" s="13">
        <f t="shared" si="234"/>
        <v>-186</v>
      </c>
      <c r="H871" s="13">
        <f t="shared" si="235"/>
        <v>-177</v>
      </c>
      <c r="I871" s="70">
        <f t="shared" si="236"/>
        <v>-8.3616780045351335E-3</v>
      </c>
      <c r="J871" s="70">
        <f t="shared" si="237"/>
        <v>-8.7831137554894578E-3</v>
      </c>
      <c r="K871" s="82" t="str">
        <f>_xlfn.IFNA(VLOOKUP(CLEAN(SUBSTITUTE(C871," ","")),Ref_Factory!$A:$B,2,FALSE),CLEAN(SUBSTITUTE(C871," ","")))</f>
        <v>GM2</v>
      </c>
      <c r="L871" s="82" t="str">
        <f t="shared" si="238"/>
        <v>JULY-1-GM2</v>
      </c>
      <c r="M871" s="70">
        <f t="shared" si="239"/>
        <v>-0.14422769021747106</v>
      </c>
      <c r="N871" s="70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25">
      <c r="A872" t="s">
        <v>41</v>
      </c>
      <c r="B872" s="63">
        <v>1</v>
      </c>
      <c r="C872" t="s">
        <v>14</v>
      </c>
      <c r="D872" s="65">
        <v>1080</v>
      </c>
      <c r="E872" s="65">
        <v>1080</v>
      </c>
      <c r="F872" s="65">
        <v>1050</v>
      </c>
      <c r="G872" s="13">
        <f t="shared" si="234"/>
        <v>-30</v>
      </c>
      <c r="H872" s="13">
        <f t="shared" si="235"/>
        <v>-30</v>
      </c>
      <c r="I872" s="70">
        <f t="shared" si="236"/>
        <v>-2.777777777777779E-2</v>
      </c>
      <c r="J872" s="70">
        <f t="shared" si="237"/>
        <v>-2.777777777777779E-2</v>
      </c>
      <c r="K872" s="82" t="str">
        <f>_xlfn.IFNA(VLOOKUP(CLEAN(SUBSTITUTE(C872," ","")),Ref_Factory!$A:$B,2,FALSE),CLEAN(SUBSTITUTE(C872," ","")))</f>
        <v>GM2</v>
      </c>
      <c r="L872" s="82" t="str">
        <f t="shared" si="238"/>
        <v>JULY-1-GM2</v>
      </c>
      <c r="M872" s="70">
        <f t="shared" si="239"/>
        <v>-0.14422769021747106</v>
      </c>
      <c r="N872" s="70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25">
      <c r="A873" t="s">
        <v>41</v>
      </c>
      <c r="B873" s="63">
        <v>1</v>
      </c>
      <c r="C873" t="s">
        <v>14</v>
      </c>
      <c r="D873" s="65">
        <v>25596</v>
      </c>
      <c r="E873" s="65">
        <v>25602</v>
      </c>
      <c r="F873" s="65">
        <v>25464</v>
      </c>
      <c r="G873" s="13">
        <f t="shared" si="234"/>
        <v>-138</v>
      </c>
      <c r="H873" s="13">
        <f t="shared" si="235"/>
        <v>-132</v>
      </c>
      <c r="I873" s="70">
        <f t="shared" si="236"/>
        <v>-5.1570557899671687E-3</v>
      </c>
      <c r="J873" s="70">
        <f t="shared" si="237"/>
        <v>-5.3902038903210769E-3</v>
      </c>
      <c r="K873" s="82" t="str">
        <f>_xlfn.IFNA(VLOOKUP(CLEAN(SUBSTITUTE(C873," ","")),Ref_Factory!$A:$B,2,FALSE),CLEAN(SUBSTITUTE(C873," ","")))</f>
        <v>GM2</v>
      </c>
      <c r="L873" s="82" t="str">
        <f t="shared" si="238"/>
        <v>JULY-1-GM2</v>
      </c>
      <c r="M873" s="70">
        <f t="shared" si="239"/>
        <v>-0.14422769021747106</v>
      </c>
      <c r="N873" s="70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25">
      <c r="A874" t="s">
        <v>41</v>
      </c>
      <c r="B874" s="63">
        <v>1</v>
      </c>
      <c r="C874" t="s">
        <v>14</v>
      </c>
      <c r="D874" s="65">
        <v>1188</v>
      </c>
      <c r="E874" s="65">
        <v>1188</v>
      </c>
      <c r="F874" s="65">
        <v>1179</v>
      </c>
      <c r="G874" s="13">
        <f t="shared" si="234"/>
        <v>-9</v>
      </c>
      <c r="H874" s="13">
        <f t="shared" si="235"/>
        <v>-9</v>
      </c>
      <c r="I874" s="70">
        <f t="shared" si="236"/>
        <v>-7.575757575757569E-3</v>
      </c>
      <c r="J874" s="70">
        <f t="shared" si="237"/>
        <v>-7.575757575757569E-3</v>
      </c>
      <c r="K874" s="82" t="str">
        <f>_xlfn.IFNA(VLOOKUP(CLEAN(SUBSTITUTE(C874," ","")),Ref_Factory!$A:$B,2,FALSE),CLEAN(SUBSTITUTE(C874," ","")))</f>
        <v>GM2</v>
      </c>
      <c r="L874" s="82" t="str">
        <f t="shared" si="238"/>
        <v>JULY-1-GM2</v>
      </c>
      <c r="M874" s="70">
        <f t="shared" si="239"/>
        <v>-0.14422769021747106</v>
      </c>
      <c r="N874" s="70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25">
      <c r="A875" t="s">
        <v>41</v>
      </c>
      <c r="B875" s="63">
        <v>1</v>
      </c>
      <c r="C875" t="s">
        <v>14</v>
      </c>
      <c r="D875" s="65">
        <v>35532</v>
      </c>
      <c r="E875" s="65">
        <v>35533</v>
      </c>
      <c r="F875" s="65">
        <v>35214</v>
      </c>
      <c r="G875" s="13">
        <f t="shared" si="234"/>
        <v>-319</v>
      </c>
      <c r="H875" s="13">
        <f t="shared" si="235"/>
        <v>-318</v>
      </c>
      <c r="I875" s="70">
        <f t="shared" si="236"/>
        <v>-8.9496791624451566E-3</v>
      </c>
      <c r="J875" s="70">
        <f t="shared" si="237"/>
        <v>-8.9775701460613755E-3</v>
      </c>
      <c r="K875" s="82" t="str">
        <f>_xlfn.IFNA(VLOOKUP(CLEAN(SUBSTITUTE(C875," ","")),Ref_Factory!$A:$B,2,FALSE),CLEAN(SUBSTITUTE(C875," ","")))</f>
        <v>GM2</v>
      </c>
      <c r="L875" s="82" t="str">
        <f t="shared" si="238"/>
        <v>JULY-1-GM2</v>
      </c>
      <c r="M875" s="70">
        <f t="shared" si="239"/>
        <v>-0.14422769021747106</v>
      </c>
      <c r="N875" s="70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25">
      <c r="A876" t="s">
        <v>41</v>
      </c>
      <c r="B876" s="63">
        <v>1</v>
      </c>
      <c r="C876" t="s">
        <v>14</v>
      </c>
      <c r="D876" s="65">
        <v>26244</v>
      </c>
      <c r="E876" s="65">
        <v>26251</v>
      </c>
      <c r="F876" s="65">
        <v>25968</v>
      </c>
      <c r="G876" s="13">
        <f t="shared" si="234"/>
        <v>-283</v>
      </c>
      <c r="H876" s="13">
        <f t="shared" si="235"/>
        <v>-276</v>
      </c>
      <c r="I876" s="70">
        <f t="shared" si="236"/>
        <v>-1.0516689529035173E-2</v>
      </c>
      <c r="J876" s="70">
        <f t="shared" si="237"/>
        <v>-1.0780541693649726E-2</v>
      </c>
      <c r="K876" s="82" t="str">
        <f>_xlfn.IFNA(VLOOKUP(CLEAN(SUBSTITUTE(C876," ","")),Ref_Factory!$A:$B,2,FALSE),CLEAN(SUBSTITUTE(C876," ","")))</f>
        <v>GM2</v>
      </c>
      <c r="L876" s="82" t="str">
        <f t="shared" si="238"/>
        <v>JULY-1-GM2</v>
      </c>
      <c r="M876" s="70">
        <f t="shared" si="239"/>
        <v>-0.14422769021747106</v>
      </c>
      <c r="N876" s="70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25">
      <c r="A877" t="s">
        <v>41</v>
      </c>
      <c r="B877" s="63">
        <v>1</v>
      </c>
      <c r="C877" t="s">
        <v>14</v>
      </c>
      <c r="D877" s="65">
        <v>15660</v>
      </c>
      <c r="E877" s="65">
        <v>15671</v>
      </c>
      <c r="F877" s="65">
        <v>15462</v>
      </c>
      <c r="G877" s="13">
        <f t="shared" si="234"/>
        <v>-209</v>
      </c>
      <c r="H877" s="13">
        <f t="shared" si="235"/>
        <v>-198</v>
      </c>
      <c r="I877" s="70">
        <f t="shared" si="236"/>
        <v>-1.2643678160919491E-2</v>
      </c>
      <c r="J877" s="70">
        <f t="shared" si="237"/>
        <v>-1.3336736647310277E-2</v>
      </c>
      <c r="K877" s="82" t="str">
        <f>_xlfn.IFNA(VLOOKUP(CLEAN(SUBSTITUTE(C877," ","")),Ref_Factory!$A:$B,2,FALSE),CLEAN(SUBSTITUTE(C877," ","")))</f>
        <v>GM2</v>
      </c>
      <c r="L877" s="82" t="str">
        <f t="shared" si="238"/>
        <v>JULY-1-GM2</v>
      </c>
      <c r="M877" s="70">
        <f t="shared" si="239"/>
        <v>-0.14422769021747106</v>
      </c>
      <c r="N877" s="70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25">
      <c r="A878" t="s">
        <v>41</v>
      </c>
      <c r="B878" s="63">
        <v>1</v>
      </c>
      <c r="C878" t="s">
        <v>14</v>
      </c>
      <c r="D878" s="65">
        <v>11124</v>
      </c>
      <c r="E878" s="65">
        <v>11119</v>
      </c>
      <c r="F878" s="65">
        <v>11115</v>
      </c>
      <c r="G878" s="13">
        <f t="shared" si="234"/>
        <v>-4</v>
      </c>
      <c r="H878" s="13">
        <f t="shared" si="235"/>
        <v>-9</v>
      </c>
      <c r="I878" s="70">
        <f t="shared" si="236"/>
        <v>-8.0906148867310179E-4</v>
      </c>
      <c r="J878" s="70">
        <f t="shared" si="237"/>
        <v>-3.597445813472433E-4</v>
      </c>
      <c r="K878" s="82" t="str">
        <f>_xlfn.IFNA(VLOOKUP(CLEAN(SUBSTITUTE(C878," ","")),Ref_Factory!$A:$B,2,FALSE),CLEAN(SUBSTITUTE(C878," ","")))</f>
        <v>GM2</v>
      </c>
      <c r="L878" s="82" t="str">
        <f t="shared" si="238"/>
        <v>JULY-1-GM2</v>
      </c>
      <c r="M878" s="70">
        <f t="shared" si="239"/>
        <v>-0.14422769021747106</v>
      </c>
      <c r="N878" s="70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25">
      <c r="A879" t="s">
        <v>41</v>
      </c>
      <c r="B879" s="63">
        <v>1</v>
      </c>
      <c r="C879" t="s">
        <v>14</v>
      </c>
      <c r="D879" s="65">
        <v>7128</v>
      </c>
      <c r="E879" s="65">
        <v>7157</v>
      </c>
      <c r="F879" s="65">
        <v>7128</v>
      </c>
      <c r="G879" s="13">
        <f t="shared" si="234"/>
        <v>-29</v>
      </c>
      <c r="H879" s="13">
        <f t="shared" si="235"/>
        <v>0</v>
      </c>
      <c r="I879" s="70">
        <f t="shared" si="236"/>
        <v>0</v>
      </c>
      <c r="J879" s="70">
        <f t="shared" si="237"/>
        <v>-4.0519770853709725E-3</v>
      </c>
      <c r="K879" s="82" t="str">
        <f>_xlfn.IFNA(VLOOKUP(CLEAN(SUBSTITUTE(C879," ","")),Ref_Factory!$A:$B,2,FALSE),CLEAN(SUBSTITUTE(C879," ","")))</f>
        <v>GM2</v>
      </c>
      <c r="L879" s="82" t="str">
        <f t="shared" si="238"/>
        <v>JULY-1-GM2</v>
      </c>
      <c r="M879" s="70">
        <f t="shared" si="239"/>
        <v>-0.14422769021747106</v>
      </c>
      <c r="N879" s="70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25">
      <c r="A880" t="s">
        <v>41</v>
      </c>
      <c r="B880" s="63">
        <v>1</v>
      </c>
      <c r="C880" t="s">
        <v>14</v>
      </c>
      <c r="D880" s="65">
        <v>1080</v>
      </c>
      <c r="E880" s="65">
        <v>1080</v>
      </c>
      <c r="F880" s="65">
        <v>1080</v>
      </c>
      <c r="G880" s="13">
        <f t="shared" si="234"/>
        <v>0</v>
      </c>
      <c r="H880" s="13">
        <f t="shared" si="235"/>
        <v>0</v>
      </c>
      <c r="I880" s="70">
        <f t="shared" si="236"/>
        <v>0</v>
      </c>
      <c r="J880" s="70">
        <f t="shared" si="237"/>
        <v>0</v>
      </c>
      <c r="K880" s="82" t="str">
        <f>_xlfn.IFNA(VLOOKUP(CLEAN(SUBSTITUTE(C880," ","")),Ref_Factory!$A:$B,2,FALSE),CLEAN(SUBSTITUTE(C880," ","")))</f>
        <v>GM2</v>
      </c>
      <c r="L880" s="82" t="str">
        <f t="shared" si="238"/>
        <v>JULY-1-GM2</v>
      </c>
      <c r="M880" s="70">
        <f t="shared" si="239"/>
        <v>-0.14422769021747106</v>
      </c>
      <c r="N880" s="70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25">
      <c r="A881" t="s">
        <v>41</v>
      </c>
      <c r="B881" s="63">
        <v>1</v>
      </c>
      <c r="C881" t="s">
        <v>14</v>
      </c>
      <c r="D881" s="65">
        <v>7236</v>
      </c>
      <c r="E881" s="65">
        <v>7249</v>
      </c>
      <c r="F881" s="65">
        <v>7197</v>
      </c>
      <c r="G881" s="13">
        <f t="shared" si="234"/>
        <v>-52</v>
      </c>
      <c r="H881" s="13">
        <f t="shared" si="235"/>
        <v>-39</v>
      </c>
      <c r="I881" s="70">
        <f t="shared" si="236"/>
        <v>-5.3897180762851882E-3</v>
      </c>
      <c r="J881" s="70">
        <f t="shared" si="237"/>
        <v>-7.1734032280315052E-3</v>
      </c>
      <c r="K881" s="82" t="str">
        <f>_xlfn.IFNA(VLOOKUP(CLEAN(SUBSTITUTE(C881," ","")),Ref_Factory!$A:$B,2,FALSE),CLEAN(SUBSTITUTE(C881," ","")))</f>
        <v>GM2</v>
      </c>
      <c r="L881" s="82" t="str">
        <f t="shared" si="238"/>
        <v>JULY-1-GM2</v>
      </c>
      <c r="M881" s="70">
        <f t="shared" si="239"/>
        <v>-0.14422769021747106</v>
      </c>
      <c r="N881" s="70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25">
      <c r="A882" t="s">
        <v>41</v>
      </c>
      <c r="B882" s="63">
        <v>1</v>
      </c>
      <c r="C882" t="s">
        <v>14</v>
      </c>
      <c r="D882" s="65">
        <v>1080</v>
      </c>
      <c r="E882" s="65">
        <v>1080</v>
      </c>
      <c r="F882" s="65">
        <v>1074</v>
      </c>
      <c r="G882" s="13">
        <f t="shared" si="234"/>
        <v>-6</v>
      </c>
      <c r="H882" s="13">
        <f t="shared" si="235"/>
        <v>-6</v>
      </c>
      <c r="I882" s="70">
        <f t="shared" si="236"/>
        <v>-5.5555555555555358E-3</v>
      </c>
      <c r="J882" s="70">
        <f t="shared" si="237"/>
        <v>-5.5555555555555358E-3</v>
      </c>
      <c r="K882" s="82" t="str">
        <f>_xlfn.IFNA(VLOOKUP(CLEAN(SUBSTITUTE(C882," ","")),Ref_Factory!$A:$B,2,FALSE),CLEAN(SUBSTITUTE(C882," ","")))</f>
        <v>GM2</v>
      </c>
      <c r="L882" s="82" t="str">
        <f t="shared" si="238"/>
        <v>JULY-1-GM2</v>
      </c>
      <c r="M882" s="70">
        <f t="shared" si="239"/>
        <v>-0.14422769021747106</v>
      </c>
      <c r="N882" s="70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25">
      <c r="A883" t="s">
        <v>41</v>
      </c>
      <c r="B883" s="63">
        <v>1</v>
      </c>
      <c r="C883" t="s">
        <v>14</v>
      </c>
      <c r="D883" s="65">
        <v>4968</v>
      </c>
      <c r="E883" s="65">
        <v>4977</v>
      </c>
      <c r="F883" s="65">
        <v>4956</v>
      </c>
      <c r="G883" s="13">
        <f t="shared" si="234"/>
        <v>-21</v>
      </c>
      <c r="H883" s="13">
        <f t="shared" si="235"/>
        <v>-12</v>
      </c>
      <c r="I883" s="70">
        <f t="shared" si="236"/>
        <v>-2.4154589371980784E-3</v>
      </c>
      <c r="J883" s="70">
        <f t="shared" si="237"/>
        <v>-4.2194092827003704E-3</v>
      </c>
      <c r="K883" s="82" t="str">
        <f>_xlfn.IFNA(VLOOKUP(CLEAN(SUBSTITUTE(C883," ","")),Ref_Factory!$A:$B,2,FALSE),CLEAN(SUBSTITUTE(C883," ","")))</f>
        <v>GM2</v>
      </c>
      <c r="L883" s="82" t="str">
        <f t="shared" si="238"/>
        <v>JULY-1-GM2</v>
      </c>
      <c r="M883" s="70">
        <f t="shared" si="239"/>
        <v>-0.14422769021747106</v>
      </c>
      <c r="N883" s="70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25">
      <c r="A884" t="s">
        <v>41</v>
      </c>
      <c r="B884" s="63">
        <v>1</v>
      </c>
      <c r="C884" t="s">
        <v>14</v>
      </c>
      <c r="D884" s="65">
        <v>7560</v>
      </c>
      <c r="E884" s="65">
        <v>7562</v>
      </c>
      <c r="F884" s="65">
        <v>7455</v>
      </c>
      <c r="G884" s="13">
        <f t="shared" si="234"/>
        <v>-107</v>
      </c>
      <c r="H884" s="13">
        <f t="shared" si="235"/>
        <v>-105</v>
      </c>
      <c r="I884" s="70">
        <f t="shared" si="236"/>
        <v>-1.388888888888884E-2</v>
      </c>
      <c r="J884" s="70">
        <f t="shared" si="237"/>
        <v>-1.4149695847659349E-2</v>
      </c>
      <c r="K884" s="82" t="str">
        <f>_xlfn.IFNA(VLOOKUP(CLEAN(SUBSTITUTE(C884," ","")),Ref_Factory!$A:$B,2,FALSE),CLEAN(SUBSTITUTE(C884," ","")))</f>
        <v>GM2</v>
      </c>
      <c r="L884" s="82" t="str">
        <f t="shared" si="238"/>
        <v>JULY-1-GM2</v>
      </c>
      <c r="M884" s="70">
        <f t="shared" si="239"/>
        <v>-0.14422769021747106</v>
      </c>
      <c r="N884" s="70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25">
      <c r="A885" t="s">
        <v>41</v>
      </c>
      <c r="B885" s="63">
        <v>1</v>
      </c>
      <c r="C885" t="s">
        <v>14</v>
      </c>
      <c r="D885" s="65">
        <v>1080</v>
      </c>
      <c r="E885" s="65">
        <v>1080</v>
      </c>
      <c r="F885" s="65">
        <v>1068</v>
      </c>
      <c r="G885" s="13">
        <f t="shared" si="234"/>
        <v>-12</v>
      </c>
      <c r="H885" s="13">
        <f t="shared" si="235"/>
        <v>-12</v>
      </c>
      <c r="I885" s="70">
        <f t="shared" si="236"/>
        <v>-1.1111111111111072E-2</v>
      </c>
      <c r="J885" s="70">
        <f t="shared" si="237"/>
        <v>-1.1111111111111072E-2</v>
      </c>
      <c r="K885" s="82" t="str">
        <f>_xlfn.IFNA(VLOOKUP(CLEAN(SUBSTITUTE(C885," ","")),Ref_Factory!$A:$B,2,FALSE),CLEAN(SUBSTITUTE(C885," ","")))</f>
        <v>GM2</v>
      </c>
      <c r="L885" s="82" t="str">
        <f t="shared" si="238"/>
        <v>JULY-1-GM2</v>
      </c>
      <c r="M885" s="70">
        <f t="shared" si="239"/>
        <v>-0.14422769021747106</v>
      </c>
      <c r="N885" s="70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25">
      <c r="A886" t="s">
        <v>41</v>
      </c>
      <c r="B886" s="63">
        <v>1</v>
      </c>
      <c r="C886" t="s">
        <v>14</v>
      </c>
      <c r="D886" s="65">
        <v>5616</v>
      </c>
      <c r="E886" s="65">
        <v>5624</v>
      </c>
      <c r="F886" s="65">
        <v>5595</v>
      </c>
      <c r="G886" s="13">
        <f t="shared" si="234"/>
        <v>-29</v>
      </c>
      <c r="H886" s="13">
        <f t="shared" si="235"/>
        <v>-21</v>
      </c>
      <c r="I886" s="70">
        <f t="shared" si="236"/>
        <v>-3.739316239316226E-3</v>
      </c>
      <c r="J886" s="70">
        <f t="shared" si="237"/>
        <v>-5.1564722617354342E-3</v>
      </c>
      <c r="K886" s="82" t="str">
        <f>_xlfn.IFNA(VLOOKUP(CLEAN(SUBSTITUTE(C886," ","")),Ref_Factory!$A:$B,2,FALSE),CLEAN(SUBSTITUTE(C886," ","")))</f>
        <v>GM2</v>
      </c>
      <c r="L886" s="82" t="str">
        <f t="shared" si="238"/>
        <v>JULY-1-GM2</v>
      </c>
      <c r="M886" s="70">
        <f t="shared" si="239"/>
        <v>-0.14422769021747106</v>
      </c>
      <c r="N886" s="70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25">
      <c r="A887" t="s">
        <v>41</v>
      </c>
      <c r="B887" s="63">
        <v>1</v>
      </c>
      <c r="C887" t="s">
        <v>14</v>
      </c>
      <c r="D887" s="65">
        <v>7488</v>
      </c>
      <c r="E887" s="65">
        <v>7500</v>
      </c>
      <c r="F887" s="65">
        <v>7488</v>
      </c>
      <c r="G887" s="13">
        <f t="shared" si="234"/>
        <v>-12</v>
      </c>
      <c r="H887" s="13">
        <f t="shared" si="235"/>
        <v>0</v>
      </c>
      <c r="I887" s="70">
        <f t="shared" si="236"/>
        <v>0</v>
      </c>
      <c r="J887" s="70">
        <f t="shared" si="237"/>
        <v>-1.6000000000000458E-3</v>
      </c>
      <c r="K887" s="82" t="str">
        <f>_xlfn.IFNA(VLOOKUP(CLEAN(SUBSTITUTE(C887," ","")),Ref_Factory!$A:$B,2,FALSE),CLEAN(SUBSTITUTE(C887," ","")))</f>
        <v>GM2</v>
      </c>
      <c r="L887" s="82" t="str">
        <f t="shared" si="238"/>
        <v>JULY-1-GM2</v>
      </c>
      <c r="M887" s="70">
        <f t="shared" si="239"/>
        <v>-0.14422769021747106</v>
      </c>
      <c r="N887" s="70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25">
      <c r="A888" t="s">
        <v>41</v>
      </c>
      <c r="B888" s="63">
        <v>1</v>
      </c>
      <c r="C888" t="s">
        <v>14</v>
      </c>
      <c r="D888" s="65">
        <v>6912</v>
      </c>
      <c r="E888" s="65">
        <v>6927</v>
      </c>
      <c r="F888" s="65">
        <v>6908</v>
      </c>
      <c r="G888" s="13">
        <f t="shared" si="234"/>
        <v>-19</v>
      </c>
      <c r="H888" s="13">
        <f t="shared" si="235"/>
        <v>-4</v>
      </c>
      <c r="I888" s="70">
        <f t="shared" si="236"/>
        <v>-5.7870370370372015E-4</v>
      </c>
      <c r="J888" s="70">
        <f t="shared" si="237"/>
        <v>-2.7428901400317063E-3</v>
      </c>
      <c r="K888" s="82" t="str">
        <f>_xlfn.IFNA(VLOOKUP(CLEAN(SUBSTITUTE(C888," ","")),Ref_Factory!$A:$B,2,FALSE),CLEAN(SUBSTITUTE(C888," ","")))</f>
        <v>GM2</v>
      </c>
      <c r="L888" s="82" t="str">
        <f t="shared" si="238"/>
        <v>JULY-1-GM2</v>
      </c>
      <c r="M888" s="70">
        <f t="shared" si="239"/>
        <v>-0.14422769021747106</v>
      </c>
      <c r="N888" s="70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25">
      <c r="A889" t="s">
        <v>41</v>
      </c>
      <c r="B889" s="63">
        <v>1</v>
      </c>
      <c r="C889" t="s">
        <v>13</v>
      </c>
      <c r="D889" s="65">
        <v>14688</v>
      </c>
      <c r="E889" s="65">
        <v>14688</v>
      </c>
      <c r="F889" s="65">
        <v>14619</v>
      </c>
      <c r="G889" s="13">
        <f t="shared" si="234"/>
        <v>-69</v>
      </c>
      <c r="H889" s="13">
        <f t="shared" si="235"/>
        <v>-69</v>
      </c>
      <c r="I889" s="70">
        <f t="shared" si="236"/>
        <v>-4.6977124183006369E-3</v>
      </c>
      <c r="J889" s="70">
        <f t="shared" si="237"/>
        <v>-4.6977124183006369E-3</v>
      </c>
      <c r="K889" s="82" t="str">
        <f>_xlfn.IFNA(VLOOKUP(CLEAN(SUBSTITUTE(C889," ","")),Ref_Factory!$A:$B,2,FALSE),CLEAN(SUBSTITUTE(C889," ","")))</f>
        <v>KALIBENDA</v>
      </c>
      <c r="L889" s="82" t="str">
        <f t="shared" si="238"/>
        <v>JULY-1-KALIBENDA</v>
      </c>
      <c r="M889" s="70">
        <f t="shared" si="239"/>
        <v>9.6060638558504996E-3</v>
      </c>
      <c r="N889" s="70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25">
      <c r="A890" t="s">
        <v>41</v>
      </c>
      <c r="B890" s="63">
        <v>1</v>
      </c>
      <c r="C890" t="s">
        <v>13</v>
      </c>
      <c r="D890" s="65">
        <v>65664</v>
      </c>
      <c r="E890" s="65">
        <v>66978</v>
      </c>
      <c r="F890" s="65">
        <v>66696</v>
      </c>
      <c r="G890" s="13">
        <f t="shared" si="234"/>
        <v>-282</v>
      </c>
      <c r="H890" s="13">
        <f t="shared" si="235"/>
        <v>1032</v>
      </c>
      <c r="I890" s="70">
        <f t="shared" si="236"/>
        <v>1.5716374269005851E-2</v>
      </c>
      <c r="J890" s="70">
        <f t="shared" si="237"/>
        <v>-4.2103377228344119E-3</v>
      </c>
      <c r="K890" s="82" t="str">
        <f>_xlfn.IFNA(VLOOKUP(CLEAN(SUBSTITUTE(C890," ","")),Ref_Factory!$A:$B,2,FALSE),CLEAN(SUBSTITUTE(C890," ","")))</f>
        <v>KALIBENDA</v>
      </c>
      <c r="L890" s="82" t="str">
        <f t="shared" si="238"/>
        <v>JULY-1-KALIBENDA</v>
      </c>
      <c r="M890" s="70">
        <f t="shared" si="239"/>
        <v>9.6060638558504996E-3</v>
      </c>
      <c r="N890" s="70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25">
      <c r="A891" t="s">
        <v>41</v>
      </c>
      <c r="B891" s="63">
        <v>1</v>
      </c>
      <c r="C891" t="s">
        <v>13</v>
      </c>
      <c r="D891" s="65">
        <v>35208</v>
      </c>
      <c r="E891" s="65">
        <v>35208</v>
      </c>
      <c r="F891" s="65">
        <v>35073</v>
      </c>
      <c r="G891" s="13">
        <f t="shared" si="234"/>
        <v>-135</v>
      </c>
      <c r="H891" s="13">
        <f t="shared" si="235"/>
        <v>-135</v>
      </c>
      <c r="I891" s="70">
        <f t="shared" si="236"/>
        <v>-3.8343558282208923E-3</v>
      </c>
      <c r="J891" s="70">
        <f t="shared" si="237"/>
        <v>-3.8343558282208923E-3</v>
      </c>
      <c r="K891" s="82" t="str">
        <f>_xlfn.IFNA(VLOOKUP(CLEAN(SUBSTITUTE(C891," ","")),Ref_Factory!$A:$B,2,FALSE),CLEAN(SUBSTITUTE(C891," ","")))</f>
        <v>KALIBENDA</v>
      </c>
      <c r="L891" s="82" t="str">
        <f t="shared" si="238"/>
        <v>JULY-1-KALIBENDA</v>
      </c>
      <c r="M891" s="70">
        <f t="shared" si="239"/>
        <v>9.6060638558504996E-3</v>
      </c>
      <c r="N891" s="70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25">
      <c r="A892" t="s">
        <v>41</v>
      </c>
      <c r="B892" s="63">
        <v>1</v>
      </c>
      <c r="C892" t="s">
        <v>13</v>
      </c>
      <c r="D892" s="65">
        <v>1836</v>
      </c>
      <c r="E892" s="65">
        <v>1836</v>
      </c>
      <c r="F892" s="65">
        <v>1827</v>
      </c>
      <c r="G892" s="13">
        <f t="shared" si="234"/>
        <v>-9</v>
      </c>
      <c r="H892" s="13">
        <f t="shared" si="235"/>
        <v>-9</v>
      </c>
      <c r="I892" s="70">
        <f t="shared" si="236"/>
        <v>-4.9019607843137081E-3</v>
      </c>
      <c r="J892" s="70">
        <f t="shared" si="237"/>
        <v>-4.9019607843137081E-3</v>
      </c>
      <c r="K892" s="82" t="str">
        <f>_xlfn.IFNA(VLOOKUP(CLEAN(SUBSTITUTE(C892," ","")),Ref_Factory!$A:$B,2,FALSE),CLEAN(SUBSTITUTE(C892," ","")))</f>
        <v>KALIBENDA</v>
      </c>
      <c r="L892" s="82" t="str">
        <f t="shared" si="238"/>
        <v>JULY-1-KALIBENDA</v>
      </c>
      <c r="M892" s="70">
        <f t="shared" si="239"/>
        <v>9.6060638558504996E-3</v>
      </c>
      <c r="N892" s="70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25">
      <c r="A893" t="s">
        <v>41</v>
      </c>
      <c r="B893" s="63">
        <v>1</v>
      </c>
      <c r="C893" t="s">
        <v>13</v>
      </c>
      <c r="D893" s="65">
        <v>36072</v>
      </c>
      <c r="E893" s="65">
        <v>36072</v>
      </c>
      <c r="F893" s="65">
        <v>35970</v>
      </c>
      <c r="G893" s="13">
        <f t="shared" si="234"/>
        <v>-102</v>
      </c>
      <c r="H893" s="13">
        <f t="shared" si="235"/>
        <v>-102</v>
      </c>
      <c r="I893" s="70">
        <f t="shared" si="236"/>
        <v>-2.8276779773785954E-3</v>
      </c>
      <c r="J893" s="70">
        <f t="shared" si="237"/>
        <v>-2.8276779773785954E-3</v>
      </c>
      <c r="K893" s="82" t="str">
        <f>_xlfn.IFNA(VLOOKUP(CLEAN(SUBSTITUTE(C893," ","")),Ref_Factory!$A:$B,2,FALSE),CLEAN(SUBSTITUTE(C893," ","")))</f>
        <v>KALIBENDA</v>
      </c>
      <c r="L893" s="82" t="str">
        <f t="shared" si="238"/>
        <v>JULY-1-KALIBENDA</v>
      </c>
      <c r="M893" s="70">
        <f t="shared" si="239"/>
        <v>9.6060638558504996E-3</v>
      </c>
      <c r="N893" s="70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25">
      <c r="A894" t="s">
        <v>41</v>
      </c>
      <c r="B894" s="63">
        <v>1</v>
      </c>
      <c r="C894" t="s">
        <v>13</v>
      </c>
      <c r="D894" s="65">
        <v>7128</v>
      </c>
      <c r="E894" s="65">
        <v>7128</v>
      </c>
      <c r="F894" s="65">
        <v>7116</v>
      </c>
      <c r="G894" s="13">
        <f t="shared" si="234"/>
        <v>-12</v>
      </c>
      <c r="H894" s="13">
        <f t="shared" si="235"/>
        <v>-12</v>
      </c>
      <c r="I894" s="70">
        <f t="shared" si="236"/>
        <v>-1.6835016835017313E-3</v>
      </c>
      <c r="J894" s="70">
        <f t="shared" si="237"/>
        <v>-1.6835016835017313E-3</v>
      </c>
      <c r="K894" s="82" t="str">
        <f>_xlfn.IFNA(VLOOKUP(CLEAN(SUBSTITUTE(C894," ","")),Ref_Factory!$A:$B,2,FALSE),CLEAN(SUBSTITUTE(C894," ","")))</f>
        <v>KALIBENDA</v>
      </c>
      <c r="L894" s="82" t="str">
        <f t="shared" si="238"/>
        <v>JULY-1-KALIBENDA</v>
      </c>
      <c r="M894" s="70">
        <f t="shared" si="239"/>
        <v>9.6060638558504996E-3</v>
      </c>
      <c r="N894" s="70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25">
      <c r="A895" t="s">
        <v>41</v>
      </c>
      <c r="B895" s="63">
        <v>1</v>
      </c>
      <c r="C895" t="s">
        <v>13</v>
      </c>
      <c r="D895" s="65">
        <v>1296</v>
      </c>
      <c r="E895" s="65">
        <v>1323</v>
      </c>
      <c r="F895" s="65">
        <v>1323</v>
      </c>
      <c r="G895" s="13">
        <f t="shared" si="234"/>
        <v>0</v>
      </c>
      <c r="H895" s="13">
        <f t="shared" si="235"/>
        <v>27</v>
      </c>
      <c r="I895" s="70">
        <f t="shared" si="236"/>
        <v>2.0833333333333259E-2</v>
      </c>
      <c r="J895" s="70">
        <f t="shared" si="237"/>
        <v>0</v>
      </c>
      <c r="K895" s="82" t="str">
        <f>_xlfn.IFNA(VLOOKUP(CLEAN(SUBSTITUTE(C895," ","")),Ref_Factory!$A:$B,2,FALSE),CLEAN(SUBSTITUTE(C895," ","")))</f>
        <v>KALIBENDA</v>
      </c>
      <c r="L895" s="82" t="str">
        <f t="shared" si="238"/>
        <v>JULY-1-KALIBENDA</v>
      </c>
      <c r="M895" s="70">
        <f t="shared" si="239"/>
        <v>9.6060638558504996E-3</v>
      </c>
      <c r="N895" s="70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25">
      <c r="A896" t="s">
        <v>41</v>
      </c>
      <c r="B896" s="63">
        <v>1</v>
      </c>
      <c r="C896" t="s">
        <v>13</v>
      </c>
      <c r="D896" s="65">
        <v>10224</v>
      </c>
      <c r="E896" s="65">
        <v>10232</v>
      </c>
      <c r="F896" s="65">
        <v>10132</v>
      </c>
      <c r="G896" s="13">
        <f t="shared" si="234"/>
        <v>-100</v>
      </c>
      <c r="H896" s="13">
        <f t="shared" si="235"/>
        <v>-92</v>
      </c>
      <c r="I896" s="70">
        <f t="shared" si="236"/>
        <v>-8.9984350547730463E-3</v>
      </c>
      <c r="J896" s="70">
        <f t="shared" si="237"/>
        <v>-9.7732603596559775E-3</v>
      </c>
      <c r="K896" s="82" t="str">
        <f>_xlfn.IFNA(VLOOKUP(CLEAN(SUBSTITUTE(C896," ","")),Ref_Factory!$A:$B,2,FALSE),CLEAN(SUBSTITUTE(C896," ","")))</f>
        <v>KALIBENDA</v>
      </c>
      <c r="L896" s="82" t="str">
        <f t="shared" si="238"/>
        <v>JULY-1-KALIBENDA</v>
      </c>
      <c r="M896" s="70">
        <f t="shared" si="239"/>
        <v>9.6060638558504996E-3</v>
      </c>
      <c r="N896" s="70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25">
      <c r="A897" t="s">
        <v>41</v>
      </c>
      <c r="B897" s="63">
        <v>1</v>
      </c>
      <c r="C897" t="s">
        <v>16</v>
      </c>
      <c r="D897" s="65">
        <v>2400</v>
      </c>
      <c r="E897" s="65">
        <v>2496</v>
      </c>
      <c r="F897" s="65">
        <v>2385</v>
      </c>
      <c r="G897" s="13">
        <f t="shared" si="234"/>
        <v>-111</v>
      </c>
      <c r="H897" s="13">
        <f t="shared" si="235"/>
        <v>-15</v>
      </c>
      <c r="I897" s="70">
        <f t="shared" si="236"/>
        <v>-6.2499999999999778E-3</v>
      </c>
      <c r="J897" s="70">
        <f t="shared" si="237"/>
        <v>-4.4471153846153855E-2</v>
      </c>
      <c r="K897" s="82" t="str">
        <f>_xlfn.IFNA(VLOOKUP(CLEAN(SUBSTITUTE(C897," ","")),Ref_Factory!$A:$B,2,FALSE),CLEAN(SUBSTITUTE(C897," ","")))</f>
        <v>ANUGERAH</v>
      </c>
      <c r="L897" s="82" t="str">
        <f t="shared" si="238"/>
        <v>JULY-1-ANUGERAH</v>
      </c>
      <c r="M897" s="70">
        <f t="shared" si="239"/>
        <v>-0.20491666666666664</v>
      </c>
      <c r="N897" s="70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25">
      <c r="A898" t="s">
        <v>41</v>
      </c>
      <c r="B898" s="63">
        <v>1</v>
      </c>
      <c r="C898" t="s">
        <v>16</v>
      </c>
      <c r="D898" s="65">
        <v>2400</v>
      </c>
      <c r="E898" s="65">
        <v>2472</v>
      </c>
      <c r="F898" s="65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70">
        <f t="shared" ref="I898:I961" si="254">F898/D898-1</f>
        <v>-1.2499999999999956E-2</v>
      </c>
      <c r="J898" s="70">
        <f t="shared" ref="J898:J961" si="255">F898/E898-1</f>
        <v>-4.1262135922330079E-2</v>
      </c>
      <c r="K898" s="82" t="str">
        <f>_xlfn.IFNA(VLOOKUP(CLEAN(SUBSTITUTE(C898," ","")),Ref_Factory!$A:$B,2,FALSE),CLEAN(SUBSTITUTE(C898," ","")))</f>
        <v>ANUGERAH</v>
      </c>
      <c r="L898" s="82" t="str">
        <f t="shared" ref="L898:L961" si="256">A898&amp;"-"&amp;B898&amp;"-"&amp;K898</f>
        <v>JULY-1-ANUGERAH</v>
      </c>
      <c r="M898" s="70">
        <f t="shared" ref="M898:M961" si="257">SUMIF($L$2:$L$1420,L898,$I$2:$I$1420)</f>
        <v>-0.20491666666666664</v>
      </c>
      <c r="N898" s="70">
        <f t="shared" ref="N898:N961" si="258">SUMIF($L$2:$L$1420,L898,$J$2:$J$1420)</f>
        <v>-0.28027464194272256</v>
      </c>
      <c r="O898" s="13">
        <f t="shared" ref="O898:O961" si="259">SUMIF($A$2:$A$1420,A898,$D$2:$D$1420)</f>
        <v>961485</v>
      </c>
      <c r="P898" s="13">
        <f t="shared" ref="P898:P961" si="260">SUMIF($A$2:$A$1420,A898,$E$2:$E$1420)</f>
        <v>962175</v>
      </c>
      <c r="Q898" s="13">
        <f t="shared" ref="Q898:Q961" si="261">SUMIF($A$2:$A$1420,A898,$F$2:$F$1420)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SUMIF($T$2:$T$1420,T898,$D$2:$D$1420)</f>
        <v>36600</v>
      </c>
      <c r="V898">
        <f t="shared" ref="V898:V961" si="266">SUMIF($T$2:$T$1420,T898,$E$2:$E$1420)</f>
        <v>36793</v>
      </c>
      <c r="W898">
        <f t="shared" ref="W898:W961" si="267">SUMIF($T$2:$T$1420,T898,$F$2:$F$1420)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25">
      <c r="A899" t="s">
        <v>41</v>
      </c>
      <c r="B899" s="63">
        <v>1</v>
      </c>
      <c r="C899" t="s">
        <v>16</v>
      </c>
      <c r="D899" s="65">
        <v>3000</v>
      </c>
      <c r="E899" s="65">
        <v>3000</v>
      </c>
      <c r="F899" s="65">
        <v>2934</v>
      </c>
      <c r="G899" s="13">
        <f t="shared" si="252"/>
        <v>-66</v>
      </c>
      <c r="H899" s="13">
        <f t="shared" si="253"/>
        <v>-66</v>
      </c>
      <c r="I899" s="70">
        <f t="shared" si="254"/>
        <v>-2.200000000000002E-2</v>
      </c>
      <c r="J899" s="70">
        <f t="shared" si="255"/>
        <v>-2.200000000000002E-2</v>
      </c>
      <c r="K899" s="82" t="str">
        <f>_xlfn.IFNA(VLOOKUP(CLEAN(SUBSTITUTE(C899," ","")),Ref_Factory!$A:$B,2,FALSE),CLEAN(SUBSTITUTE(C899," ","")))</f>
        <v>ANUGERAH</v>
      </c>
      <c r="L899" s="82" t="str">
        <f t="shared" si="256"/>
        <v>JULY-1-ANUGERAH</v>
      </c>
      <c r="M899" s="70">
        <f t="shared" si="257"/>
        <v>-0.20491666666666664</v>
      </c>
      <c r="N899" s="70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25">
      <c r="A900" t="s">
        <v>41</v>
      </c>
      <c r="B900" s="63">
        <v>1</v>
      </c>
      <c r="C900" t="s">
        <v>16</v>
      </c>
      <c r="D900" s="65">
        <v>1000</v>
      </c>
      <c r="E900" s="65">
        <v>1002</v>
      </c>
      <c r="F900" s="65">
        <v>970</v>
      </c>
      <c r="G900" s="13">
        <f t="shared" si="252"/>
        <v>-32</v>
      </c>
      <c r="H900" s="13">
        <f t="shared" si="253"/>
        <v>-30</v>
      </c>
      <c r="I900" s="70">
        <f t="shared" si="254"/>
        <v>-3.0000000000000027E-2</v>
      </c>
      <c r="J900" s="70">
        <f t="shared" si="255"/>
        <v>-3.1936127744510934E-2</v>
      </c>
      <c r="K900" s="82" t="str">
        <f>_xlfn.IFNA(VLOOKUP(CLEAN(SUBSTITUTE(C900," ","")),Ref_Factory!$A:$B,2,FALSE),CLEAN(SUBSTITUTE(C900," ","")))</f>
        <v>ANUGERAH</v>
      </c>
      <c r="L900" s="82" t="str">
        <f t="shared" si="256"/>
        <v>JULY-1-ANUGERAH</v>
      </c>
      <c r="M900" s="70">
        <f t="shared" si="257"/>
        <v>-0.20491666666666664</v>
      </c>
      <c r="N900" s="70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25">
      <c r="A901" t="s">
        <v>41</v>
      </c>
      <c r="B901" s="63">
        <v>1</v>
      </c>
      <c r="C901" t="s">
        <v>16</v>
      </c>
      <c r="D901" s="65">
        <v>900</v>
      </c>
      <c r="E901" s="65">
        <v>906</v>
      </c>
      <c r="F901" s="65">
        <v>875</v>
      </c>
      <c r="G901" s="13">
        <f t="shared" si="252"/>
        <v>-31</v>
      </c>
      <c r="H901" s="13">
        <f t="shared" si="253"/>
        <v>-25</v>
      </c>
      <c r="I901" s="70">
        <f t="shared" si="254"/>
        <v>-2.777777777777779E-2</v>
      </c>
      <c r="J901" s="70">
        <f t="shared" si="255"/>
        <v>-3.4216335540838805E-2</v>
      </c>
      <c r="K901" s="82" t="str">
        <f>_xlfn.IFNA(VLOOKUP(CLEAN(SUBSTITUTE(C901," ","")),Ref_Factory!$A:$B,2,FALSE),CLEAN(SUBSTITUTE(C901," ","")))</f>
        <v>ANUGERAH</v>
      </c>
      <c r="L901" s="82" t="str">
        <f t="shared" si="256"/>
        <v>JULY-1-ANUGERAH</v>
      </c>
      <c r="M901" s="70">
        <f t="shared" si="257"/>
        <v>-0.20491666666666664</v>
      </c>
      <c r="N901" s="70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25">
      <c r="A902" t="s">
        <v>41</v>
      </c>
      <c r="B902" s="63">
        <v>1</v>
      </c>
      <c r="C902" t="s">
        <v>16</v>
      </c>
      <c r="D902" s="65">
        <v>1600</v>
      </c>
      <c r="E902" s="65">
        <v>1600</v>
      </c>
      <c r="F902" s="65">
        <v>1556</v>
      </c>
      <c r="G902" s="13">
        <f t="shared" si="252"/>
        <v>-44</v>
      </c>
      <c r="H902" s="13">
        <f t="shared" si="253"/>
        <v>-44</v>
      </c>
      <c r="I902" s="70">
        <f t="shared" si="254"/>
        <v>-2.7499999999999969E-2</v>
      </c>
      <c r="J902" s="70">
        <f t="shared" si="255"/>
        <v>-2.7499999999999969E-2</v>
      </c>
      <c r="K902" s="82" t="str">
        <f>_xlfn.IFNA(VLOOKUP(CLEAN(SUBSTITUTE(C902," ","")),Ref_Factory!$A:$B,2,FALSE),CLEAN(SUBSTITUTE(C902," ","")))</f>
        <v>ANUGERAH</v>
      </c>
      <c r="L902" s="82" t="str">
        <f t="shared" si="256"/>
        <v>JULY-1-ANUGERAH</v>
      </c>
      <c r="M902" s="70">
        <f t="shared" si="257"/>
        <v>-0.20491666666666664</v>
      </c>
      <c r="N902" s="70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25">
      <c r="A903" t="s">
        <v>41</v>
      </c>
      <c r="B903" s="63">
        <v>1</v>
      </c>
      <c r="C903" t="s">
        <v>16</v>
      </c>
      <c r="D903" s="65">
        <v>2000</v>
      </c>
      <c r="E903" s="65">
        <v>2000</v>
      </c>
      <c r="F903" s="65">
        <v>1946</v>
      </c>
      <c r="G903" s="13">
        <f t="shared" si="252"/>
        <v>-54</v>
      </c>
      <c r="H903" s="13">
        <f t="shared" si="253"/>
        <v>-54</v>
      </c>
      <c r="I903" s="70">
        <f t="shared" si="254"/>
        <v>-2.7000000000000024E-2</v>
      </c>
      <c r="J903" s="70">
        <f t="shared" si="255"/>
        <v>-2.7000000000000024E-2</v>
      </c>
      <c r="K903" s="82" t="str">
        <f>_xlfn.IFNA(VLOOKUP(CLEAN(SUBSTITUTE(C903," ","")),Ref_Factory!$A:$B,2,FALSE),CLEAN(SUBSTITUTE(C903," ","")))</f>
        <v>ANUGERAH</v>
      </c>
      <c r="L903" s="82" t="str">
        <f t="shared" si="256"/>
        <v>JULY-1-ANUGERAH</v>
      </c>
      <c r="M903" s="70">
        <f t="shared" si="257"/>
        <v>-0.20491666666666664</v>
      </c>
      <c r="N903" s="70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25">
      <c r="A904" t="s">
        <v>41</v>
      </c>
      <c r="B904" s="63">
        <v>1</v>
      </c>
      <c r="C904" t="s">
        <v>16</v>
      </c>
      <c r="D904" s="65">
        <v>1000</v>
      </c>
      <c r="E904" s="65">
        <v>1000</v>
      </c>
      <c r="F904" s="65">
        <v>977</v>
      </c>
      <c r="G904" s="13">
        <f t="shared" si="252"/>
        <v>-23</v>
      </c>
      <c r="H904" s="13">
        <f t="shared" si="253"/>
        <v>-23</v>
      </c>
      <c r="I904" s="70">
        <f t="shared" si="254"/>
        <v>-2.300000000000002E-2</v>
      </c>
      <c r="J904" s="70">
        <f t="shared" si="255"/>
        <v>-2.300000000000002E-2</v>
      </c>
      <c r="K904" s="82" t="str">
        <f>_xlfn.IFNA(VLOOKUP(CLEAN(SUBSTITUTE(C904," ","")),Ref_Factory!$A:$B,2,FALSE),CLEAN(SUBSTITUTE(C904," ","")))</f>
        <v>ANUGERAH</v>
      </c>
      <c r="L904" s="82" t="str">
        <f t="shared" si="256"/>
        <v>JULY-1-ANUGERAH</v>
      </c>
      <c r="M904" s="70">
        <f t="shared" si="257"/>
        <v>-0.20491666666666664</v>
      </c>
      <c r="N904" s="70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25">
      <c r="A905" t="s">
        <v>41</v>
      </c>
      <c r="B905" s="63">
        <v>1</v>
      </c>
      <c r="C905" t="s">
        <v>16</v>
      </c>
      <c r="D905" s="65">
        <v>2700</v>
      </c>
      <c r="E905" s="65">
        <v>2700</v>
      </c>
      <c r="F905" s="65">
        <v>2622</v>
      </c>
      <c r="G905" s="13">
        <f t="shared" si="252"/>
        <v>-78</v>
      </c>
      <c r="H905" s="13">
        <f t="shared" si="253"/>
        <v>-78</v>
      </c>
      <c r="I905" s="70">
        <f t="shared" si="254"/>
        <v>-2.8888888888888853E-2</v>
      </c>
      <c r="J905" s="70">
        <f t="shared" si="255"/>
        <v>-2.8888888888888853E-2</v>
      </c>
      <c r="K905" s="82" t="str">
        <f>_xlfn.IFNA(VLOOKUP(CLEAN(SUBSTITUTE(C905," ","")),Ref_Factory!$A:$B,2,FALSE),CLEAN(SUBSTITUTE(C905," ","")))</f>
        <v>ANUGERAH</v>
      </c>
      <c r="L905" s="82" t="str">
        <f t="shared" si="256"/>
        <v>JULY-1-ANUGERAH</v>
      </c>
      <c r="M905" s="70">
        <f t="shared" si="257"/>
        <v>-0.20491666666666664</v>
      </c>
      <c r="N905" s="70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25">
      <c r="A906" t="s">
        <v>41</v>
      </c>
      <c r="B906" s="63">
        <v>1</v>
      </c>
      <c r="C906" t="s">
        <v>10</v>
      </c>
      <c r="D906" s="65">
        <v>460</v>
      </c>
      <c r="E906" s="65">
        <v>472</v>
      </c>
      <c r="F906" s="65">
        <v>460</v>
      </c>
      <c r="G906" s="13">
        <f t="shared" si="252"/>
        <v>-12</v>
      </c>
      <c r="H906" s="13">
        <f t="shared" si="253"/>
        <v>0</v>
      </c>
      <c r="I906" s="70">
        <f t="shared" si="254"/>
        <v>0</v>
      </c>
      <c r="J906" s="70">
        <f t="shared" si="255"/>
        <v>-2.5423728813559365E-2</v>
      </c>
      <c r="K906" s="82" t="str">
        <f>_xlfn.IFNA(VLOOKUP(CLEAN(SUBSTITUTE(C906," ","")),Ref_Factory!$A:$B,2,FALSE),CLEAN(SUBSTITUTE(C906," ","")))</f>
        <v>CNJ2</v>
      </c>
      <c r="L906" s="82" t="str">
        <f t="shared" si="256"/>
        <v>JULY-1-CNJ2</v>
      </c>
      <c r="M906" s="70">
        <f t="shared" si="257"/>
        <v>0</v>
      </c>
      <c r="N906" s="70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25">
      <c r="A907" t="s">
        <v>41</v>
      </c>
      <c r="B907" s="63">
        <v>1</v>
      </c>
      <c r="C907" t="s">
        <v>10</v>
      </c>
      <c r="D907" s="65">
        <v>630</v>
      </c>
      <c r="E907" s="65">
        <v>646</v>
      </c>
      <c r="F907" s="65">
        <v>630</v>
      </c>
      <c r="G907" s="13">
        <f t="shared" si="252"/>
        <v>-16</v>
      </c>
      <c r="H907" s="13">
        <f t="shared" si="253"/>
        <v>0</v>
      </c>
      <c r="I907" s="70">
        <f t="shared" si="254"/>
        <v>0</v>
      </c>
      <c r="J907" s="70">
        <f t="shared" si="255"/>
        <v>-2.4767801857585092E-2</v>
      </c>
      <c r="K907" s="82" t="str">
        <f>_xlfn.IFNA(VLOOKUP(CLEAN(SUBSTITUTE(C907," ","")),Ref_Factory!$A:$B,2,FALSE),CLEAN(SUBSTITUTE(C907," ","")))</f>
        <v>CNJ2</v>
      </c>
      <c r="L907" s="82" t="str">
        <f t="shared" si="256"/>
        <v>JULY-1-CNJ2</v>
      </c>
      <c r="M907" s="70">
        <f t="shared" si="257"/>
        <v>0</v>
      </c>
      <c r="N907" s="70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25">
      <c r="A908" t="s">
        <v>41</v>
      </c>
      <c r="B908" s="63">
        <v>1</v>
      </c>
      <c r="C908" t="s">
        <v>10</v>
      </c>
      <c r="D908" s="65">
        <v>510</v>
      </c>
      <c r="E908" s="65">
        <v>526</v>
      </c>
      <c r="F908" s="65">
        <v>510</v>
      </c>
      <c r="G908" s="13">
        <f t="shared" si="252"/>
        <v>-16</v>
      </c>
      <c r="H908" s="13">
        <f t="shared" si="253"/>
        <v>0</v>
      </c>
      <c r="I908" s="70">
        <f t="shared" si="254"/>
        <v>0</v>
      </c>
      <c r="J908" s="70">
        <f t="shared" si="255"/>
        <v>-3.041825095057038E-2</v>
      </c>
      <c r="K908" s="82" t="str">
        <f>_xlfn.IFNA(VLOOKUP(CLEAN(SUBSTITUTE(C908," ","")),Ref_Factory!$A:$B,2,FALSE),CLEAN(SUBSTITUTE(C908," ","")))</f>
        <v>CNJ2</v>
      </c>
      <c r="L908" s="82" t="str">
        <f t="shared" si="256"/>
        <v>JULY-1-CNJ2</v>
      </c>
      <c r="M908" s="70">
        <f t="shared" si="257"/>
        <v>0</v>
      </c>
      <c r="N908" s="70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25">
      <c r="A909" t="s">
        <v>41</v>
      </c>
      <c r="B909" s="63">
        <v>1</v>
      </c>
      <c r="C909" t="s">
        <v>10</v>
      </c>
      <c r="D909" s="65">
        <v>1290</v>
      </c>
      <c r="E909" s="65">
        <v>1318</v>
      </c>
      <c r="F909" s="65">
        <v>1290</v>
      </c>
      <c r="G909" s="13">
        <f t="shared" si="252"/>
        <v>-28</v>
      </c>
      <c r="H909" s="13">
        <f t="shared" si="253"/>
        <v>0</v>
      </c>
      <c r="I909" s="70">
        <f t="shared" si="254"/>
        <v>0</v>
      </c>
      <c r="J909" s="70">
        <f t="shared" si="255"/>
        <v>-2.1244309559939278E-2</v>
      </c>
      <c r="K909" s="82" t="str">
        <f>_xlfn.IFNA(VLOOKUP(CLEAN(SUBSTITUTE(C909," ","")),Ref_Factory!$A:$B,2,FALSE),CLEAN(SUBSTITUTE(C909," ","")))</f>
        <v>CNJ2</v>
      </c>
      <c r="L909" s="82" t="str">
        <f t="shared" si="256"/>
        <v>JULY-1-CNJ2</v>
      </c>
      <c r="M909" s="70">
        <f t="shared" si="257"/>
        <v>0</v>
      </c>
      <c r="N909" s="70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25">
      <c r="A910" t="s">
        <v>41</v>
      </c>
      <c r="B910" s="63">
        <v>1</v>
      </c>
      <c r="C910" t="s">
        <v>10</v>
      </c>
      <c r="D910" s="65">
        <v>1500</v>
      </c>
      <c r="E910" s="65">
        <v>1537</v>
      </c>
      <c r="F910" s="65">
        <v>1500</v>
      </c>
      <c r="G910" s="13">
        <f t="shared" si="252"/>
        <v>-37</v>
      </c>
      <c r="H910" s="13">
        <f t="shared" si="253"/>
        <v>0</v>
      </c>
      <c r="I910" s="70">
        <f t="shared" si="254"/>
        <v>0</v>
      </c>
      <c r="J910" s="70">
        <f t="shared" si="255"/>
        <v>-2.4072869225764459E-2</v>
      </c>
      <c r="K910" s="82" t="str">
        <f>_xlfn.IFNA(VLOOKUP(CLEAN(SUBSTITUTE(C910," ","")),Ref_Factory!$A:$B,2,FALSE),CLEAN(SUBSTITUTE(C910," ","")))</f>
        <v>CNJ2</v>
      </c>
      <c r="L910" s="82" t="str">
        <f t="shared" si="256"/>
        <v>JULY-1-CNJ2</v>
      </c>
      <c r="M910" s="70">
        <f t="shared" si="257"/>
        <v>0</v>
      </c>
      <c r="N910" s="70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25">
      <c r="A911" t="s">
        <v>41</v>
      </c>
      <c r="B911" s="63">
        <v>1</v>
      </c>
      <c r="C911" t="s">
        <v>10</v>
      </c>
      <c r="D911" s="65">
        <v>700</v>
      </c>
      <c r="E911" s="65">
        <v>718</v>
      </c>
      <c r="F911" s="65">
        <v>700</v>
      </c>
      <c r="G911" s="13">
        <f t="shared" si="252"/>
        <v>-18</v>
      </c>
      <c r="H911" s="13">
        <f t="shared" si="253"/>
        <v>0</v>
      </c>
      <c r="I911" s="70">
        <f t="shared" si="254"/>
        <v>0</v>
      </c>
      <c r="J911" s="70">
        <f t="shared" si="255"/>
        <v>-2.5069637883008311E-2</v>
      </c>
      <c r="K911" s="82" t="str">
        <f>_xlfn.IFNA(VLOOKUP(CLEAN(SUBSTITUTE(C911," ","")),Ref_Factory!$A:$B,2,FALSE),CLEAN(SUBSTITUTE(C911," ","")))</f>
        <v>CNJ2</v>
      </c>
      <c r="L911" s="82" t="str">
        <f t="shared" si="256"/>
        <v>JULY-1-CNJ2</v>
      </c>
      <c r="M911" s="70">
        <f t="shared" si="257"/>
        <v>0</v>
      </c>
      <c r="N911" s="70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25">
      <c r="A912" t="s">
        <v>41</v>
      </c>
      <c r="B912" s="63">
        <v>1</v>
      </c>
      <c r="C912" t="s">
        <v>10</v>
      </c>
      <c r="D912" s="65">
        <v>1000</v>
      </c>
      <c r="E912" s="65">
        <v>1028</v>
      </c>
      <c r="F912" s="65">
        <v>1000</v>
      </c>
      <c r="G912" s="13">
        <f t="shared" si="252"/>
        <v>-28</v>
      </c>
      <c r="H912" s="13">
        <f t="shared" si="253"/>
        <v>0</v>
      </c>
      <c r="I912" s="70">
        <f t="shared" si="254"/>
        <v>0</v>
      </c>
      <c r="J912" s="70">
        <f t="shared" si="255"/>
        <v>-2.7237354085603127E-2</v>
      </c>
      <c r="K912" s="82" t="str">
        <f>_xlfn.IFNA(VLOOKUP(CLEAN(SUBSTITUTE(C912," ","")),Ref_Factory!$A:$B,2,FALSE),CLEAN(SUBSTITUTE(C912," ","")))</f>
        <v>CNJ2</v>
      </c>
      <c r="L912" s="82" t="str">
        <f t="shared" si="256"/>
        <v>JULY-1-CNJ2</v>
      </c>
      <c r="M912" s="70">
        <f t="shared" si="257"/>
        <v>0</v>
      </c>
      <c r="N912" s="70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25">
      <c r="A913" t="s">
        <v>41</v>
      </c>
      <c r="B913" s="63">
        <v>1</v>
      </c>
      <c r="C913" t="s">
        <v>10</v>
      </c>
      <c r="D913" s="65">
        <v>1130</v>
      </c>
      <c r="E913" s="65">
        <v>1178</v>
      </c>
      <c r="F913" s="65">
        <v>1130</v>
      </c>
      <c r="G913" s="13">
        <f t="shared" si="252"/>
        <v>-48</v>
      </c>
      <c r="H913" s="13">
        <f t="shared" si="253"/>
        <v>0</v>
      </c>
      <c r="I913" s="70">
        <f t="shared" si="254"/>
        <v>0</v>
      </c>
      <c r="J913" s="70">
        <f t="shared" si="255"/>
        <v>-4.0747028862478829E-2</v>
      </c>
      <c r="K913" s="82" t="str">
        <f>_xlfn.IFNA(VLOOKUP(CLEAN(SUBSTITUTE(C913," ","")),Ref_Factory!$A:$B,2,FALSE),CLEAN(SUBSTITUTE(C913," ","")))</f>
        <v>CNJ2</v>
      </c>
      <c r="L913" s="82" t="str">
        <f t="shared" si="256"/>
        <v>JULY-1-CNJ2</v>
      </c>
      <c r="M913" s="70">
        <f t="shared" si="257"/>
        <v>0</v>
      </c>
      <c r="N913" s="70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25">
      <c r="A914" t="s">
        <v>41</v>
      </c>
      <c r="B914" s="63">
        <v>1</v>
      </c>
      <c r="C914" t="s">
        <v>10</v>
      </c>
      <c r="D914" s="65">
        <v>1000</v>
      </c>
      <c r="E914" s="65">
        <v>1020</v>
      </c>
      <c r="F914" s="65">
        <v>1000</v>
      </c>
      <c r="G914" s="13">
        <f t="shared" si="252"/>
        <v>-20</v>
      </c>
      <c r="H914" s="13">
        <f t="shared" si="253"/>
        <v>0</v>
      </c>
      <c r="I914" s="70">
        <f t="shared" si="254"/>
        <v>0</v>
      </c>
      <c r="J914" s="70">
        <f t="shared" si="255"/>
        <v>-1.9607843137254943E-2</v>
      </c>
      <c r="K914" s="82" t="str">
        <f>_xlfn.IFNA(VLOOKUP(CLEAN(SUBSTITUTE(C914," ","")),Ref_Factory!$A:$B,2,FALSE),CLEAN(SUBSTITUTE(C914," ","")))</f>
        <v>CNJ2</v>
      </c>
      <c r="L914" s="82" t="str">
        <f t="shared" si="256"/>
        <v>JULY-1-CNJ2</v>
      </c>
      <c r="M914" s="70">
        <f t="shared" si="257"/>
        <v>0</v>
      </c>
      <c r="N914" s="70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25">
      <c r="A915" t="s">
        <v>41</v>
      </c>
      <c r="B915" s="63">
        <v>1</v>
      </c>
      <c r="C915" t="s">
        <v>10</v>
      </c>
      <c r="D915" s="65">
        <v>1270</v>
      </c>
      <c r="E915" s="65">
        <v>1304</v>
      </c>
      <c r="F915" s="65">
        <v>1270</v>
      </c>
      <c r="G915" s="13">
        <f t="shared" si="252"/>
        <v>-34</v>
      </c>
      <c r="H915" s="13">
        <f t="shared" si="253"/>
        <v>0</v>
      </c>
      <c r="I915" s="70">
        <f t="shared" si="254"/>
        <v>0</v>
      </c>
      <c r="J915" s="70">
        <f t="shared" si="255"/>
        <v>-2.6073619631901801E-2</v>
      </c>
      <c r="K915" s="82" t="str">
        <f>_xlfn.IFNA(VLOOKUP(CLEAN(SUBSTITUTE(C915," ","")),Ref_Factory!$A:$B,2,FALSE),CLEAN(SUBSTITUTE(C915," ","")))</f>
        <v>CNJ2</v>
      </c>
      <c r="L915" s="82" t="str">
        <f t="shared" si="256"/>
        <v>JULY-1-CNJ2</v>
      </c>
      <c r="M915" s="70">
        <f t="shared" si="257"/>
        <v>0</v>
      </c>
      <c r="N915" s="70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25">
      <c r="A916" t="s">
        <v>41</v>
      </c>
      <c r="B916" s="63">
        <v>1</v>
      </c>
      <c r="C916" t="s">
        <v>10</v>
      </c>
      <c r="D916" s="65">
        <v>250</v>
      </c>
      <c r="E916" s="65">
        <v>255</v>
      </c>
      <c r="F916" s="65">
        <v>250</v>
      </c>
      <c r="G916" s="13">
        <f t="shared" si="252"/>
        <v>-5</v>
      </c>
      <c r="H916" s="13">
        <f t="shared" si="253"/>
        <v>0</v>
      </c>
      <c r="I916" s="70">
        <f t="shared" si="254"/>
        <v>0</v>
      </c>
      <c r="J916" s="70">
        <f t="shared" si="255"/>
        <v>-1.9607843137254943E-2</v>
      </c>
      <c r="K916" s="82" t="str">
        <f>_xlfn.IFNA(VLOOKUP(CLEAN(SUBSTITUTE(C916," ","")),Ref_Factory!$A:$B,2,FALSE),CLEAN(SUBSTITUTE(C916," ","")))</f>
        <v>CNJ2</v>
      </c>
      <c r="L916" s="82" t="str">
        <f t="shared" si="256"/>
        <v>JULY-1-CNJ2</v>
      </c>
      <c r="M916" s="70">
        <f t="shared" si="257"/>
        <v>0</v>
      </c>
      <c r="N916" s="70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25">
      <c r="A917" t="s">
        <v>41</v>
      </c>
      <c r="B917" s="63">
        <v>1</v>
      </c>
      <c r="C917" t="s">
        <v>10</v>
      </c>
      <c r="D917" s="65">
        <v>2640</v>
      </c>
      <c r="E917" s="65">
        <v>2666</v>
      </c>
      <c r="F917" s="65">
        <v>2640</v>
      </c>
      <c r="G917" s="13">
        <f t="shared" si="252"/>
        <v>-26</v>
      </c>
      <c r="H917" s="13">
        <f t="shared" si="253"/>
        <v>0</v>
      </c>
      <c r="I917" s="70">
        <f t="shared" si="254"/>
        <v>0</v>
      </c>
      <c r="J917" s="70">
        <f t="shared" si="255"/>
        <v>-9.7524381095274171E-3</v>
      </c>
      <c r="K917" s="82" t="str">
        <f>_xlfn.IFNA(VLOOKUP(CLEAN(SUBSTITUTE(C917," ","")),Ref_Factory!$A:$B,2,FALSE),CLEAN(SUBSTITUTE(C917," ","")))</f>
        <v>CNJ2</v>
      </c>
      <c r="L917" s="82" t="str">
        <f t="shared" si="256"/>
        <v>JULY-1-CNJ2</v>
      </c>
      <c r="M917" s="70">
        <f t="shared" si="257"/>
        <v>0</v>
      </c>
      <c r="N917" s="70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25">
      <c r="A918" t="s">
        <v>41</v>
      </c>
      <c r="B918" s="63">
        <v>1</v>
      </c>
      <c r="C918" t="s">
        <v>10</v>
      </c>
      <c r="D918" s="65">
        <v>620</v>
      </c>
      <c r="E918" s="65">
        <v>644</v>
      </c>
      <c r="F918" s="65">
        <v>620</v>
      </c>
      <c r="G918" s="13">
        <f t="shared" si="252"/>
        <v>-24</v>
      </c>
      <c r="H918" s="13">
        <f t="shared" si="253"/>
        <v>0</v>
      </c>
      <c r="I918" s="70">
        <f t="shared" si="254"/>
        <v>0</v>
      </c>
      <c r="J918" s="70">
        <f t="shared" si="255"/>
        <v>-3.7267080745341574E-2</v>
      </c>
      <c r="K918" s="82" t="str">
        <f>_xlfn.IFNA(VLOOKUP(CLEAN(SUBSTITUTE(C918," ","")),Ref_Factory!$A:$B,2,FALSE),CLEAN(SUBSTITUTE(C918," ","")))</f>
        <v>CNJ2</v>
      </c>
      <c r="L918" s="82" t="str">
        <f t="shared" si="256"/>
        <v>JULY-1-CNJ2</v>
      </c>
      <c r="M918" s="70">
        <f t="shared" si="257"/>
        <v>0</v>
      </c>
      <c r="N918" s="70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25">
      <c r="A919" t="s">
        <v>41</v>
      </c>
      <c r="B919" s="63">
        <v>1</v>
      </c>
      <c r="C919" t="s">
        <v>10</v>
      </c>
      <c r="D919" s="65">
        <v>3730</v>
      </c>
      <c r="E919" s="65">
        <v>3773</v>
      </c>
      <c r="F919" s="65">
        <v>3730</v>
      </c>
      <c r="G919" s="13">
        <f t="shared" si="252"/>
        <v>-43</v>
      </c>
      <c r="H919" s="13">
        <f t="shared" si="253"/>
        <v>0</v>
      </c>
      <c r="I919" s="70">
        <f t="shared" si="254"/>
        <v>0</v>
      </c>
      <c r="J919" s="70">
        <f t="shared" si="255"/>
        <v>-1.1396766498807276E-2</v>
      </c>
      <c r="K919" s="82" t="str">
        <f>_xlfn.IFNA(VLOOKUP(CLEAN(SUBSTITUTE(C919," ","")),Ref_Factory!$A:$B,2,FALSE),CLEAN(SUBSTITUTE(C919," ","")))</f>
        <v>CNJ2</v>
      </c>
      <c r="L919" s="82" t="str">
        <f t="shared" si="256"/>
        <v>JULY-1-CNJ2</v>
      </c>
      <c r="M919" s="70">
        <f t="shared" si="257"/>
        <v>0</v>
      </c>
      <c r="N919" s="70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25">
      <c r="A920" t="s">
        <v>41</v>
      </c>
      <c r="B920" s="63">
        <v>1</v>
      </c>
      <c r="C920" t="s">
        <v>10</v>
      </c>
      <c r="D920" s="65">
        <v>15</v>
      </c>
      <c r="E920" s="65">
        <v>15</v>
      </c>
      <c r="F920" s="65">
        <v>15</v>
      </c>
      <c r="G920" s="13">
        <f t="shared" si="252"/>
        <v>0</v>
      </c>
      <c r="H920" s="13">
        <f t="shared" si="253"/>
        <v>0</v>
      </c>
      <c r="I920" s="70">
        <f t="shared" si="254"/>
        <v>0</v>
      </c>
      <c r="J920" s="70">
        <f t="shared" si="255"/>
        <v>0</v>
      </c>
      <c r="K920" s="82" t="str">
        <f>_xlfn.IFNA(VLOOKUP(CLEAN(SUBSTITUTE(C920," ","")),Ref_Factory!$A:$B,2,FALSE),CLEAN(SUBSTITUTE(C920," ","")))</f>
        <v>CNJ2</v>
      </c>
      <c r="L920" s="82" t="str">
        <f t="shared" si="256"/>
        <v>JULY-1-CNJ2</v>
      </c>
      <c r="M920" s="70">
        <f t="shared" si="257"/>
        <v>0</v>
      </c>
      <c r="N920" s="70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25">
      <c r="A921" t="s">
        <v>41</v>
      </c>
      <c r="B921" s="63">
        <v>1</v>
      </c>
      <c r="C921" t="s">
        <v>11</v>
      </c>
      <c r="D921" s="65">
        <v>180</v>
      </c>
      <c r="E921" s="65">
        <v>181</v>
      </c>
      <c r="F921" s="65">
        <v>180</v>
      </c>
      <c r="G921" s="13">
        <f t="shared" si="252"/>
        <v>-1</v>
      </c>
      <c r="H921" s="13">
        <f t="shared" si="253"/>
        <v>0</v>
      </c>
      <c r="I921" s="70">
        <f t="shared" si="254"/>
        <v>0</v>
      </c>
      <c r="J921" s="70">
        <f t="shared" si="255"/>
        <v>-5.5248618784530246E-3</v>
      </c>
      <c r="K921" s="82" t="str">
        <f>_xlfn.IFNA(VLOOKUP(CLEAN(SUBSTITUTE(C921," ","")),Ref_Factory!$A:$B,2,FALSE),CLEAN(SUBSTITUTE(C921," ","")))</f>
        <v>GM1</v>
      </c>
      <c r="L921" s="82" t="str">
        <f t="shared" si="256"/>
        <v>JULY-1-GM1</v>
      </c>
      <c r="M921" s="70">
        <f t="shared" si="257"/>
        <v>-0.26058357970999091</v>
      </c>
      <c r="N921" s="70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25">
      <c r="A922" t="s">
        <v>41</v>
      </c>
      <c r="B922" s="63">
        <v>1</v>
      </c>
      <c r="C922" t="s">
        <v>11</v>
      </c>
      <c r="D922" s="65">
        <v>35</v>
      </c>
      <c r="E922" s="65">
        <v>35</v>
      </c>
      <c r="F922" s="65">
        <v>35</v>
      </c>
      <c r="G922" s="13">
        <f t="shared" si="252"/>
        <v>0</v>
      </c>
      <c r="H922" s="13">
        <f t="shared" si="253"/>
        <v>0</v>
      </c>
      <c r="I922" s="70">
        <f t="shared" si="254"/>
        <v>0</v>
      </c>
      <c r="J922" s="70">
        <f t="shared" si="255"/>
        <v>0</v>
      </c>
      <c r="K922" s="82" t="str">
        <f>_xlfn.IFNA(VLOOKUP(CLEAN(SUBSTITUTE(C922," ","")),Ref_Factory!$A:$B,2,FALSE),CLEAN(SUBSTITUTE(C922," ","")))</f>
        <v>GM1</v>
      </c>
      <c r="L922" s="82" t="str">
        <f t="shared" si="256"/>
        <v>JULY-1-GM1</v>
      </c>
      <c r="M922" s="70">
        <f t="shared" si="257"/>
        <v>-0.26058357970999091</v>
      </c>
      <c r="N922" s="70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25">
      <c r="A923" t="s">
        <v>41</v>
      </c>
      <c r="B923" s="63">
        <v>2</v>
      </c>
      <c r="C923" t="s">
        <v>15</v>
      </c>
      <c r="D923" s="67">
        <v>6995</v>
      </c>
      <c r="E923" s="66">
        <v>7144</v>
      </c>
      <c r="F923" s="65">
        <v>6865</v>
      </c>
      <c r="G923" s="13">
        <f t="shared" si="252"/>
        <v>-279</v>
      </c>
      <c r="H923" s="13">
        <f t="shared" si="253"/>
        <v>-130</v>
      </c>
      <c r="I923" s="70">
        <f t="shared" si="254"/>
        <v>-1.8584703359542543E-2</v>
      </c>
      <c r="J923" s="70">
        <f t="shared" si="255"/>
        <v>-3.9053751399776071E-2</v>
      </c>
      <c r="K923" s="82" t="str">
        <f>_xlfn.IFNA(VLOOKUP(CLEAN(SUBSTITUTE(C923," ","")),Ref_Factory!$A:$B,2,FALSE),CLEAN(SUBSTITUTE(C923," ","")))</f>
        <v>CHAWAN</v>
      </c>
      <c r="L923" s="82" t="str">
        <f t="shared" si="256"/>
        <v>JULY-2-CHAWAN</v>
      </c>
      <c r="M923" s="70">
        <f t="shared" si="257"/>
        <v>-1.8584703359542543E-2</v>
      </c>
      <c r="N923" s="70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25">
      <c r="A924" t="s">
        <v>41</v>
      </c>
      <c r="B924" s="63">
        <v>2</v>
      </c>
      <c r="C924" t="s">
        <v>16</v>
      </c>
      <c r="D924" s="66">
        <v>1600</v>
      </c>
      <c r="E924" s="66">
        <v>1560</v>
      </c>
      <c r="F924" s="65">
        <v>1504</v>
      </c>
      <c r="G924" s="13">
        <f t="shared" si="252"/>
        <v>-56</v>
      </c>
      <c r="H924" s="13">
        <f t="shared" si="253"/>
        <v>-96</v>
      </c>
      <c r="I924" s="70">
        <f t="shared" si="254"/>
        <v>-6.0000000000000053E-2</v>
      </c>
      <c r="J924" s="70">
        <f t="shared" si="255"/>
        <v>-3.5897435897435881E-2</v>
      </c>
      <c r="K924" s="82" t="str">
        <f>_xlfn.IFNA(VLOOKUP(CLEAN(SUBSTITUTE(C924," ","")),Ref_Factory!$A:$B,2,FALSE),CLEAN(SUBSTITUTE(C924," ","")))</f>
        <v>ANUGERAH</v>
      </c>
      <c r="L924" s="82" t="str">
        <f t="shared" si="256"/>
        <v>JULY-2-ANUGERAH</v>
      </c>
      <c r="M924" s="70">
        <f t="shared" si="257"/>
        <v>-0.25791666666666679</v>
      </c>
      <c r="N924" s="70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25">
      <c r="A925" t="s">
        <v>41</v>
      </c>
      <c r="B925" s="63">
        <v>2</v>
      </c>
      <c r="C925" t="s">
        <v>16</v>
      </c>
      <c r="D925" s="66">
        <v>800</v>
      </c>
      <c r="E925" s="66">
        <v>800</v>
      </c>
      <c r="F925" s="65">
        <v>796</v>
      </c>
      <c r="G925" s="13">
        <f t="shared" si="252"/>
        <v>-4</v>
      </c>
      <c r="H925" s="13">
        <f t="shared" si="253"/>
        <v>-4</v>
      </c>
      <c r="I925" s="70">
        <f t="shared" si="254"/>
        <v>-5.0000000000000044E-3</v>
      </c>
      <c r="J925" s="70">
        <f t="shared" si="255"/>
        <v>-5.0000000000000044E-3</v>
      </c>
      <c r="K925" s="82" t="str">
        <f>_xlfn.IFNA(VLOOKUP(CLEAN(SUBSTITUTE(C925," ","")),Ref_Factory!$A:$B,2,FALSE),CLEAN(SUBSTITUTE(C925," ","")))</f>
        <v>ANUGERAH</v>
      </c>
      <c r="L925" s="82" t="str">
        <f t="shared" si="256"/>
        <v>JULY-2-ANUGERAH</v>
      </c>
      <c r="M925" s="70">
        <f t="shared" si="257"/>
        <v>-0.25791666666666679</v>
      </c>
      <c r="N925" s="70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25">
      <c r="A926" t="s">
        <v>41</v>
      </c>
      <c r="B926" s="63">
        <v>2</v>
      </c>
      <c r="C926" t="s">
        <v>16</v>
      </c>
      <c r="D926" s="66">
        <v>1600</v>
      </c>
      <c r="E926" s="66">
        <v>1600</v>
      </c>
      <c r="F926" s="65">
        <v>1558</v>
      </c>
      <c r="G926" s="13">
        <f t="shared" si="252"/>
        <v>-42</v>
      </c>
      <c r="H926" s="13">
        <f t="shared" si="253"/>
        <v>-42</v>
      </c>
      <c r="I926" s="70">
        <f t="shared" si="254"/>
        <v>-2.6249999999999996E-2</v>
      </c>
      <c r="J926" s="70">
        <f t="shared" si="255"/>
        <v>-2.6249999999999996E-2</v>
      </c>
      <c r="K926" s="82" t="str">
        <f>_xlfn.IFNA(VLOOKUP(CLEAN(SUBSTITUTE(C926," ","")),Ref_Factory!$A:$B,2,FALSE),CLEAN(SUBSTITUTE(C926," ","")))</f>
        <v>ANUGERAH</v>
      </c>
      <c r="L926" s="82" t="str">
        <f t="shared" si="256"/>
        <v>JULY-2-ANUGERAH</v>
      </c>
      <c r="M926" s="70">
        <f t="shared" si="257"/>
        <v>-0.25791666666666679</v>
      </c>
      <c r="N926" s="70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25">
      <c r="A927" t="s">
        <v>41</v>
      </c>
      <c r="B927" s="63">
        <v>2</v>
      </c>
      <c r="C927" t="s">
        <v>16</v>
      </c>
      <c r="D927" s="66">
        <v>3000</v>
      </c>
      <c r="E927" s="66">
        <v>3093</v>
      </c>
      <c r="F927" s="65">
        <v>2970</v>
      </c>
      <c r="G927" s="13">
        <f t="shared" si="252"/>
        <v>-123</v>
      </c>
      <c r="H927" s="13">
        <f t="shared" si="253"/>
        <v>-30</v>
      </c>
      <c r="I927" s="70">
        <f t="shared" si="254"/>
        <v>-1.0000000000000009E-2</v>
      </c>
      <c r="J927" s="70">
        <f t="shared" si="255"/>
        <v>-3.9767216294859353E-2</v>
      </c>
      <c r="K927" s="82" t="str">
        <f>_xlfn.IFNA(VLOOKUP(CLEAN(SUBSTITUTE(C927," ","")),Ref_Factory!$A:$B,2,FALSE),CLEAN(SUBSTITUTE(C927," ","")))</f>
        <v>ANUGERAH</v>
      </c>
      <c r="L927" s="82" t="str">
        <f t="shared" si="256"/>
        <v>JULY-2-ANUGERAH</v>
      </c>
      <c r="M927" s="70">
        <f t="shared" si="257"/>
        <v>-0.25791666666666679</v>
      </c>
      <c r="N927" s="70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25">
      <c r="A928" t="s">
        <v>41</v>
      </c>
      <c r="B928" s="63">
        <v>2</v>
      </c>
      <c r="C928" t="s">
        <v>16</v>
      </c>
      <c r="D928" s="66">
        <v>3600</v>
      </c>
      <c r="E928" s="66">
        <v>3589</v>
      </c>
      <c r="F928" s="65">
        <v>3513</v>
      </c>
      <c r="G928" s="13">
        <f t="shared" si="252"/>
        <v>-76</v>
      </c>
      <c r="H928" s="13">
        <f t="shared" si="253"/>
        <v>-87</v>
      </c>
      <c r="I928" s="70">
        <f t="shared" si="254"/>
        <v>-2.416666666666667E-2</v>
      </c>
      <c r="J928" s="70">
        <f t="shared" si="255"/>
        <v>-2.117581499024801E-2</v>
      </c>
      <c r="K928" s="82" t="str">
        <f>_xlfn.IFNA(VLOOKUP(CLEAN(SUBSTITUTE(C928," ","")),Ref_Factory!$A:$B,2,FALSE),CLEAN(SUBSTITUTE(C928," ","")))</f>
        <v>ANUGERAH</v>
      </c>
      <c r="L928" s="82" t="str">
        <f t="shared" si="256"/>
        <v>JULY-2-ANUGERAH</v>
      </c>
      <c r="M928" s="70">
        <f t="shared" si="257"/>
        <v>-0.25791666666666679</v>
      </c>
      <c r="N928" s="70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25">
      <c r="A929" t="s">
        <v>41</v>
      </c>
      <c r="B929" s="63">
        <v>2</v>
      </c>
      <c r="C929" t="s">
        <v>16</v>
      </c>
      <c r="D929" s="66">
        <v>3600</v>
      </c>
      <c r="E929" s="66">
        <v>3548</v>
      </c>
      <c r="F929" s="65">
        <v>3411</v>
      </c>
      <c r="G929" s="13">
        <f t="shared" si="252"/>
        <v>-137</v>
      </c>
      <c r="H929" s="13">
        <f t="shared" si="253"/>
        <v>-189</v>
      </c>
      <c r="I929" s="70">
        <f t="shared" si="254"/>
        <v>-5.2499999999999991E-2</v>
      </c>
      <c r="J929" s="70">
        <f t="shared" si="255"/>
        <v>-3.8613303269447563E-2</v>
      </c>
      <c r="K929" s="82" t="str">
        <f>_xlfn.IFNA(VLOOKUP(CLEAN(SUBSTITUTE(C929," ","")),Ref_Factory!$A:$B,2,FALSE),CLEAN(SUBSTITUTE(C929," ","")))</f>
        <v>ANUGERAH</v>
      </c>
      <c r="L929" s="82" t="str">
        <f t="shared" si="256"/>
        <v>JULY-2-ANUGERAH</v>
      </c>
      <c r="M929" s="70">
        <f t="shared" si="257"/>
        <v>-0.25791666666666679</v>
      </c>
      <c r="N929" s="70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25">
      <c r="A930" t="s">
        <v>41</v>
      </c>
      <c r="B930" s="63">
        <v>2</v>
      </c>
      <c r="C930" t="s">
        <v>16</v>
      </c>
      <c r="D930" s="66">
        <v>3000</v>
      </c>
      <c r="E930" s="66">
        <v>3000</v>
      </c>
      <c r="F930" s="65">
        <v>2925</v>
      </c>
      <c r="G930" s="13">
        <f t="shared" si="252"/>
        <v>-75</v>
      </c>
      <c r="H930" s="13">
        <f t="shared" si="253"/>
        <v>-75</v>
      </c>
      <c r="I930" s="70">
        <f t="shared" si="254"/>
        <v>-2.5000000000000022E-2</v>
      </c>
      <c r="J930" s="70">
        <f t="shared" si="255"/>
        <v>-2.5000000000000022E-2</v>
      </c>
      <c r="K930" s="82" t="str">
        <f>_xlfn.IFNA(VLOOKUP(CLEAN(SUBSTITUTE(C930," ","")),Ref_Factory!$A:$B,2,FALSE),CLEAN(SUBSTITUTE(C930," ","")))</f>
        <v>ANUGERAH</v>
      </c>
      <c r="L930" s="82" t="str">
        <f t="shared" si="256"/>
        <v>JULY-2-ANUGERAH</v>
      </c>
      <c r="M930" s="70">
        <f t="shared" si="257"/>
        <v>-0.25791666666666679</v>
      </c>
      <c r="N930" s="70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25">
      <c r="A931" t="s">
        <v>41</v>
      </c>
      <c r="B931" s="63">
        <v>2</v>
      </c>
      <c r="C931" t="s">
        <v>16</v>
      </c>
      <c r="D931" s="66">
        <v>2400</v>
      </c>
      <c r="E931" s="66">
        <v>2427</v>
      </c>
      <c r="F931" s="65">
        <v>2268</v>
      </c>
      <c r="G931" s="13">
        <f t="shared" si="252"/>
        <v>-159</v>
      </c>
      <c r="H931" s="13">
        <f t="shared" si="253"/>
        <v>-132</v>
      </c>
      <c r="I931" s="70">
        <f t="shared" si="254"/>
        <v>-5.5000000000000049E-2</v>
      </c>
      <c r="J931" s="70">
        <f t="shared" si="255"/>
        <v>-6.5512978986402959E-2</v>
      </c>
      <c r="K931" s="82" t="str">
        <f>_xlfn.IFNA(VLOOKUP(CLEAN(SUBSTITUTE(C931," ","")),Ref_Factory!$A:$B,2,FALSE),CLEAN(SUBSTITUTE(C931," ","")))</f>
        <v>ANUGERAH</v>
      </c>
      <c r="L931" s="82" t="str">
        <f t="shared" si="256"/>
        <v>JULY-2-ANUGERAH</v>
      </c>
      <c r="M931" s="70">
        <f t="shared" si="257"/>
        <v>-0.25791666666666679</v>
      </c>
      <c r="N931" s="70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25">
      <c r="A932" t="s">
        <v>41</v>
      </c>
      <c r="B932" s="63">
        <v>2</v>
      </c>
      <c r="C932" t="s">
        <v>14</v>
      </c>
      <c r="D932">
        <v>20736</v>
      </c>
      <c r="E932" s="66">
        <v>20745</v>
      </c>
      <c r="F932" s="65">
        <v>20604</v>
      </c>
      <c r="G932" s="13">
        <f t="shared" si="252"/>
        <v>-141</v>
      </c>
      <c r="H932" s="13">
        <f t="shared" si="253"/>
        <v>-132</v>
      </c>
      <c r="I932" s="70">
        <f t="shared" si="254"/>
        <v>-6.3657407407406996E-3</v>
      </c>
      <c r="J932" s="70">
        <f t="shared" si="255"/>
        <v>-6.7968185104844148E-3</v>
      </c>
      <c r="K932" s="82" t="str">
        <f>_xlfn.IFNA(VLOOKUP(CLEAN(SUBSTITUTE(C932," ","")),Ref_Factory!$A:$B,2,FALSE),CLEAN(SUBSTITUTE(C932," ","")))</f>
        <v>GM2</v>
      </c>
      <c r="L932" s="82" t="str">
        <f t="shared" si="256"/>
        <v>JULY-2-GM2</v>
      </c>
      <c r="M932" s="70">
        <f t="shared" si="257"/>
        <v>-0.16023365441103821</v>
      </c>
      <c r="N932" s="70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25">
      <c r="A933" t="s">
        <v>41</v>
      </c>
      <c r="B933" s="63">
        <v>2</v>
      </c>
      <c r="C933" t="s">
        <v>14</v>
      </c>
      <c r="D933">
        <v>5076</v>
      </c>
      <c r="E933" s="66">
        <v>5076</v>
      </c>
      <c r="F933" s="65">
        <v>5076</v>
      </c>
      <c r="G933" s="13">
        <f t="shared" si="252"/>
        <v>0</v>
      </c>
      <c r="H933" s="13">
        <f t="shared" si="253"/>
        <v>0</v>
      </c>
      <c r="I933" s="70">
        <f t="shared" si="254"/>
        <v>0</v>
      </c>
      <c r="J933" s="70">
        <f t="shared" si="255"/>
        <v>0</v>
      </c>
      <c r="K933" s="82" t="str">
        <f>_xlfn.IFNA(VLOOKUP(CLEAN(SUBSTITUTE(C933," ","")),Ref_Factory!$A:$B,2,FALSE),CLEAN(SUBSTITUTE(C933," ","")))</f>
        <v>GM2</v>
      </c>
      <c r="L933" s="82" t="str">
        <f t="shared" si="256"/>
        <v>JULY-2-GM2</v>
      </c>
      <c r="M933" s="70">
        <f t="shared" si="257"/>
        <v>-0.16023365441103821</v>
      </c>
      <c r="N933" s="70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25">
      <c r="A934" t="s">
        <v>41</v>
      </c>
      <c r="B934" s="63">
        <v>2</v>
      </c>
      <c r="C934" t="s">
        <v>14</v>
      </c>
      <c r="D934">
        <v>648</v>
      </c>
      <c r="E934" s="66">
        <v>648</v>
      </c>
      <c r="F934" s="65">
        <v>648</v>
      </c>
      <c r="G934" s="13">
        <f t="shared" si="252"/>
        <v>0</v>
      </c>
      <c r="H934" s="13">
        <f t="shared" si="253"/>
        <v>0</v>
      </c>
      <c r="I934" s="70">
        <f t="shared" si="254"/>
        <v>0</v>
      </c>
      <c r="J934" s="70">
        <f t="shared" si="255"/>
        <v>0</v>
      </c>
      <c r="K934" s="82" t="str">
        <f>_xlfn.IFNA(VLOOKUP(CLEAN(SUBSTITUTE(C934," ","")),Ref_Factory!$A:$B,2,FALSE),CLEAN(SUBSTITUTE(C934," ","")))</f>
        <v>GM2</v>
      </c>
      <c r="L934" s="82" t="str">
        <f t="shared" si="256"/>
        <v>JULY-2-GM2</v>
      </c>
      <c r="M934" s="70">
        <f t="shared" si="257"/>
        <v>-0.16023365441103821</v>
      </c>
      <c r="N934" s="70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25">
      <c r="A935" t="s">
        <v>41</v>
      </c>
      <c r="B935" s="63">
        <v>2</v>
      </c>
      <c r="C935" t="s">
        <v>14</v>
      </c>
      <c r="D935">
        <v>648</v>
      </c>
      <c r="E935" s="66">
        <v>648</v>
      </c>
      <c r="F935" s="65">
        <v>648</v>
      </c>
      <c r="G935" s="13">
        <f t="shared" si="252"/>
        <v>0</v>
      </c>
      <c r="H935" s="13">
        <f t="shared" si="253"/>
        <v>0</v>
      </c>
      <c r="I935" s="70">
        <f t="shared" si="254"/>
        <v>0</v>
      </c>
      <c r="J935" s="70">
        <f t="shared" si="255"/>
        <v>0</v>
      </c>
      <c r="K935" s="82" t="str">
        <f>_xlfn.IFNA(VLOOKUP(CLEAN(SUBSTITUTE(C935," ","")),Ref_Factory!$A:$B,2,FALSE),CLEAN(SUBSTITUTE(C935," ","")))</f>
        <v>GM2</v>
      </c>
      <c r="L935" s="82" t="str">
        <f t="shared" si="256"/>
        <v>JULY-2-GM2</v>
      </c>
      <c r="M935" s="70">
        <f t="shared" si="257"/>
        <v>-0.16023365441103821</v>
      </c>
      <c r="N935" s="70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25">
      <c r="A936" t="s">
        <v>41</v>
      </c>
      <c r="B936" s="63">
        <v>2</v>
      </c>
      <c r="C936" t="s">
        <v>14</v>
      </c>
      <c r="D936">
        <v>864</v>
      </c>
      <c r="E936" s="66">
        <v>864</v>
      </c>
      <c r="F936" s="65">
        <v>864</v>
      </c>
      <c r="G936" s="13">
        <f t="shared" si="252"/>
        <v>0</v>
      </c>
      <c r="H936" s="13">
        <f t="shared" si="253"/>
        <v>0</v>
      </c>
      <c r="I936" s="70">
        <f t="shared" si="254"/>
        <v>0</v>
      </c>
      <c r="J936" s="70">
        <f t="shared" si="255"/>
        <v>0</v>
      </c>
      <c r="K936" s="82" t="str">
        <f>_xlfn.IFNA(VLOOKUP(CLEAN(SUBSTITUTE(C936," ","")),Ref_Factory!$A:$B,2,FALSE),CLEAN(SUBSTITUTE(C936," ","")))</f>
        <v>GM2</v>
      </c>
      <c r="L936" s="82" t="str">
        <f t="shared" si="256"/>
        <v>JULY-2-GM2</v>
      </c>
      <c r="M936" s="70">
        <f t="shared" si="257"/>
        <v>-0.16023365441103821</v>
      </c>
      <c r="N936" s="70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25">
      <c r="A937" t="s">
        <v>41</v>
      </c>
      <c r="B937" s="63">
        <v>2</v>
      </c>
      <c r="C937" t="s">
        <v>14</v>
      </c>
      <c r="D937">
        <v>2592</v>
      </c>
      <c r="E937" s="66">
        <v>2608</v>
      </c>
      <c r="F937" s="65">
        <v>2592</v>
      </c>
      <c r="G937" s="13">
        <f t="shared" si="252"/>
        <v>-16</v>
      </c>
      <c r="H937" s="13">
        <f t="shared" si="253"/>
        <v>0</v>
      </c>
      <c r="I937" s="70">
        <f t="shared" si="254"/>
        <v>0</v>
      </c>
      <c r="J937" s="70">
        <f t="shared" si="255"/>
        <v>-6.1349693251533388E-3</v>
      </c>
      <c r="K937" s="82" t="str">
        <f>_xlfn.IFNA(VLOOKUP(CLEAN(SUBSTITUTE(C937," ","")),Ref_Factory!$A:$B,2,FALSE),CLEAN(SUBSTITUTE(C937," ","")))</f>
        <v>GM2</v>
      </c>
      <c r="L937" s="82" t="str">
        <f t="shared" si="256"/>
        <v>JULY-2-GM2</v>
      </c>
      <c r="M937" s="70">
        <f t="shared" si="257"/>
        <v>-0.16023365441103821</v>
      </c>
      <c r="N937" s="70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25">
      <c r="A938" t="s">
        <v>41</v>
      </c>
      <c r="B938" s="63">
        <v>2</v>
      </c>
      <c r="C938" t="s">
        <v>14</v>
      </c>
      <c r="D938">
        <v>1404</v>
      </c>
      <c r="E938" s="66">
        <v>1421</v>
      </c>
      <c r="F938" s="65">
        <v>1404</v>
      </c>
      <c r="G938" s="13">
        <f t="shared" si="252"/>
        <v>-17</v>
      </c>
      <c r="H938" s="13">
        <f t="shared" si="253"/>
        <v>0</v>
      </c>
      <c r="I938" s="70">
        <f t="shared" si="254"/>
        <v>0</v>
      </c>
      <c r="J938" s="70">
        <f t="shared" si="255"/>
        <v>-1.196340605207602E-2</v>
      </c>
      <c r="K938" s="82" t="str">
        <f>_xlfn.IFNA(VLOOKUP(CLEAN(SUBSTITUTE(C938," ","")),Ref_Factory!$A:$B,2,FALSE),CLEAN(SUBSTITUTE(C938," ","")))</f>
        <v>GM2</v>
      </c>
      <c r="L938" s="82" t="str">
        <f t="shared" si="256"/>
        <v>JULY-2-GM2</v>
      </c>
      <c r="M938" s="70">
        <f t="shared" si="257"/>
        <v>-0.16023365441103821</v>
      </c>
      <c r="N938" s="70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25">
      <c r="A939" t="s">
        <v>41</v>
      </c>
      <c r="B939" s="63">
        <v>2</v>
      </c>
      <c r="C939" t="s">
        <v>14</v>
      </c>
      <c r="D939">
        <v>1152</v>
      </c>
      <c r="E939" s="66">
        <v>1155</v>
      </c>
      <c r="F939" s="65">
        <v>1152</v>
      </c>
      <c r="G939" s="13">
        <f t="shared" si="252"/>
        <v>-3</v>
      </c>
      <c r="H939" s="13">
        <f t="shared" si="253"/>
        <v>0</v>
      </c>
      <c r="I939" s="70">
        <f t="shared" si="254"/>
        <v>0</v>
      </c>
      <c r="J939" s="70">
        <f t="shared" si="255"/>
        <v>-2.5974025974025983E-3</v>
      </c>
      <c r="K939" s="82" t="str">
        <f>_xlfn.IFNA(VLOOKUP(CLEAN(SUBSTITUTE(C939," ","")),Ref_Factory!$A:$B,2,FALSE),CLEAN(SUBSTITUTE(C939," ","")))</f>
        <v>GM2</v>
      </c>
      <c r="L939" s="82" t="str">
        <f t="shared" si="256"/>
        <v>JULY-2-GM2</v>
      </c>
      <c r="M939" s="70">
        <f t="shared" si="257"/>
        <v>-0.16023365441103821</v>
      </c>
      <c r="N939" s="70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25">
      <c r="A940" t="s">
        <v>41</v>
      </c>
      <c r="B940" s="63">
        <v>2</v>
      </c>
      <c r="C940" t="s">
        <v>14</v>
      </c>
      <c r="D940">
        <v>2880</v>
      </c>
      <c r="E940" s="66">
        <v>2880</v>
      </c>
      <c r="F940" s="65">
        <v>2880</v>
      </c>
      <c r="G940" s="13">
        <f t="shared" si="252"/>
        <v>0</v>
      </c>
      <c r="H940" s="13">
        <f t="shared" si="253"/>
        <v>0</v>
      </c>
      <c r="I940" s="70">
        <f t="shared" si="254"/>
        <v>0</v>
      </c>
      <c r="J940" s="70">
        <f t="shared" si="255"/>
        <v>0</v>
      </c>
      <c r="K940" s="82" t="str">
        <f>_xlfn.IFNA(VLOOKUP(CLEAN(SUBSTITUTE(C940," ","")),Ref_Factory!$A:$B,2,FALSE),CLEAN(SUBSTITUTE(C940," ","")))</f>
        <v>GM2</v>
      </c>
      <c r="L940" s="82" t="str">
        <f t="shared" si="256"/>
        <v>JULY-2-GM2</v>
      </c>
      <c r="M940" s="70">
        <f t="shared" si="257"/>
        <v>-0.16023365441103821</v>
      </c>
      <c r="N940" s="70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25">
      <c r="A941" t="s">
        <v>41</v>
      </c>
      <c r="B941" s="63">
        <v>2</v>
      </c>
      <c r="C941" t="s">
        <v>14</v>
      </c>
      <c r="D941">
        <v>2160</v>
      </c>
      <c r="E941" s="66">
        <v>2172</v>
      </c>
      <c r="F941" s="65">
        <v>2160</v>
      </c>
      <c r="G941" s="13">
        <f t="shared" si="252"/>
        <v>-12</v>
      </c>
      <c r="H941" s="13">
        <f t="shared" si="253"/>
        <v>0</v>
      </c>
      <c r="I941" s="70">
        <f t="shared" si="254"/>
        <v>0</v>
      </c>
      <c r="J941" s="70">
        <f t="shared" si="255"/>
        <v>-5.5248618784530246E-3</v>
      </c>
      <c r="K941" s="82" t="str">
        <f>_xlfn.IFNA(VLOOKUP(CLEAN(SUBSTITUTE(C941," ","")),Ref_Factory!$A:$B,2,FALSE),CLEAN(SUBSTITUTE(C941," ","")))</f>
        <v>GM2</v>
      </c>
      <c r="L941" s="82" t="str">
        <f t="shared" si="256"/>
        <v>JULY-2-GM2</v>
      </c>
      <c r="M941" s="70">
        <f t="shared" si="257"/>
        <v>-0.16023365441103821</v>
      </c>
      <c r="N941" s="70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25">
      <c r="A942" t="s">
        <v>41</v>
      </c>
      <c r="B942" s="63">
        <v>2</v>
      </c>
      <c r="C942" t="s">
        <v>14</v>
      </c>
      <c r="D942">
        <v>7020</v>
      </c>
      <c r="E942" s="66">
        <v>7104</v>
      </c>
      <c r="F942" s="65">
        <v>7020</v>
      </c>
      <c r="G942" s="13">
        <f t="shared" si="252"/>
        <v>-84</v>
      </c>
      <c r="H942" s="13">
        <f t="shared" si="253"/>
        <v>0</v>
      </c>
      <c r="I942" s="70">
        <f t="shared" si="254"/>
        <v>0</v>
      </c>
      <c r="J942" s="70">
        <f t="shared" si="255"/>
        <v>-1.1824324324324342E-2</v>
      </c>
      <c r="K942" s="82" t="str">
        <f>_xlfn.IFNA(VLOOKUP(CLEAN(SUBSTITUTE(C942," ","")),Ref_Factory!$A:$B,2,FALSE),CLEAN(SUBSTITUTE(C942," ","")))</f>
        <v>GM2</v>
      </c>
      <c r="L942" s="82" t="str">
        <f t="shared" si="256"/>
        <v>JULY-2-GM2</v>
      </c>
      <c r="M942" s="70">
        <f t="shared" si="257"/>
        <v>-0.16023365441103821</v>
      </c>
      <c r="N942" s="70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25">
      <c r="A943" t="s">
        <v>41</v>
      </c>
      <c r="B943" s="63">
        <v>2</v>
      </c>
      <c r="C943" t="s">
        <v>14</v>
      </c>
      <c r="D943">
        <v>30456</v>
      </c>
      <c r="E943" s="66">
        <v>28661</v>
      </c>
      <c r="F943" s="65">
        <v>28728</v>
      </c>
      <c r="G943" s="13">
        <f t="shared" si="252"/>
        <v>67</v>
      </c>
      <c r="H943" s="13">
        <f t="shared" si="253"/>
        <v>-1728</v>
      </c>
      <c r="I943" s="70">
        <f t="shared" si="254"/>
        <v>-5.673758865248224E-2</v>
      </c>
      <c r="J943" s="70">
        <f t="shared" si="255"/>
        <v>2.3376714001603904E-3</v>
      </c>
      <c r="K943" s="82" t="str">
        <f>_xlfn.IFNA(VLOOKUP(CLEAN(SUBSTITUTE(C943," ","")),Ref_Factory!$A:$B,2,FALSE),CLEAN(SUBSTITUTE(C943," ","")))</f>
        <v>GM2</v>
      </c>
      <c r="L943" s="82" t="str">
        <f t="shared" si="256"/>
        <v>JULY-2-GM2</v>
      </c>
      <c r="M943" s="70">
        <f t="shared" si="257"/>
        <v>-0.16023365441103821</v>
      </c>
      <c r="N943" s="70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25">
      <c r="A944" t="s">
        <v>41</v>
      </c>
      <c r="B944" s="63">
        <v>2</v>
      </c>
      <c r="C944" t="s">
        <v>14</v>
      </c>
      <c r="D944">
        <v>1080</v>
      </c>
      <c r="E944" s="66">
        <v>1080</v>
      </c>
      <c r="F944" s="65">
        <v>1080</v>
      </c>
      <c r="G944" s="13">
        <f t="shared" si="252"/>
        <v>0</v>
      </c>
      <c r="H944" s="13">
        <f t="shared" si="253"/>
        <v>0</v>
      </c>
      <c r="I944" s="70">
        <f t="shared" si="254"/>
        <v>0</v>
      </c>
      <c r="J944" s="70">
        <f t="shared" si="255"/>
        <v>0</v>
      </c>
      <c r="K944" s="82" t="str">
        <f>_xlfn.IFNA(VLOOKUP(CLEAN(SUBSTITUTE(C944," ","")),Ref_Factory!$A:$B,2,FALSE),CLEAN(SUBSTITUTE(C944," ","")))</f>
        <v>GM2</v>
      </c>
      <c r="L944" s="82" t="str">
        <f t="shared" si="256"/>
        <v>JULY-2-GM2</v>
      </c>
      <c r="M944" s="70">
        <f t="shared" si="257"/>
        <v>-0.16023365441103821</v>
      </c>
      <c r="N944" s="70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25">
      <c r="A945" t="s">
        <v>41</v>
      </c>
      <c r="B945" s="63">
        <v>2</v>
      </c>
      <c r="C945" t="s">
        <v>14</v>
      </c>
      <c r="D945">
        <v>17712</v>
      </c>
      <c r="E945" s="66">
        <v>16825</v>
      </c>
      <c r="F945" s="65">
        <v>16845</v>
      </c>
      <c r="G945" s="13">
        <f t="shared" si="252"/>
        <v>20</v>
      </c>
      <c r="H945" s="13">
        <f t="shared" si="253"/>
        <v>-867</v>
      </c>
      <c r="I945" s="70">
        <f t="shared" si="254"/>
        <v>-4.8949864498645024E-2</v>
      </c>
      <c r="J945" s="70">
        <f t="shared" si="255"/>
        <v>1.1887072808320909E-3</v>
      </c>
      <c r="K945" s="82" t="str">
        <f>_xlfn.IFNA(VLOOKUP(CLEAN(SUBSTITUTE(C945," ","")),Ref_Factory!$A:$B,2,FALSE),CLEAN(SUBSTITUTE(C945," ","")))</f>
        <v>GM2</v>
      </c>
      <c r="L945" s="82" t="str">
        <f t="shared" si="256"/>
        <v>JULY-2-GM2</v>
      </c>
      <c r="M945" s="70">
        <f t="shared" si="257"/>
        <v>-0.16023365441103821</v>
      </c>
      <c r="N945" s="70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25">
      <c r="A946" t="s">
        <v>41</v>
      </c>
      <c r="B946" s="63">
        <v>2</v>
      </c>
      <c r="C946" t="s">
        <v>14</v>
      </c>
      <c r="D946">
        <v>20088</v>
      </c>
      <c r="E946" s="66">
        <v>20078</v>
      </c>
      <c r="F946" s="65">
        <v>19749</v>
      </c>
      <c r="G946" s="13">
        <f t="shared" si="252"/>
        <v>-329</v>
      </c>
      <c r="H946" s="13">
        <f t="shared" si="253"/>
        <v>-339</v>
      </c>
      <c r="I946" s="70">
        <f t="shared" si="254"/>
        <v>-1.6875746714456352E-2</v>
      </c>
      <c r="J946" s="70">
        <f t="shared" si="255"/>
        <v>-1.6386094232493265E-2</v>
      </c>
      <c r="K946" s="82" t="str">
        <f>_xlfn.IFNA(VLOOKUP(CLEAN(SUBSTITUTE(C946," ","")),Ref_Factory!$A:$B,2,FALSE),CLEAN(SUBSTITUTE(C946," ","")))</f>
        <v>GM2</v>
      </c>
      <c r="L946" s="82" t="str">
        <f t="shared" si="256"/>
        <v>JULY-2-GM2</v>
      </c>
      <c r="M946" s="70">
        <f t="shared" si="257"/>
        <v>-0.16023365441103821</v>
      </c>
      <c r="N946" s="70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25">
      <c r="A947" t="s">
        <v>41</v>
      </c>
      <c r="B947" s="63">
        <v>2</v>
      </c>
      <c r="C947" t="s">
        <v>14</v>
      </c>
      <c r="D947">
        <v>2160</v>
      </c>
      <c r="E947" s="66">
        <v>2160</v>
      </c>
      <c r="F947" s="65">
        <v>2130</v>
      </c>
      <c r="G947" s="13">
        <f t="shared" si="252"/>
        <v>-30</v>
      </c>
      <c r="H947" s="13">
        <f t="shared" si="253"/>
        <v>-30</v>
      </c>
      <c r="I947" s="70">
        <f t="shared" si="254"/>
        <v>-1.388888888888884E-2</v>
      </c>
      <c r="J947" s="70">
        <f t="shared" si="255"/>
        <v>-1.388888888888884E-2</v>
      </c>
      <c r="K947" s="82" t="str">
        <f>_xlfn.IFNA(VLOOKUP(CLEAN(SUBSTITUTE(C947," ","")),Ref_Factory!$A:$B,2,FALSE),CLEAN(SUBSTITUTE(C947," ","")))</f>
        <v>GM2</v>
      </c>
      <c r="L947" s="82" t="str">
        <f t="shared" si="256"/>
        <v>JULY-2-GM2</v>
      </c>
      <c r="M947" s="70">
        <f t="shared" si="257"/>
        <v>-0.16023365441103821</v>
      </c>
      <c r="N947" s="70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25">
      <c r="A948" t="s">
        <v>41</v>
      </c>
      <c r="B948" s="63">
        <v>2</v>
      </c>
      <c r="C948" t="s">
        <v>14</v>
      </c>
      <c r="D948">
        <v>3780</v>
      </c>
      <c r="E948" s="66">
        <v>3780</v>
      </c>
      <c r="F948" s="65">
        <v>3780</v>
      </c>
      <c r="G948" s="13">
        <f t="shared" si="252"/>
        <v>0</v>
      </c>
      <c r="H948" s="13">
        <f t="shared" si="253"/>
        <v>0</v>
      </c>
      <c r="I948" s="70">
        <f t="shared" si="254"/>
        <v>0</v>
      </c>
      <c r="J948" s="70">
        <f t="shared" si="255"/>
        <v>0</v>
      </c>
      <c r="K948" s="82" t="str">
        <f>_xlfn.IFNA(VLOOKUP(CLEAN(SUBSTITUTE(C948," ","")),Ref_Factory!$A:$B,2,FALSE),CLEAN(SUBSTITUTE(C948," ","")))</f>
        <v>GM2</v>
      </c>
      <c r="L948" s="82" t="str">
        <f t="shared" si="256"/>
        <v>JULY-2-GM2</v>
      </c>
      <c r="M948" s="70">
        <f t="shared" si="257"/>
        <v>-0.16023365441103821</v>
      </c>
      <c r="N948" s="70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25">
      <c r="A949" t="s">
        <v>41</v>
      </c>
      <c r="B949" s="63">
        <v>2</v>
      </c>
      <c r="C949" t="s">
        <v>14</v>
      </c>
      <c r="D949">
        <v>7344</v>
      </c>
      <c r="E949" s="66">
        <v>7353</v>
      </c>
      <c r="F949" s="65">
        <v>7344</v>
      </c>
      <c r="G949" s="13">
        <f t="shared" si="252"/>
        <v>-9</v>
      </c>
      <c r="H949" s="13">
        <f t="shared" si="253"/>
        <v>0</v>
      </c>
      <c r="I949" s="70">
        <f t="shared" si="254"/>
        <v>0</v>
      </c>
      <c r="J949" s="70">
        <f t="shared" si="255"/>
        <v>-1.223990208078285E-3</v>
      </c>
      <c r="K949" s="82" t="str">
        <f>_xlfn.IFNA(VLOOKUP(CLEAN(SUBSTITUTE(C949," ","")),Ref_Factory!$A:$B,2,FALSE),CLEAN(SUBSTITUTE(C949," ","")))</f>
        <v>GM2</v>
      </c>
      <c r="L949" s="82" t="str">
        <f t="shared" si="256"/>
        <v>JULY-2-GM2</v>
      </c>
      <c r="M949" s="70">
        <f t="shared" si="257"/>
        <v>-0.16023365441103821</v>
      </c>
      <c r="N949" s="70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25">
      <c r="A950" t="s">
        <v>41</v>
      </c>
      <c r="B950" s="63">
        <v>2</v>
      </c>
      <c r="C950" t="s">
        <v>14</v>
      </c>
      <c r="D950">
        <v>5832</v>
      </c>
      <c r="E950" s="66">
        <v>5841</v>
      </c>
      <c r="F950" s="65">
        <v>5832</v>
      </c>
      <c r="G950" s="13">
        <f t="shared" si="252"/>
        <v>-9</v>
      </c>
      <c r="H950" s="13">
        <f t="shared" si="253"/>
        <v>0</v>
      </c>
      <c r="I950" s="70">
        <f t="shared" si="254"/>
        <v>0</v>
      </c>
      <c r="J950" s="70">
        <f t="shared" si="255"/>
        <v>-1.5408320493066618E-3</v>
      </c>
      <c r="K950" s="82" t="str">
        <f>_xlfn.IFNA(VLOOKUP(CLEAN(SUBSTITUTE(C950," ","")),Ref_Factory!$A:$B,2,FALSE),CLEAN(SUBSTITUTE(C950," ","")))</f>
        <v>GM2</v>
      </c>
      <c r="L950" s="82" t="str">
        <f t="shared" si="256"/>
        <v>JULY-2-GM2</v>
      </c>
      <c r="M950" s="70">
        <f t="shared" si="257"/>
        <v>-0.16023365441103821</v>
      </c>
      <c r="N950" s="70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25">
      <c r="A951" t="s">
        <v>41</v>
      </c>
      <c r="B951" s="63">
        <v>2</v>
      </c>
      <c r="C951" t="s">
        <v>14</v>
      </c>
      <c r="D951">
        <v>7920</v>
      </c>
      <c r="E951" s="66">
        <v>7924</v>
      </c>
      <c r="F951" s="65">
        <v>7920</v>
      </c>
      <c r="G951" s="13">
        <f t="shared" si="252"/>
        <v>-4</v>
      </c>
      <c r="H951" s="13">
        <f t="shared" si="253"/>
        <v>0</v>
      </c>
      <c r="I951" s="70">
        <f t="shared" si="254"/>
        <v>0</v>
      </c>
      <c r="J951" s="70">
        <f t="shared" si="255"/>
        <v>-5.0479555779914254E-4</v>
      </c>
      <c r="K951" s="82" t="str">
        <f>_xlfn.IFNA(VLOOKUP(CLEAN(SUBSTITUTE(C951," ","")),Ref_Factory!$A:$B,2,FALSE),CLEAN(SUBSTITUTE(C951," ","")))</f>
        <v>GM2</v>
      </c>
      <c r="L951" s="82" t="str">
        <f t="shared" si="256"/>
        <v>JULY-2-GM2</v>
      </c>
      <c r="M951" s="70">
        <f t="shared" si="257"/>
        <v>-0.16023365441103821</v>
      </c>
      <c r="N951" s="70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25">
      <c r="A952" t="s">
        <v>41</v>
      </c>
      <c r="B952" s="63">
        <v>2</v>
      </c>
      <c r="C952" t="s">
        <v>14</v>
      </c>
      <c r="D952">
        <v>6768</v>
      </c>
      <c r="E952" s="66">
        <v>6773</v>
      </c>
      <c r="F952" s="65">
        <v>6768</v>
      </c>
      <c r="G952" s="13">
        <f t="shared" si="252"/>
        <v>-5</v>
      </c>
      <c r="H952" s="13">
        <f t="shared" si="253"/>
        <v>0</v>
      </c>
      <c r="I952" s="70">
        <f t="shared" si="254"/>
        <v>0</v>
      </c>
      <c r="J952" s="70">
        <f t="shared" si="255"/>
        <v>-7.3822530636347139E-4</v>
      </c>
      <c r="K952" s="82" t="str">
        <f>_xlfn.IFNA(VLOOKUP(CLEAN(SUBSTITUTE(C952," ","")),Ref_Factory!$A:$B,2,FALSE),CLEAN(SUBSTITUTE(C952," ","")))</f>
        <v>GM2</v>
      </c>
      <c r="L952" s="82" t="str">
        <f t="shared" si="256"/>
        <v>JULY-2-GM2</v>
      </c>
      <c r="M952" s="70">
        <f t="shared" si="257"/>
        <v>-0.16023365441103821</v>
      </c>
      <c r="N952" s="70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25">
      <c r="A953" t="s">
        <v>41</v>
      </c>
      <c r="B953" s="63">
        <v>2</v>
      </c>
      <c r="C953" t="s">
        <v>14</v>
      </c>
      <c r="D953">
        <v>14400</v>
      </c>
      <c r="E953" s="66">
        <v>14547</v>
      </c>
      <c r="F953" s="65">
        <v>14452</v>
      </c>
      <c r="G953" s="13">
        <f t="shared" si="252"/>
        <v>-95</v>
      </c>
      <c r="H953" s="13">
        <f t="shared" si="253"/>
        <v>52</v>
      </c>
      <c r="I953" s="70">
        <f t="shared" si="254"/>
        <v>3.6111111111110095E-3</v>
      </c>
      <c r="J953" s="70">
        <f t="shared" si="255"/>
        <v>-6.5305561284113578E-3</v>
      </c>
      <c r="K953" s="82" t="str">
        <f>_xlfn.IFNA(VLOOKUP(CLEAN(SUBSTITUTE(C953," ","")),Ref_Factory!$A:$B,2,FALSE),CLEAN(SUBSTITUTE(C953," ","")))</f>
        <v>GM2</v>
      </c>
      <c r="L953" s="82" t="str">
        <f t="shared" si="256"/>
        <v>JULY-2-GM2</v>
      </c>
      <c r="M953" s="70">
        <f t="shared" si="257"/>
        <v>-0.16023365441103821</v>
      </c>
      <c r="N953" s="70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25">
      <c r="A954" t="s">
        <v>41</v>
      </c>
      <c r="B954" s="63">
        <v>2</v>
      </c>
      <c r="C954" t="s">
        <v>14</v>
      </c>
      <c r="D954">
        <v>19008</v>
      </c>
      <c r="E954" s="66">
        <v>19203</v>
      </c>
      <c r="F954" s="65">
        <v>19160</v>
      </c>
      <c r="G954" s="13">
        <f t="shared" si="252"/>
        <v>-43</v>
      </c>
      <c r="H954" s="13">
        <f t="shared" si="253"/>
        <v>152</v>
      </c>
      <c r="I954" s="70">
        <f t="shared" si="254"/>
        <v>7.9966329966330019E-3</v>
      </c>
      <c r="J954" s="70">
        <f t="shared" si="255"/>
        <v>-2.2392334531062819E-3</v>
      </c>
      <c r="K954" s="82" t="str">
        <f>_xlfn.IFNA(VLOOKUP(CLEAN(SUBSTITUTE(C954," ","")),Ref_Factory!$A:$B,2,FALSE),CLEAN(SUBSTITUTE(C954," ","")))</f>
        <v>GM2</v>
      </c>
      <c r="L954" s="82" t="str">
        <f t="shared" si="256"/>
        <v>JULY-2-GM2</v>
      </c>
      <c r="M954" s="70">
        <f t="shared" si="257"/>
        <v>-0.16023365441103821</v>
      </c>
      <c r="N954" s="70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25">
      <c r="A955" t="s">
        <v>41</v>
      </c>
      <c r="B955" s="63">
        <v>2</v>
      </c>
      <c r="C955" t="s">
        <v>14</v>
      </c>
      <c r="D955">
        <v>19008</v>
      </c>
      <c r="E955" s="66">
        <v>19215</v>
      </c>
      <c r="F955" s="65">
        <v>19148</v>
      </c>
      <c r="G955" s="13">
        <f t="shared" si="252"/>
        <v>-67</v>
      </c>
      <c r="H955" s="13">
        <f t="shared" si="253"/>
        <v>140</v>
      </c>
      <c r="I955" s="70">
        <f t="shared" si="254"/>
        <v>7.3653198653198526E-3</v>
      </c>
      <c r="J955" s="70">
        <f t="shared" si="255"/>
        <v>-3.4868592245641539E-3</v>
      </c>
      <c r="K955" s="82" t="str">
        <f>_xlfn.IFNA(VLOOKUP(CLEAN(SUBSTITUTE(C955," ","")),Ref_Factory!$A:$B,2,FALSE),CLEAN(SUBSTITUTE(C955," ","")))</f>
        <v>GM2</v>
      </c>
      <c r="L955" s="82" t="str">
        <f t="shared" si="256"/>
        <v>JULY-2-GM2</v>
      </c>
      <c r="M955" s="70">
        <f t="shared" si="257"/>
        <v>-0.16023365441103821</v>
      </c>
      <c r="N955" s="70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25">
      <c r="A956" t="s">
        <v>41</v>
      </c>
      <c r="B956" s="63">
        <v>2</v>
      </c>
      <c r="C956" t="s">
        <v>14</v>
      </c>
      <c r="D956">
        <v>14400</v>
      </c>
      <c r="E956" s="66">
        <v>14544</v>
      </c>
      <c r="F956" s="65">
        <v>14476</v>
      </c>
      <c r="G956" s="13">
        <f t="shared" si="252"/>
        <v>-68</v>
      </c>
      <c r="H956" s="13">
        <f t="shared" si="253"/>
        <v>76</v>
      </c>
      <c r="I956" s="70">
        <f t="shared" si="254"/>
        <v>5.2777777777777146E-3</v>
      </c>
      <c r="J956" s="70">
        <f t="shared" si="255"/>
        <v>-4.6754675467546303E-3</v>
      </c>
      <c r="K956" s="82" t="str">
        <f>_xlfn.IFNA(VLOOKUP(CLEAN(SUBSTITUTE(C956," ","")),Ref_Factory!$A:$B,2,FALSE),CLEAN(SUBSTITUTE(C956," ","")))</f>
        <v>GM2</v>
      </c>
      <c r="L956" s="82" t="str">
        <f t="shared" si="256"/>
        <v>JULY-2-GM2</v>
      </c>
      <c r="M956" s="70">
        <f t="shared" si="257"/>
        <v>-0.16023365441103821</v>
      </c>
      <c r="N956" s="70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25">
      <c r="A957" t="s">
        <v>41</v>
      </c>
      <c r="B957" s="63">
        <v>2</v>
      </c>
      <c r="C957" t="s">
        <v>14</v>
      </c>
      <c r="D957">
        <v>5832</v>
      </c>
      <c r="E957" s="66">
        <v>5835</v>
      </c>
      <c r="F957" s="65">
        <v>5832</v>
      </c>
      <c r="G957" s="13">
        <f t="shared" si="252"/>
        <v>-3</v>
      </c>
      <c r="H957" s="13">
        <f t="shared" si="253"/>
        <v>0</v>
      </c>
      <c r="I957" s="70">
        <f t="shared" si="254"/>
        <v>0</v>
      </c>
      <c r="J957" s="70">
        <f t="shared" si="255"/>
        <v>-5.1413881748074708E-4</v>
      </c>
      <c r="K957" s="82" t="str">
        <f>_xlfn.IFNA(VLOOKUP(CLEAN(SUBSTITUTE(C957," ","")),Ref_Factory!$A:$B,2,FALSE),CLEAN(SUBSTITUTE(C957," ","")))</f>
        <v>GM2</v>
      </c>
      <c r="L957" s="82" t="str">
        <f t="shared" si="256"/>
        <v>JULY-2-GM2</v>
      </c>
      <c r="M957" s="70">
        <f t="shared" si="257"/>
        <v>-0.16023365441103821</v>
      </c>
      <c r="N957" s="70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25">
      <c r="A958" t="s">
        <v>41</v>
      </c>
      <c r="B958" s="63">
        <v>2</v>
      </c>
      <c r="C958" t="s">
        <v>14</v>
      </c>
      <c r="D958">
        <v>4320</v>
      </c>
      <c r="E958" s="66">
        <v>4115</v>
      </c>
      <c r="F958" s="65">
        <v>4140</v>
      </c>
      <c r="G958" s="13">
        <f t="shared" si="252"/>
        <v>25</v>
      </c>
      <c r="H958" s="13">
        <f t="shared" si="253"/>
        <v>-180</v>
      </c>
      <c r="I958" s="70">
        <f t="shared" si="254"/>
        <v>-4.166666666666663E-2</v>
      </c>
      <c r="J958" s="70">
        <f t="shared" si="255"/>
        <v>6.0753341433779084E-3</v>
      </c>
      <c r="K958" s="82" t="str">
        <f>_xlfn.IFNA(VLOOKUP(CLEAN(SUBSTITUTE(C958," ","")),Ref_Factory!$A:$B,2,FALSE),CLEAN(SUBSTITUTE(C958," ","")))</f>
        <v>GM2</v>
      </c>
      <c r="L958" s="82" t="str">
        <f t="shared" si="256"/>
        <v>JULY-2-GM2</v>
      </c>
      <c r="M958" s="70">
        <f t="shared" si="257"/>
        <v>-0.16023365441103821</v>
      </c>
      <c r="N958" s="70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25">
      <c r="A959" t="s">
        <v>41</v>
      </c>
      <c r="B959" s="63">
        <v>2</v>
      </c>
      <c r="C959" t="s">
        <v>11</v>
      </c>
      <c r="D959" s="66">
        <v>10224</v>
      </c>
      <c r="E959" s="66">
        <v>10224</v>
      </c>
      <c r="F959" s="65">
        <v>10096</v>
      </c>
      <c r="G959" s="13">
        <f t="shared" si="252"/>
        <v>-128</v>
      </c>
      <c r="H959" s="13">
        <f t="shared" si="253"/>
        <v>-128</v>
      </c>
      <c r="I959" s="70">
        <f t="shared" si="254"/>
        <v>-1.2519561815336422E-2</v>
      </c>
      <c r="J959" s="70">
        <f t="shared" si="255"/>
        <v>-1.2519561815336422E-2</v>
      </c>
      <c r="K959" s="82" t="str">
        <f>_xlfn.IFNA(VLOOKUP(CLEAN(SUBSTITUTE(C959," ","")),Ref_Factory!$A:$B,2,FALSE),CLEAN(SUBSTITUTE(C959," ","")))</f>
        <v>GM1</v>
      </c>
      <c r="L959" s="82" t="str">
        <f t="shared" si="256"/>
        <v>JULY-2-GM1</v>
      </c>
      <c r="M959" s="70">
        <f t="shared" si="257"/>
        <v>-0.5384998016377488</v>
      </c>
      <c r="N959" s="70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25">
      <c r="A960" t="s">
        <v>41</v>
      </c>
      <c r="B960" s="63">
        <v>2</v>
      </c>
      <c r="C960" t="s">
        <v>11</v>
      </c>
      <c r="D960" s="66">
        <v>9648</v>
      </c>
      <c r="E960" s="66">
        <v>9614</v>
      </c>
      <c r="F960" s="65">
        <v>9176</v>
      </c>
      <c r="G960" s="13">
        <f t="shared" si="252"/>
        <v>-438</v>
      </c>
      <c r="H960" s="13">
        <f t="shared" si="253"/>
        <v>-472</v>
      </c>
      <c r="I960" s="70">
        <f t="shared" si="254"/>
        <v>-4.8922056384743007E-2</v>
      </c>
      <c r="J960" s="70">
        <f t="shared" si="255"/>
        <v>-4.5558560432702344E-2</v>
      </c>
      <c r="K960" s="82" t="str">
        <f>_xlfn.IFNA(VLOOKUP(CLEAN(SUBSTITUTE(C960," ","")),Ref_Factory!$A:$B,2,FALSE),CLEAN(SUBSTITUTE(C960," ","")))</f>
        <v>GM1</v>
      </c>
      <c r="L960" s="82" t="str">
        <f t="shared" si="256"/>
        <v>JULY-2-GM1</v>
      </c>
      <c r="M960" s="70">
        <f t="shared" si="257"/>
        <v>-0.5384998016377488</v>
      </c>
      <c r="N960" s="70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25">
      <c r="A961" t="s">
        <v>41</v>
      </c>
      <c r="B961" s="63">
        <v>2</v>
      </c>
      <c r="C961" t="s">
        <v>11</v>
      </c>
      <c r="D961" s="66">
        <v>4212</v>
      </c>
      <c r="E961" s="66">
        <v>4212</v>
      </c>
      <c r="F961" s="65">
        <v>4200</v>
      </c>
      <c r="G961" s="13">
        <f t="shared" si="252"/>
        <v>-12</v>
      </c>
      <c r="H961" s="13">
        <f t="shared" si="253"/>
        <v>-12</v>
      </c>
      <c r="I961" s="70">
        <f t="shared" si="254"/>
        <v>-2.8490028490028019E-3</v>
      </c>
      <c r="J961" s="70">
        <f t="shared" si="255"/>
        <v>-2.8490028490028019E-3</v>
      </c>
      <c r="K961" s="82" t="str">
        <f>_xlfn.IFNA(VLOOKUP(CLEAN(SUBSTITUTE(C961," ","")),Ref_Factory!$A:$B,2,FALSE),CLEAN(SUBSTITUTE(C961," ","")))</f>
        <v>GM1</v>
      </c>
      <c r="L961" s="82" t="str">
        <f t="shared" si="256"/>
        <v>JULY-2-GM1</v>
      </c>
      <c r="M961" s="70">
        <f t="shared" si="257"/>
        <v>-0.5384998016377488</v>
      </c>
      <c r="N961" s="70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25">
      <c r="A962" t="s">
        <v>41</v>
      </c>
      <c r="B962" s="63">
        <v>2</v>
      </c>
      <c r="C962" t="s">
        <v>11</v>
      </c>
      <c r="D962" s="66">
        <v>3564</v>
      </c>
      <c r="E962" s="66">
        <v>3564</v>
      </c>
      <c r="F962" s="65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70">
        <f t="shared" ref="I962:I1025" si="272">F962/D962-1</f>
        <v>0</v>
      </c>
      <c r="J962" s="70">
        <f t="shared" ref="J962:J1025" si="273">F962/E962-1</f>
        <v>0</v>
      </c>
      <c r="K962" s="82" t="str">
        <f>_xlfn.IFNA(VLOOKUP(CLEAN(SUBSTITUTE(C962," ","")),Ref_Factory!$A:$B,2,FALSE),CLEAN(SUBSTITUTE(C962," ","")))</f>
        <v>GM1</v>
      </c>
      <c r="L962" s="82" t="str">
        <f t="shared" ref="L962:L1025" si="274">A962&amp;"-"&amp;B962&amp;"-"&amp;K962</f>
        <v>JULY-2-GM1</v>
      </c>
      <c r="M962" s="70">
        <f t="shared" ref="M962:M1025" si="275">SUMIF($L$2:$L$1420,L962,$I$2:$I$1420)</f>
        <v>-0.5384998016377488</v>
      </c>
      <c r="N962" s="70">
        <f t="shared" ref="N962:N1025" si="276">SUMIF($L$2:$L$1420,L962,$J$2:$J$1420)</f>
        <v>-0.5334436682982403</v>
      </c>
      <c r="O962" s="13">
        <f t="shared" ref="O962:O1025" si="277">SUMIF($A$2:$A$1420,A962,$D$2:$D$1420)</f>
        <v>961485</v>
      </c>
      <c r="P962" s="13">
        <f t="shared" ref="P962:P1025" si="278">SUMIF($A$2:$A$1420,A962,$E$2:$E$1420)</f>
        <v>962175</v>
      </c>
      <c r="Q962" s="13">
        <f t="shared" ref="Q962:Q1025" si="279">SUMIF($A$2:$A$1420,A962,$F$2:$F$1420)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SUMIF($T$2:$T$1420,T962,$D$2:$D$1420)</f>
        <v>164547</v>
      </c>
      <c r="V962">
        <f t="shared" ref="V962:V1025" si="284">SUMIF($T$2:$T$1420,T962,$E$2:$E$1420)</f>
        <v>164517</v>
      </c>
      <c r="W962">
        <f t="shared" ref="W962:W1025" si="285">SUMIF($T$2:$T$1420,T962,$F$2:$F$1420)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25">
      <c r="A963" t="s">
        <v>41</v>
      </c>
      <c r="B963" s="63">
        <v>2</v>
      </c>
      <c r="C963" t="s">
        <v>11</v>
      </c>
      <c r="D963" s="66">
        <v>6804</v>
      </c>
      <c r="E963" s="66">
        <v>6804</v>
      </c>
      <c r="F963" s="65">
        <v>6741</v>
      </c>
      <c r="G963" s="13">
        <f t="shared" si="270"/>
        <v>-63</v>
      </c>
      <c r="H963" s="13">
        <f t="shared" si="271"/>
        <v>-63</v>
      </c>
      <c r="I963" s="70">
        <f t="shared" si="272"/>
        <v>-9.2592592592593004E-3</v>
      </c>
      <c r="J963" s="70">
        <f t="shared" si="273"/>
        <v>-9.2592592592593004E-3</v>
      </c>
      <c r="K963" s="82" t="str">
        <f>_xlfn.IFNA(VLOOKUP(CLEAN(SUBSTITUTE(C963," ","")),Ref_Factory!$A:$B,2,FALSE),CLEAN(SUBSTITUTE(C963," ","")))</f>
        <v>GM1</v>
      </c>
      <c r="L963" s="82" t="str">
        <f t="shared" si="274"/>
        <v>JULY-2-GM1</v>
      </c>
      <c r="M963" s="70">
        <f t="shared" si="275"/>
        <v>-0.5384998016377488</v>
      </c>
      <c r="N963" s="70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25">
      <c r="A964" t="s">
        <v>41</v>
      </c>
      <c r="B964" s="63">
        <v>2</v>
      </c>
      <c r="C964" t="s">
        <v>11</v>
      </c>
      <c r="D964" s="66">
        <v>3672</v>
      </c>
      <c r="E964" s="66">
        <v>3672</v>
      </c>
      <c r="F964" s="65">
        <v>3672</v>
      </c>
      <c r="G964" s="13">
        <f t="shared" si="270"/>
        <v>0</v>
      </c>
      <c r="H964" s="13">
        <f t="shared" si="271"/>
        <v>0</v>
      </c>
      <c r="I964" s="70">
        <f t="shared" si="272"/>
        <v>0</v>
      </c>
      <c r="J964" s="70">
        <f t="shared" si="273"/>
        <v>0</v>
      </c>
      <c r="K964" s="82" t="str">
        <f>_xlfn.IFNA(VLOOKUP(CLEAN(SUBSTITUTE(C964," ","")),Ref_Factory!$A:$B,2,FALSE),CLEAN(SUBSTITUTE(C964," ","")))</f>
        <v>GM1</v>
      </c>
      <c r="L964" s="82" t="str">
        <f t="shared" si="274"/>
        <v>JULY-2-GM1</v>
      </c>
      <c r="M964" s="70">
        <f t="shared" si="275"/>
        <v>-0.5384998016377488</v>
      </c>
      <c r="N964" s="70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25">
      <c r="A965" t="s">
        <v>41</v>
      </c>
      <c r="B965" s="63">
        <v>2</v>
      </c>
      <c r="C965" t="s">
        <v>11</v>
      </c>
      <c r="D965" s="66">
        <v>3024</v>
      </c>
      <c r="E965" s="66">
        <v>3024</v>
      </c>
      <c r="F965" s="65">
        <v>3024</v>
      </c>
      <c r="G965" s="13">
        <f t="shared" si="270"/>
        <v>0</v>
      </c>
      <c r="H965" s="13">
        <f t="shared" si="271"/>
        <v>0</v>
      </c>
      <c r="I965" s="70">
        <f t="shared" si="272"/>
        <v>0</v>
      </c>
      <c r="J965" s="70">
        <f t="shared" si="273"/>
        <v>0</v>
      </c>
      <c r="K965" s="82" t="str">
        <f>_xlfn.IFNA(VLOOKUP(CLEAN(SUBSTITUTE(C965," ","")),Ref_Factory!$A:$B,2,FALSE),CLEAN(SUBSTITUTE(C965," ","")))</f>
        <v>GM1</v>
      </c>
      <c r="L965" s="82" t="str">
        <f t="shared" si="274"/>
        <v>JULY-2-GM1</v>
      </c>
      <c r="M965" s="70">
        <f t="shared" si="275"/>
        <v>-0.5384998016377488</v>
      </c>
      <c r="N965" s="70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25">
      <c r="A966" t="s">
        <v>41</v>
      </c>
      <c r="B966" s="63">
        <v>2</v>
      </c>
      <c r="C966" t="s">
        <v>11</v>
      </c>
      <c r="D966" s="66">
        <v>5724</v>
      </c>
      <c r="E966" s="66">
        <v>5724</v>
      </c>
      <c r="F966" s="65">
        <v>5652</v>
      </c>
      <c r="G966" s="13">
        <f t="shared" si="270"/>
        <v>-72</v>
      </c>
      <c r="H966" s="13">
        <f t="shared" si="271"/>
        <v>-72</v>
      </c>
      <c r="I966" s="70">
        <f t="shared" si="272"/>
        <v>-1.2578616352201255E-2</v>
      </c>
      <c r="J966" s="70">
        <f t="shared" si="273"/>
        <v>-1.2578616352201255E-2</v>
      </c>
      <c r="K966" s="82" t="str">
        <f>_xlfn.IFNA(VLOOKUP(CLEAN(SUBSTITUTE(C966," ","")),Ref_Factory!$A:$B,2,FALSE),CLEAN(SUBSTITUTE(C966," ","")))</f>
        <v>GM1</v>
      </c>
      <c r="L966" s="82" t="str">
        <f t="shared" si="274"/>
        <v>JULY-2-GM1</v>
      </c>
      <c r="M966" s="70">
        <f t="shared" si="275"/>
        <v>-0.5384998016377488</v>
      </c>
      <c r="N966" s="70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25">
      <c r="A967" t="s">
        <v>41</v>
      </c>
      <c r="B967" s="63">
        <v>2</v>
      </c>
      <c r="C967" t="s">
        <v>11</v>
      </c>
      <c r="D967" s="66">
        <v>3240</v>
      </c>
      <c r="E967" s="66">
        <v>3240</v>
      </c>
      <c r="F967" s="65">
        <v>3207</v>
      </c>
      <c r="G967" s="13">
        <f t="shared" si="270"/>
        <v>-33</v>
      </c>
      <c r="H967" s="13">
        <f t="shared" si="271"/>
        <v>-33</v>
      </c>
      <c r="I967" s="70">
        <f t="shared" si="272"/>
        <v>-1.0185185185185186E-2</v>
      </c>
      <c r="J967" s="70">
        <f t="shared" si="273"/>
        <v>-1.0185185185185186E-2</v>
      </c>
      <c r="K967" s="82" t="str">
        <f>_xlfn.IFNA(VLOOKUP(CLEAN(SUBSTITUTE(C967," ","")),Ref_Factory!$A:$B,2,FALSE),CLEAN(SUBSTITUTE(C967," ","")))</f>
        <v>GM1</v>
      </c>
      <c r="L967" s="82" t="str">
        <f t="shared" si="274"/>
        <v>JULY-2-GM1</v>
      </c>
      <c r="M967" s="70">
        <f t="shared" si="275"/>
        <v>-0.5384998016377488</v>
      </c>
      <c r="N967" s="70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25">
      <c r="A968" t="s">
        <v>41</v>
      </c>
      <c r="B968" s="63">
        <v>2</v>
      </c>
      <c r="C968" t="s">
        <v>11</v>
      </c>
      <c r="D968" s="66">
        <v>6480</v>
      </c>
      <c r="E968" s="66">
        <v>6480</v>
      </c>
      <c r="F968" s="65">
        <v>6351</v>
      </c>
      <c r="G968" s="13">
        <f t="shared" si="270"/>
        <v>-129</v>
      </c>
      <c r="H968" s="13">
        <f t="shared" si="271"/>
        <v>-129</v>
      </c>
      <c r="I968" s="70">
        <f t="shared" si="272"/>
        <v>-1.9907407407407374E-2</v>
      </c>
      <c r="J968" s="70">
        <f t="shared" si="273"/>
        <v>-1.9907407407407374E-2</v>
      </c>
      <c r="K968" s="82" t="str">
        <f>_xlfn.IFNA(VLOOKUP(CLEAN(SUBSTITUTE(C968," ","")),Ref_Factory!$A:$B,2,FALSE),CLEAN(SUBSTITUTE(C968," ","")))</f>
        <v>GM1</v>
      </c>
      <c r="L968" s="82" t="str">
        <f t="shared" si="274"/>
        <v>JULY-2-GM1</v>
      </c>
      <c r="M968" s="70">
        <f t="shared" si="275"/>
        <v>-0.5384998016377488</v>
      </c>
      <c r="N968" s="70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25">
      <c r="A969" t="s">
        <v>41</v>
      </c>
      <c r="B969" s="63">
        <v>2</v>
      </c>
      <c r="C969" t="s">
        <v>11</v>
      </c>
      <c r="D969" s="66">
        <v>1728</v>
      </c>
      <c r="E969" s="66">
        <v>1728</v>
      </c>
      <c r="F969" s="65">
        <v>1668</v>
      </c>
      <c r="G969" s="13">
        <f t="shared" si="270"/>
        <v>-60</v>
      </c>
      <c r="H969" s="13">
        <f t="shared" si="271"/>
        <v>-60</v>
      </c>
      <c r="I969" s="70">
        <f t="shared" si="272"/>
        <v>-3.472222222222221E-2</v>
      </c>
      <c r="J969" s="70">
        <f t="shared" si="273"/>
        <v>-3.472222222222221E-2</v>
      </c>
      <c r="K969" s="82" t="str">
        <f>_xlfn.IFNA(VLOOKUP(CLEAN(SUBSTITUTE(C969," ","")),Ref_Factory!$A:$B,2,FALSE),CLEAN(SUBSTITUTE(C969," ","")))</f>
        <v>GM1</v>
      </c>
      <c r="L969" s="82" t="str">
        <f t="shared" si="274"/>
        <v>JULY-2-GM1</v>
      </c>
      <c r="M969" s="70">
        <f t="shared" si="275"/>
        <v>-0.5384998016377488</v>
      </c>
      <c r="N969" s="70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25">
      <c r="A970" t="s">
        <v>41</v>
      </c>
      <c r="B970" s="63">
        <v>2</v>
      </c>
      <c r="C970" t="s">
        <v>11</v>
      </c>
      <c r="D970" s="66">
        <v>1080</v>
      </c>
      <c r="E970" s="66">
        <v>1080</v>
      </c>
      <c r="F970" s="65">
        <v>1050</v>
      </c>
      <c r="G970" s="13">
        <f t="shared" si="270"/>
        <v>-30</v>
      </c>
      <c r="H970" s="13">
        <f t="shared" si="271"/>
        <v>-30</v>
      </c>
      <c r="I970" s="70">
        <f t="shared" si="272"/>
        <v>-2.777777777777779E-2</v>
      </c>
      <c r="J970" s="70">
        <f t="shared" si="273"/>
        <v>-2.777777777777779E-2</v>
      </c>
      <c r="K970" s="82" t="str">
        <f>_xlfn.IFNA(VLOOKUP(CLEAN(SUBSTITUTE(C970," ","")),Ref_Factory!$A:$B,2,FALSE),CLEAN(SUBSTITUTE(C970," ","")))</f>
        <v>GM1</v>
      </c>
      <c r="L970" s="82" t="str">
        <f t="shared" si="274"/>
        <v>JULY-2-GM1</v>
      </c>
      <c r="M970" s="70">
        <f t="shared" si="275"/>
        <v>-0.5384998016377488</v>
      </c>
      <c r="N970" s="70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25">
      <c r="A971" t="s">
        <v>41</v>
      </c>
      <c r="B971" s="63">
        <v>2</v>
      </c>
      <c r="C971" t="s">
        <v>11</v>
      </c>
      <c r="D971" s="66">
        <v>1080</v>
      </c>
      <c r="E971" s="66">
        <v>1080</v>
      </c>
      <c r="F971" s="65">
        <v>1032</v>
      </c>
      <c r="G971" s="13">
        <f t="shared" si="270"/>
        <v>-48</v>
      </c>
      <c r="H971" s="13">
        <f t="shared" si="271"/>
        <v>-48</v>
      </c>
      <c r="I971" s="70">
        <f t="shared" si="272"/>
        <v>-4.4444444444444398E-2</v>
      </c>
      <c r="J971" s="70">
        <f t="shared" si="273"/>
        <v>-4.4444444444444398E-2</v>
      </c>
      <c r="K971" s="82" t="str">
        <f>_xlfn.IFNA(VLOOKUP(CLEAN(SUBSTITUTE(C971," ","")),Ref_Factory!$A:$B,2,FALSE),CLEAN(SUBSTITUTE(C971," ","")))</f>
        <v>GM1</v>
      </c>
      <c r="L971" s="82" t="str">
        <f t="shared" si="274"/>
        <v>JULY-2-GM1</v>
      </c>
      <c r="M971" s="70">
        <f t="shared" si="275"/>
        <v>-0.5384998016377488</v>
      </c>
      <c r="N971" s="70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25">
      <c r="A972" t="s">
        <v>41</v>
      </c>
      <c r="B972" s="63">
        <v>2</v>
      </c>
      <c r="C972" t="s">
        <v>11</v>
      </c>
      <c r="D972" s="66">
        <v>216</v>
      </c>
      <c r="E972" s="66">
        <v>216</v>
      </c>
      <c r="F972" s="65">
        <v>216</v>
      </c>
      <c r="G972" s="13">
        <f t="shared" si="270"/>
        <v>0</v>
      </c>
      <c r="H972" s="13">
        <f t="shared" si="271"/>
        <v>0</v>
      </c>
      <c r="I972" s="70">
        <f t="shared" si="272"/>
        <v>0</v>
      </c>
      <c r="J972" s="70">
        <f t="shared" si="273"/>
        <v>0</v>
      </c>
      <c r="K972" s="82" t="str">
        <f>_xlfn.IFNA(VLOOKUP(CLEAN(SUBSTITUTE(C972," ","")),Ref_Factory!$A:$B,2,FALSE),CLEAN(SUBSTITUTE(C972," ","")))</f>
        <v>GM1</v>
      </c>
      <c r="L972" s="82" t="str">
        <f t="shared" si="274"/>
        <v>JULY-2-GM1</v>
      </c>
      <c r="M972" s="70">
        <f t="shared" si="275"/>
        <v>-0.5384998016377488</v>
      </c>
      <c r="N972" s="70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25">
      <c r="A973" t="s">
        <v>41</v>
      </c>
      <c r="B973" s="63">
        <v>2</v>
      </c>
      <c r="C973" t="s">
        <v>11</v>
      </c>
      <c r="D973" s="66">
        <v>252</v>
      </c>
      <c r="E973" s="66">
        <v>254</v>
      </c>
      <c r="F973" s="65">
        <v>244</v>
      </c>
      <c r="G973" s="13">
        <f t="shared" si="270"/>
        <v>-10</v>
      </c>
      <c r="H973" s="13">
        <f t="shared" si="271"/>
        <v>-8</v>
      </c>
      <c r="I973" s="70">
        <f t="shared" si="272"/>
        <v>-3.1746031746031744E-2</v>
      </c>
      <c r="J973" s="70">
        <f t="shared" si="273"/>
        <v>-3.9370078740157521E-2</v>
      </c>
      <c r="K973" s="82" t="str">
        <f>_xlfn.IFNA(VLOOKUP(CLEAN(SUBSTITUTE(C973," ","")),Ref_Factory!$A:$B,2,FALSE),CLEAN(SUBSTITUTE(C973," ","")))</f>
        <v>GM1</v>
      </c>
      <c r="L973" s="82" t="str">
        <f t="shared" si="274"/>
        <v>JULY-2-GM1</v>
      </c>
      <c r="M973" s="70">
        <f t="shared" si="275"/>
        <v>-0.5384998016377488</v>
      </c>
      <c r="N973" s="70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25">
      <c r="A974" t="s">
        <v>41</v>
      </c>
      <c r="B974" s="63">
        <v>2</v>
      </c>
      <c r="C974" t="s">
        <v>11</v>
      </c>
      <c r="D974" s="66">
        <v>216</v>
      </c>
      <c r="E974" s="66">
        <v>216</v>
      </c>
      <c r="F974" s="65">
        <v>216</v>
      </c>
      <c r="G974" s="13">
        <f t="shared" si="270"/>
        <v>0</v>
      </c>
      <c r="H974" s="13">
        <f t="shared" si="271"/>
        <v>0</v>
      </c>
      <c r="I974" s="70">
        <f t="shared" si="272"/>
        <v>0</v>
      </c>
      <c r="J974" s="70">
        <f t="shared" si="273"/>
        <v>0</v>
      </c>
      <c r="K974" s="82" t="str">
        <f>_xlfn.IFNA(VLOOKUP(CLEAN(SUBSTITUTE(C974," ","")),Ref_Factory!$A:$B,2,FALSE),CLEAN(SUBSTITUTE(C974," ","")))</f>
        <v>GM1</v>
      </c>
      <c r="L974" s="82" t="str">
        <f t="shared" si="274"/>
        <v>JULY-2-GM1</v>
      </c>
      <c r="M974" s="70">
        <f t="shared" si="275"/>
        <v>-0.5384998016377488</v>
      </c>
      <c r="N974" s="70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25">
      <c r="A975" t="s">
        <v>41</v>
      </c>
      <c r="B975" s="63">
        <v>2</v>
      </c>
      <c r="C975" t="s">
        <v>11</v>
      </c>
      <c r="D975" s="66">
        <v>5184</v>
      </c>
      <c r="E975" s="66">
        <v>5184</v>
      </c>
      <c r="F975" s="65">
        <v>5154</v>
      </c>
      <c r="G975" s="13">
        <f t="shared" si="270"/>
        <v>-30</v>
      </c>
      <c r="H975" s="13">
        <f t="shared" si="271"/>
        <v>-30</v>
      </c>
      <c r="I975" s="70">
        <f t="shared" si="272"/>
        <v>-5.7870370370370905E-3</v>
      </c>
      <c r="J975" s="70">
        <f t="shared" si="273"/>
        <v>-5.7870370370370905E-3</v>
      </c>
      <c r="K975" s="82" t="str">
        <f>_xlfn.IFNA(VLOOKUP(CLEAN(SUBSTITUTE(C975," ","")),Ref_Factory!$A:$B,2,FALSE),CLEAN(SUBSTITUTE(C975," ","")))</f>
        <v>GM1</v>
      </c>
      <c r="L975" s="82" t="str">
        <f t="shared" si="274"/>
        <v>JULY-2-GM1</v>
      </c>
      <c r="M975" s="70">
        <f t="shared" si="275"/>
        <v>-0.5384998016377488</v>
      </c>
      <c r="N975" s="70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25">
      <c r="A976" t="s">
        <v>41</v>
      </c>
      <c r="B976" s="63">
        <v>2</v>
      </c>
      <c r="C976" t="s">
        <v>11</v>
      </c>
      <c r="D976" s="66">
        <v>2268</v>
      </c>
      <c r="E976" s="66">
        <v>2269</v>
      </c>
      <c r="F976" s="65">
        <v>2181</v>
      </c>
      <c r="G976" s="13">
        <f t="shared" si="270"/>
        <v>-88</v>
      </c>
      <c r="H976" s="13">
        <f t="shared" si="271"/>
        <v>-87</v>
      </c>
      <c r="I976" s="70">
        <f t="shared" si="272"/>
        <v>-3.8359788359788372E-2</v>
      </c>
      <c r="J976" s="70">
        <f t="shared" si="273"/>
        <v>-3.8783605112384323E-2</v>
      </c>
      <c r="K976" s="82" t="str">
        <f>_xlfn.IFNA(VLOOKUP(CLEAN(SUBSTITUTE(C976," ","")),Ref_Factory!$A:$B,2,FALSE),CLEAN(SUBSTITUTE(C976," ","")))</f>
        <v>GM1</v>
      </c>
      <c r="L976" s="82" t="str">
        <f t="shared" si="274"/>
        <v>JULY-2-GM1</v>
      </c>
      <c r="M976" s="70">
        <f t="shared" si="275"/>
        <v>-0.5384998016377488</v>
      </c>
      <c r="N976" s="70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25">
      <c r="A977" t="s">
        <v>41</v>
      </c>
      <c r="B977" s="63">
        <v>2</v>
      </c>
      <c r="C977" t="s">
        <v>11</v>
      </c>
      <c r="D977" s="66">
        <v>2376</v>
      </c>
      <c r="E977" s="66">
        <v>2376</v>
      </c>
      <c r="F977" s="65">
        <v>2265</v>
      </c>
      <c r="G977" s="13">
        <f t="shared" si="270"/>
        <v>-111</v>
      </c>
      <c r="H977" s="13">
        <f t="shared" si="271"/>
        <v>-111</v>
      </c>
      <c r="I977" s="70">
        <f t="shared" si="272"/>
        <v>-4.6717171717171713E-2</v>
      </c>
      <c r="J977" s="70">
        <f t="shared" si="273"/>
        <v>-4.6717171717171713E-2</v>
      </c>
      <c r="K977" s="82" t="str">
        <f>_xlfn.IFNA(VLOOKUP(CLEAN(SUBSTITUTE(C977," ","")),Ref_Factory!$A:$B,2,FALSE),CLEAN(SUBSTITUTE(C977," ","")))</f>
        <v>GM1</v>
      </c>
      <c r="L977" s="82" t="str">
        <f t="shared" si="274"/>
        <v>JULY-2-GM1</v>
      </c>
      <c r="M977" s="70">
        <f t="shared" si="275"/>
        <v>-0.5384998016377488</v>
      </c>
      <c r="N977" s="70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25">
      <c r="A978" t="s">
        <v>41</v>
      </c>
      <c r="B978" s="63">
        <v>2</v>
      </c>
      <c r="C978" t="s">
        <v>11</v>
      </c>
      <c r="D978" s="66">
        <v>1404</v>
      </c>
      <c r="E978" s="66">
        <v>1406</v>
      </c>
      <c r="F978" s="65">
        <v>1335</v>
      </c>
      <c r="G978" s="13">
        <f t="shared" si="270"/>
        <v>-71</v>
      </c>
      <c r="H978" s="13">
        <f t="shared" si="271"/>
        <v>-69</v>
      </c>
      <c r="I978" s="70">
        <f t="shared" si="272"/>
        <v>-4.9145299145299193E-2</v>
      </c>
      <c r="J978" s="70">
        <f t="shared" si="273"/>
        <v>-5.0497866287339988E-2</v>
      </c>
      <c r="K978" s="82" t="str">
        <f>_xlfn.IFNA(VLOOKUP(CLEAN(SUBSTITUTE(C978," ","")),Ref_Factory!$A:$B,2,FALSE),CLEAN(SUBSTITUTE(C978," ","")))</f>
        <v>GM1</v>
      </c>
      <c r="L978" s="82" t="str">
        <f t="shared" si="274"/>
        <v>JULY-2-GM1</v>
      </c>
      <c r="M978" s="70">
        <f t="shared" si="275"/>
        <v>-0.5384998016377488</v>
      </c>
      <c r="N978" s="70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25">
      <c r="A979" t="s">
        <v>41</v>
      </c>
      <c r="B979" s="63">
        <v>2</v>
      </c>
      <c r="C979" t="s">
        <v>11</v>
      </c>
      <c r="D979" s="66">
        <v>2808</v>
      </c>
      <c r="E979" s="66">
        <v>2810</v>
      </c>
      <c r="F979" s="65">
        <v>2679</v>
      </c>
      <c r="G979" s="13">
        <f t="shared" si="270"/>
        <v>-131</v>
      </c>
      <c r="H979" s="13">
        <f t="shared" si="271"/>
        <v>-129</v>
      </c>
      <c r="I979" s="70">
        <f t="shared" si="272"/>
        <v>-4.5940170940170888E-2</v>
      </c>
      <c r="J979" s="70">
        <f t="shared" si="273"/>
        <v>-4.6619217081850572E-2</v>
      </c>
      <c r="K979" s="82" t="str">
        <f>_xlfn.IFNA(VLOOKUP(CLEAN(SUBSTITUTE(C979," ","")),Ref_Factory!$A:$B,2,FALSE),CLEAN(SUBSTITUTE(C979," ","")))</f>
        <v>GM1</v>
      </c>
      <c r="L979" s="82" t="str">
        <f t="shared" si="274"/>
        <v>JULY-2-GM1</v>
      </c>
      <c r="M979" s="70">
        <f t="shared" si="275"/>
        <v>-0.5384998016377488</v>
      </c>
      <c r="N979" s="70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25">
      <c r="A980" t="s">
        <v>41</v>
      </c>
      <c r="B980" s="63">
        <v>2</v>
      </c>
      <c r="C980" t="s">
        <v>11</v>
      </c>
      <c r="D980" s="66">
        <v>1296</v>
      </c>
      <c r="E980" s="66">
        <v>1283</v>
      </c>
      <c r="F980" s="65">
        <v>1248</v>
      </c>
      <c r="G980" s="13">
        <f t="shared" si="270"/>
        <v>-35</v>
      </c>
      <c r="H980" s="13">
        <f t="shared" si="271"/>
        <v>-48</v>
      </c>
      <c r="I980" s="70">
        <f t="shared" si="272"/>
        <v>-3.703703703703709E-2</v>
      </c>
      <c r="J980" s="70">
        <f t="shared" si="273"/>
        <v>-2.7279812938425518E-2</v>
      </c>
      <c r="K980" s="82" t="str">
        <f>_xlfn.IFNA(VLOOKUP(CLEAN(SUBSTITUTE(C980," ","")),Ref_Factory!$A:$B,2,FALSE),CLEAN(SUBSTITUTE(C980," ","")))</f>
        <v>GM1</v>
      </c>
      <c r="L980" s="82" t="str">
        <f t="shared" si="274"/>
        <v>JULY-2-GM1</v>
      </c>
      <c r="M980" s="70">
        <f t="shared" si="275"/>
        <v>-0.5384998016377488</v>
      </c>
      <c r="N980" s="70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25">
      <c r="A981" t="s">
        <v>41</v>
      </c>
      <c r="B981" s="63">
        <v>2</v>
      </c>
      <c r="C981" t="s">
        <v>11</v>
      </c>
      <c r="D981" s="66">
        <v>7344</v>
      </c>
      <c r="E981" s="66">
        <v>7344</v>
      </c>
      <c r="F981" s="65">
        <v>7221</v>
      </c>
      <c r="G981" s="13">
        <f t="shared" si="270"/>
        <v>-123</v>
      </c>
      <c r="H981" s="13">
        <f t="shared" si="271"/>
        <v>-123</v>
      </c>
      <c r="I981" s="70">
        <f t="shared" si="272"/>
        <v>-1.6748366013071947E-2</v>
      </c>
      <c r="J981" s="70">
        <f t="shared" si="273"/>
        <v>-1.6748366013071947E-2</v>
      </c>
      <c r="K981" s="82" t="str">
        <f>_xlfn.IFNA(VLOOKUP(CLEAN(SUBSTITUTE(C981," ","")),Ref_Factory!$A:$B,2,FALSE),CLEAN(SUBSTITUTE(C981," ","")))</f>
        <v>GM1</v>
      </c>
      <c r="L981" s="82" t="str">
        <f t="shared" si="274"/>
        <v>JULY-2-GM1</v>
      </c>
      <c r="M981" s="70">
        <f t="shared" si="275"/>
        <v>-0.5384998016377488</v>
      </c>
      <c r="N981" s="70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25">
      <c r="A982" t="s">
        <v>41</v>
      </c>
      <c r="B982" s="63">
        <v>2</v>
      </c>
      <c r="C982" t="s">
        <v>11</v>
      </c>
      <c r="D982" s="66">
        <v>324</v>
      </c>
      <c r="E982" s="66">
        <v>324</v>
      </c>
      <c r="F982" s="65">
        <v>324</v>
      </c>
      <c r="G982" s="13">
        <f t="shared" si="270"/>
        <v>0</v>
      </c>
      <c r="H982" s="13">
        <f t="shared" si="271"/>
        <v>0</v>
      </c>
      <c r="I982" s="70">
        <f t="shared" si="272"/>
        <v>0</v>
      </c>
      <c r="J982" s="70">
        <f t="shared" si="273"/>
        <v>0</v>
      </c>
      <c r="K982" s="82" t="str">
        <f>_xlfn.IFNA(VLOOKUP(CLEAN(SUBSTITUTE(C982," ","")),Ref_Factory!$A:$B,2,FALSE),CLEAN(SUBSTITUTE(C982," ","")))</f>
        <v>GM1</v>
      </c>
      <c r="L982" s="82" t="str">
        <f t="shared" si="274"/>
        <v>JULY-2-GM1</v>
      </c>
      <c r="M982" s="70">
        <f t="shared" si="275"/>
        <v>-0.5384998016377488</v>
      </c>
      <c r="N982" s="70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25">
      <c r="A983" t="s">
        <v>41</v>
      </c>
      <c r="B983" s="63">
        <v>2</v>
      </c>
      <c r="C983" t="s">
        <v>11</v>
      </c>
      <c r="D983" s="66">
        <v>864</v>
      </c>
      <c r="E983" s="66">
        <v>864</v>
      </c>
      <c r="F983" s="65">
        <v>864</v>
      </c>
      <c r="G983" s="13">
        <f t="shared" si="270"/>
        <v>0</v>
      </c>
      <c r="H983" s="13">
        <f t="shared" si="271"/>
        <v>0</v>
      </c>
      <c r="I983" s="70">
        <f t="shared" si="272"/>
        <v>0</v>
      </c>
      <c r="J983" s="70">
        <f t="shared" si="273"/>
        <v>0</v>
      </c>
      <c r="K983" s="82" t="str">
        <f>_xlfn.IFNA(VLOOKUP(CLEAN(SUBSTITUTE(C983," ","")),Ref_Factory!$A:$B,2,FALSE),CLEAN(SUBSTITUTE(C983," ","")))</f>
        <v>GM1</v>
      </c>
      <c r="L983" s="82" t="str">
        <f t="shared" si="274"/>
        <v>JULY-2-GM1</v>
      </c>
      <c r="M983" s="70">
        <f t="shared" si="275"/>
        <v>-0.5384998016377488</v>
      </c>
      <c r="N983" s="70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25">
      <c r="A984" t="s">
        <v>41</v>
      </c>
      <c r="B984" s="63">
        <v>2</v>
      </c>
      <c r="C984" t="s">
        <v>11</v>
      </c>
      <c r="D984" s="66">
        <v>4860</v>
      </c>
      <c r="E984" s="66">
        <v>4860</v>
      </c>
      <c r="F984" s="65">
        <v>4800</v>
      </c>
      <c r="G984" s="13">
        <f t="shared" si="270"/>
        <v>-60</v>
      </c>
      <c r="H984" s="13">
        <f t="shared" si="271"/>
        <v>-60</v>
      </c>
      <c r="I984" s="70">
        <f t="shared" si="272"/>
        <v>-1.2345679012345734E-2</v>
      </c>
      <c r="J984" s="70">
        <f t="shared" si="273"/>
        <v>-1.2345679012345734E-2</v>
      </c>
      <c r="K984" s="82" t="str">
        <f>_xlfn.IFNA(VLOOKUP(CLEAN(SUBSTITUTE(C984," ","")),Ref_Factory!$A:$B,2,FALSE),CLEAN(SUBSTITUTE(C984," ","")))</f>
        <v>GM1</v>
      </c>
      <c r="L984" s="82" t="str">
        <f t="shared" si="274"/>
        <v>JULY-2-GM1</v>
      </c>
      <c r="M984" s="70">
        <f t="shared" si="275"/>
        <v>-0.5384998016377488</v>
      </c>
      <c r="N984" s="70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25">
      <c r="A985" t="s">
        <v>41</v>
      </c>
      <c r="B985" s="63">
        <v>2</v>
      </c>
      <c r="C985" t="s">
        <v>11</v>
      </c>
      <c r="D985" s="66">
        <v>324</v>
      </c>
      <c r="E985" s="66">
        <v>324</v>
      </c>
      <c r="F985" s="65">
        <v>324</v>
      </c>
      <c r="G985" s="13">
        <f t="shared" si="270"/>
        <v>0</v>
      </c>
      <c r="H985" s="13">
        <f t="shared" si="271"/>
        <v>0</v>
      </c>
      <c r="I985" s="70">
        <f t="shared" si="272"/>
        <v>0</v>
      </c>
      <c r="J985" s="70">
        <f t="shared" si="273"/>
        <v>0</v>
      </c>
      <c r="K985" s="82" t="str">
        <f>_xlfn.IFNA(VLOOKUP(CLEAN(SUBSTITUTE(C985," ","")),Ref_Factory!$A:$B,2,FALSE),CLEAN(SUBSTITUTE(C985," ","")))</f>
        <v>GM1</v>
      </c>
      <c r="L985" s="82" t="str">
        <f t="shared" si="274"/>
        <v>JULY-2-GM1</v>
      </c>
      <c r="M985" s="70">
        <f t="shared" si="275"/>
        <v>-0.5384998016377488</v>
      </c>
      <c r="N985" s="70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25">
      <c r="A986" t="s">
        <v>41</v>
      </c>
      <c r="B986" s="63">
        <v>2</v>
      </c>
      <c r="C986" t="s">
        <v>11</v>
      </c>
      <c r="D986" s="66">
        <v>1152</v>
      </c>
      <c r="E986" s="66">
        <v>1152</v>
      </c>
      <c r="F986" s="65">
        <v>1152</v>
      </c>
      <c r="G986" s="13">
        <f t="shared" si="270"/>
        <v>0</v>
      </c>
      <c r="H986" s="13">
        <f t="shared" si="271"/>
        <v>0</v>
      </c>
      <c r="I986" s="70">
        <f t="shared" si="272"/>
        <v>0</v>
      </c>
      <c r="J986" s="70">
        <f t="shared" si="273"/>
        <v>0</v>
      </c>
      <c r="K986" s="82" t="str">
        <f>_xlfn.IFNA(VLOOKUP(CLEAN(SUBSTITUTE(C986," ","")),Ref_Factory!$A:$B,2,FALSE),CLEAN(SUBSTITUTE(C986," ","")))</f>
        <v>GM1</v>
      </c>
      <c r="L986" s="82" t="str">
        <f t="shared" si="274"/>
        <v>JULY-2-GM1</v>
      </c>
      <c r="M986" s="70">
        <f t="shared" si="275"/>
        <v>-0.5384998016377488</v>
      </c>
      <c r="N986" s="70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25">
      <c r="A987" t="s">
        <v>41</v>
      </c>
      <c r="B987" s="63">
        <v>2</v>
      </c>
      <c r="C987" t="s">
        <v>11</v>
      </c>
      <c r="D987" s="66">
        <v>17172</v>
      </c>
      <c r="E987" s="66">
        <v>17137</v>
      </c>
      <c r="F987" s="65">
        <v>16941</v>
      </c>
      <c r="G987" s="13">
        <f t="shared" si="270"/>
        <v>-196</v>
      </c>
      <c r="H987" s="13">
        <f t="shared" si="271"/>
        <v>-231</v>
      </c>
      <c r="I987" s="70">
        <f t="shared" si="272"/>
        <v>-1.3452131376659682E-2</v>
      </c>
      <c r="J987" s="70">
        <f t="shared" si="273"/>
        <v>-1.1437241057361214E-2</v>
      </c>
      <c r="K987" s="82" t="str">
        <f>_xlfn.IFNA(VLOOKUP(CLEAN(SUBSTITUTE(C987," ","")),Ref_Factory!$A:$B,2,FALSE),CLEAN(SUBSTITUTE(C987," ","")))</f>
        <v>GM1</v>
      </c>
      <c r="L987" s="82" t="str">
        <f t="shared" si="274"/>
        <v>JULY-2-GM1</v>
      </c>
      <c r="M987" s="70">
        <f t="shared" si="275"/>
        <v>-0.5384998016377488</v>
      </c>
      <c r="N987" s="70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25">
      <c r="A988" t="s">
        <v>41</v>
      </c>
      <c r="B988" s="63">
        <v>2</v>
      </c>
      <c r="C988" t="s">
        <v>11</v>
      </c>
      <c r="D988" s="66">
        <v>2160</v>
      </c>
      <c r="E988" s="66">
        <v>2160</v>
      </c>
      <c r="F988" s="65">
        <v>2121</v>
      </c>
      <c r="G988" s="13">
        <f t="shared" si="270"/>
        <v>-39</v>
      </c>
      <c r="H988" s="13">
        <f t="shared" si="271"/>
        <v>-39</v>
      </c>
      <c r="I988" s="70">
        <f t="shared" si="272"/>
        <v>-1.8055555555555602E-2</v>
      </c>
      <c r="J988" s="70">
        <f t="shared" si="273"/>
        <v>-1.8055555555555602E-2</v>
      </c>
      <c r="K988" s="82" t="str">
        <f>_xlfn.IFNA(VLOOKUP(CLEAN(SUBSTITUTE(C988," ","")),Ref_Factory!$A:$B,2,FALSE),CLEAN(SUBSTITUTE(C988," ","")))</f>
        <v>GM1</v>
      </c>
      <c r="L988" s="82" t="str">
        <f t="shared" si="274"/>
        <v>JULY-2-GM1</v>
      </c>
      <c r="M988" s="70">
        <f t="shared" si="275"/>
        <v>-0.5384998016377488</v>
      </c>
      <c r="N988" s="70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25">
      <c r="A989" t="s">
        <v>41</v>
      </c>
      <c r="B989" s="63">
        <v>2</v>
      </c>
      <c r="C989" t="s">
        <v>13</v>
      </c>
      <c r="D989" s="66">
        <v>50220</v>
      </c>
      <c r="E989" s="66">
        <v>50751</v>
      </c>
      <c r="F989" s="65">
        <v>50508</v>
      </c>
      <c r="G989" s="13">
        <f t="shared" si="270"/>
        <v>-243</v>
      </c>
      <c r="H989" s="13">
        <f t="shared" si="271"/>
        <v>288</v>
      </c>
      <c r="I989" s="70">
        <f t="shared" si="272"/>
        <v>5.734767025089571E-3</v>
      </c>
      <c r="J989" s="70">
        <f t="shared" si="273"/>
        <v>-4.7880829934385805E-3</v>
      </c>
      <c r="K989" s="82" t="str">
        <f>_xlfn.IFNA(VLOOKUP(CLEAN(SUBSTITUTE(C989," ","")),Ref_Factory!$A:$B,2,FALSE),CLEAN(SUBSTITUTE(C989," ","")))</f>
        <v>KALIBENDA</v>
      </c>
      <c r="L989" s="82" t="str">
        <f t="shared" si="274"/>
        <v>JULY-2-KALIBENDA</v>
      </c>
      <c r="M989" s="70">
        <f t="shared" si="275"/>
        <v>-4.8049799647486791E-2</v>
      </c>
      <c r="N989" s="70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25">
      <c r="A990" t="s">
        <v>41</v>
      </c>
      <c r="B990" s="63">
        <v>2</v>
      </c>
      <c r="C990" t="s">
        <v>13</v>
      </c>
      <c r="D990" s="66">
        <v>3996</v>
      </c>
      <c r="E990" s="66">
        <v>3996</v>
      </c>
      <c r="F990" s="65">
        <v>3987</v>
      </c>
      <c r="G990" s="13">
        <f t="shared" si="270"/>
        <v>-9</v>
      </c>
      <c r="H990" s="13">
        <f t="shared" si="271"/>
        <v>-9</v>
      </c>
      <c r="I990" s="70">
        <f t="shared" si="272"/>
        <v>-2.2522522522522292E-3</v>
      </c>
      <c r="J990" s="70">
        <f t="shared" si="273"/>
        <v>-2.2522522522522292E-3</v>
      </c>
      <c r="K990" s="82" t="str">
        <f>_xlfn.IFNA(VLOOKUP(CLEAN(SUBSTITUTE(C990," ","")),Ref_Factory!$A:$B,2,FALSE),CLEAN(SUBSTITUTE(C990," ","")))</f>
        <v>KALIBENDA</v>
      </c>
      <c r="L990" s="82" t="str">
        <f t="shared" si="274"/>
        <v>JULY-2-KALIBENDA</v>
      </c>
      <c r="M990" s="70">
        <f t="shared" si="275"/>
        <v>-4.8049799647486791E-2</v>
      </c>
      <c r="N990" s="70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25">
      <c r="A991" t="s">
        <v>41</v>
      </c>
      <c r="B991" s="63">
        <v>2</v>
      </c>
      <c r="C991" t="s">
        <v>13</v>
      </c>
      <c r="D991" s="66">
        <v>20088</v>
      </c>
      <c r="E991" s="66">
        <v>20088</v>
      </c>
      <c r="F991" s="65">
        <v>19920</v>
      </c>
      <c r="G991" s="13">
        <f t="shared" si="270"/>
        <v>-168</v>
      </c>
      <c r="H991" s="13">
        <f t="shared" si="271"/>
        <v>-168</v>
      </c>
      <c r="I991" s="70">
        <f t="shared" si="272"/>
        <v>-8.3632019115890133E-3</v>
      </c>
      <c r="J991" s="70">
        <f t="shared" si="273"/>
        <v>-8.3632019115890133E-3</v>
      </c>
      <c r="K991" s="82" t="str">
        <f>_xlfn.IFNA(VLOOKUP(CLEAN(SUBSTITUTE(C991," ","")),Ref_Factory!$A:$B,2,FALSE),CLEAN(SUBSTITUTE(C991," ","")))</f>
        <v>KALIBENDA</v>
      </c>
      <c r="L991" s="82" t="str">
        <f t="shared" si="274"/>
        <v>JULY-2-KALIBENDA</v>
      </c>
      <c r="M991" s="70">
        <f t="shared" si="275"/>
        <v>-4.8049799647486791E-2</v>
      </c>
      <c r="N991" s="70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25">
      <c r="A992" t="s">
        <v>41</v>
      </c>
      <c r="B992" s="63">
        <v>2</v>
      </c>
      <c r="C992" t="s">
        <v>13</v>
      </c>
      <c r="D992" s="66">
        <v>2160</v>
      </c>
      <c r="E992" s="66">
        <v>2160</v>
      </c>
      <c r="F992" s="65">
        <v>2142</v>
      </c>
      <c r="G992" s="13">
        <f t="shared" si="270"/>
        <v>-18</v>
      </c>
      <c r="H992" s="13">
        <f t="shared" si="271"/>
        <v>-18</v>
      </c>
      <c r="I992" s="70">
        <f t="shared" si="272"/>
        <v>-8.3333333333333037E-3</v>
      </c>
      <c r="J992" s="70">
        <f t="shared" si="273"/>
        <v>-8.3333333333333037E-3</v>
      </c>
      <c r="K992" s="82" t="str">
        <f>_xlfn.IFNA(VLOOKUP(CLEAN(SUBSTITUTE(C992," ","")),Ref_Factory!$A:$B,2,FALSE),CLEAN(SUBSTITUTE(C992," ","")))</f>
        <v>KALIBENDA</v>
      </c>
      <c r="L992" s="82" t="str">
        <f t="shared" si="274"/>
        <v>JULY-2-KALIBENDA</v>
      </c>
      <c r="M992" s="70">
        <f t="shared" si="275"/>
        <v>-4.8049799647486791E-2</v>
      </c>
      <c r="N992" s="70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25">
      <c r="A993" t="s">
        <v>41</v>
      </c>
      <c r="B993" s="63">
        <v>2</v>
      </c>
      <c r="C993" t="s">
        <v>13</v>
      </c>
      <c r="D993" s="66">
        <v>17172</v>
      </c>
      <c r="E993" s="66">
        <v>17172</v>
      </c>
      <c r="F993" s="65">
        <v>16860</v>
      </c>
      <c r="G993" s="13">
        <f t="shared" si="270"/>
        <v>-312</v>
      </c>
      <c r="H993" s="13">
        <f t="shared" si="271"/>
        <v>-312</v>
      </c>
      <c r="I993" s="70">
        <f t="shared" si="272"/>
        <v>-1.8169112508735097E-2</v>
      </c>
      <c r="J993" s="70">
        <f t="shared" si="273"/>
        <v>-1.8169112508735097E-2</v>
      </c>
      <c r="K993" s="82" t="str">
        <f>_xlfn.IFNA(VLOOKUP(CLEAN(SUBSTITUTE(C993," ","")),Ref_Factory!$A:$B,2,FALSE),CLEAN(SUBSTITUTE(C993," ","")))</f>
        <v>KALIBENDA</v>
      </c>
      <c r="L993" s="82" t="str">
        <f t="shared" si="274"/>
        <v>JULY-2-KALIBENDA</v>
      </c>
      <c r="M993" s="70">
        <f t="shared" si="275"/>
        <v>-4.8049799647486791E-2</v>
      </c>
      <c r="N993" s="70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25">
      <c r="A994" t="s">
        <v>41</v>
      </c>
      <c r="B994" s="63">
        <v>2</v>
      </c>
      <c r="C994" t="s">
        <v>13</v>
      </c>
      <c r="D994" s="66">
        <v>2160</v>
      </c>
      <c r="E994" s="66">
        <v>2160</v>
      </c>
      <c r="F994" s="65">
        <v>2124</v>
      </c>
      <c r="G994" s="13">
        <f t="shared" si="270"/>
        <v>-36</v>
      </c>
      <c r="H994" s="13">
        <f t="shared" si="271"/>
        <v>-36</v>
      </c>
      <c r="I994" s="70">
        <f t="shared" si="272"/>
        <v>-1.6666666666666718E-2</v>
      </c>
      <c r="J994" s="70">
        <f t="shared" si="273"/>
        <v>-1.6666666666666718E-2</v>
      </c>
      <c r="K994" s="82" t="str">
        <f>_xlfn.IFNA(VLOOKUP(CLEAN(SUBSTITUTE(C994," ","")),Ref_Factory!$A:$B,2,FALSE),CLEAN(SUBSTITUTE(C994," ","")))</f>
        <v>KALIBENDA</v>
      </c>
      <c r="L994" s="82" t="str">
        <f t="shared" si="274"/>
        <v>JULY-2-KALIBENDA</v>
      </c>
      <c r="M994" s="70">
        <f t="shared" si="275"/>
        <v>-4.8049799647486791E-2</v>
      </c>
      <c r="N994" s="70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25">
      <c r="A995" t="s">
        <v>41</v>
      </c>
      <c r="B995" s="63">
        <v>3</v>
      </c>
      <c r="C995" t="s">
        <v>15</v>
      </c>
      <c r="D995" s="68">
        <v>75</v>
      </c>
      <c r="E995" s="68">
        <v>75</v>
      </c>
      <c r="F995" s="66">
        <v>75</v>
      </c>
      <c r="G995" s="13">
        <f t="shared" si="270"/>
        <v>0</v>
      </c>
      <c r="H995" s="13">
        <f t="shared" si="271"/>
        <v>0</v>
      </c>
      <c r="I995" s="70">
        <f t="shared" si="272"/>
        <v>0</v>
      </c>
      <c r="J995" s="70">
        <f t="shared" si="273"/>
        <v>0</v>
      </c>
      <c r="K995" s="82" t="str">
        <f>_xlfn.IFNA(VLOOKUP(CLEAN(SUBSTITUTE(C995," ","")),Ref_Factory!$A:$B,2,FALSE),CLEAN(SUBSTITUTE(C995," ","")))</f>
        <v>CHAWAN</v>
      </c>
      <c r="L995" s="82" t="str">
        <f t="shared" si="274"/>
        <v>JULY-3-CHAWAN</v>
      </c>
      <c r="M995" s="70">
        <f t="shared" si="275"/>
        <v>-1.1494252873563204E-2</v>
      </c>
      <c r="N995" s="70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25">
      <c r="A996" t="s">
        <v>41</v>
      </c>
      <c r="B996" s="63">
        <v>3</v>
      </c>
      <c r="C996" t="s">
        <v>15</v>
      </c>
      <c r="D996" s="66">
        <v>435</v>
      </c>
      <c r="E996" s="66">
        <v>435</v>
      </c>
      <c r="F996" s="66">
        <v>430</v>
      </c>
      <c r="G996" s="13">
        <f t="shared" si="270"/>
        <v>-5</v>
      </c>
      <c r="H996" s="13">
        <f t="shared" si="271"/>
        <v>-5</v>
      </c>
      <c r="I996" s="70">
        <f t="shared" si="272"/>
        <v>-1.1494252873563204E-2</v>
      </c>
      <c r="J996" s="70">
        <f t="shared" si="273"/>
        <v>-1.1494252873563204E-2</v>
      </c>
      <c r="K996" s="82" t="str">
        <f>_xlfn.IFNA(VLOOKUP(CLEAN(SUBSTITUTE(C996," ","")),Ref_Factory!$A:$B,2,FALSE),CLEAN(SUBSTITUTE(C996," ","")))</f>
        <v>CHAWAN</v>
      </c>
      <c r="L996" s="82" t="str">
        <f t="shared" si="274"/>
        <v>JULY-3-CHAWAN</v>
      </c>
      <c r="M996" s="70">
        <f t="shared" si="275"/>
        <v>-1.1494252873563204E-2</v>
      </c>
      <c r="N996" s="70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25">
      <c r="A997" t="s">
        <v>41</v>
      </c>
      <c r="B997" s="63">
        <v>3</v>
      </c>
      <c r="C997" t="s">
        <v>11</v>
      </c>
      <c r="D997" s="66">
        <v>830</v>
      </c>
      <c r="E997" s="66">
        <v>830</v>
      </c>
      <c r="F997" s="66">
        <v>824</v>
      </c>
      <c r="G997" s="13">
        <f t="shared" si="270"/>
        <v>-6</v>
      </c>
      <c r="H997" s="13">
        <f t="shared" si="271"/>
        <v>-6</v>
      </c>
      <c r="I997" s="70">
        <f t="shared" si="272"/>
        <v>-7.2289156626506035E-3</v>
      </c>
      <c r="J997" s="70">
        <f t="shared" si="273"/>
        <v>-7.2289156626506035E-3</v>
      </c>
      <c r="K997" s="82" t="str">
        <f>_xlfn.IFNA(VLOOKUP(CLEAN(SUBSTITUTE(C997," ","")),Ref_Factory!$A:$B,2,FALSE),CLEAN(SUBSTITUTE(C997," ","")))</f>
        <v>GM1</v>
      </c>
      <c r="L997" s="82" t="str">
        <f t="shared" si="274"/>
        <v>JULY-3-GM1</v>
      </c>
      <c r="M997" s="70">
        <f t="shared" si="275"/>
        <v>-2.6506024096385583E-2</v>
      </c>
      <c r="N997" s="70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25">
      <c r="A998" t="s">
        <v>41</v>
      </c>
      <c r="B998" s="63">
        <v>3</v>
      </c>
      <c r="C998" t="s">
        <v>11</v>
      </c>
      <c r="D998" s="66">
        <v>830</v>
      </c>
      <c r="E998" s="66">
        <v>830</v>
      </c>
      <c r="F998" s="66">
        <v>814</v>
      </c>
      <c r="G998" s="13">
        <f t="shared" si="270"/>
        <v>-16</v>
      </c>
      <c r="H998" s="13">
        <f t="shared" si="271"/>
        <v>-16</v>
      </c>
      <c r="I998" s="70">
        <f t="shared" si="272"/>
        <v>-1.927710843373498E-2</v>
      </c>
      <c r="J998" s="70">
        <f t="shared" si="273"/>
        <v>-1.927710843373498E-2</v>
      </c>
      <c r="K998" s="82" t="str">
        <f>_xlfn.IFNA(VLOOKUP(CLEAN(SUBSTITUTE(C998," ","")),Ref_Factory!$A:$B,2,FALSE),CLEAN(SUBSTITUTE(C998," ","")))</f>
        <v>GM1</v>
      </c>
      <c r="L998" s="82" t="str">
        <f t="shared" si="274"/>
        <v>JULY-3-GM1</v>
      </c>
      <c r="M998" s="70">
        <f t="shared" si="275"/>
        <v>-2.6506024096385583E-2</v>
      </c>
      <c r="N998" s="70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25">
      <c r="A999" t="s">
        <v>41</v>
      </c>
      <c r="B999" s="63">
        <v>3</v>
      </c>
      <c r="C999" t="s">
        <v>11</v>
      </c>
      <c r="D999">
        <v>900</v>
      </c>
      <c r="E999" s="66">
        <v>906</v>
      </c>
      <c r="F999" s="66">
        <v>900</v>
      </c>
      <c r="G999" s="13">
        <f t="shared" si="270"/>
        <v>-6</v>
      </c>
      <c r="H999" s="13">
        <f t="shared" si="271"/>
        <v>0</v>
      </c>
      <c r="I999" s="70">
        <f t="shared" si="272"/>
        <v>0</v>
      </c>
      <c r="J999" s="70">
        <f t="shared" si="273"/>
        <v>-6.6225165562914245E-3</v>
      </c>
      <c r="K999" s="82" t="str">
        <f>_xlfn.IFNA(VLOOKUP(CLEAN(SUBSTITUTE(C999," ","")),Ref_Factory!$A:$B,2,FALSE),CLEAN(SUBSTITUTE(C999," ","")))</f>
        <v>GM1</v>
      </c>
      <c r="L999" s="82" t="str">
        <f t="shared" si="274"/>
        <v>JULY-3-GM1</v>
      </c>
      <c r="M999" s="70">
        <f t="shared" si="275"/>
        <v>-2.6506024096385583E-2</v>
      </c>
      <c r="N999" s="70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25">
      <c r="A1000" t="s">
        <v>41</v>
      </c>
      <c r="B1000" s="63">
        <v>3</v>
      </c>
      <c r="C1000" t="s">
        <v>11</v>
      </c>
      <c r="D1000">
        <v>80</v>
      </c>
      <c r="E1000" s="66">
        <v>80</v>
      </c>
      <c r="F1000" s="66">
        <v>80</v>
      </c>
      <c r="G1000" s="13">
        <f t="shared" si="270"/>
        <v>0</v>
      </c>
      <c r="H1000" s="13">
        <f t="shared" si="271"/>
        <v>0</v>
      </c>
      <c r="I1000" s="70">
        <f t="shared" si="272"/>
        <v>0</v>
      </c>
      <c r="J1000" s="70">
        <f t="shared" si="273"/>
        <v>0</v>
      </c>
      <c r="K1000" s="82" t="str">
        <f>_xlfn.IFNA(VLOOKUP(CLEAN(SUBSTITUTE(C1000," ","")),Ref_Factory!$A:$B,2,FALSE),CLEAN(SUBSTITUTE(C1000," ","")))</f>
        <v>GM1</v>
      </c>
      <c r="L1000" s="82" t="str">
        <f t="shared" si="274"/>
        <v>JULY-3-GM1</v>
      </c>
      <c r="M1000" s="70">
        <f t="shared" si="275"/>
        <v>-2.6506024096385583E-2</v>
      </c>
      <c r="N1000" s="70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25">
      <c r="A1001" t="s">
        <v>41</v>
      </c>
      <c r="B1001" s="63">
        <v>3</v>
      </c>
      <c r="C1001" t="s">
        <v>11</v>
      </c>
      <c r="D1001">
        <v>320</v>
      </c>
      <c r="E1001" s="66">
        <v>322</v>
      </c>
      <c r="F1001" s="66">
        <v>320</v>
      </c>
      <c r="G1001" s="13">
        <f t="shared" si="270"/>
        <v>-2</v>
      </c>
      <c r="H1001" s="13">
        <f t="shared" si="271"/>
        <v>0</v>
      </c>
      <c r="I1001" s="70">
        <f t="shared" si="272"/>
        <v>0</v>
      </c>
      <c r="J1001" s="70">
        <f t="shared" si="273"/>
        <v>-6.2111801242236142E-3</v>
      </c>
      <c r="K1001" s="82" t="str">
        <f>_xlfn.IFNA(VLOOKUP(CLEAN(SUBSTITUTE(C1001," ","")),Ref_Factory!$A:$B,2,FALSE),CLEAN(SUBSTITUTE(C1001," ","")))</f>
        <v>GM1</v>
      </c>
      <c r="L1001" s="82" t="str">
        <f t="shared" si="274"/>
        <v>JULY-3-GM1</v>
      </c>
      <c r="M1001" s="70">
        <f t="shared" si="275"/>
        <v>-2.6506024096385583E-2</v>
      </c>
      <c r="N1001" s="70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25">
      <c r="A1002" t="s">
        <v>41</v>
      </c>
      <c r="B1002" s="63">
        <v>3</v>
      </c>
      <c r="C1002" t="s">
        <v>11</v>
      </c>
      <c r="D1002">
        <v>1730</v>
      </c>
      <c r="E1002" s="66">
        <v>1740</v>
      </c>
      <c r="F1002" s="66">
        <v>1730</v>
      </c>
      <c r="G1002" s="13">
        <f t="shared" si="270"/>
        <v>-10</v>
      </c>
      <c r="H1002" s="13">
        <f t="shared" si="271"/>
        <v>0</v>
      </c>
      <c r="I1002" s="70">
        <f t="shared" si="272"/>
        <v>0</v>
      </c>
      <c r="J1002" s="70">
        <f t="shared" si="273"/>
        <v>-5.7471264367816577E-3</v>
      </c>
      <c r="K1002" s="82" t="str">
        <f>_xlfn.IFNA(VLOOKUP(CLEAN(SUBSTITUTE(C1002," ","")),Ref_Factory!$A:$B,2,FALSE),CLEAN(SUBSTITUTE(C1002," ","")))</f>
        <v>GM1</v>
      </c>
      <c r="L1002" s="82" t="str">
        <f t="shared" si="274"/>
        <v>JULY-3-GM1</v>
      </c>
      <c r="M1002" s="70">
        <f t="shared" si="275"/>
        <v>-2.6506024096385583E-2</v>
      </c>
      <c r="N1002" s="70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25">
      <c r="A1003" t="s">
        <v>41</v>
      </c>
      <c r="B1003" s="63">
        <v>3</v>
      </c>
      <c r="C1003" t="s">
        <v>11</v>
      </c>
      <c r="D1003">
        <v>270</v>
      </c>
      <c r="E1003" s="66">
        <v>271</v>
      </c>
      <c r="F1003" s="66">
        <v>270</v>
      </c>
      <c r="G1003" s="13">
        <f t="shared" si="270"/>
        <v>-1</v>
      </c>
      <c r="H1003" s="13">
        <f t="shared" si="271"/>
        <v>0</v>
      </c>
      <c r="I1003" s="70">
        <f t="shared" si="272"/>
        <v>0</v>
      </c>
      <c r="J1003" s="70">
        <f t="shared" si="273"/>
        <v>-3.6900369003689537E-3</v>
      </c>
      <c r="K1003" s="82" t="str">
        <f>_xlfn.IFNA(VLOOKUP(CLEAN(SUBSTITUTE(C1003," ","")),Ref_Factory!$A:$B,2,FALSE),CLEAN(SUBSTITUTE(C1003," ","")))</f>
        <v>GM1</v>
      </c>
      <c r="L1003" s="82" t="str">
        <f t="shared" si="274"/>
        <v>JULY-3-GM1</v>
      </c>
      <c r="M1003" s="70">
        <f t="shared" si="275"/>
        <v>-2.6506024096385583E-2</v>
      </c>
      <c r="N1003" s="70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25">
      <c r="A1004" t="s">
        <v>42</v>
      </c>
      <c r="B1004">
        <v>1</v>
      </c>
      <c r="C1004" t="s">
        <v>11</v>
      </c>
      <c r="D1004" s="66">
        <v>600</v>
      </c>
      <c r="E1004" s="66">
        <v>600</v>
      </c>
      <c r="F1004" s="66">
        <v>600</v>
      </c>
      <c r="G1004" s="13">
        <f t="shared" si="270"/>
        <v>0</v>
      </c>
      <c r="H1004" s="13">
        <f t="shared" si="271"/>
        <v>0</v>
      </c>
      <c r="I1004" s="70">
        <f t="shared" si="272"/>
        <v>0</v>
      </c>
      <c r="J1004" s="70">
        <f t="shared" si="273"/>
        <v>0</v>
      </c>
      <c r="K1004" s="82" t="str">
        <f>_xlfn.IFNA(VLOOKUP(CLEAN(SUBSTITUTE(C1004," ","")),Ref_Factory!$A:$B,2,FALSE),CLEAN(SUBSTITUTE(C1004," ","")))</f>
        <v>GM1</v>
      </c>
      <c r="L1004" s="82" t="str">
        <f t="shared" si="274"/>
        <v>AUGUST-1-GM1</v>
      </c>
      <c r="M1004" s="70">
        <f t="shared" si="275"/>
        <v>2.9741522144454247E-2</v>
      </c>
      <c r="N1004" s="70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25">
      <c r="A1005" t="s">
        <v>42</v>
      </c>
      <c r="B1005">
        <v>1</v>
      </c>
      <c r="C1005" t="s">
        <v>11</v>
      </c>
      <c r="D1005" s="66">
        <v>335</v>
      </c>
      <c r="E1005" s="66">
        <v>335</v>
      </c>
      <c r="F1005" s="66">
        <v>335</v>
      </c>
      <c r="G1005" s="13">
        <f t="shared" si="270"/>
        <v>0</v>
      </c>
      <c r="H1005" s="13">
        <f t="shared" si="271"/>
        <v>0</v>
      </c>
      <c r="I1005" s="70">
        <f t="shared" si="272"/>
        <v>0</v>
      </c>
      <c r="J1005" s="70">
        <f t="shared" si="273"/>
        <v>0</v>
      </c>
      <c r="K1005" s="82" t="str">
        <f>_xlfn.IFNA(VLOOKUP(CLEAN(SUBSTITUTE(C1005," ","")),Ref_Factory!$A:$B,2,FALSE),CLEAN(SUBSTITUTE(C1005," ","")))</f>
        <v>GM1</v>
      </c>
      <c r="L1005" s="82" t="str">
        <f t="shared" si="274"/>
        <v>AUGUST-1-GM1</v>
      </c>
      <c r="M1005" s="70">
        <f t="shared" si="275"/>
        <v>2.9741522144454247E-2</v>
      </c>
      <c r="N1005" s="70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25">
      <c r="A1006" t="s">
        <v>42</v>
      </c>
      <c r="B1006">
        <v>1</v>
      </c>
      <c r="C1006" t="s">
        <v>11</v>
      </c>
      <c r="D1006" s="66">
        <v>932</v>
      </c>
      <c r="E1006" s="66">
        <v>932</v>
      </c>
      <c r="F1006" s="66">
        <v>932</v>
      </c>
      <c r="G1006" s="13">
        <f t="shared" si="270"/>
        <v>0</v>
      </c>
      <c r="H1006" s="13">
        <f t="shared" si="271"/>
        <v>0</v>
      </c>
      <c r="I1006" s="70">
        <f t="shared" si="272"/>
        <v>0</v>
      </c>
      <c r="J1006" s="70">
        <f t="shared" si="273"/>
        <v>0</v>
      </c>
      <c r="K1006" s="82" t="str">
        <f>_xlfn.IFNA(VLOOKUP(CLEAN(SUBSTITUTE(C1006," ","")),Ref_Factory!$A:$B,2,FALSE),CLEAN(SUBSTITUTE(C1006," ","")))</f>
        <v>GM1</v>
      </c>
      <c r="L1006" s="82" t="str">
        <f t="shared" si="274"/>
        <v>AUGUST-1-GM1</v>
      </c>
      <c r="M1006" s="70">
        <f t="shared" si="275"/>
        <v>2.9741522144454247E-2</v>
      </c>
      <c r="N1006" s="70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25">
      <c r="A1007" t="s">
        <v>42</v>
      </c>
      <c r="B1007">
        <v>1</v>
      </c>
      <c r="C1007" t="s">
        <v>11</v>
      </c>
      <c r="D1007" s="66">
        <v>10</v>
      </c>
      <c r="E1007" s="66">
        <v>10</v>
      </c>
      <c r="F1007" s="66">
        <v>10</v>
      </c>
      <c r="G1007" s="13">
        <f t="shared" si="270"/>
        <v>0</v>
      </c>
      <c r="H1007" s="13">
        <f t="shared" si="271"/>
        <v>0</v>
      </c>
      <c r="I1007" s="70">
        <f t="shared" si="272"/>
        <v>0</v>
      </c>
      <c r="J1007" s="70">
        <f t="shared" si="273"/>
        <v>0</v>
      </c>
      <c r="K1007" s="82" t="str">
        <f>_xlfn.IFNA(VLOOKUP(CLEAN(SUBSTITUTE(C1007," ","")),Ref_Factory!$A:$B,2,FALSE),CLEAN(SUBSTITUTE(C1007," ","")))</f>
        <v>GM1</v>
      </c>
      <c r="L1007" s="82" t="str">
        <f t="shared" si="274"/>
        <v>AUGUST-1-GM1</v>
      </c>
      <c r="M1007" s="70">
        <f t="shared" si="275"/>
        <v>2.9741522144454247E-2</v>
      </c>
      <c r="N1007" s="70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25">
      <c r="A1008" t="s">
        <v>42</v>
      </c>
      <c r="B1008">
        <v>1</v>
      </c>
      <c r="C1008" t="s">
        <v>11</v>
      </c>
      <c r="D1008" s="66">
        <v>190</v>
      </c>
      <c r="E1008" s="66">
        <v>193</v>
      </c>
      <c r="F1008" s="66">
        <v>190</v>
      </c>
      <c r="G1008" s="13">
        <f t="shared" si="270"/>
        <v>-3</v>
      </c>
      <c r="H1008" s="13">
        <f t="shared" si="271"/>
        <v>0</v>
      </c>
      <c r="I1008" s="70">
        <f t="shared" si="272"/>
        <v>0</v>
      </c>
      <c r="J1008" s="70">
        <f t="shared" si="273"/>
        <v>-1.5544041450777257E-2</v>
      </c>
      <c r="K1008" s="82" t="str">
        <f>_xlfn.IFNA(VLOOKUP(CLEAN(SUBSTITUTE(C1008," ","")),Ref_Factory!$A:$B,2,FALSE),CLEAN(SUBSTITUTE(C1008," ","")))</f>
        <v>GM1</v>
      </c>
      <c r="L1008" s="82" t="str">
        <f t="shared" si="274"/>
        <v>AUGUST-1-GM1</v>
      </c>
      <c r="M1008" s="70">
        <f t="shared" si="275"/>
        <v>2.9741522144454247E-2</v>
      </c>
      <c r="N1008" s="70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25">
      <c r="A1009" t="s">
        <v>42</v>
      </c>
      <c r="B1009">
        <v>1</v>
      </c>
      <c r="C1009" t="s">
        <v>11</v>
      </c>
      <c r="D1009" s="66">
        <v>460</v>
      </c>
      <c r="E1009" s="66">
        <v>464</v>
      </c>
      <c r="F1009" s="66">
        <v>460</v>
      </c>
      <c r="G1009" s="13">
        <f t="shared" si="270"/>
        <v>-4</v>
      </c>
      <c r="H1009" s="13">
        <f t="shared" si="271"/>
        <v>0</v>
      </c>
      <c r="I1009" s="70">
        <f t="shared" si="272"/>
        <v>0</v>
      </c>
      <c r="J1009" s="70">
        <f t="shared" si="273"/>
        <v>-8.6206896551723755E-3</v>
      </c>
      <c r="K1009" s="82" t="str">
        <f>_xlfn.IFNA(VLOOKUP(CLEAN(SUBSTITUTE(C1009," ","")),Ref_Factory!$A:$B,2,FALSE),CLEAN(SUBSTITUTE(C1009," ","")))</f>
        <v>GM1</v>
      </c>
      <c r="L1009" s="82" t="str">
        <f t="shared" si="274"/>
        <v>AUGUST-1-GM1</v>
      </c>
      <c r="M1009" s="70">
        <f t="shared" si="275"/>
        <v>2.9741522144454247E-2</v>
      </c>
      <c r="N1009" s="70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25">
      <c r="A1010" t="s">
        <v>42</v>
      </c>
      <c r="B1010">
        <v>1</v>
      </c>
      <c r="C1010" t="s">
        <v>11</v>
      </c>
      <c r="D1010" s="66">
        <v>610</v>
      </c>
      <c r="E1010" s="66">
        <v>614</v>
      </c>
      <c r="F1010" s="66">
        <v>610</v>
      </c>
      <c r="G1010" s="13">
        <f t="shared" si="270"/>
        <v>-4</v>
      </c>
      <c r="H1010" s="13">
        <f t="shared" si="271"/>
        <v>0</v>
      </c>
      <c r="I1010" s="70">
        <f t="shared" si="272"/>
        <v>0</v>
      </c>
      <c r="J1010" s="70">
        <f t="shared" si="273"/>
        <v>-6.514657980456029E-3</v>
      </c>
      <c r="K1010" s="82" t="str">
        <f>_xlfn.IFNA(VLOOKUP(CLEAN(SUBSTITUTE(C1010," ","")),Ref_Factory!$A:$B,2,FALSE),CLEAN(SUBSTITUTE(C1010," ","")))</f>
        <v>GM1</v>
      </c>
      <c r="L1010" s="82" t="str">
        <f t="shared" si="274"/>
        <v>AUGUST-1-GM1</v>
      </c>
      <c r="M1010" s="70">
        <f t="shared" si="275"/>
        <v>2.9741522144454247E-2</v>
      </c>
      <c r="N1010" s="70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25">
      <c r="A1011" t="s">
        <v>42</v>
      </c>
      <c r="B1011">
        <v>1</v>
      </c>
      <c r="C1011" t="s">
        <v>11</v>
      </c>
      <c r="D1011" s="66">
        <v>140</v>
      </c>
      <c r="E1011" s="66">
        <v>140</v>
      </c>
      <c r="F1011" s="66">
        <v>140</v>
      </c>
      <c r="G1011" s="13">
        <f t="shared" si="270"/>
        <v>0</v>
      </c>
      <c r="H1011" s="13">
        <f t="shared" si="271"/>
        <v>0</v>
      </c>
      <c r="I1011" s="70">
        <f t="shared" si="272"/>
        <v>0</v>
      </c>
      <c r="J1011" s="70">
        <f t="shared" si="273"/>
        <v>0</v>
      </c>
      <c r="K1011" s="82" t="str">
        <f>_xlfn.IFNA(VLOOKUP(CLEAN(SUBSTITUTE(C1011," ","")),Ref_Factory!$A:$B,2,FALSE),CLEAN(SUBSTITUTE(C1011," ","")))</f>
        <v>GM1</v>
      </c>
      <c r="L1011" s="82" t="str">
        <f t="shared" si="274"/>
        <v>AUGUST-1-GM1</v>
      </c>
      <c r="M1011" s="70">
        <f t="shared" si="275"/>
        <v>2.9741522144454247E-2</v>
      </c>
      <c r="N1011" s="70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25">
      <c r="A1012" t="s">
        <v>42</v>
      </c>
      <c r="B1012">
        <v>1</v>
      </c>
      <c r="C1012" t="s">
        <v>11</v>
      </c>
      <c r="D1012" s="66">
        <v>300</v>
      </c>
      <c r="E1012" s="66">
        <v>301</v>
      </c>
      <c r="F1012" s="66">
        <v>300</v>
      </c>
      <c r="G1012" s="13">
        <f t="shared" si="270"/>
        <v>-1</v>
      </c>
      <c r="H1012" s="13">
        <f t="shared" si="271"/>
        <v>0</v>
      </c>
      <c r="I1012" s="70">
        <f t="shared" si="272"/>
        <v>0</v>
      </c>
      <c r="J1012" s="70">
        <f t="shared" si="273"/>
        <v>-3.3222591362126463E-3</v>
      </c>
      <c r="K1012" s="82" t="str">
        <f>_xlfn.IFNA(VLOOKUP(CLEAN(SUBSTITUTE(C1012," ","")),Ref_Factory!$A:$B,2,FALSE),CLEAN(SUBSTITUTE(C1012," ","")))</f>
        <v>GM1</v>
      </c>
      <c r="L1012" s="82" t="str">
        <f t="shared" si="274"/>
        <v>AUGUST-1-GM1</v>
      </c>
      <c r="M1012" s="70">
        <f t="shared" si="275"/>
        <v>2.9741522144454247E-2</v>
      </c>
      <c r="N1012" s="70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25">
      <c r="A1013" t="s">
        <v>42</v>
      </c>
      <c r="B1013">
        <v>1</v>
      </c>
      <c r="C1013" t="s">
        <v>11</v>
      </c>
      <c r="D1013" s="66">
        <v>600</v>
      </c>
      <c r="E1013" s="66">
        <v>600</v>
      </c>
      <c r="F1013" s="66">
        <v>600</v>
      </c>
      <c r="G1013" s="13">
        <f t="shared" si="270"/>
        <v>0</v>
      </c>
      <c r="H1013" s="13">
        <f t="shared" si="271"/>
        <v>0</v>
      </c>
      <c r="I1013" s="70">
        <f t="shared" si="272"/>
        <v>0</v>
      </c>
      <c r="J1013" s="70">
        <f t="shared" si="273"/>
        <v>0</v>
      </c>
      <c r="K1013" s="82" t="str">
        <f>_xlfn.IFNA(VLOOKUP(CLEAN(SUBSTITUTE(C1013," ","")),Ref_Factory!$A:$B,2,FALSE),CLEAN(SUBSTITUTE(C1013," ","")))</f>
        <v>GM1</v>
      </c>
      <c r="L1013" s="82" t="str">
        <f t="shared" si="274"/>
        <v>AUGUST-1-GM1</v>
      </c>
      <c r="M1013" s="70">
        <f t="shared" si="275"/>
        <v>2.9741522144454247E-2</v>
      </c>
      <c r="N1013" s="70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25">
      <c r="A1014" t="s">
        <v>42</v>
      </c>
      <c r="B1014">
        <v>1</v>
      </c>
      <c r="C1014" t="s">
        <v>13</v>
      </c>
      <c r="D1014" s="68">
        <v>15660</v>
      </c>
      <c r="E1014" s="68">
        <v>15825</v>
      </c>
      <c r="F1014" s="68">
        <v>15801</v>
      </c>
      <c r="G1014" s="13">
        <f t="shared" si="270"/>
        <v>-24</v>
      </c>
      <c r="H1014" s="13">
        <f t="shared" si="271"/>
        <v>141</v>
      </c>
      <c r="I1014" s="70">
        <f t="shared" si="272"/>
        <v>9.0038314176246192E-3</v>
      </c>
      <c r="J1014" s="70">
        <f t="shared" si="273"/>
        <v>-1.5165876777251119E-3</v>
      </c>
      <c r="K1014" s="82" t="str">
        <f>_xlfn.IFNA(VLOOKUP(CLEAN(SUBSTITUTE(C1014," ","")),Ref_Factory!$A:$B,2,FALSE),CLEAN(SUBSTITUTE(C1014," ","")))</f>
        <v>KALIBENDA</v>
      </c>
      <c r="L1014" s="82" t="str">
        <f t="shared" si="274"/>
        <v>AUGUST-1-KALIBENDA</v>
      </c>
      <c r="M1014" s="70">
        <f t="shared" si="275"/>
        <v>3.3017302164049855E-2</v>
      </c>
      <c r="N1014" s="70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25">
      <c r="A1015" t="s">
        <v>42</v>
      </c>
      <c r="B1015">
        <v>1</v>
      </c>
      <c r="C1015" t="s">
        <v>13</v>
      </c>
      <c r="D1015" s="68">
        <v>13824</v>
      </c>
      <c r="E1015" s="68">
        <v>13962</v>
      </c>
      <c r="F1015" s="68">
        <v>13932</v>
      </c>
      <c r="G1015" s="13">
        <f t="shared" si="270"/>
        <v>-30</v>
      </c>
      <c r="H1015" s="13">
        <f t="shared" si="271"/>
        <v>108</v>
      </c>
      <c r="I1015" s="70">
        <f t="shared" si="272"/>
        <v>7.8125E-3</v>
      </c>
      <c r="J1015" s="70">
        <f t="shared" si="273"/>
        <v>-2.1486892995272733E-3</v>
      </c>
      <c r="K1015" s="82" t="str">
        <f>_xlfn.IFNA(VLOOKUP(CLEAN(SUBSTITUTE(C1015," ","")),Ref_Factory!$A:$B,2,FALSE),CLEAN(SUBSTITUTE(C1015," ","")))</f>
        <v>KALIBENDA</v>
      </c>
      <c r="L1015" s="82" t="str">
        <f t="shared" si="274"/>
        <v>AUGUST-1-KALIBENDA</v>
      </c>
      <c r="M1015" s="70">
        <f t="shared" si="275"/>
        <v>3.3017302164049855E-2</v>
      </c>
      <c r="N1015" s="70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25">
      <c r="A1016" t="s">
        <v>42</v>
      </c>
      <c r="B1016">
        <v>1</v>
      </c>
      <c r="C1016" t="s">
        <v>13</v>
      </c>
      <c r="D1016" s="68">
        <v>78408</v>
      </c>
      <c r="E1016" s="68">
        <v>79192</v>
      </c>
      <c r="F1016" s="68">
        <v>79056</v>
      </c>
      <c r="G1016" s="13">
        <f t="shared" si="270"/>
        <v>-136</v>
      </c>
      <c r="H1016" s="13">
        <f t="shared" si="271"/>
        <v>648</v>
      </c>
      <c r="I1016" s="70">
        <f t="shared" si="272"/>
        <v>8.2644628099173278E-3</v>
      </c>
      <c r="J1016" s="70">
        <f t="shared" si="273"/>
        <v>-1.7173451863824463E-3</v>
      </c>
      <c r="K1016" s="82" t="str">
        <f>_xlfn.IFNA(VLOOKUP(CLEAN(SUBSTITUTE(C1016," ","")),Ref_Factory!$A:$B,2,FALSE),CLEAN(SUBSTITUTE(C1016," ","")))</f>
        <v>KALIBENDA</v>
      </c>
      <c r="L1016" s="82" t="str">
        <f t="shared" si="274"/>
        <v>AUGUST-1-KALIBENDA</v>
      </c>
      <c r="M1016" s="70">
        <f t="shared" si="275"/>
        <v>3.3017302164049855E-2</v>
      </c>
      <c r="N1016" s="70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25">
      <c r="A1017" t="s">
        <v>42</v>
      </c>
      <c r="B1017">
        <v>1</v>
      </c>
      <c r="C1017" t="s">
        <v>13</v>
      </c>
      <c r="D1017" s="68">
        <v>1512</v>
      </c>
      <c r="E1017" s="68">
        <v>1527</v>
      </c>
      <c r="F1017" s="68">
        <v>1524</v>
      </c>
      <c r="G1017" s="13">
        <f t="shared" si="270"/>
        <v>-3</v>
      </c>
      <c r="H1017" s="13">
        <f t="shared" si="271"/>
        <v>12</v>
      </c>
      <c r="I1017" s="70">
        <f t="shared" si="272"/>
        <v>7.9365079365079083E-3</v>
      </c>
      <c r="J1017" s="70">
        <f t="shared" si="273"/>
        <v>-1.9646365422396617E-3</v>
      </c>
      <c r="K1017" s="82" t="str">
        <f>_xlfn.IFNA(VLOOKUP(CLEAN(SUBSTITUTE(C1017," ","")),Ref_Factory!$A:$B,2,FALSE),CLEAN(SUBSTITUTE(C1017," ","")))</f>
        <v>KALIBENDA</v>
      </c>
      <c r="L1017" s="82" t="str">
        <f t="shared" si="274"/>
        <v>AUGUST-1-KALIBENDA</v>
      </c>
      <c r="M1017" s="70">
        <f t="shared" si="275"/>
        <v>3.3017302164049855E-2</v>
      </c>
      <c r="N1017" s="70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25">
      <c r="A1018" t="s">
        <v>42</v>
      </c>
      <c r="B1018">
        <v>1</v>
      </c>
      <c r="C1018" t="s">
        <v>70</v>
      </c>
      <c r="D1018" s="66">
        <v>5832</v>
      </c>
      <c r="E1018" s="64">
        <v>5529</v>
      </c>
      <c r="F1018" s="66">
        <v>5496</v>
      </c>
      <c r="G1018" s="13">
        <f t="shared" si="270"/>
        <v>-33</v>
      </c>
      <c r="H1018" s="13">
        <f t="shared" si="271"/>
        <v>-336</v>
      </c>
      <c r="I1018" s="70">
        <f t="shared" si="272"/>
        <v>-5.7613168724279795E-2</v>
      </c>
      <c r="J1018" s="70">
        <f t="shared" si="273"/>
        <v>-5.9685295713510778E-3</v>
      </c>
      <c r="K1018" s="82" t="str">
        <f>_xlfn.IFNA(VLOOKUP(CLEAN(SUBSTITUTE(C1018," ","")),Ref_Factory!$A:$B,2,FALSE),CLEAN(SUBSTITUTE(C1018," ","")))</f>
        <v>GM1</v>
      </c>
      <c r="L1018" s="82" t="str">
        <f t="shared" si="274"/>
        <v>AUGUST-1-GM1</v>
      </c>
      <c r="M1018" s="70">
        <f t="shared" si="275"/>
        <v>2.9741522144454247E-2</v>
      </c>
      <c r="N1018" s="70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25">
      <c r="A1019" t="s">
        <v>42</v>
      </c>
      <c r="B1019">
        <v>1</v>
      </c>
      <c r="C1019" t="s">
        <v>70</v>
      </c>
      <c r="D1019" s="66">
        <v>4428</v>
      </c>
      <c r="E1019" s="64">
        <v>4561</v>
      </c>
      <c r="F1019" s="66">
        <v>4371</v>
      </c>
      <c r="G1019" s="13">
        <f t="shared" si="270"/>
        <v>-190</v>
      </c>
      <c r="H1019" s="13">
        <f t="shared" si="271"/>
        <v>-57</v>
      </c>
      <c r="I1019" s="70">
        <f t="shared" si="272"/>
        <v>-1.287262872628725E-2</v>
      </c>
      <c r="J1019" s="70">
        <f t="shared" si="273"/>
        <v>-4.1657531243148416E-2</v>
      </c>
      <c r="K1019" s="82" t="str">
        <f>_xlfn.IFNA(VLOOKUP(CLEAN(SUBSTITUTE(C1019," ","")),Ref_Factory!$A:$B,2,FALSE),CLEAN(SUBSTITUTE(C1019," ","")))</f>
        <v>GM1</v>
      </c>
      <c r="L1019" s="82" t="str">
        <f t="shared" si="274"/>
        <v>AUGUST-1-GM1</v>
      </c>
      <c r="M1019" s="70">
        <f t="shared" si="275"/>
        <v>2.9741522144454247E-2</v>
      </c>
      <c r="N1019" s="70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25">
      <c r="A1020" t="s">
        <v>42</v>
      </c>
      <c r="B1020">
        <v>1</v>
      </c>
      <c r="C1020" t="s">
        <v>70</v>
      </c>
      <c r="D1020" s="66">
        <v>1080</v>
      </c>
      <c r="E1020" s="64">
        <v>1119</v>
      </c>
      <c r="F1020" s="66">
        <v>1089</v>
      </c>
      <c r="G1020" s="13">
        <f t="shared" si="270"/>
        <v>-30</v>
      </c>
      <c r="H1020" s="13">
        <f t="shared" si="271"/>
        <v>9</v>
      </c>
      <c r="I1020" s="70">
        <f t="shared" si="272"/>
        <v>8.3333333333333037E-3</v>
      </c>
      <c r="J1020" s="70">
        <f t="shared" si="273"/>
        <v>-2.6809651474530849E-2</v>
      </c>
      <c r="K1020" s="82" t="str">
        <f>_xlfn.IFNA(VLOOKUP(CLEAN(SUBSTITUTE(C1020," ","")),Ref_Factory!$A:$B,2,FALSE),CLEAN(SUBSTITUTE(C1020," ","")))</f>
        <v>GM1</v>
      </c>
      <c r="L1020" s="82" t="str">
        <f t="shared" si="274"/>
        <v>AUGUST-1-GM1</v>
      </c>
      <c r="M1020" s="70">
        <f t="shared" si="275"/>
        <v>2.9741522144454247E-2</v>
      </c>
      <c r="N1020" s="70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25">
      <c r="A1021" t="s">
        <v>42</v>
      </c>
      <c r="B1021">
        <v>1</v>
      </c>
      <c r="C1021" t="s">
        <v>70</v>
      </c>
      <c r="D1021" s="66">
        <v>4320</v>
      </c>
      <c r="E1021" s="64">
        <v>4516</v>
      </c>
      <c r="F1021" s="66">
        <v>4401</v>
      </c>
      <c r="G1021" s="13">
        <f t="shared" si="270"/>
        <v>-115</v>
      </c>
      <c r="H1021" s="13">
        <f t="shared" si="271"/>
        <v>81</v>
      </c>
      <c r="I1021" s="70">
        <f t="shared" si="272"/>
        <v>1.8750000000000044E-2</v>
      </c>
      <c r="J1021" s="70">
        <f t="shared" si="273"/>
        <v>-2.5465013286093852E-2</v>
      </c>
      <c r="K1021" s="82" t="str">
        <f>_xlfn.IFNA(VLOOKUP(CLEAN(SUBSTITUTE(C1021," ","")),Ref_Factory!$A:$B,2,FALSE),CLEAN(SUBSTITUTE(C1021," ","")))</f>
        <v>GM1</v>
      </c>
      <c r="L1021" s="82" t="str">
        <f t="shared" si="274"/>
        <v>AUGUST-1-GM1</v>
      </c>
      <c r="M1021" s="70">
        <f t="shared" si="275"/>
        <v>2.9741522144454247E-2</v>
      </c>
      <c r="N1021" s="70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25">
      <c r="A1022" t="s">
        <v>42</v>
      </c>
      <c r="B1022">
        <v>1</v>
      </c>
      <c r="C1022" t="s">
        <v>70</v>
      </c>
      <c r="D1022" s="66">
        <v>1080</v>
      </c>
      <c r="E1022" s="64">
        <v>1086</v>
      </c>
      <c r="F1022" s="66">
        <v>1065</v>
      </c>
      <c r="G1022" s="13">
        <f t="shared" si="270"/>
        <v>-21</v>
      </c>
      <c r="H1022" s="13">
        <f t="shared" si="271"/>
        <v>-15</v>
      </c>
      <c r="I1022" s="70">
        <f t="shared" si="272"/>
        <v>-1.388888888888884E-2</v>
      </c>
      <c r="J1022" s="70">
        <f t="shared" si="273"/>
        <v>-1.9337016574585641E-2</v>
      </c>
      <c r="K1022" s="82" t="str">
        <f>_xlfn.IFNA(VLOOKUP(CLEAN(SUBSTITUTE(C1022," ","")),Ref_Factory!$A:$B,2,FALSE),CLEAN(SUBSTITUTE(C1022," ","")))</f>
        <v>GM1</v>
      </c>
      <c r="L1022" s="82" t="str">
        <f t="shared" si="274"/>
        <v>AUGUST-1-GM1</v>
      </c>
      <c r="M1022" s="70">
        <f t="shared" si="275"/>
        <v>2.9741522144454247E-2</v>
      </c>
      <c r="N1022" s="70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25">
      <c r="A1023" t="s">
        <v>42</v>
      </c>
      <c r="B1023">
        <v>1</v>
      </c>
      <c r="C1023" t="s">
        <v>70</v>
      </c>
      <c r="D1023" s="66">
        <v>4320</v>
      </c>
      <c r="E1023" s="64">
        <v>4440</v>
      </c>
      <c r="F1023" s="66">
        <v>4344</v>
      </c>
      <c r="G1023" s="13">
        <f t="shared" si="270"/>
        <v>-96</v>
      </c>
      <c r="H1023" s="13">
        <f t="shared" si="271"/>
        <v>24</v>
      </c>
      <c r="I1023" s="70">
        <f t="shared" si="272"/>
        <v>5.5555555555555358E-3</v>
      </c>
      <c r="J1023" s="70">
        <f t="shared" si="273"/>
        <v>-2.1621621621621623E-2</v>
      </c>
      <c r="K1023" s="82" t="str">
        <f>_xlfn.IFNA(VLOOKUP(CLEAN(SUBSTITUTE(C1023," ","")),Ref_Factory!$A:$B,2,FALSE),CLEAN(SUBSTITUTE(C1023," ","")))</f>
        <v>GM1</v>
      </c>
      <c r="L1023" s="82" t="str">
        <f t="shared" si="274"/>
        <v>AUGUST-1-GM1</v>
      </c>
      <c r="M1023" s="70">
        <f t="shared" si="275"/>
        <v>2.9741522144454247E-2</v>
      </c>
      <c r="N1023" s="70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25">
      <c r="A1024" t="s">
        <v>42</v>
      </c>
      <c r="B1024">
        <v>1</v>
      </c>
      <c r="C1024" t="s">
        <v>70</v>
      </c>
      <c r="D1024" s="66">
        <v>4320</v>
      </c>
      <c r="E1024" s="64">
        <v>4537</v>
      </c>
      <c r="F1024" s="66">
        <v>4422</v>
      </c>
      <c r="G1024" s="13">
        <f t="shared" si="270"/>
        <v>-115</v>
      </c>
      <c r="H1024" s="13">
        <f t="shared" si="271"/>
        <v>102</v>
      </c>
      <c r="I1024" s="70">
        <f t="shared" si="272"/>
        <v>2.3611111111111027E-2</v>
      </c>
      <c r="J1024" s="70">
        <f t="shared" si="273"/>
        <v>-2.5347145690985284E-2</v>
      </c>
      <c r="K1024" s="82" t="str">
        <f>_xlfn.IFNA(VLOOKUP(CLEAN(SUBSTITUTE(C1024," ","")),Ref_Factory!$A:$B,2,FALSE),CLEAN(SUBSTITUTE(C1024," ","")))</f>
        <v>GM1</v>
      </c>
      <c r="L1024" s="82" t="str">
        <f t="shared" si="274"/>
        <v>AUGUST-1-GM1</v>
      </c>
      <c r="M1024" s="70">
        <f t="shared" si="275"/>
        <v>2.9741522144454247E-2</v>
      </c>
      <c r="N1024" s="70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25">
      <c r="A1025" t="s">
        <v>42</v>
      </c>
      <c r="B1025">
        <v>1</v>
      </c>
      <c r="C1025" t="s">
        <v>70</v>
      </c>
      <c r="D1025" s="66">
        <v>1080</v>
      </c>
      <c r="E1025" s="64">
        <v>1134</v>
      </c>
      <c r="F1025" s="66">
        <v>1113</v>
      </c>
      <c r="G1025" s="13">
        <f t="shared" si="270"/>
        <v>-21</v>
      </c>
      <c r="H1025" s="13">
        <f t="shared" si="271"/>
        <v>33</v>
      </c>
      <c r="I1025" s="70">
        <f t="shared" si="272"/>
        <v>3.0555555555555447E-2</v>
      </c>
      <c r="J1025" s="70">
        <f t="shared" si="273"/>
        <v>-1.851851851851849E-2</v>
      </c>
      <c r="K1025" s="82" t="str">
        <f>_xlfn.IFNA(VLOOKUP(CLEAN(SUBSTITUTE(C1025," ","")),Ref_Factory!$A:$B,2,FALSE),CLEAN(SUBSTITUTE(C1025," ","")))</f>
        <v>GM1</v>
      </c>
      <c r="L1025" s="82" t="str">
        <f t="shared" si="274"/>
        <v>AUGUST-1-GM1</v>
      </c>
      <c r="M1025" s="70">
        <f t="shared" si="275"/>
        <v>2.9741522144454247E-2</v>
      </c>
      <c r="N1025" s="70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25">
      <c r="A1026" t="s">
        <v>42</v>
      </c>
      <c r="B1026">
        <v>1</v>
      </c>
      <c r="C1026" t="s">
        <v>70</v>
      </c>
      <c r="D1026" s="66">
        <v>4320</v>
      </c>
      <c r="E1026" s="64">
        <v>4509</v>
      </c>
      <c r="F1026" s="66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70">
        <f t="shared" ref="I1026:I1089" si="290">F1026/D1026-1</f>
        <v>1.5972222222222276E-2</v>
      </c>
      <c r="J1026" s="70">
        <f t="shared" ref="J1026:J1089" si="291">F1026/E1026-1</f>
        <v>-2.6613439787092519E-2</v>
      </c>
      <c r="K1026" s="82" t="str">
        <f>_xlfn.IFNA(VLOOKUP(CLEAN(SUBSTITUTE(C1026," ","")),Ref_Factory!$A:$B,2,FALSE),CLEAN(SUBSTITUTE(C1026," ","")))</f>
        <v>GM1</v>
      </c>
      <c r="L1026" s="82" t="str">
        <f t="shared" ref="L1026:L1089" si="292">A1026&amp;"-"&amp;B1026&amp;"-"&amp;K1026</f>
        <v>AUGUST-1-GM1</v>
      </c>
      <c r="M1026" s="70">
        <f t="shared" ref="M1026:M1089" si="293">SUMIF($L$2:$L$1420,L1026,$I$2:$I$1420)</f>
        <v>2.9741522144454247E-2</v>
      </c>
      <c r="N1026" s="70">
        <f t="shared" ref="N1026:N1089" si="294">SUMIF($L$2:$L$1420,L1026,$J$2:$J$1420)</f>
        <v>-0.37103680377746906</v>
      </c>
      <c r="O1026" s="13">
        <f t="shared" ref="O1026:O1089" si="295">SUMIF($A$2:$A$1420,A1026,$D$2:$D$1420)</f>
        <v>2101778</v>
      </c>
      <c r="P1026" s="13">
        <f t="shared" ref="P1026:P1089" si="296">SUMIF($A$2:$A$1420,A1026,$E$2:$E$1420)</f>
        <v>2128806</v>
      </c>
      <c r="Q1026" s="13">
        <f t="shared" ref="Q1026:Q1089" si="297">SUMIF($A$2:$A$1420,A1026,$F$2:$F$1420)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SUMIF($T$2:$T$1420,T1026,$D$2:$D$1420)</f>
        <v>194775</v>
      </c>
      <c r="V1026">
        <f t="shared" ref="V1026:V1089" si="302">SUMIF($T$2:$T$1420,T1026,$E$2:$E$1420)</f>
        <v>197979</v>
      </c>
      <c r="W1026">
        <f t="shared" ref="W1026:W1089" si="303">SUMIF($T$2:$T$1420,T1026,$F$2:$F$1420)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25">
      <c r="A1027" t="s">
        <v>42</v>
      </c>
      <c r="B1027">
        <v>1</v>
      </c>
      <c r="C1027" t="s">
        <v>70</v>
      </c>
      <c r="D1027" s="66">
        <v>1080</v>
      </c>
      <c r="E1027" s="64">
        <v>1130</v>
      </c>
      <c r="F1027" s="66">
        <v>1080</v>
      </c>
      <c r="G1027" s="13">
        <f t="shared" si="288"/>
        <v>-50</v>
      </c>
      <c r="H1027" s="13">
        <f t="shared" si="289"/>
        <v>0</v>
      </c>
      <c r="I1027" s="70">
        <f t="shared" si="290"/>
        <v>0</v>
      </c>
      <c r="J1027" s="70">
        <f t="shared" si="291"/>
        <v>-4.4247787610619427E-2</v>
      </c>
      <c r="K1027" s="82" t="str">
        <f>_xlfn.IFNA(VLOOKUP(CLEAN(SUBSTITUTE(C1027," ","")),Ref_Factory!$A:$B,2,FALSE),CLEAN(SUBSTITUTE(C1027," ","")))</f>
        <v>GM1</v>
      </c>
      <c r="L1027" s="82" t="str">
        <f t="shared" si="292"/>
        <v>AUGUST-1-GM1</v>
      </c>
      <c r="M1027" s="70">
        <f t="shared" si="293"/>
        <v>2.9741522144454247E-2</v>
      </c>
      <c r="N1027" s="70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25">
      <c r="A1028" t="s">
        <v>42</v>
      </c>
      <c r="B1028">
        <v>1</v>
      </c>
      <c r="C1028" t="s">
        <v>70</v>
      </c>
      <c r="D1028" s="66">
        <v>4320</v>
      </c>
      <c r="E1028" s="64">
        <v>4496</v>
      </c>
      <c r="F1028" s="66">
        <v>4401</v>
      </c>
      <c r="G1028" s="13">
        <f t="shared" si="288"/>
        <v>-95</v>
      </c>
      <c r="H1028" s="13">
        <f t="shared" si="289"/>
        <v>81</v>
      </c>
      <c r="I1028" s="70">
        <f t="shared" si="290"/>
        <v>1.8750000000000044E-2</v>
      </c>
      <c r="J1028" s="70">
        <f t="shared" si="291"/>
        <v>-2.1129893238434172E-2</v>
      </c>
      <c r="K1028" s="82" t="str">
        <f>_xlfn.IFNA(VLOOKUP(CLEAN(SUBSTITUTE(C1028," ","")),Ref_Factory!$A:$B,2,FALSE),CLEAN(SUBSTITUTE(C1028," ","")))</f>
        <v>GM1</v>
      </c>
      <c r="L1028" s="82" t="str">
        <f t="shared" si="292"/>
        <v>AUGUST-1-GM1</v>
      </c>
      <c r="M1028" s="70">
        <f t="shared" si="293"/>
        <v>2.9741522144454247E-2</v>
      </c>
      <c r="N1028" s="70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25">
      <c r="A1029" t="s">
        <v>42</v>
      </c>
      <c r="B1029">
        <v>1</v>
      </c>
      <c r="C1029" t="s">
        <v>70</v>
      </c>
      <c r="D1029" s="66">
        <v>4320</v>
      </c>
      <c r="E1029" s="64">
        <v>4309</v>
      </c>
      <c r="F1029" s="66">
        <v>4242</v>
      </c>
      <c r="G1029" s="13">
        <f t="shared" si="288"/>
        <v>-67</v>
      </c>
      <c r="H1029" s="13">
        <f t="shared" si="289"/>
        <v>-78</v>
      </c>
      <c r="I1029" s="70">
        <f t="shared" si="290"/>
        <v>-1.8055555555555602E-2</v>
      </c>
      <c r="J1029" s="70">
        <f t="shared" si="291"/>
        <v>-1.5548851241587336E-2</v>
      </c>
      <c r="K1029" s="82" t="str">
        <f>_xlfn.IFNA(VLOOKUP(CLEAN(SUBSTITUTE(C1029," ","")),Ref_Factory!$A:$B,2,FALSE),CLEAN(SUBSTITUTE(C1029," ","")))</f>
        <v>GM1</v>
      </c>
      <c r="L1029" s="82" t="str">
        <f t="shared" si="292"/>
        <v>AUGUST-1-GM1</v>
      </c>
      <c r="M1029" s="70">
        <f t="shared" si="293"/>
        <v>2.9741522144454247E-2</v>
      </c>
      <c r="N1029" s="70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25">
      <c r="A1030" t="s">
        <v>42</v>
      </c>
      <c r="B1030">
        <v>1</v>
      </c>
      <c r="C1030" t="s">
        <v>70</v>
      </c>
      <c r="D1030" s="66">
        <v>1080</v>
      </c>
      <c r="E1030" s="64">
        <v>1080</v>
      </c>
      <c r="F1030" s="66">
        <v>1065</v>
      </c>
      <c r="G1030" s="13">
        <f t="shared" si="288"/>
        <v>-15</v>
      </c>
      <c r="H1030" s="13">
        <f t="shared" si="289"/>
        <v>-15</v>
      </c>
      <c r="I1030" s="70">
        <f t="shared" si="290"/>
        <v>-1.388888888888884E-2</v>
      </c>
      <c r="J1030" s="70">
        <f t="shared" si="291"/>
        <v>-1.388888888888884E-2</v>
      </c>
      <c r="K1030" s="82" t="str">
        <f>_xlfn.IFNA(VLOOKUP(CLEAN(SUBSTITUTE(C1030," ","")),Ref_Factory!$A:$B,2,FALSE),CLEAN(SUBSTITUTE(C1030," ","")))</f>
        <v>GM1</v>
      </c>
      <c r="L1030" s="82" t="str">
        <f t="shared" si="292"/>
        <v>AUGUST-1-GM1</v>
      </c>
      <c r="M1030" s="70">
        <f t="shared" si="293"/>
        <v>2.9741522144454247E-2</v>
      </c>
      <c r="N1030" s="70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25">
      <c r="A1031" t="s">
        <v>42</v>
      </c>
      <c r="B1031">
        <v>1</v>
      </c>
      <c r="C1031" t="s">
        <v>70</v>
      </c>
      <c r="D1031" s="66">
        <v>7884</v>
      </c>
      <c r="E1031" s="64">
        <v>7987</v>
      </c>
      <c r="F1031" s="66">
        <v>7977</v>
      </c>
      <c r="G1031" s="13">
        <f t="shared" si="288"/>
        <v>-10</v>
      </c>
      <c r="H1031" s="13">
        <f t="shared" si="289"/>
        <v>93</v>
      </c>
      <c r="I1031" s="70">
        <f t="shared" si="290"/>
        <v>1.1796042617960412E-2</v>
      </c>
      <c r="J1031" s="70">
        <f t="shared" si="291"/>
        <v>-1.2520345561537471E-3</v>
      </c>
      <c r="K1031" s="82" t="str">
        <f>_xlfn.IFNA(VLOOKUP(CLEAN(SUBSTITUTE(C1031," ","")),Ref_Factory!$A:$B,2,FALSE),CLEAN(SUBSTITUTE(C1031," ","")))</f>
        <v>GM1</v>
      </c>
      <c r="L1031" s="82" t="str">
        <f t="shared" si="292"/>
        <v>AUGUST-1-GM1</v>
      </c>
      <c r="M1031" s="70">
        <f t="shared" si="293"/>
        <v>2.9741522144454247E-2</v>
      </c>
      <c r="N1031" s="70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25">
      <c r="A1032" t="s">
        <v>42</v>
      </c>
      <c r="B1032">
        <v>1</v>
      </c>
      <c r="C1032" t="s">
        <v>70</v>
      </c>
      <c r="D1032" s="66">
        <v>13068</v>
      </c>
      <c r="E1032" s="64">
        <v>13213</v>
      </c>
      <c r="F1032" s="66">
        <v>13128</v>
      </c>
      <c r="G1032" s="13">
        <f t="shared" si="288"/>
        <v>-85</v>
      </c>
      <c r="H1032" s="13">
        <f t="shared" si="289"/>
        <v>60</v>
      </c>
      <c r="I1032" s="70">
        <f t="shared" si="290"/>
        <v>4.5913682277318735E-3</v>
      </c>
      <c r="J1032" s="70">
        <f t="shared" si="291"/>
        <v>-6.4330583516234441E-3</v>
      </c>
      <c r="K1032" s="82" t="str">
        <f>_xlfn.IFNA(VLOOKUP(CLEAN(SUBSTITUTE(C1032," ","")),Ref_Factory!$A:$B,2,FALSE),CLEAN(SUBSTITUTE(C1032," ","")))</f>
        <v>GM1</v>
      </c>
      <c r="L1032" s="82" t="str">
        <f t="shared" si="292"/>
        <v>AUGUST-1-GM1</v>
      </c>
      <c r="M1032" s="70">
        <f t="shared" si="293"/>
        <v>2.9741522144454247E-2</v>
      </c>
      <c r="N1032" s="70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25">
      <c r="A1033" t="s">
        <v>42</v>
      </c>
      <c r="B1033">
        <v>1</v>
      </c>
      <c r="C1033" t="s">
        <v>70</v>
      </c>
      <c r="D1033" s="66">
        <v>5400</v>
      </c>
      <c r="E1033" s="64">
        <v>5465</v>
      </c>
      <c r="F1033" s="66">
        <v>5400</v>
      </c>
      <c r="G1033" s="13">
        <f t="shared" si="288"/>
        <v>-65</v>
      </c>
      <c r="H1033" s="13">
        <f t="shared" si="289"/>
        <v>0</v>
      </c>
      <c r="I1033" s="70">
        <f t="shared" si="290"/>
        <v>0</v>
      </c>
      <c r="J1033" s="70">
        <f t="shared" si="291"/>
        <v>-1.1893870082342217E-2</v>
      </c>
      <c r="K1033" s="82" t="str">
        <f>_xlfn.IFNA(VLOOKUP(CLEAN(SUBSTITUTE(C1033," ","")),Ref_Factory!$A:$B,2,FALSE),CLEAN(SUBSTITUTE(C1033," ","")))</f>
        <v>GM1</v>
      </c>
      <c r="L1033" s="82" t="str">
        <f t="shared" si="292"/>
        <v>AUGUST-1-GM1</v>
      </c>
      <c r="M1033" s="70">
        <f t="shared" si="293"/>
        <v>2.9741522144454247E-2</v>
      </c>
      <c r="N1033" s="70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25">
      <c r="A1034" t="s">
        <v>42</v>
      </c>
      <c r="B1034">
        <v>1</v>
      </c>
      <c r="C1034" t="s">
        <v>70</v>
      </c>
      <c r="D1034" s="66">
        <v>22356</v>
      </c>
      <c r="E1034" s="64">
        <v>22545</v>
      </c>
      <c r="F1034" s="66">
        <v>22476</v>
      </c>
      <c r="G1034" s="13">
        <f t="shared" si="288"/>
        <v>-69</v>
      </c>
      <c r="H1034" s="13">
        <f t="shared" si="289"/>
        <v>120</v>
      </c>
      <c r="I1034" s="70">
        <f t="shared" si="290"/>
        <v>5.3676865271068408E-3</v>
      </c>
      <c r="J1034" s="70">
        <f t="shared" si="291"/>
        <v>-3.0605455755156052E-3</v>
      </c>
      <c r="K1034" s="82" t="str">
        <f>_xlfn.IFNA(VLOOKUP(CLEAN(SUBSTITUTE(C1034," ","")),Ref_Factory!$A:$B,2,FALSE),CLEAN(SUBSTITUTE(C1034," ","")))</f>
        <v>GM1</v>
      </c>
      <c r="L1034" s="82" t="str">
        <f t="shared" si="292"/>
        <v>AUGUST-1-GM1</v>
      </c>
      <c r="M1034" s="70">
        <f t="shared" si="293"/>
        <v>2.9741522144454247E-2</v>
      </c>
      <c r="N1034" s="70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25">
      <c r="A1035" t="s">
        <v>42</v>
      </c>
      <c r="B1035">
        <v>1</v>
      </c>
      <c r="C1035" t="s">
        <v>70</v>
      </c>
      <c r="D1035" s="66">
        <v>1080</v>
      </c>
      <c r="E1035" s="64">
        <v>1092</v>
      </c>
      <c r="F1035" s="66">
        <v>1083</v>
      </c>
      <c r="G1035" s="13">
        <f t="shared" si="288"/>
        <v>-9</v>
      </c>
      <c r="H1035" s="13">
        <f t="shared" si="289"/>
        <v>3</v>
      </c>
      <c r="I1035" s="70">
        <f t="shared" si="290"/>
        <v>2.7777777777777679E-3</v>
      </c>
      <c r="J1035" s="70">
        <f t="shared" si="291"/>
        <v>-8.2417582417582125E-3</v>
      </c>
      <c r="K1035" s="82" t="str">
        <f>_xlfn.IFNA(VLOOKUP(CLEAN(SUBSTITUTE(C1035," ","")),Ref_Factory!$A:$B,2,FALSE),CLEAN(SUBSTITUTE(C1035," ","")))</f>
        <v>GM1</v>
      </c>
      <c r="L1035" s="82" t="str">
        <f t="shared" si="292"/>
        <v>AUGUST-1-GM1</v>
      </c>
      <c r="M1035" s="70">
        <f t="shared" si="293"/>
        <v>2.9741522144454247E-2</v>
      </c>
      <c r="N1035" s="70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25">
      <c r="A1036" t="s">
        <v>42</v>
      </c>
      <c r="B1036">
        <v>1</v>
      </c>
      <c r="C1036" t="s">
        <v>28</v>
      </c>
      <c r="D1036">
        <v>648</v>
      </c>
      <c r="E1036" s="66">
        <v>648</v>
      </c>
      <c r="F1036" s="66">
        <v>648</v>
      </c>
      <c r="G1036" s="13">
        <f t="shared" si="288"/>
        <v>0</v>
      </c>
      <c r="H1036" s="13">
        <f t="shared" si="289"/>
        <v>0</v>
      </c>
      <c r="I1036" s="70">
        <f t="shared" si="290"/>
        <v>0</v>
      </c>
      <c r="J1036" s="70">
        <f t="shared" si="291"/>
        <v>0</v>
      </c>
      <c r="K1036" s="82" t="str">
        <f>_xlfn.IFNA(VLOOKUP(CLEAN(SUBSTITUTE(C1036," ","")),Ref_Factory!$A:$B,2,FALSE),CLEAN(SUBSTITUTE(C1036," ","")))</f>
        <v>GM2</v>
      </c>
      <c r="L1036" s="82" t="str">
        <f t="shared" si="292"/>
        <v>AUGUST-1-GM2</v>
      </c>
      <c r="M1036" s="70">
        <f t="shared" si="293"/>
        <v>6.6251503360073682E-2</v>
      </c>
      <c r="N1036" s="70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25">
      <c r="A1037" t="s">
        <v>42</v>
      </c>
      <c r="B1037">
        <v>1</v>
      </c>
      <c r="C1037" t="s">
        <v>28</v>
      </c>
      <c r="D1037">
        <v>21816</v>
      </c>
      <c r="E1037" s="66">
        <v>22254</v>
      </c>
      <c r="F1037" s="66">
        <v>22137</v>
      </c>
      <c r="G1037" s="13">
        <f t="shared" si="288"/>
        <v>-117</v>
      </c>
      <c r="H1037" s="13">
        <f t="shared" si="289"/>
        <v>321</v>
      </c>
      <c r="I1037" s="70">
        <f t="shared" si="290"/>
        <v>1.4713971397139813E-2</v>
      </c>
      <c r="J1037" s="70">
        <f t="shared" si="291"/>
        <v>-5.2574818010245883E-3</v>
      </c>
      <c r="K1037" s="82" t="str">
        <f>_xlfn.IFNA(VLOOKUP(CLEAN(SUBSTITUTE(C1037," ","")),Ref_Factory!$A:$B,2,FALSE),CLEAN(SUBSTITUTE(C1037," ","")))</f>
        <v>GM2</v>
      </c>
      <c r="L1037" s="82" t="str">
        <f t="shared" si="292"/>
        <v>AUGUST-1-GM2</v>
      </c>
      <c r="M1037" s="70">
        <f t="shared" si="293"/>
        <v>6.6251503360073682E-2</v>
      </c>
      <c r="N1037" s="70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25">
      <c r="A1038" t="s">
        <v>42</v>
      </c>
      <c r="B1038">
        <v>1</v>
      </c>
      <c r="C1038" t="s">
        <v>28</v>
      </c>
      <c r="D1038">
        <v>540</v>
      </c>
      <c r="E1038" s="66">
        <v>552</v>
      </c>
      <c r="F1038" s="66">
        <v>552</v>
      </c>
      <c r="G1038" s="13">
        <f t="shared" si="288"/>
        <v>0</v>
      </c>
      <c r="H1038" s="13">
        <f t="shared" si="289"/>
        <v>12</v>
      </c>
      <c r="I1038" s="70">
        <f t="shared" si="290"/>
        <v>2.2222222222222143E-2</v>
      </c>
      <c r="J1038" s="70">
        <f t="shared" si="291"/>
        <v>0</v>
      </c>
      <c r="K1038" s="82" t="str">
        <f>_xlfn.IFNA(VLOOKUP(CLEAN(SUBSTITUTE(C1038," ","")),Ref_Factory!$A:$B,2,FALSE),CLEAN(SUBSTITUTE(C1038," ","")))</f>
        <v>GM2</v>
      </c>
      <c r="L1038" s="82" t="str">
        <f t="shared" si="292"/>
        <v>AUGUST-1-GM2</v>
      </c>
      <c r="M1038" s="70">
        <f t="shared" si="293"/>
        <v>6.6251503360073682E-2</v>
      </c>
      <c r="N1038" s="70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25">
      <c r="A1039" t="s">
        <v>42</v>
      </c>
      <c r="B1039">
        <v>1</v>
      </c>
      <c r="C1039" t="s">
        <v>28</v>
      </c>
      <c r="D1039">
        <v>2448</v>
      </c>
      <c r="E1039" s="66">
        <v>2458</v>
      </c>
      <c r="F1039" s="66">
        <v>2440</v>
      </c>
      <c r="G1039" s="13">
        <f t="shared" si="288"/>
        <v>-18</v>
      </c>
      <c r="H1039" s="13">
        <f t="shared" si="289"/>
        <v>-8</v>
      </c>
      <c r="I1039" s="70">
        <f t="shared" si="290"/>
        <v>-3.2679738562091387E-3</v>
      </c>
      <c r="J1039" s="70">
        <f t="shared" si="291"/>
        <v>-7.3230268510984242E-3</v>
      </c>
      <c r="K1039" s="82" t="str">
        <f>_xlfn.IFNA(VLOOKUP(CLEAN(SUBSTITUTE(C1039," ","")),Ref_Factory!$A:$B,2,FALSE),CLEAN(SUBSTITUTE(C1039," ","")))</f>
        <v>GM2</v>
      </c>
      <c r="L1039" s="82" t="str">
        <f t="shared" si="292"/>
        <v>AUGUST-1-GM2</v>
      </c>
      <c r="M1039" s="70">
        <f t="shared" si="293"/>
        <v>6.6251503360073682E-2</v>
      </c>
      <c r="N1039" s="70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25">
      <c r="A1040" t="s">
        <v>42</v>
      </c>
      <c r="B1040">
        <v>1</v>
      </c>
      <c r="C1040" t="s">
        <v>28</v>
      </c>
      <c r="D1040">
        <v>3024</v>
      </c>
      <c r="E1040" s="66">
        <v>3034</v>
      </c>
      <c r="F1040" s="66">
        <v>3024</v>
      </c>
      <c r="G1040" s="13">
        <f t="shared" si="288"/>
        <v>-10</v>
      </c>
      <c r="H1040" s="13">
        <f t="shared" si="289"/>
        <v>0</v>
      </c>
      <c r="I1040" s="70">
        <f t="shared" si="290"/>
        <v>0</v>
      </c>
      <c r="J1040" s="70">
        <f t="shared" si="291"/>
        <v>-3.2959789057349642E-3</v>
      </c>
      <c r="K1040" s="82" t="str">
        <f>_xlfn.IFNA(VLOOKUP(CLEAN(SUBSTITUTE(C1040," ","")),Ref_Factory!$A:$B,2,FALSE),CLEAN(SUBSTITUTE(C1040," ","")))</f>
        <v>GM2</v>
      </c>
      <c r="L1040" s="82" t="str">
        <f t="shared" si="292"/>
        <v>AUGUST-1-GM2</v>
      </c>
      <c r="M1040" s="70">
        <f t="shared" si="293"/>
        <v>6.6251503360073682E-2</v>
      </c>
      <c r="N1040" s="70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25">
      <c r="A1041" t="s">
        <v>42</v>
      </c>
      <c r="B1041">
        <v>1</v>
      </c>
      <c r="C1041" t="s">
        <v>28</v>
      </c>
      <c r="D1041">
        <v>1296</v>
      </c>
      <c r="E1041" s="66">
        <v>1307</v>
      </c>
      <c r="F1041" s="66">
        <v>1296</v>
      </c>
      <c r="G1041" s="13">
        <f t="shared" si="288"/>
        <v>-11</v>
      </c>
      <c r="H1041" s="13">
        <f t="shared" si="289"/>
        <v>0</v>
      </c>
      <c r="I1041" s="70">
        <f t="shared" si="290"/>
        <v>0</v>
      </c>
      <c r="J1041" s="70">
        <f t="shared" si="291"/>
        <v>-8.4162203519509982E-3</v>
      </c>
      <c r="K1041" s="82" t="str">
        <f>_xlfn.IFNA(VLOOKUP(CLEAN(SUBSTITUTE(C1041," ","")),Ref_Factory!$A:$B,2,FALSE),CLEAN(SUBSTITUTE(C1041," ","")))</f>
        <v>GM2</v>
      </c>
      <c r="L1041" s="82" t="str">
        <f t="shared" si="292"/>
        <v>AUGUST-1-GM2</v>
      </c>
      <c r="M1041" s="70">
        <f t="shared" si="293"/>
        <v>6.6251503360073682E-2</v>
      </c>
      <c r="N1041" s="70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25">
      <c r="A1042" t="s">
        <v>42</v>
      </c>
      <c r="B1042">
        <v>1</v>
      </c>
      <c r="C1042" t="s">
        <v>28</v>
      </c>
      <c r="D1042">
        <v>1008</v>
      </c>
      <c r="E1042" s="66">
        <v>1020</v>
      </c>
      <c r="F1042" s="66">
        <v>1008</v>
      </c>
      <c r="G1042" s="13">
        <f t="shared" si="288"/>
        <v>-12</v>
      </c>
      <c r="H1042" s="13">
        <f t="shared" si="289"/>
        <v>0</v>
      </c>
      <c r="I1042" s="70">
        <f t="shared" si="290"/>
        <v>0</v>
      </c>
      <c r="J1042" s="70">
        <f t="shared" si="291"/>
        <v>-1.1764705882352899E-2</v>
      </c>
      <c r="K1042" s="82" t="str">
        <f>_xlfn.IFNA(VLOOKUP(CLEAN(SUBSTITUTE(C1042," ","")),Ref_Factory!$A:$B,2,FALSE),CLEAN(SUBSTITUTE(C1042," ","")))</f>
        <v>GM2</v>
      </c>
      <c r="L1042" s="82" t="str">
        <f t="shared" si="292"/>
        <v>AUGUST-1-GM2</v>
      </c>
      <c r="M1042" s="70">
        <f t="shared" si="293"/>
        <v>6.6251503360073682E-2</v>
      </c>
      <c r="N1042" s="70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25">
      <c r="A1043" t="s">
        <v>42</v>
      </c>
      <c r="B1043">
        <v>1</v>
      </c>
      <c r="C1043" t="s">
        <v>28</v>
      </c>
      <c r="D1043">
        <v>30240</v>
      </c>
      <c r="E1043" s="66">
        <v>30547</v>
      </c>
      <c r="F1043" s="66">
        <v>30450</v>
      </c>
      <c r="G1043" s="13">
        <f t="shared" si="288"/>
        <v>-97</v>
      </c>
      <c r="H1043" s="13">
        <f t="shared" si="289"/>
        <v>210</v>
      </c>
      <c r="I1043" s="70">
        <f t="shared" si="290"/>
        <v>6.9444444444444198E-3</v>
      </c>
      <c r="J1043" s="70">
        <f t="shared" si="291"/>
        <v>-3.175434576226821E-3</v>
      </c>
      <c r="K1043" s="82" t="str">
        <f>_xlfn.IFNA(VLOOKUP(CLEAN(SUBSTITUTE(C1043," ","")),Ref_Factory!$A:$B,2,FALSE),CLEAN(SUBSTITUTE(C1043," ","")))</f>
        <v>GM2</v>
      </c>
      <c r="L1043" s="82" t="str">
        <f t="shared" si="292"/>
        <v>AUGUST-1-GM2</v>
      </c>
      <c r="M1043" s="70">
        <f t="shared" si="293"/>
        <v>6.6251503360073682E-2</v>
      </c>
      <c r="N1043" s="70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25">
      <c r="A1044" t="s">
        <v>42</v>
      </c>
      <c r="B1044">
        <v>1</v>
      </c>
      <c r="C1044" t="s">
        <v>28</v>
      </c>
      <c r="D1044">
        <v>4212</v>
      </c>
      <c r="E1044" s="66">
        <v>4275</v>
      </c>
      <c r="F1044" s="66">
        <v>4194</v>
      </c>
      <c r="G1044" s="13">
        <f t="shared" si="288"/>
        <v>-81</v>
      </c>
      <c r="H1044" s="13">
        <f t="shared" si="289"/>
        <v>-18</v>
      </c>
      <c r="I1044" s="70">
        <f t="shared" si="290"/>
        <v>-4.2735042735042583E-3</v>
      </c>
      <c r="J1044" s="70">
        <f t="shared" si="291"/>
        <v>-1.8947368421052602E-2</v>
      </c>
      <c r="K1044" s="82" t="str">
        <f>_xlfn.IFNA(VLOOKUP(CLEAN(SUBSTITUTE(C1044," ","")),Ref_Factory!$A:$B,2,FALSE),CLEAN(SUBSTITUTE(C1044," ","")))</f>
        <v>GM2</v>
      </c>
      <c r="L1044" s="82" t="str">
        <f t="shared" si="292"/>
        <v>AUGUST-1-GM2</v>
      </c>
      <c r="M1044" s="70">
        <f t="shared" si="293"/>
        <v>6.6251503360073682E-2</v>
      </c>
      <c r="N1044" s="70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25">
      <c r="A1045" t="s">
        <v>42</v>
      </c>
      <c r="B1045">
        <v>1</v>
      </c>
      <c r="C1045" t="s">
        <v>28</v>
      </c>
      <c r="D1045">
        <v>21600</v>
      </c>
      <c r="E1045" s="66">
        <v>21811</v>
      </c>
      <c r="F1045" s="66">
        <v>21420</v>
      </c>
      <c r="G1045" s="13">
        <f t="shared" si="288"/>
        <v>-391</v>
      </c>
      <c r="H1045" s="13">
        <f t="shared" si="289"/>
        <v>-180</v>
      </c>
      <c r="I1045" s="70">
        <f t="shared" si="290"/>
        <v>-8.3333333333333037E-3</v>
      </c>
      <c r="J1045" s="70">
        <f t="shared" si="291"/>
        <v>-1.7926734216679674E-2</v>
      </c>
      <c r="K1045" s="82" t="str">
        <f>_xlfn.IFNA(VLOOKUP(CLEAN(SUBSTITUTE(C1045," ","")),Ref_Factory!$A:$B,2,FALSE),CLEAN(SUBSTITUTE(C1045," ","")))</f>
        <v>GM2</v>
      </c>
      <c r="L1045" s="82" t="str">
        <f t="shared" si="292"/>
        <v>AUGUST-1-GM2</v>
      </c>
      <c r="M1045" s="70">
        <f t="shared" si="293"/>
        <v>6.6251503360073682E-2</v>
      </c>
      <c r="N1045" s="70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25">
      <c r="A1046" t="s">
        <v>42</v>
      </c>
      <c r="B1046">
        <v>1</v>
      </c>
      <c r="C1046" t="s">
        <v>28</v>
      </c>
      <c r="D1046">
        <v>12420</v>
      </c>
      <c r="E1046" s="66">
        <v>12563</v>
      </c>
      <c r="F1046" s="66">
        <v>12399</v>
      </c>
      <c r="G1046" s="13">
        <f t="shared" si="288"/>
        <v>-164</v>
      </c>
      <c r="H1046" s="13">
        <f t="shared" si="289"/>
        <v>-21</v>
      </c>
      <c r="I1046" s="70">
        <f t="shared" si="290"/>
        <v>-1.6908212560386993E-3</v>
      </c>
      <c r="J1046" s="70">
        <f t="shared" si="291"/>
        <v>-1.3054206797739387E-2</v>
      </c>
      <c r="K1046" s="82" t="str">
        <f>_xlfn.IFNA(VLOOKUP(CLEAN(SUBSTITUTE(C1046," ","")),Ref_Factory!$A:$B,2,FALSE),CLEAN(SUBSTITUTE(C1046," ","")))</f>
        <v>GM2</v>
      </c>
      <c r="L1046" s="82" t="str">
        <f t="shared" si="292"/>
        <v>AUGUST-1-GM2</v>
      </c>
      <c r="M1046" s="70">
        <f t="shared" si="293"/>
        <v>6.6251503360073682E-2</v>
      </c>
      <c r="N1046" s="70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25">
      <c r="A1047" t="s">
        <v>42</v>
      </c>
      <c r="B1047">
        <v>1</v>
      </c>
      <c r="C1047" t="s">
        <v>28</v>
      </c>
      <c r="D1047">
        <v>1080</v>
      </c>
      <c r="E1047" s="66">
        <v>1091</v>
      </c>
      <c r="F1047" s="66">
        <v>1089</v>
      </c>
      <c r="G1047" s="13">
        <f t="shared" si="288"/>
        <v>-2</v>
      </c>
      <c r="H1047" s="13">
        <f t="shared" si="289"/>
        <v>9</v>
      </c>
      <c r="I1047" s="70">
        <f t="shared" si="290"/>
        <v>8.3333333333333037E-3</v>
      </c>
      <c r="J1047" s="70">
        <f t="shared" si="291"/>
        <v>-1.8331805682859637E-3</v>
      </c>
      <c r="K1047" s="82" t="str">
        <f>_xlfn.IFNA(VLOOKUP(CLEAN(SUBSTITUTE(C1047," ","")),Ref_Factory!$A:$B,2,FALSE),CLEAN(SUBSTITUTE(C1047," ","")))</f>
        <v>GM2</v>
      </c>
      <c r="L1047" s="82" t="str">
        <f t="shared" si="292"/>
        <v>AUGUST-1-GM2</v>
      </c>
      <c r="M1047" s="70">
        <f t="shared" si="293"/>
        <v>6.6251503360073682E-2</v>
      </c>
      <c r="N1047" s="70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25">
      <c r="A1048" t="s">
        <v>42</v>
      </c>
      <c r="B1048">
        <v>1</v>
      </c>
      <c r="C1048" t="s">
        <v>28</v>
      </c>
      <c r="D1048">
        <v>2952</v>
      </c>
      <c r="E1048" s="66">
        <v>2955</v>
      </c>
      <c r="F1048" s="66">
        <v>2949</v>
      </c>
      <c r="G1048" s="13">
        <f t="shared" si="288"/>
        <v>-6</v>
      </c>
      <c r="H1048" s="13">
        <f t="shared" si="289"/>
        <v>-3</v>
      </c>
      <c r="I1048" s="70">
        <f t="shared" si="290"/>
        <v>-1.0162601626015899E-3</v>
      </c>
      <c r="J1048" s="70">
        <f t="shared" si="291"/>
        <v>-2.0304568527919065E-3</v>
      </c>
      <c r="K1048" s="82" t="str">
        <f>_xlfn.IFNA(VLOOKUP(CLEAN(SUBSTITUTE(C1048," ","")),Ref_Factory!$A:$B,2,FALSE),CLEAN(SUBSTITUTE(C1048," ","")))</f>
        <v>GM2</v>
      </c>
      <c r="L1048" s="82" t="str">
        <f t="shared" si="292"/>
        <v>AUGUST-1-GM2</v>
      </c>
      <c r="M1048" s="70">
        <f t="shared" si="293"/>
        <v>6.6251503360073682E-2</v>
      </c>
      <c r="N1048" s="70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25">
      <c r="A1049" t="s">
        <v>42</v>
      </c>
      <c r="B1049">
        <v>1</v>
      </c>
      <c r="C1049" t="s">
        <v>28</v>
      </c>
      <c r="D1049">
        <v>1800</v>
      </c>
      <c r="E1049" s="66">
        <v>1803</v>
      </c>
      <c r="F1049" s="66">
        <v>1798</v>
      </c>
      <c r="G1049" s="13">
        <f t="shared" si="288"/>
        <v>-5</v>
      </c>
      <c r="H1049" s="13">
        <f t="shared" si="289"/>
        <v>-2</v>
      </c>
      <c r="I1049" s="70">
        <f t="shared" si="290"/>
        <v>-1.1111111111110628E-3</v>
      </c>
      <c r="J1049" s="70">
        <f t="shared" si="291"/>
        <v>-2.7731558513588439E-3</v>
      </c>
      <c r="K1049" s="82" t="str">
        <f>_xlfn.IFNA(VLOOKUP(CLEAN(SUBSTITUTE(C1049," ","")),Ref_Factory!$A:$B,2,FALSE),CLEAN(SUBSTITUTE(C1049," ","")))</f>
        <v>GM2</v>
      </c>
      <c r="L1049" s="82" t="str">
        <f t="shared" si="292"/>
        <v>AUGUST-1-GM2</v>
      </c>
      <c r="M1049" s="70">
        <f t="shared" si="293"/>
        <v>6.6251503360073682E-2</v>
      </c>
      <c r="N1049" s="70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25">
      <c r="A1050" t="s">
        <v>42</v>
      </c>
      <c r="B1050">
        <v>1</v>
      </c>
      <c r="C1050" t="s">
        <v>28</v>
      </c>
      <c r="D1050">
        <v>2484</v>
      </c>
      <c r="E1050" s="66">
        <v>2484</v>
      </c>
      <c r="F1050" s="66">
        <v>2469</v>
      </c>
      <c r="G1050" s="13">
        <f t="shared" si="288"/>
        <v>-15</v>
      </c>
      <c r="H1050" s="13">
        <f t="shared" si="289"/>
        <v>-15</v>
      </c>
      <c r="I1050" s="70">
        <f t="shared" si="290"/>
        <v>-6.0386473429951959E-3</v>
      </c>
      <c r="J1050" s="70">
        <f t="shared" si="291"/>
        <v>-6.0386473429951959E-3</v>
      </c>
      <c r="K1050" s="82" t="str">
        <f>_xlfn.IFNA(VLOOKUP(CLEAN(SUBSTITUTE(C1050," ","")),Ref_Factory!$A:$B,2,FALSE),CLEAN(SUBSTITUTE(C1050," ","")))</f>
        <v>GM2</v>
      </c>
      <c r="L1050" s="82" t="str">
        <f t="shared" si="292"/>
        <v>AUGUST-1-GM2</v>
      </c>
      <c r="M1050" s="70">
        <f t="shared" si="293"/>
        <v>6.6251503360073682E-2</v>
      </c>
      <c r="N1050" s="70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25">
      <c r="A1051" t="s">
        <v>42</v>
      </c>
      <c r="B1051">
        <v>1</v>
      </c>
      <c r="C1051" t="s">
        <v>28</v>
      </c>
      <c r="D1051">
        <v>1224</v>
      </c>
      <c r="E1051" s="66">
        <v>1225</v>
      </c>
      <c r="F1051" s="66">
        <v>1224</v>
      </c>
      <c r="G1051" s="13">
        <f t="shared" si="288"/>
        <v>-1</v>
      </c>
      <c r="H1051" s="13">
        <f t="shared" si="289"/>
        <v>0</v>
      </c>
      <c r="I1051" s="70">
        <f t="shared" si="290"/>
        <v>0</v>
      </c>
      <c r="J1051" s="70">
        <f t="shared" si="291"/>
        <v>-8.1632653061225469E-4</v>
      </c>
      <c r="K1051" s="82" t="str">
        <f>_xlfn.IFNA(VLOOKUP(CLEAN(SUBSTITUTE(C1051," ","")),Ref_Factory!$A:$B,2,FALSE),CLEAN(SUBSTITUTE(C1051," ","")))</f>
        <v>GM2</v>
      </c>
      <c r="L1051" s="82" t="str">
        <f t="shared" si="292"/>
        <v>AUGUST-1-GM2</v>
      </c>
      <c r="M1051" s="70">
        <f t="shared" si="293"/>
        <v>6.6251503360073682E-2</v>
      </c>
      <c r="N1051" s="70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25">
      <c r="A1052" t="s">
        <v>42</v>
      </c>
      <c r="B1052">
        <v>1</v>
      </c>
      <c r="C1052" t="s">
        <v>28</v>
      </c>
      <c r="D1052">
        <v>11232</v>
      </c>
      <c r="E1052" s="66">
        <v>11241</v>
      </c>
      <c r="F1052" s="66">
        <v>11232</v>
      </c>
      <c r="G1052" s="13">
        <f t="shared" si="288"/>
        <v>-9</v>
      </c>
      <c r="H1052" s="13">
        <f t="shared" si="289"/>
        <v>0</v>
      </c>
      <c r="I1052" s="70">
        <f t="shared" si="290"/>
        <v>0</v>
      </c>
      <c r="J1052" s="70">
        <f t="shared" si="291"/>
        <v>-8.0064051240991141E-4</v>
      </c>
      <c r="K1052" s="82" t="str">
        <f>_xlfn.IFNA(VLOOKUP(CLEAN(SUBSTITUTE(C1052," ","")),Ref_Factory!$A:$B,2,FALSE),CLEAN(SUBSTITUTE(C1052," ","")))</f>
        <v>GM2</v>
      </c>
      <c r="L1052" s="82" t="str">
        <f t="shared" si="292"/>
        <v>AUGUST-1-GM2</v>
      </c>
      <c r="M1052" s="70">
        <f t="shared" si="293"/>
        <v>6.6251503360073682E-2</v>
      </c>
      <c r="N1052" s="70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25">
      <c r="A1053" t="s">
        <v>42</v>
      </c>
      <c r="B1053">
        <v>1</v>
      </c>
      <c r="C1053" t="s">
        <v>28</v>
      </c>
      <c r="D1053">
        <v>3672</v>
      </c>
      <c r="E1053" s="66">
        <v>3681</v>
      </c>
      <c r="F1053" s="66">
        <v>3648</v>
      </c>
      <c r="G1053" s="13">
        <f t="shared" si="288"/>
        <v>-33</v>
      </c>
      <c r="H1053" s="13">
        <f t="shared" si="289"/>
        <v>-24</v>
      </c>
      <c r="I1053" s="70">
        <f t="shared" si="290"/>
        <v>-6.5359477124182774E-3</v>
      </c>
      <c r="J1053" s="70">
        <f t="shared" si="291"/>
        <v>-8.9649551752241097E-3</v>
      </c>
      <c r="K1053" s="82" t="str">
        <f>_xlfn.IFNA(VLOOKUP(CLEAN(SUBSTITUTE(C1053," ","")),Ref_Factory!$A:$B,2,FALSE),CLEAN(SUBSTITUTE(C1053," ","")))</f>
        <v>GM2</v>
      </c>
      <c r="L1053" s="82" t="str">
        <f t="shared" si="292"/>
        <v>AUGUST-1-GM2</v>
      </c>
      <c r="M1053" s="70">
        <f t="shared" si="293"/>
        <v>6.6251503360073682E-2</v>
      </c>
      <c r="N1053" s="70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25">
      <c r="A1054" t="s">
        <v>42</v>
      </c>
      <c r="B1054">
        <v>1</v>
      </c>
      <c r="C1054" t="s">
        <v>28</v>
      </c>
      <c r="D1054">
        <v>4968</v>
      </c>
      <c r="E1054" s="66">
        <v>4977</v>
      </c>
      <c r="F1054" s="66">
        <v>4926</v>
      </c>
      <c r="G1054" s="13">
        <f t="shared" si="288"/>
        <v>-51</v>
      </c>
      <c r="H1054" s="13">
        <f t="shared" si="289"/>
        <v>-42</v>
      </c>
      <c r="I1054" s="70">
        <f t="shared" si="290"/>
        <v>-8.4541062801932743E-3</v>
      </c>
      <c r="J1054" s="70">
        <f t="shared" si="291"/>
        <v>-1.024713682941536E-2</v>
      </c>
      <c r="K1054" s="82" t="str">
        <f>_xlfn.IFNA(VLOOKUP(CLEAN(SUBSTITUTE(C1054," ","")),Ref_Factory!$A:$B,2,FALSE),CLEAN(SUBSTITUTE(C1054," ","")))</f>
        <v>GM2</v>
      </c>
      <c r="L1054" s="82" t="str">
        <f t="shared" si="292"/>
        <v>AUGUST-1-GM2</v>
      </c>
      <c r="M1054" s="70">
        <f t="shared" si="293"/>
        <v>6.6251503360073682E-2</v>
      </c>
      <c r="N1054" s="70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25">
      <c r="A1055" t="s">
        <v>42</v>
      </c>
      <c r="B1055">
        <v>1</v>
      </c>
      <c r="C1055" t="s">
        <v>28</v>
      </c>
      <c r="D1055">
        <v>1188</v>
      </c>
      <c r="E1055" s="66">
        <v>1188</v>
      </c>
      <c r="F1055" s="66">
        <v>1188</v>
      </c>
      <c r="G1055" s="13">
        <f t="shared" si="288"/>
        <v>0</v>
      </c>
      <c r="H1055" s="13">
        <f t="shared" si="289"/>
        <v>0</v>
      </c>
      <c r="I1055" s="70">
        <f t="shared" si="290"/>
        <v>0</v>
      </c>
      <c r="J1055" s="70">
        <f t="shared" si="291"/>
        <v>0</v>
      </c>
      <c r="K1055" s="82" t="str">
        <f>_xlfn.IFNA(VLOOKUP(CLEAN(SUBSTITUTE(C1055," ","")),Ref_Factory!$A:$B,2,FALSE),CLEAN(SUBSTITUTE(C1055," ","")))</f>
        <v>GM2</v>
      </c>
      <c r="L1055" s="82" t="str">
        <f t="shared" si="292"/>
        <v>AUGUST-1-GM2</v>
      </c>
      <c r="M1055" s="70">
        <f t="shared" si="293"/>
        <v>6.6251503360073682E-2</v>
      </c>
      <c r="N1055" s="70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25">
      <c r="A1056" t="s">
        <v>42</v>
      </c>
      <c r="B1056">
        <v>1</v>
      </c>
      <c r="C1056" t="s">
        <v>28</v>
      </c>
      <c r="D1056">
        <v>4536</v>
      </c>
      <c r="E1056" s="66">
        <v>4545</v>
      </c>
      <c r="F1056" s="66">
        <v>4536</v>
      </c>
      <c r="G1056" s="13">
        <f t="shared" si="288"/>
        <v>-9</v>
      </c>
      <c r="H1056" s="13">
        <f t="shared" si="289"/>
        <v>0</v>
      </c>
      <c r="I1056" s="70">
        <f t="shared" si="290"/>
        <v>0</v>
      </c>
      <c r="J1056" s="70">
        <f t="shared" si="291"/>
        <v>-1.980198019801982E-3</v>
      </c>
      <c r="K1056" s="82" t="str">
        <f>_xlfn.IFNA(VLOOKUP(CLEAN(SUBSTITUTE(C1056," ","")),Ref_Factory!$A:$B,2,FALSE),CLEAN(SUBSTITUTE(C1056," ","")))</f>
        <v>GM2</v>
      </c>
      <c r="L1056" s="82" t="str">
        <f t="shared" si="292"/>
        <v>AUGUST-1-GM2</v>
      </c>
      <c r="M1056" s="70">
        <f t="shared" si="293"/>
        <v>6.6251503360073682E-2</v>
      </c>
      <c r="N1056" s="70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25">
      <c r="A1057" t="s">
        <v>42</v>
      </c>
      <c r="B1057">
        <v>1</v>
      </c>
      <c r="C1057" t="s">
        <v>28</v>
      </c>
      <c r="D1057">
        <v>2052</v>
      </c>
      <c r="E1057" s="66">
        <v>2052</v>
      </c>
      <c r="F1057" s="66">
        <v>2052</v>
      </c>
      <c r="G1057" s="13">
        <f t="shared" si="288"/>
        <v>0</v>
      </c>
      <c r="H1057" s="13">
        <f t="shared" si="289"/>
        <v>0</v>
      </c>
      <c r="I1057" s="70">
        <f t="shared" si="290"/>
        <v>0</v>
      </c>
      <c r="J1057" s="70">
        <f t="shared" si="291"/>
        <v>0</v>
      </c>
      <c r="K1057" s="82" t="str">
        <f>_xlfn.IFNA(VLOOKUP(CLEAN(SUBSTITUTE(C1057," ","")),Ref_Factory!$A:$B,2,FALSE),CLEAN(SUBSTITUTE(C1057," ","")))</f>
        <v>GM2</v>
      </c>
      <c r="L1057" s="82" t="str">
        <f t="shared" si="292"/>
        <v>AUGUST-1-GM2</v>
      </c>
      <c r="M1057" s="70">
        <f t="shared" si="293"/>
        <v>6.6251503360073682E-2</v>
      </c>
      <c r="N1057" s="70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25">
      <c r="A1058" t="s">
        <v>42</v>
      </c>
      <c r="B1058">
        <v>1</v>
      </c>
      <c r="C1058" t="s">
        <v>28</v>
      </c>
      <c r="D1058">
        <v>14040</v>
      </c>
      <c r="E1058" s="66">
        <v>14045</v>
      </c>
      <c r="F1058" s="66">
        <v>13953</v>
      </c>
      <c r="G1058" s="13">
        <f t="shared" si="288"/>
        <v>-92</v>
      </c>
      <c r="H1058" s="13">
        <f t="shared" si="289"/>
        <v>-87</v>
      </c>
      <c r="I1058" s="70">
        <f t="shared" si="290"/>
        <v>-6.1965811965811746E-3</v>
      </c>
      <c r="J1058" s="70">
        <f t="shared" si="291"/>
        <v>-6.5503737985047605E-3</v>
      </c>
      <c r="K1058" s="82" t="str">
        <f>_xlfn.IFNA(VLOOKUP(CLEAN(SUBSTITUTE(C1058," ","")),Ref_Factory!$A:$B,2,FALSE),CLEAN(SUBSTITUTE(C1058," ","")))</f>
        <v>GM2</v>
      </c>
      <c r="L1058" s="82" t="str">
        <f t="shared" si="292"/>
        <v>AUGUST-1-GM2</v>
      </c>
      <c r="M1058" s="70">
        <f t="shared" si="293"/>
        <v>6.6251503360073682E-2</v>
      </c>
      <c r="N1058" s="70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25">
      <c r="A1059" t="s">
        <v>42</v>
      </c>
      <c r="B1059">
        <v>1</v>
      </c>
      <c r="C1059" t="s">
        <v>28</v>
      </c>
      <c r="D1059">
        <v>5184</v>
      </c>
      <c r="E1059" s="66">
        <v>5194</v>
      </c>
      <c r="F1059" s="66">
        <v>5184</v>
      </c>
      <c r="G1059" s="13">
        <f t="shared" si="288"/>
        <v>-10</v>
      </c>
      <c r="H1059" s="13">
        <f t="shared" si="289"/>
        <v>0</v>
      </c>
      <c r="I1059" s="70">
        <f t="shared" si="290"/>
        <v>0</v>
      </c>
      <c r="J1059" s="70">
        <f t="shared" si="291"/>
        <v>-1.9252984212553281E-3</v>
      </c>
      <c r="K1059" s="82" t="str">
        <f>_xlfn.IFNA(VLOOKUP(CLEAN(SUBSTITUTE(C1059," ","")),Ref_Factory!$A:$B,2,FALSE),CLEAN(SUBSTITUTE(C1059," ","")))</f>
        <v>GM2</v>
      </c>
      <c r="L1059" s="82" t="str">
        <f t="shared" si="292"/>
        <v>AUGUST-1-GM2</v>
      </c>
      <c r="M1059" s="70">
        <f t="shared" si="293"/>
        <v>6.6251503360073682E-2</v>
      </c>
      <c r="N1059" s="70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25">
      <c r="A1060" t="s">
        <v>42</v>
      </c>
      <c r="B1060">
        <v>1</v>
      </c>
      <c r="C1060" t="s">
        <v>28</v>
      </c>
      <c r="D1060">
        <v>4608</v>
      </c>
      <c r="E1060" s="66">
        <v>4619</v>
      </c>
      <c r="F1060" s="66">
        <v>4608</v>
      </c>
      <c r="G1060" s="13">
        <f t="shared" si="288"/>
        <v>-11</v>
      </c>
      <c r="H1060" s="13">
        <f t="shared" si="289"/>
        <v>0</v>
      </c>
      <c r="I1060" s="70">
        <f t="shared" si="290"/>
        <v>0</v>
      </c>
      <c r="J1060" s="70">
        <f t="shared" si="291"/>
        <v>-2.3814678501840048E-3</v>
      </c>
      <c r="K1060" s="82" t="str">
        <f>_xlfn.IFNA(VLOOKUP(CLEAN(SUBSTITUTE(C1060," ","")),Ref_Factory!$A:$B,2,FALSE),CLEAN(SUBSTITUTE(C1060," ","")))</f>
        <v>GM2</v>
      </c>
      <c r="L1060" s="82" t="str">
        <f t="shared" si="292"/>
        <v>AUGUST-1-GM2</v>
      </c>
      <c r="M1060" s="70">
        <f t="shared" si="293"/>
        <v>6.6251503360073682E-2</v>
      </c>
      <c r="N1060" s="70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25">
      <c r="A1061" t="s">
        <v>42</v>
      </c>
      <c r="B1061">
        <v>1</v>
      </c>
      <c r="C1061" t="s">
        <v>28</v>
      </c>
      <c r="D1061">
        <v>12528</v>
      </c>
      <c r="E1061" s="66">
        <v>12537</v>
      </c>
      <c r="F1061" s="66">
        <v>12528</v>
      </c>
      <c r="G1061" s="13">
        <f t="shared" si="288"/>
        <v>-9</v>
      </c>
      <c r="H1061" s="13">
        <f t="shared" si="289"/>
        <v>0</v>
      </c>
      <c r="I1061" s="70">
        <f t="shared" si="290"/>
        <v>0</v>
      </c>
      <c r="J1061" s="70">
        <f t="shared" si="291"/>
        <v>-7.1787508973442105E-4</v>
      </c>
      <c r="K1061" s="82" t="str">
        <f>_xlfn.IFNA(VLOOKUP(CLEAN(SUBSTITUTE(C1061," ","")),Ref_Factory!$A:$B,2,FALSE),CLEAN(SUBSTITUTE(C1061," ","")))</f>
        <v>GM2</v>
      </c>
      <c r="L1061" s="82" t="str">
        <f t="shared" si="292"/>
        <v>AUGUST-1-GM2</v>
      </c>
      <c r="M1061" s="70">
        <f t="shared" si="293"/>
        <v>6.6251503360073682E-2</v>
      </c>
      <c r="N1061" s="70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25">
      <c r="A1062" t="s">
        <v>42</v>
      </c>
      <c r="B1062">
        <v>1</v>
      </c>
      <c r="C1062" t="s">
        <v>28</v>
      </c>
      <c r="D1062">
        <v>12240</v>
      </c>
      <c r="E1062" s="66">
        <v>12255</v>
      </c>
      <c r="F1062" s="66">
        <v>12240</v>
      </c>
      <c r="G1062" s="13">
        <f t="shared" si="288"/>
        <v>-15</v>
      </c>
      <c r="H1062" s="13">
        <f t="shared" si="289"/>
        <v>0</v>
      </c>
      <c r="I1062" s="70">
        <f t="shared" si="290"/>
        <v>0</v>
      </c>
      <c r="J1062" s="70">
        <f t="shared" si="291"/>
        <v>-1.223990208078285E-3</v>
      </c>
      <c r="K1062" s="82" t="str">
        <f>_xlfn.IFNA(VLOOKUP(CLEAN(SUBSTITUTE(C1062," ","")),Ref_Factory!$A:$B,2,FALSE),CLEAN(SUBSTITUTE(C1062," ","")))</f>
        <v>GM2</v>
      </c>
      <c r="L1062" s="82" t="str">
        <f t="shared" si="292"/>
        <v>AUGUST-1-GM2</v>
      </c>
      <c r="M1062" s="70">
        <f t="shared" si="293"/>
        <v>6.6251503360073682E-2</v>
      </c>
      <c r="N1062" s="70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25">
      <c r="A1063" t="s">
        <v>42</v>
      </c>
      <c r="B1063">
        <v>1</v>
      </c>
      <c r="C1063" t="s">
        <v>28</v>
      </c>
      <c r="D1063" s="66">
        <v>9648</v>
      </c>
      <c r="E1063" s="66">
        <v>9666</v>
      </c>
      <c r="F1063" s="66">
        <v>9648</v>
      </c>
      <c r="G1063" s="13">
        <f t="shared" si="288"/>
        <v>-18</v>
      </c>
      <c r="H1063" s="13">
        <f t="shared" si="289"/>
        <v>0</v>
      </c>
      <c r="I1063" s="70">
        <f t="shared" si="290"/>
        <v>0</v>
      </c>
      <c r="J1063" s="70">
        <f t="shared" si="291"/>
        <v>-1.8621973929237035E-3</v>
      </c>
      <c r="K1063" s="82" t="str">
        <f>_xlfn.IFNA(VLOOKUP(CLEAN(SUBSTITUTE(C1063," ","")),Ref_Factory!$A:$B,2,FALSE),CLEAN(SUBSTITUTE(C1063," ","")))</f>
        <v>GM2</v>
      </c>
      <c r="L1063" s="82" t="str">
        <f t="shared" si="292"/>
        <v>AUGUST-1-GM2</v>
      </c>
      <c r="M1063" s="70">
        <f t="shared" si="293"/>
        <v>6.6251503360073682E-2</v>
      </c>
      <c r="N1063" s="70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25">
      <c r="A1064" t="s">
        <v>42</v>
      </c>
      <c r="B1064">
        <v>1</v>
      </c>
      <c r="C1064" t="s">
        <v>28</v>
      </c>
      <c r="D1064">
        <v>17856</v>
      </c>
      <c r="E1064" s="66">
        <v>17864</v>
      </c>
      <c r="F1064" s="66">
        <v>17672</v>
      </c>
      <c r="G1064" s="13">
        <f t="shared" si="288"/>
        <v>-192</v>
      </c>
      <c r="H1064" s="13">
        <f t="shared" si="289"/>
        <v>-184</v>
      </c>
      <c r="I1064" s="70">
        <f t="shared" si="290"/>
        <v>-1.0304659498207913E-2</v>
      </c>
      <c r="J1064" s="70">
        <f t="shared" si="291"/>
        <v>-1.0747872816838311E-2</v>
      </c>
      <c r="K1064" s="82" t="str">
        <f>_xlfn.IFNA(VLOOKUP(CLEAN(SUBSTITUTE(C1064," ","")),Ref_Factory!$A:$B,2,FALSE),CLEAN(SUBSTITUTE(C1064," ","")))</f>
        <v>GM2</v>
      </c>
      <c r="L1064" s="82" t="str">
        <f t="shared" si="292"/>
        <v>AUGUST-1-GM2</v>
      </c>
      <c r="M1064" s="70">
        <f t="shared" si="293"/>
        <v>6.6251503360073682E-2</v>
      </c>
      <c r="N1064" s="70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25">
      <c r="A1065" t="s">
        <v>42</v>
      </c>
      <c r="B1065">
        <v>1</v>
      </c>
      <c r="C1065" t="s">
        <v>28</v>
      </c>
      <c r="D1065">
        <v>8640</v>
      </c>
      <c r="E1065" s="66">
        <v>8640</v>
      </c>
      <c r="F1065" s="66">
        <v>8628</v>
      </c>
      <c r="G1065" s="13">
        <f t="shared" si="288"/>
        <v>-12</v>
      </c>
      <c r="H1065" s="13">
        <f t="shared" si="289"/>
        <v>-12</v>
      </c>
      <c r="I1065" s="70">
        <f t="shared" si="290"/>
        <v>-1.388888888888884E-3</v>
      </c>
      <c r="J1065" s="70">
        <f t="shared" si="291"/>
        <v>-1.388888888888884E-3</v>
      </c>
      <c r="K1065" s="82" t="str">
        <f>_xlfn.IFNA(VLOOKUP(CLEAN(SUBSTITUTE(C1065," ","")),Ref_Factory!$A:$B,2,FALSE),CLEAN(SUBSTITUTE(C1065," ","")))</f>
        <v>GM2</v>
      </c>
      <c r="L1065" s="82" t="str">
        <f t="shared" si="292"/>
        <v>AUGUST-1-GM2</v>
      </c>
      <c r="M1065" s="70">
        <f t="shared" si="293"/>
        <v>6.6251503360073682E-2</v>
      </c>
      <c r="N1065" s="70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25">
      <c r="A1066" t="s">
        <v>42</v>
      </c>
      <c r="B1066">
        <v>1</v>
      </c>
      <c r="C1066" t="s">
        <v>28</v>
      </c>
      <c r="D1066">
        <v>8784</v>
      </c>
      <c r="E1066" s="66">
        <v>8796</v>
      </c>
      <c r="F1066" s="66">
        <v>8784</v>
      </c>
      <c r="G1066" s="13">
        <f t="shared" si="288"/>
        <v>-12</v>
      </c>
      <c r="H1066" s="13">
        <f t="shared" si="289"/>
        <v>0</v>
      </c>
      <c r="I1066" s="70">
        <f t="shared" si="290"/>
        <v>0</v>
      </c>
      <c r="J1066" s="70">
        <f t="shared" si="291"/>
        <v>-1.3642564802183177E-3</v>
      </c>
      <c r="K1066" s="82" t="str">
        <f>_xlfn.IFNA(VLOOKUP(CLEAN(SUBSTITUTE(C1066," ","")),Ref_Factory!$A:$B,2,FALSE),CLEAN(SUBSTITUTE(C1066," ","")))</f>
        <v>GM2</v>
      </c>
      <c r="L1066" s="82" t="str">
        <f t="shared" si="292"/>
        <v>AUGUST-1-GM2</v>
      </c>
      <c r="M1066" s="70">
        <f t="shared" si="293"/>
        <v>6.6251503360073682E-2</v>
      </c>
      <c r="N1066" s="70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25">
      <c r="A1067" t="s">
        <v>42</v>
      </c>
      <c r="B1067">
        <v>1</v>
      </c>
      <c r="C1067" t="s">
        <v>28</v>
      </c>
      <c r="D1067">
        <v>4320</v>
      </c>
      <c r="E1067" s="66">
        <v>4375</v>
      </c>
      <c r="F1067" s="66">
        <v>4368</v>
      </c>
      <c r="G1067" s="13">
        <f t="shared" si="288"/>
        <v>-7</v>
      </c>
      <c r="H1067" s="13">
        <f t="shared" si="289"/>
        <v>48</v>
      </c>
      <c r="I1067" s="70">
        <f t="shared" si="290"/>
        <v>1.1111111111111072E-2</v>
      </c>
      <c r="J1067" s="70">
        <f t="shared" si="291"/>
        <v>-1.6000000000000458E-3</v>
      </c>
      <c r="K1067" s="82" t="str">
        <f>_xlfn.IFNA(VLOOKUP(CLEAN(SUBSTITUTE(C1067," ","")),Ref_Factory!$A:$B,2,FALSE),CLEAN(SUBSTITUTE(C1067," ","")))</f>
        <v>GM2</v>
      </c>
      <c r="L1067" s="82" t="str">
        <f t="shared" si="292"/>
        <v>AUGUST-1-GM2</v>
      </c>
      <c r="M1067" s="70">
        <f t="shared" si="293"/>
        <v>6.6251503360073682E-2</v>
      </c>
      <c r="N1067" s="70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25">
      <c r="A1068" t="s">
        <v>42</v>
      </c>
      <c r="B1068">
        <v>1</v>
      </c>
      <c r="C1068" t="s">
        <v>28</v>
      </c>
      <c r="D1068">
        <v>540</v>
      </c>
      <c r="E1068" s="66">
        <v>547</v>
      </c>
      <c r="F1068" s="66">
        <v>546</v>
      </c>
      <c r="G1068" s="13">
        <f t="shared" si="288"/>
        <v>-1</v>
      </c>
      <c r="H1068" s="13">
        <f t="shared" si="289"/>
        <v>6</v>
      </c>
      <c r="I1068" s="70">
        <f t="shared" si="290"/>
        <v>1.1111111111111072E-2</v>
      </c>
      <c r="J1068" s="70">
        <f t="shared" si="291"/>
        <v>-1.8281535648994041E-3</v>
      </c>
      <c r="K1068" s="82" t="str">
        <f>_xlfn.IFNA(VLOOKUP(CLEAN(SUBSTITUTE(C1068," ","")),Ref_Factory!$A:$B,2,FALSE),CLEAN(SUBSTITUTE(C1068," ","")))</f>
        <v>GM2</v>
      </c>
      <c r="L1068" s="82" t="str">
        <f t="shared" si="292"/>
        <v>AUGUST-1-GM2</v>
      </c>
      <c r="M1068" s="70">
        <f t="shared" si="293"/>
        <v>6.6251503360073682E-2</v>
      </c>
      <c r="N1068" s="70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25">
      <c r="A1069" t="s">
        <v>42</v>
      </c>
      <c r="B1069">
        <v>1</v>
      </c>
      <c r="C1069" t="s">
        <v>28</v>
      </c>
      <c r="D1069">
        <v>23436</v>
      </c>
      <c r="E1069" s="66">
        <v>23688</v>
      </c>
      <c r="F1069" s="66">
        <v>23631</v>
      </c>
      <c r="G1069" s="13">
        <f t="shared" si="288"/>
        <v>-57</v>
      </c>
      <c r="H1069" s="13">
        <f t="shared" si="289"/>
        <v>195</v>
      </c>
      <c r="I1069" s="70">
        <f t="shared" si="290"/>
        <v>8.3205325140809361E-3</v>
      </c>
      <c r="J1069" s="70">
        <f t="shared" si="291"/>
        <v>-2.4062816616008398E-3</v>
      </c>
      <c r="K1069" s="82" t="str">
        <f>_xlfn.IFNA(VLOOKUP(CLEAN(SUBSTITUTE(C1069," ","")),Ref_Factory!$A:$B,2,FALSE),CLEAN(SUBSTITUTE(C1069," ","")))</f>
        <v>GM2</v>
      </c>
      <c r="L1069" s="82" t="str">
        <f t="shared" si="292"/>
        <v>AUGUST-1-GM2</v>
      </c>
      <c r="M1069" s="70">
        <f t="shared" si="293"/>
        <v>6.6251503360073682E-2</v>
      </c>
      <c r="N1069" s="70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25">
      <c r="A1070" t="s">
        <v>42</v>
      </c>
      <c r="B1070">
        <v>1</v>
      </c>
      <c r="C1070" t="s">
        <v>28</v>
      </c>
      <c r="D1070">
        <v>1620</v>
      </c>
      <c r="E1070" s="66">
        <v>1636</v>
      </c>
      <c r="F1070" s="66">
        <v>1632</v>
      </c>
      <c r="G1070" s="13">
        <f t="shared" si="288"/>
        <v>-4</v>
      </c>
      <c r="H1070" s="13">
        <f t="shared" si="289"/>
        <v>12</v>
      </c>
      <c r="I1070" s="70">
        <f t="shared" si="290"/>
        <v>7.4074074074073071E-3</v>
      </c>
      <c r="J1070" s="70">
        <f t="shared" si="291"/>
        <v>-2.4449877750610804E-3</v>
      </c>
      <c r="K1070" s="82" t="str">
        <f>_xlfn.IFNA(VLOOKUP(CLEAN(SUBSTITUTE(C1070," ","")),Ref_Factory!$A:$B,2,FALSE),CLEAN(SUBSTITUTE(C1070," ","")))</f>
        <v>GM2</v>
      </c>
      <c r="L1070" s="82" t="str">
        <f t="shared" si="292"/>
        <v>AUGUST-1-GM2</v>
      </c>
      <c r="M1070" s="70">
        <f t="shared" si="293"/>
        <v>6.6251503360073682E-2</v>
      </c>
      <c r="N1070" s="70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25">
      <c r="A1071" t="s">
        <v>42</v>
      </c>
      <c r="B1071">
        <v>1</v>
      </c>
      <c r="C1071" t="s">
        <v>28</v>
      </c>
      <c r="D1071">
        <v>18468</v>
      </c>
      <c r="E1071" s="66">
        <v>18673</v>
      </c>
      <c r="F1071" s="66">
        <v>18585</v>
      </c>
      <c r="G1071" s="13">
        <f t="shared" si="288"/>
        <v>-88</v>
      </c>
      <c r="H1071" s="13">
        <f t="shared" si="289"/>
        <v>117</v>
      </c>
      <c r="I1071" s="70">
        <f t="shared" si="290"/>
        <v>6.3352826510720828E-3</v>
      </c>
      <c r="J1071" s="70">
        <f t="shared" si="291"/>
        <v>-4.712686766989771E-3</v>
      </c>
      <c r="K1071" s="82" t="str">
        <f>_xlfn.IFNA(VLOOKUP(CLEAN(SUBSTITUTE(C1071," ","")),Ref_Factory!$A:$B,2,FALSE),CLEAN(SUBSTITUTE(C1071," ","")))</f>
        <v>GM2</v>
      </c>
      <c r="L1071" s="82" t="str">
        <f t="shared" si="292"/>
        <v>AUGUST-1-GM2</v>
      </c>
      <c r="M1071" s="70">
        <f t="shared" si="293"/>
        <v>6.6251503360073682E-2</v>
      </c>
      <c r="N1071" s="70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25">
      <c r="A1072" t="s">
        <v>42</v>
      </c>
      <c r="B1072">
        <v>1</v>
      </c>
      <c r="C1072" t="s">
        <v>28</v>
      </c>
      <c r="D1072">
        <v>1944</v>
      </c>
      <c r="E1072" s="66">
        <v>1962</v>
      </c>
      <c r="F1072" s="66">
        <v>1956</v>
      </c>
      <c r="G1072" s="13">
        <f t="shared" si="288"/>
        <v>-6</v>
      </c>
      <c r="H1072" s="13">
        <f t="shared" si="289"/>
        <v>12</v>
      </c>
      <c r="I1072" s="70">
        <f t="shared" si="290"/>
        <v>6.1728395061728669E-3</v>
      </c>
      <c r="J1072" s="70">
        <f t="shared" si="291"/>
        <v>-3.0581039755351869E-3</v>
      </c>
      <c r="K1072" s="82" t="str">
        <f>_xlfn.IFNA(VLOOKUP(CLEAN(SUBSTITUTE(C1072," ","")),Ref_Factory!$A:$B,2,FALSE),CLEAN(SUBSTITUTE(C1072," ","")))</f>
        <v>GM2</v>
      </c>
      <c r="L1072" s="82" t="str">
        <f t="shared" si="292"/>
        <v>AUGUST-1-GM2</v>
      </c>
      <c r="M1072" s="70">
        <f t="shared" si="293"/>
        <v>6.6251503360073682E-2</v>
      </c>
      <c r="N1072" s="70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25">
      <c r="A1073" t="s">
        <v>42</v>
      </c>
      <c r="B1073">
        <v>1</v>
      </c>
      <c r="C1073" t="s">
        <v>28</v>
      </c>
      <c r="D1073">
        <v>18576</v>
      </c>
      <c r="E1073" s="66">
        <v>18634</v>
      </c>
      <c r="F1073" s="66">
        <v>18519</v>
      </c>
      <c r="G1073" s="13">
        <f t="shared" si="288"/>
        <v>-115</v>
      </c>
      <c r="H1073" s="13">
        <f t="shared" si="289"/>
        <v>-57</v>
      </c>
      <c r="I1073" s="70">
        <f t="shared" si="290"/>
        <v>-3.0684754521963509E-3</v>
      </c>
      <c r="J1073" s="70">
        <f t="shared" si="291"/>
        <v>-6.1715144359772989E-3</v>
      </c>
      <c r="K1073" s="82" t="str">
        <f>_xlfn.IFNA(VLOOKUP(CLEAN(SUBSTITUTE(C1073," ","")),Ref_Factory!$A:$B,2,FALSE),CLEAN(SUBSTITUTE(C1073," ","")))</f>
        <v>GM2</v>
      </c>
      <c r="L1073" s="82" t="str">
        <f t="shared" si="292"/>
        <v>AUGUST-1-GM2</v>
      </c>
      <c r="M1073" s="70">
        <f t="shared" si="293"/>
        <v>6.6251503360073682E-2</v>
      </c>
      <c r="N1073" s="70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25">
      <c r="A1074" t="s">
        <v>42</v>
      </c>
      <c r="B1074">
        <v>1</v>
      </c>
      <c r="C1074" t="s">
        <v>28</v>
      </c>
      <c r="D1074">
        <v>5400</v>
      </c>
      <c r="E1074" s="66">
        <v>5457</v>
      </c>
      <c r="F1074" s="66">
        <v>5448</v>
      </c>
      <c r="G1074" s="13">
        <f t="shared" si="288"/>
        <v>-9</v>
      </c>
      <c r="H1074" s="13">
        <f t="shared" si="289"/>
        <v>48</v>
      </c>
      <c r="I1074" s="70">
        <f t="shared" si="290"/>
        <v>8.8888888888889461E-3</v>
      </c>
      <c r="J1074" s="70">
        <f t="shared" si="291"/>
        <v>-1.6492578339747377E-3</v>
      </c>
      <c r="K1074" s="82" t="str">
        <f>_xlfn.IFNA(VLOOKUP(CLEAN(SUBSTITUTE(C1074," ","")),Ref_Factory!$A:$B,2,FALSE),CLEAN(SUBSTITUTE(C1074," ","")))</f>
        <v>GM2</v>
      </c>
      <c r="L1074" s="82" t="str">
        <f t="shared" si="292"/>
        <v>AUGUST-1-GM2</v>
      </c>
      <c r="M1074" s="70">
        <f t="shared" si="293"/>
        <v>6.6251503360073682E-2</v>
      </c>
      <c r="N1074" s="70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25">
      <c r="A1075" t="s">
        <v>42</v>
      </c>
      <c r="B1075">
        <v>1</v>
      </c>
      <c r="C1075" t="s">
        <v>28</v>
      </c>
      <c r="D1075">
        <v>1188</v>
      </c>
      <c r="E1075" s="66">
        <v>1200</v>
      </c>
      <c r="F1075" s="66">
        <v>1197</v>
      </c>
      <c r="G1075" s="13">
        <f t="shared" si="288"/>
        <v>-3</v>
      </c>
      <c r="H1075" s="13">
        <f t="shared" si="289"/>
        <v>9</v>
      </c>
      <c r="I1075" s="70">
        <f t="shared" si="290"/>
        <v>7.575757575757569E-3</v>
      </c>
      <c r="J1075" s="70">
        <f t="shared" si="291"/>
        <v>-2.4999999999999467E-3</v>
      </c>
      <c r="K1075" s="82" t="str">
        <f>_xlfn.IFNA(VLOOKUP(CLEAN(SUBSTITUTE(C1075," ","")),Ref_Factory!$A:$B,2,FALSE),CLEAN(SUBSTITUTE(C1075," ","")))</f>
        <v>GM2</v>
      </c>
      <c r="L1075" s="82" t="str">
        <f t="shared" si="292"/>
        <v>AUGUST-1-GM2</v>
      </c>
      <c r="M1075" s="70">
        <f t="shared" si="293"/>
        <v>6.6251503360073682E-2</v>
      </c>
      <c r="N1075" s="70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25">
      <c r="A1076" t="s">
        <v>42</v>
      </c>
      <c r="B1076">
        <v>1</v>
      </c>
      <c r="C1076" t="s">
        <v>28</v>
      </c>
      <c r="D1076" s="66">
        <v>5508</v>
      </c>
      <c r="E1076" s="66">
        <v>5579</v>
      </c>
      <c r="F1076" s="66">
        <v>5565</v>
      </c>
      <c r="G1076" s="13">
        <f t="shared" si="288"/>
        <v>-14</v>
      </c>
      <c r="H1076" s="13">
        <f t="shared" si="289"/>
        <v>57</v>
      </c>
      <c r="I1076" s="70">
        <f t="shared" si="290"/>
        <v>1.0348583877995532E-2</v>
      </c>
      <c r="J1076" s="70">
        <f t="shared" si="291"/>
        <v>-2.5094102885822034E-3</v>
      </c>
      <c r="K1076" s="82" t="str">
        <f>_xlfn.IFNA(VLOOKUP(CLEAN(SUBSTITUTE(C1076," ","")),Ref_Factory!$A:$B,2,FALSE),CLEAN(SUBSTITUTE(C1076," ","")))</f>
        <v>GM2</v>
      </c>
      <c r="L1076" s="82" t="str">
        <f t="shared" si="292"/>
        <v>AUGUST-1-GM2</v>
      </c>
      <c r="M1076" s="70">
        <f t="shared" si="293"/>
        <v>6.6251503360073682E-2</v>
      </c>
      <c r="N1076" s="70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25">
      <c r="A1077" t="s">
        <v>42</v>
      </c>
      <c r="B1077">
        <v>1</v>
      </c>
      <c r="C1077" t="s">
        <v>28</v>
      </c>
      <c r="D1077">
        <v>1080</v>
      </c>
      <c r="E1077" s="66">
        <v>1091</v>
      </c>
      <c r="F1077" s="66">
        <v>1089</v>
      </c>
      <c r="G1077" s="13">
        <f t="shared" si="288"/>
        <v>-2</v>
      </c>
      <c r="H1077" s="13">
        <f t="shared" si="289"/>
        <v>9</v>
      </c>
      <c r="I1077" s="70">
        <f t="shared" si="290"/>
        <v>8.3333333333333037E-3</v>
      </c>
      <c r="J1077" s="70">
        <f t="shared" si="291"/>
        <v>-1.8331805682859637E-3</v>
      </c>
      <c r="K1077" s="82" t="str">
        <f>_xlfn.IFNA(VLOOKUP(CLEAN(SUBSTITUTE(C1077," ","")),Ref_Factory!$A:$B,2,FALSE),CLEAN(SUBSTITUTE(C1077," ","")))</f>
        <v>GM2</v>
      </c>
      <c r="L1077" s="82" t="str">
        <f t="shared" si="292"/>
        <v>AUGUST-1-GM2</v>
      </c>
      <c r="M1077" s="70">
        <f t="shared" si="293"/>
        <v>6.6251503360073682E-2</v>
      </c>
      <c r="N1077" s="70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25">
      <c r="A1078" t="s">
        <v>42</v>
      </c>
      <c r="B1078">
        <v>1</v>
      </c>
      <c r="C1078" t="s">
        <v>28</v>
      </c>
      <c r="D1078">
        <v>6480</v>
      </c>
      <c r="E1078" s="66">
        <v>6489</v>
      </c>
      <c r="F1078" s="66">
        <v>6480</v>
      </c>
      <c r="G1078" s="13">
        <f t="shared" si="288"/>
        <v>-9</v>
      </c>
      <c r="H1078" s="13">
        <f t="shared" si="289"/>
        <v>0</v>
      </c>
      <c r="I1078" s="70">
        <f t="shared" si="290"/>
        <v>0</v>
      </c>
      <c r="J1078" s="70">
        <f t="shared" si="291"/>
        <v>-1.3869625520110951E-3</v>
      </c>
      <c r="K1078" s="82" t="str">
        <f>_xlfn.IFNA(VLOOKUP(CLEAN(SUBSTITUTE(C1078," ","")),Ref_Factory!$A:$B,2,FALSE),CLEAN(SUBSTITUTE(C1078," ","")))</f>
        <v>GM2</v>
      </c>
      <c r="L1078" s="82" t="str">
        <f t="shared" si="292"/>
        <v>AUGUST-1-GM2</v>
      </c>
      <c r="M1078" s="70">
        <f t="shared" si="293"/>
        <v>6.6251503360073682E-2</v>
      </c>
      <c r="N1078" s="70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25">
      <c r="A1079" t="s">
        <v>42</v>
      </c>
      <c r="B1079">
        <v>1</v>
      </c>
      <c r="C1079" t="s">
        <v>28</v>
      </c>
      <c r="D1079">
        <v>5184</v>
      </c>
      <c r="E1079" s="66">
        <v>5193</v>
      </c>
      <c r="F1079" s="66">
        <v>5184</v>
      </c>
      <c r="G1079" s="13">
        <f t="shared" si="288"/>
        <v>-9</v>
      </c>
      <c r="H1079" s="13">
        <f t="shared" si="289"/>
        <v>0</v>
      </c>
      <c r="I1079" s="70">
        <f t="shared" si="290"/>
        <v>0</v>
      </c>
      <c r="J1079" s="70">
        <f t="shared" si="291"/>
        <v>-1.7331022530329143E-3</v>
      </c>
      <c r="K1079" s="82" t="str">
        <f>_xlfn.IFNA(VLOOKUP(CLEAN(SUBSTITUTE(C1079," ","")),Ref_Factory!$A:$B,2,FALSE),CLEAN(SUBSTITUTE(C1079," ","")))</f>
        <v>GM2</v>
      </c>
      <c r="L1079" s="82" t="str">
        <f t="shared" si="292"/>
        <v>AUGUST-1-GM2</v>
      </c>
      <c r="M1079" s="70">
        <f t="shared" si="293"/>
        <v>6.6251503360073682E-2</v>
      </c>
      <c r="N1079" s="70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25">
      <c r="A1080" t="s">
        <v>42</v>
      </c>
      <c r="B1080">
        <v>1</v>
      </c>
      <c r="C1080" t="s">
        <v>28</v>
      </c>
      <c r="D1080">
        <v>12744</v>
      </c>
      <c r="E1080" s="66">
        <v>12704</v>
      </c>
      <c r="F1080" s="66">
        <v>12618</v>
      </c>
      <c r="G1080" s="13">
        <f t="shared" si="288"/>
        <v>-86</v>
      </c>
      <c r="H1080" s="13">
        <f t="shared" si="289"/>
        <v>-126</v>
      </c>
      <c r="I1080" s="70">
        <f t="shared" si="290"/>
        <v>-9.8870056497175618E-3</v>
      </c>
      <c r="J1080" s="70">
        <f t="shared" si="291"/>
        <v>-6.7695214105792934E-3</v>
      </c>
      <c r="K1080" s="82" t="str">
        <f>_xlfn.IFNA(VLOOKUP(CLEAN(SUBSTITUTE(C1080," ","")),Ref_Factory!$A:$B,2,FALSE),CLEAN(SUBSTITUTE(C1080," ","")))</f>
        <v>GM2</v>
      </c>
      <c r="L1080" s="82" t="str">
        <f t="shared" si="292"/>
        <v>AUGUST-1-GM2</v>
      </c>
      <c r="M1080" s="70">
        <f t="shared" si="293"/>
        <v>6.6251503360073682E-2</v>
      </c>
      <c r="N1080" s="70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25">
      <c r="A1081" t="s">
        <v>42</v>
      </c>
      <c r="B1081">
        <v>1</v>
      </c>
      <c r="C1081" t="s">
        <v>27</v>
      </c>
      <c r="D1081" s="66">
        <v>350</v>
      </c>
      <c r="E1081" s="66">
        <v>372</v>
      </c>
      <c r="F1081" s="66">
        <v>350</v>
      </c>
      <c r="G1081" s="13">
        <f t="shared" si="288"/>
        <v>-22</v>
      </c>
      <c r="H1081" s="13">
        <f t="shared" si="289"/>
        <v>0</v>
      </c>
      <c r="I1081" s="70">
        <f t="shared" si="290"/>
        <v>0</v>
      </c>
      <c r="J1081" s="70">
        <f t="shared" si="291"/>
        <v>-5.9139784946236507E-2</v>
      </c>
      <c r="K1081" s="82" t="str">
        <f>_xlfn.IFNA(VLOOKUP(CLEAN(SUBSTITUTE(C1081," ","")),Ref_Factory!$A:$B,2,FALSE),CLEAN(SUBSTITUTE(C1081," ","")))</f>
        <v>CNJ2</v>
      </c>
      <c r="L1081" s="82" t="str">
        <f t="shared" si="292"/>
        <v>AUGUST-1-CNJ2</v>
      </c>
      <c r="M1081" s="70">
        <f t="shared" si="293"/>
        <v>0</v>
      </c>
      <c r="N1081" s="70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25">
      <c r="A1082" t="s">
        <v>42</v>
      </c>
      <c r="B1082">
        <v>1</v>
      </c>
      <c r="C1082" t="s">
        <v>27</v>
      </c>
      <c r="D1082" s="66">
        <v>740</v>
      </c>
      <c r="E1082" s="66">
        <v>756</v>
      </c>
      <c r="F1082" s="66">
        <v>740</v>
      </c>
      <c r="G1082" s="13">
        <f t="shared" si="288"/>
        <v>-16</v>
      </c>
      <c r="H1082" s="13">
        <f t="shared" si="289"/>
        <v>0</v>
      </c>
      <c r="I1082" s="70">
        <f t="shared" si="290"/>
        <v>0</v>
      </c>
      <c r="J1082" s="70">
        <f t="shared" si="291"/>
        <v>-2.1164021164021163E-2</v>
      </c>
      <c r="K1082" s="82" t="str">
        <f>_xlfn.IFNA(VLOOKUP(CLEAN(SUBSTITUTE(C1082," ","")),Ref_Factory!$A:$B,2,FALSE),CLEAN(SUBSTITUTE(C1082," ","")))</f>
        <v>CNJ2</v>
      </c>
      <c r="L1082" s="82" t="str">
        <f t="shared" si="292"/>
        <v>AUGUST-1-CNJ2</v>
      </c>
      <c r="M1082" s="70">
        <f t="shared" si="293"/>
        <v>0</v>
      </c>
      <c r="N1082" s="70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25">
      <c r="A1083" t="s">
        <v>42</v>
      </c>
      <c r="B1083">
        <v>1</v>
      </c>
      <c r="C1083" t="s">
        <v>27</v>
      </c>
      <c r="D1083" s="66">
        <v>1940</v>
      </c>
      <c r="E1083" s="66">
        <v>1986</v>
      </c>
      <c r="F1083" s="66">
        <v>1940</v>
      </c>
      <c r="G1083" s="13">
        <f t="shared" si="288"/>
        <v>-46</v>
      </c>
      <c r="H1083" s="13">
        <f t="shared" si="289"/>
        <v>0</v>
      </c>
      <c r="I1083" s="70">
        <f t="shared" si="290"/>
        <v>0</v>
      </c>
      <c r="J1083" s="70">
        <f t="shared" si="291"/>
        <v>-2.3162134944612278E-2</v>
      </c>
      <c r="K1083" s="82" t="str">
        <f>_xlfn.IFNA(VLOOKUP(CLEAN(SUBSTITUTE(C1083," ","")),Ref_Factory!$A:$B,2,FALSE),CLEAN(SUBSTITUTE(C1083," ","")))</f>
        <v>CNJ2</v>
      </c>
      <c r="L1083" s="82" t="str">
        <f t="shared" si="292"/>
        <v>AUGUST-1-CNJ2</v>
      </c>
      <c r="M1083" s="70">
        <f t="shared" si="293"/>
        <v>0</v>
      </c>
      <c r="N1083" s="70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25">
      <c r="A1084" t="s">
        <v>42</v>
      </c>
      <c r="B1084">
        <v>1</v>
      </c>
      <c r="C1084" t="s">
        <v>27</v>
      </c>
      <c r="D1084" s="66">
        <v>630</v>
      </c>
      <c r="E1084" s="66">
        <v>637</v>
      </c>
      <c r="F1084" s="66">
        <v>630</v>
      </c>
      <c r="G1084" s="13">
        <f t="shared" si="288"/>
        <v>-7</v>
      </c>
      <c r="H1084" s="13">
        <f t="shared" si="289"/>
        <v>0</v>
      </c>
      <c r="I1084" s="70">
        <f t="shared" si="290"/>
        <v>0</v>
      </c>
      <c r="J1084" s="70">
        <f t="shared" si="291"/>
        <v>-1.098901098901095E-2</v>
      </c>
      <c r="K1084" s="82" t="str">
        <f>_xlfn.IFNA(VLOOKUP(CLEAN(SUBSTITUTE(C1084," ","")),Ref_Factory!$A:$B,2,FALSE),CLEAN(SUBSTITUTE(C1084," ","")))</f>
        <v>CNJ2</v>
      </c>
      <c r="L1084" s="82" t="str">
        <f t="shared" si="292"/>
        <v>AUGUST-1-CNJ2</v>
      </c>
      <c r="M1084" s="70">
        <f t="shared" si="293"/>
        <v>0</v>
      </c>
      <c r="N1084" s="70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25">
      <c r="A1085" t="s">
        <v>42</v>
      </c>
      <c r="B1085">
        <v>1</v>
      </c>
      <c r="C1085" t="s">
        <v>27</v>
      </c>
      <c r="D1085" s="66">
        <v>1280</v>
      </c>
      <c r="E1085" s="66">
        <v>1292</v>
      </c>
      <c r="F1085" s="66">
        <v>1280</v>
      </c>
      <c r="G1085" s="13">
        <f t="shared" si="288"/>
        <v>-12</v>
      </c>
      <c r="H1085" s="13">
        <f t="shared" si="289"/>
        <v>0</v>
      </c>
      <c r="I1085" s="70">
        <f t="shared" si="290"/>
        <v>0</v>
      </c>
      <c r="J1085" s="70">
        <f t="shared" si="291"/>
        <v>-9.2879256965944235E-3</v>
      </c>
      <c r="K1085" s="82" t="str">
        <f>_xlfn.IFNA(VLOOKUP(CLEAN(SUBSTITUTE(C1085," ","")),Ref_Factory!$A:$B,2,FALSE),CLEAN(SUBSTITUTE(C1085," ","")))</f>
        <v>CNJ2</v>
      </c>
      <c r="L1085" s="82" t="str">
        <f t="shared" si="292"/>
        <v>AUGUST-1-CNJ2</v>
      </c>
      <c r="M1085" s="70">
        <f t="shared" si="293"/>
        <v>0</v>
      </c>
      <c r="N1085" s="70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25">
      <c r="A1086" t="s">
        <v>42</v>
      </c>
      <c r="B1086">
        <v>1</v>
      </c>
      <c r="C1086" t="s">
        <v>27</v>
      </c>
      <c r="D1086" s="66">
        <v>4240</v>
      </c>
      <c r="E1086" s="66">
        <v>4276</v>
      </c>
      <c r="F1086" s="66">
        <v>4240</v>
      </c>
      <c r="G1086" s="13">
        <f t="shared" si="288"/>
        <v>-36</v>
      </c>
      <c r="H1086" s="13">
        <f t="shared" si="289"/>
        <v>0</v>
      </c>
      <c r="I1086" s="70">
        <f t="shared" si="290"/>
        <v>0</v>
      </c>
      <c r="J1086" s="70">
        <f t="shared" si="291"/>
        <v>-8.4190832553788786E-3</v>
      </c>
      <c r="K1086" s="82" t="str">
        <f>_xlfn.IFNA(VLOOKUP(CLEAN(SUBSTITUTE(C1086," ","")),Ref_Factory!$A:$B,2,FALSE),CLEAN(SUBSTITUTE(C1086," ","")))</f>
        <v>CNJ2</v>
      </c>
      <c r="L1086" s="82" t="str">
        <f t="shared" si="292"/>
        <v>AUGUST-1-CNJ2</v>
      </c>
      <c r="M1086" s="70">
        <f t="shared" si="293"/>
        <v>0</v>
      </c>
      <c r="N1086" s="70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25">
      <c r="A1087" t="s">
        <v>42</v>
      </c>
      <c r="B1087">
        <v>1</v>
      </c>
      <c r="C1087" t="s">
        <v>27</v>
      </c>
      <c r="D1087" s="66">
        <v>600</v>
      </c>
      <c r="E1087" s="66">
        <v>630</v>
      </c>
      <c r="F1087" s="66">
        <v>600</v>
      </c>
      <c r="G1087" s="13">
        <f t="shared" si="288"/>
        <v>-30</v>
      </c>
      <c r="H1087" s="13">
        <f t="shared" si="289"/>
        <v>0</v>
      </c>
      <c r="I1087" s="70">
        <f t="shared" si="290"/>
        <v>0</v>
      </c>
      <c r="J1087" s="70">
        <f t="shared" si="291"/>
        <v>-4.7619047619047672E-2</v>
      </c>
      <c r="K1087" s="82" t="str">
        <f>_xlfn.IFNA(VLOOKUP(CLEAN(SUBSTITUTE(C1087," ","")),Ref_Factory!$A:$B,2,FALSE),CLEAN(SUBSTITUTE(C1087," ","")))</f>
        <v>CNJ2</v>
      </c>
      <c r="L1087" s="82" t="str">
        <f t="shared" si="292"/>
        <v>AUGUST-1-CNJ2</v>
      </c>
      <c r="M1087" s="70">
        <f t="shared" si="293"/>
        <v>0</v>
      </c>
      <c r="N1087" s="70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25">
      <c r="A1088" t="s">
        <v>42</v>
      </c>
      <c r="B1088">
        <v>1</v>
      </c>
      <c r="C1088" t="s">
        <v>17</v>
      </c>
      <c r="D1088" s="66">
        <v>1290</v>
      </c>
      <c r="E1088" s="66">
        <v>1306</v>
      </c>
      <c r="F1088" s="66">
        <v>1290</v>
      </c>
      <c r="G1088" s="13">
        <f t="shared" si="288"/>
        <v>-16</v>
      </c>
      <c r="H1088" s="13">
        <f t="shared" si="289"/>
        <v>0</v>
      </c>
      <c r="I1088" s="70">
        <f t="shared" si="290"/>
        <v>0</v>
      </c>
      <c r="J1088" s="70">
        <f t="shared" si="291"/>
        <v>-1.225114854517606E-2</v>
      </c>
      <c r="K1088" s="82" t="str">
        <f>_xlfn.IFNA(VLOOKUP(CLEAN(SUBSTITUTE(C1088," ","")),Ref_Factory!$A:$B,2,FALSE),CLEAN(SUBSTITUTE(C1088," ","")))</f>
        <v>CBA</v>
      </c>
      <c r="L1088" s="82" t="str">
        <f t="shared" si="292"/>
        <v>AUGUST-1-CBA</v>
      </c>
      <c r="M1088" s="70">
        <f t="shared" si="293"/>
        <v>0</v>
      </c>
      <c r="N1088" s="70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25">
      <c r="A1089" t="s">
        <v>42</v>
      </c>
      <c r="B1089">
        <v>1</v>
      </c>
      <c r="C1089" t="s">
        <v>17</v>
      </c>
      <c r="D1089" s="66">
        <v>1050</v>
      </c>
      <c r="E1089" s="66">
        <v>1074</v>
      </c>
      <c r="F1089" s="66">
        <v>1050</v>
      </c>
      <c r="G1089" s="13">
        <f t="shared" si="288"/>
        <v>-24</v>
      </c>
      <c r="H1089" s="13">
        <f t="shared" si="289"/>
        <v>0</v>
      </c>
      <c r="I1089" s="70">
        <f t="shared" si="290"/>
        <v>0</v>
      </c>
      <c r="J1089" s="70">
        <f t="shared" si="291"/>
        <v>-2.2346368715083775E-2</v>
      </c>
      <c r="K1089" s="82" t="str">
        <f>_xlfn.IFNA(VLOOKUP(CLEAN(SUBSTITUTE(C1089," ","")),Ref_Factory!$A:$B,2,FALSE),CLEAN(SUBSTITUTE(C1089," ","")))</f>
        <v>CBA</v>
      </c>
      <c r="L1089" s="82" t="str">
        <f t="shared" si="292"/>
        <v>AUGUST-1-CBA</v>
      </c>
      <c r="M1089" s="70">
        <f t="shared" si="293"/>
        <v>0</v>
      </c>
      <c r="N1089" s="70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25">
      <c r="A1090" t="s">
        <v>42</v>
      </c>
      <c r="B1090">
        <v>1</v>
      </c>
      <c r="C1090" t="s">
        <v>17</v>
      </c>
      <c r="D1090" s="66">
        <v>1360</v>
      </c>
      <c r="E1090" s="66">
        <v>1388</v>
      </c>
      <c r="F1090" s="66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70">
        <f t="shared" ref="I1090:I1153" si="308">F1090/D1090-1</f>
        <v>0</v>
      </c>
      <c r="J1090" s="70">
        <f t="shared" ref="J1090:J1153" si="309">F1090/E1090-1</f>
        <v>-2.0172910662824228E-2</v>
      </c>
      <c r="K1090" s="82" t="str">
        <f>_xlfn.IFNA(VLOOKUP(CLEAN(SUBSTITUTE(C1090," ","")),Ref_Factory!$A:$B,2,FALSE),CLEAN(SUBSTITUTE(C1090," ","")))</f>
        <v>CBA</v>
      </c>
      <c r="L1090" s="82" t="str">
        <f t="shared" ref="L1090:L1153" si="310">A1090&amp;"-"&amp;B1090&amp;"-"&amp;K1090</f>
        <v>AUGUST-1-CBA</v>
      </c>
      <c r="M1090" s="70">
        <f t="shared" ref="M1090:M1153" si="311">SUMIF($L$2:$L$1420,L1090,$I$2:$I$1420)</f>
        <v>0</v>
      </c>
      <c r="N1090" s="70">
        <f t="shared" ref="N1090:N1153" si="312">SUMIF($L$2:$L$1420,L1090,$J$2:$J$1420)</f>
        <v>-0.10845587910335031</v>
      </c>
      <c r="O1090" s="13">
        <f t="shared" ref="O1090:O1153" si="313">SUMIF($A$2:$A$1420,A1090,$D$2:$D$1420)</f>
        <v>2101778</v>
      </c>
      <c r="P1090" s="13">
        <f t="shared" ref="P1090:P1153" si="314">SUMIF($A$2:$A$1420,A1090,$E$2:$E$1420)</f>
        <v>2128806</v>
      </c>
      <c r="Q1090" s="13">
        <f t="shared" ref="Q1090:Q1153" si="315">SUMIF($A$2:$A$1420,A1090,$F$2:$F$1420)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SUMIF($T$2:$T$1420,T1090,$D$2:$D$1420)</f>
        <v>41780</v>
      </c>
      <c r="V1090">
        <f t="shared" ref="V1090:V1153" si="320">SUMIF($T$2:$T$1420,T1090,$E$2:$E$1420)</f>
        <v>42207</v>
      </c>
      <c r="W1090">
        <f t="shared" ref="W1090:W1153" si="321">SUMIF($T$2:$T$1420,T1090,$F$2:$F$1420)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25">
      <c r="A1091" t="s">
        <v>42</v>
      </c>
      <c r="B1091">
        <v>1</v>
      </c>
      <c r="C1091" t="s">
        <v>17</v>
      </c>
      <c r="D1091" s="66">
        <v>3290</v>
      </c>
      <c r="E1091" s="66">
        <v>3330</v>
      </c>
      <c r="F1091" s="66">
        <v>3290</v>
      </c>
      <c r="G1091" s="13">
        <f t="shared" si="306"/>
        <v>-40</v>
      </c>
      <c r="H1091" s="13">
        <f t="shared" si="307"/>
        <v>0</v>
      </c>
      <c r="I1091" s="70">
        <f t="shared" si="308"/>
        <v>0</v>
      </c>
      <c r="J1091" s="70">
        <f t="shared" si="309"/>
        <v>-1.2012012012011963E-2</v>
      </c>
      <c r="K1091" s="82" t="str">
        <f>_xlfn.IFNA(VLOOKUP(CLEAN(SUBSTITUTE(C1091," ","")),Ref_Factory!$A:$B,2,FALSE),CLEAN(SUBSTITUTE(C1091," ","")))</f>
        <v>CBA</v>
      </c>
      <c r="L1091" s="82" t="str">
        <f t="shared" si="310"/>
        <v>AUGUST-1-CBA</v>
      </c>
      <c r="M1091" s="70">
        <f t="shared" si="311"/>
        <v>0</v>
      </c>
      <c r="N1091" s="70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25">
      <c r="A1092" t="s">
        <v>42</v>
      </c>
      <c r="B1092">
        <v>1</v>
      </c>
      <c r="C1092" t="s">
        <v>27</v>
      </c>
      <c r="D1092" s="66">
        <v>1690</v>
      </c>
      <c r="E1092" s="66">
        <v>1728</v>
      </c>
      <c r="F1092" s="66">
        <v>1690</v>
      </c>
      <c r="G1092" s="13">
        <f t="shared" si="306"/>
        <v>-38</v>
      </c>
      <c r="H1092" s="13">
        <f t="shared" si="307"/>
        <v>0</v>
      </c>
      <c r="I1092" s="70">
        <f t="shared" si="308"/>
        <v>0</v>
      </c>
      <c r="J1092" s="70">
        <f t="shared" si="309"/>
        <v>-2.19907407407407E-2</v>
      </c>
      <c r="K1092" s="82" t="str">
        <f>_xlfn.IFNA(VLOOKUP(CLEAN(SUBSTITUTE(C1092," ","")),Ref_Factory!$A:$B,2,FALSE),CLEAN(SUBSTITUTE(C1092," ","")))</f>
        <v>CNJ2</v>
      </c>
      <c r="L1092" s="82" t="str">
        <f t="shared" si="310"/>
        <v>AUGUST-1-CNJ2</v>
      </c>
      <c r="M1092" s="70">
        <f t="shared" si="311"/>
        <v>0</v>
      </c>
      <c r="N1092" s="70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25">
      <c r="A1093" t="s">
        <v>42</v>
      </c>
      <c r="B1093">
        <v>1</v>
      </c>
      <c r="C1093" t="s">
        <v>27</v>
      </c>
      <c r="D1093" s="66">
        <v>3000</v>
      </c>
      <c r="E1093" s="66">
        <v>3060</v>
      </c>
      <c r="F1093" s="66">
        <v>3000</v>
      </c>
      <c r="G1093" s="13">
        <f t="shared" si="306"/>
        <v>-60</v>
      </c>
      <c r="H1093" s="13">
        <f t="shared" si="307"/>
        <v>0</v>
      </c>
      <c r="I1093" s="70">
        <f t="shared" si="308"/>
        <v>0</v>
      </c>
      <c r="J1093" s="70">
        <f t="shared" si="309"/>
        <v>-1.9607843137254943E-2</v>
      </c>
      <c r="K1093" s="82" t="str">
        <f>_xlfn.IFNA(VLOOKUP(CLEAN(SUBSTITUTE(C1093," ","")),Ref_Factory!$A:$B,2,FALSE),CLEAN(SUBSTITUTE(C1093," ","")))</f>
        <v>CNJ2</v>
      </c>
      <c r="L1093" s="82" t="str">
        <f t="shared" si="310"/>
        <v>AUGUST-1-CNJ2</v>
      </c>
      <c r="M1093" s="70">
        <f t="shared" si="311"/>
        <v>0</v>
      </c>
      <c r="N1093" s="70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25">
      <c r="A1094" t="s">
        <v>42</v>
      </c>
      <c r="B1094">
        <v>1</v>
      </c>
      <c r="C1094" t="s">
        <v>17</v>
      </c>
      <c r="D1094" s="66">
        <v>1680</v>
      </c>
      <c r="E1094" s="66">
        <v>1707</v>
      </c>
      <c r="F1094" s="66">
        <v>1680</v>
      </c>
      <c r="G1094" s="13">
        <f t="shared" si="306"/>
        <v>-27</v>
      </c>
      <c r="H1094" s="13">
        <f t="shared" si="307"/>
        <v>0</v>
      </c>
      <c r="I1094" s="70">
        <f t="shared" si="308"/>
        <v>0</v>
      </c>
      <c r="J1094" s="70">
        <f t="shared" si="309"/>
        <v>-1.5817223198594021E-2</v>
      </c>
      <c r="K1094" s="82" t="str">
        <f>_xlfn.IFNA(VLOOKUP(CLEAN(SUBSTITUTE(C1094," ","")),Ref_Factory!$A:$B,2,FALSE),CLEAN(SUBSTITUTE(C1094," ","")))</f>
        <v>CBA</v>
      </c>
      <c r="L1094" s="82" t="str">
        <f t="shared" si="310"/>
        <v>AUGUST-1-CBA</v>
      </c>
      <c r="M1094" s="70">
        <f t="shared" si="311"/>
        <v>0</v>
      </c>
      <c r="N1094" s="70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25">
      <c r="A1095" t="s">
        <v>42</v>
      </c>
      <c r="B1095">
        <v>1</v>
      </c>
      <c r="C1095" t="s">
        <v>27</v>
      </c>
      <c r="D1095" s="66">
        <v>3490</v>
      </c>
      <c r="E1095" s="66">
        <v>3521</v>
      </c>
      <c r="F1095" s="66">
        <v>3490</v>
      </c>
      <c r="G1095" s="13">
        <f t="shared" si="306"/>
        <v>-31</v>
      </c>
      <c r="H1095" s="13">
        <f t="shared" si="307"/>
        <v>0</v>
      </c>
      <c r="I1095" s="70">
        <f t="shared" si="308"/>
        <v>0</v>
      </c>
      <c r="J1095" s="70">
        <f t="shared" si="309"/>
        <v>-8.8043169554103962E-3</v>
      </c>
      <c r="K1095" s="82" t="str">
        <f>_xlfn.IFNA(VLOOKUP(CLEAN(SUBSTITUTE(C1095," ","")),Ref_Factory!$A:$B,2,FALSE),CLEAN(SUBSTITUTE(C1095," ","")))</f>
        <v>CNJ2</v>
      </c>
      <c r="L1095" s="82" t="str">
        <f t="shared" si="310"/>
        <v>AUGUST-1-CNJ2</v>
      </c>
      <c r="M1095" s="70">
        <f t="shared" si="311"/>
        <v>0</v>
      </c>
      <c r="N1095" s="70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25">
      <c r="A1096" t="s">
        <v>42</v>
      </c>
      <c r="B1096">
        <v>1</v>
      </c>
      <c r="C1096" t="s">
        <v>27</v>
      </c>
      <c r="D1096" s="66">
        <v>200</v>
      </c>
      <c r="E1096" s="66">
        <v>208</v>
      </c>
      <c r="F1096" s="66">
        <v>200</v>
      </c>
      <c r="G1096" s="13">
        <f t="shared" si="306"/>
        <v>-8</v>
      </c>
      <c r="H1096" s="13">
        <f t="shared" si="307"/>
        <v>0</v>
      </c>
      <c r="I1096" s="70">
        <f t="shared" si="308"/>
        <v>0</v>
      </c>
      <c r="J1096" s="70">
        <f t="shared" si="309"/>
        <v>-3.8461538461538436E-2</v>
      </c>
      <c r="K1096" s="82" t="str">
        <f>_xlfn.IFNA(VLOOKUP(CLEAN(SUBSTITUTE(C1096," ","")),Ref_Factory!$A:$B,2,FALSE),CLEAN(SUBSTITUTE(C1096," ","")))</f>
        <v>CNJ2</v>
      </c>
      <c r="L1096" s="82" t="str">
        <f t="shared" si="310"/>
        <v>AUGUST-1-CNJ2</v>
      </c>
      <c r="M1096" s="70">
        <f t="shared" si="311"/>
        <v>0</v>
      </c>
      <c r="N1096" s="70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25">
      <c r="A1097" t="s">
        <v>42</v>
      </c>
      <c r="B1097">
        <v>1</v>
      </c>
      <c r="C1097" t="s">
        <v>27</v>
      </c>
      <c r="D1097" s="66">
        <v>6580</v>
      </c>
      <c r="E1097" s="66">
        <v>6608</v>
      </c>
      <c r="F1097" s="66">
        <v>6580</v>
      </c>
      <c r="G1097" s="13">
        <f t="shared" si="306"/>
        <v>-28</v>
      </c>
      <c r="H1097" s="13">
        <f t="shared" si="307"/>
        <v>0</v>
      </c>
      <c r="I1097" s="70">
        <f t="shared" si="308"/>
        <v>0</v>
      </c>
      <c r="J1097" s="70">
        <f t="shared" si="309"/>
        <v>-4.237288135593209E-3</v>
      </c>
      <c r="K1097" s="82" t="str">
        <f>_xlfn.IFNA(VLOOKUP(CLEAN(SUBSTITUTE(C1097," ","")),Ref_Factory!$A:$B,2,FALSE),CLEAN(SUBSTITUTE(C1097," ","")))</f>
        <v>CNJ2</v>
      </c>
      <c r="L1097" s="82" t="str">
        <f t="shared" si="310"/>
        <v>AUGUST-1-CNJ2</v>
      </c>
      <c r="M1097" s="70">
        <f t="shared" si="311"/>
        <v>0</v>
      </c>
      <c r="N1097" s="70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25">
      <c r="A1098" t="s">
        <v>42</v>
      </c>
      <c r="B1098">
        <v>1</v>
      </c>
      <c r="C1098" t="s">
        <v>27</v>
      </c>
      <c r="D1098" s="66">
        <v>330</v>
      </c>
      <c r="E1098" s="66">
        <v>342</v>
      </c>
      <c r="F1098" s="66">
        <v>330</v>
      </c>
      <c r="G1098" s="13">
        <f t="shared" si="306"/>
        <v>-12</v>
      </c>
      <c r="H1098" s="13">
        <f t="shared" si="307"/>
        <v>0</v>
      </c>
      <c r="I1098" s="70">
        <f t="shared" si="308"/>
        <v>0</v>
      </c>
      <c r="J1098" s="70">
        <f t="shared" si="309"/>
        <v>-3.5087719298245612E-2</v>
      </c>
      <c r="K1098" s="82" t="str">
        <f>_xlfn.IFNA(VLOOKUP(CLEAN(SUBSTITUTE(C1098," ","")),Ref_Factory!$A:$B,2,FALSE),CLEAN(SUBSTITUTE(C1098," ","")))</f>
        <v>CNJ2</v>
      </c>
      <c r="L1098" s="82" t="str">
        <f t="shared" si="310"/>
        <v>AUGUST-1-CNJ2</v>
      </c>
      <c r="M1098" s="70">
        <f t="shared" si="311"/>
        <v>0</v>
      </c>
      <c r="N1098" s="70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25">
      <c r="A1099" t="s">
        <v>42</v>
      </c>
      <c r="B1099">
        <v>1</v>
      </c>
      <c r="C1099" t="s">
        <v>27</v>
      </c>
      <c r="D1099" s="66">
        <v>310</v>
      </c>
      <c r="E1099" s="66">
        <v>323</v>
      </c>
      <c r="F1099" s="66">
        <v>310</v>
      </c>
      <c r="G1099" s="13">
        <f t="shared" si="306"/>
        <v>-13</v>
      </c>
      <c r="H1099" s="13">
        <f t="shared" si="307"/>
        <v>0</v>
      </c>
      <c r="I1099" s="70">
        <f t="shared" si="308"/>
        <v>0</v>
      </c>
      <c r="J1099" s="70">
        <f t="shared" si="309"/>
        <v>-4.0247678018575872E-2</v>
      </c>
      <c r="K1099" s="82" t="str">
        <f>_xlfn.IFNA(VLOOKUP(CLEAN(SUBSTITUTE(C1099," ","")),Ref_Factory!$A:$B,2,FALSE),CLEAN(SUBSTITUTE(C1099," ","")))</f>
        <v>CNJ2</v>
      </c>
      <c r="L1099" s="82" t="str">
        <f t="shared" si="310"/>
        <v>AUGUST-1-CNJ2</v>
      </c>
      <c r="M1099" s="70">
        <f t="shared" si="311"/>
        <v>0</v>
      </c>
      <c r="N1099" s="70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25">
      <c r="A1100" t="s">
        <v>42</v>
      </c>
      <c r="B1100">
        <v>1</v>
      </c>
      <c r="C1100" t="s">
        <v>27</v>
      </c>
      <c r="D1100" s="66">
        <v>650</v>
      </c>
      <c r="E1100" s="66">
        <v>666</v>
      </c>
      <c r="F1100" s="66">
        <v>650</v>
      </c>
      <c r="G1100" s="13">
        <f t="shared" si="306"/>
        <v>-16</v>
      </c>
      <c r="H1100" s="13">
        <f t="shared" si="307"/>
        <v>0</v>
      </c>
      <c r="I1100" s="70">
        <f t="shared" si="308"/>
        <v>0</v>
      </c>
      <c r="J1100" s="70">
        <f t="shared" si="309"/>
        <v>-2.4024024024024038E-2</v>
      </c>
      <c r="K1100" s="82" t="str">
        <f>_xlfn.IFNA(VLOOKUP(CLEAN(SUBSTITUTE(C1100," ","")),Ref_Factory!$A:$B,2,FALSE),CLEAN(SUBSTITUTE(C1100," ","")))</f>
        <v>CNJ2</v>
      </c>
      <c r="L1100" s="82" t="str">
        <f t="shared" si="310"/>
        <v>AUGUST-1-CNJ2</v>
      </c>
      <c r="M1100" s="70">
        <f t="shared" si="311"/>
        <v>0</v>
      </c>
      <c r="N1100" s="70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25">
      <c r="A1101" t="s">
        <v>42</v>
      </c>
      <c r="B1101">
        <v>1</v>
      </c>
      <c r="C1101" t="s">
        <v>17</v>
      </c>
      <c r="D1101" s="66">
        <v>8440</v>
      </c>
      <c r="E1101" s="66">
        <v>8510</v>
      </c>
      <c r="F1101" s="66">
        <v>8440</v>
      </c>
      <c r="G1101" s="13">
        <f t="shared" si="306"/>
        <v>-70</v>
      </c>
      <c r="H1101" s="13">
        <f t="shared" si="307"/>
        <v>0</v>
      </c>
      <c r="I1101" s="70">
        <f t="shared" si="308"/>
        <v>0</v>
      </c>
      <c r="J1101" s="70">
        <f t="shared" si="309"/>
        <v>-8.2256169212691077E-3</v>
      </c>
      <c r="K1101" s="82" t="str">
        <f>_xlfn.IFNA(VLOOKUP(CLEAN(SUBSTITUTE(C1101," ","")),Ref_Factory!$A:$B,2,FALSE),CLEAN(SUBSTITUTE(C1101," ","")))</f>
        <v>CBA</v>
      </c>
      <c r="L1101" s="82" t="str">
        <f t="shared" si="310"/>
        <v>AUGUST-1-CBA</v>
      </c>
      <c r="M1101" s="70">
        <f t="shared" si="311"/>
        <v>0</v>
      </c>
      <c r="N1101" s="70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25">
      <c r="A1102" t="s">
        <v>42</v>
      </c>
      <c r="B1102">
        <v>1</v>
      </c>
      <c r="C1102" t="s">
        <v>17</v>
      </c>
      <c r="D1102" s="66">
        <v>15120</v>
      </c>
      <c r="E1102" s="66">
        <v>15329</v>
      </c>
      <c r="F1102" s="66">
        <v>15120</v>
      </c>
      <c r="G1102" s="13">
        <f t="shared" si="306"/>
        <v>-209</v>
      </c>
      <c r="H1102" s="13">
        <f t="shared" si="307"/>
        <v>0</v>
      </c>
      <c r="I1102" s="70">
        <f t="shared" si="308"/>
        <v>0</v>
      </c>
      <c r="J1102" s="70">
        <f t="shared" si="309"/>
        <v>-1.3634287950942681E-2</v>
      </c>
      <c r="K1102" s="82" t="str">
        <f>_xlfn.IFNA(VLOOKUP(CLEAN(SUBSTITUTE(C1102," ","")),Ref_Factory!$A:$B,2,FALSE),CLEAN(SUBSTITUTE(C1102," ","")))</f>
        <v>CBA</v>
      </c>
      <c r="L1102" s="82" t="str">
        <f t="shared" si="310"/>
        <v>AUGUST-1-CBA</v>
      </c>
      <c r="M1102" s="70">
        <f t="shared" si="311"/>
        <v>0</v>
      </c>
      <c r="N1102" s="70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25">
      <c r="A1103" t="s">
        <v>42</v>
      </c>
      <c r="B1103">
        <v>1</v>
      </c>
      <c r="C1103" t="s">
        <v>17</v>
      </c>
      <c r="D1103" s="66">
        <v>3240</v>
      </c>
      <c r="E1103" s="66">
        <v>3253</v>
      </c>
      <c r="F1103" s="66">
        <v>3240</v>
      </c>
      <c r="G1103" s="13">
        <f t="shared" si="306"/>
        <v>-13</v>
      </c>
      <c r="H1103" s="13">
        <f t="shared" si="307"/>
        <v>0</v>
      </c>
      <c r="I1103" s="70">
        <f t="shared" si="308"/>
        <v>0</v>
      </c>
      <c r="J1103" s="70">
        <f t="shared" si="309"/>
        <v>-3.9963110974484684E-3</v>
      </c>
      <c r="K1103" s="82" t="str">
        <f>_xlfn.IFNA(VLOOKUP(CLEAN(SUBSTITUTE(C1103," ","")),Ref_Factory!$A:$B,2,FALSE),CLEAN(SUBSTITUTE(C1103," ","")))</f>
        <v>CBA</v>
      </c>
      <c r="L1103" s="82" t="str">
        <f t="shared" si="310"/>
        <v>AUGUST-1-CBA</v>
      </c>
      <c r="M1103" s="70">
        <f t="shared" si="311"/>
        <v>0</v>
      </c>
      <c r="N1103" s="70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25">
      <c r="A1104" t="s">
        <v>42</v>
      </c>
      <c r="B1104">
        <v>1</v>
      </c>
      <c r="C1104" t="s">
        <v>68</v>
      </c>
      <c r="D1104" s="66">
        <v>1002</v>
      </c>
      <c r="E1104" s="66">
        <v>1002</v>
      </c>
      <c r="F1104" s="66">
        <v>989</v>
      </c>
      <c r="G1104" s="13">
        <f t="shared" si="306"/>
        <v>-13</v>
      </c>
      <c r="H1104" s="13">
        <f t="shared" si="307"/>
        <v>-13</v>
      </c>
      <c r="I1104" s="70">
        <f t="shared" si="308"/>
        <v>-1.2974051896207595E-2</v>
      </c>
      <c r="J1104" s="70">
        <f t="shared" si="309"/>
        <v>-1.2974051896207595E-2</v>
      </c>
      <c r="K1104" s="82" t="str">
        <f>_xlfn.IFNA(VLOOKUP(CLEAN(SUBSTITUTE(C1104," ","")),Ref_Factory!$A:$B,2,FALSE),CLEAN(SUBSTITUTE(C1104," ","")))</f>
        <v>CLN</v>
      </c>
      <c r="L1104" s="82" t="str">
        <f t="shared" si="310"/>
        <v>AUGUST-1-CLN</v>
      </c>
      <c r="M1104" s="70">
        <f t="shared" si="311"/>
        <v>-1.2974051896207595E-2</v>
      </c>
      <c r="N1104" s="70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25">
      <c r="A1105" t="s">
        <v>42</v>
      </c>
      <c r="B1105">
        <v>1</v>
      </c>
      <c r="C1105" t="s">
        <v>15</v>
      </c>
      <c r="D1105" s="66">
        <v>1002</v>
      </c>
      <c r="E1105" s="66">
        <v>1002</v>
      </c>
      <c r="F1105" s="66">
        <v>981</v>
      </c>
      <c r="G1105" s="13">
        <f t="shared" si="306"/>
        <v>-21</v>
      </c>
      <c r="H1105" s="13">
        <f t="shared" si="307"/>
        <v>-21</v>
      </c>
      <c r="I1105" s="70">
        <f t="shared" si="308"/>
        <v>-2.0958083832335328E-2</v>
      </c>
      <c r="J1105" s="70">
        <f t="shared" si="309"/>
        <v>-2.0958083832335328E-2</v>
      </c>
      <c r="K1105" s="82" t="str">
        <f>_xlfn.IFNA(VLOOKUP(CLEAN(SUBSTITUTE(C1105," ","")),Ref_Factory!$A:$B,2,FALSE),CLEAN(SUBSTITUTE(C1105," ","")))</f>
        <v>CHAWAN</v>
      </c>
      <c r="L1105" s="82" t="str">
        <f t="shared" si="310"/>
        <v>AUGUST-1-CHAWAN</v>
      </c>
      <c r="M1105" s="70">
        <f t="shared" si="311"/>
        <v>-2.0958083832335328E-2</v>
      </c>
      <c r="N1105" s="70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25">
      <c r="A1106" t="s">
        <v>42</v>
      </c>
      <c r="B1106">
        <v>2</v>
      </c>
      <c r="C1106" t="s">
        <v>15</v>
      </c>
      <c r="D1106" s="66">
        <v>1552</v>
      </c>
      <c r="E1106" s="66">
        <v>1568</v>
      </c>
      <c r="F1106" s="66">
        <v>1552</v>
      </c>
      <c r="G1106" s="13">
        <f t="shared" si="306"/>
        <v>-16</v>
      </c>
      <c r="H1106" s="13">
        <f t="shared" si="307"/>
        <v>0</v>
      </c>
      <c r="I1106" s="70">
        <f t="shared" si="308"/>
        <v>0</v>
      </c>
      <c r="J1106" s="70">
        <f t="shared" si="309"/>
        <v>-1.0204081632653073E-2</v>
      </c>
      <c r="K1106" s="82" t="str">
        <f>_xlfn.IFNA(VLOOKUP(CLEAN(SUBSTITUTE(C1106," ","")),Ref_Factory!$A:$B,2,FALSE),CLEAN(SUBSTITUTE(C1106," ","")))</f>
        <v>CHAWAN</v>
      </c>
      <c r="L1106" s="82" t="str">
        <f t="shared" si="310"/>
        <v>AUGUST-2-CHAWAN</v>
      </c>
      <c r="M1106" s="70">
        <f t="shared" si="311"/>
        <v>7.25559268331466E-3</v>
      </c>
      <c r="N1106" s="70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25">
      <c r="A1107" t="s">
        <v>42</v>
      </c>
      <c r="B1107">
        <v>2</v>
      </c>
      <c r="C1107" t="s">
        <v>15</v>
      </c>
      <c r="D1107" s="66">
        <v>21</v>
      </c>
      <c r="E1107" s="68">
        <v>21</v>
      </c>
      <c r="F1107" s="68">
        <v>21</v>
      </c>
      <c r="G1107" s="13">
        <f t="shared" si="306"/>
        <v>0</v>
      </c>
      <c r="H1107" s="13">
        <f t="shared" si="307"/>
        <v>0</v>
      </c>
      <c r="I1107" s="70">
        <f t="shared" si="308"/>
        <v>0</v>
      </c>
      <c r="J1107" s="70">
        <f t="shared" si="309"/>
        <v>0</v>
      </c>
      <c r="K1107" s="82" t="str">
        <f>_xlfn.IFNA(VLOOKUP(CLEAN(SUBSTITUTE(C1107," ","")),Ref_Factory!$A:$B,2,FALSE),CLEAN(SUBSTITUTE(C1107," ","")))</f>
        <v>CHAWAN</v>
      </c>
      <c r="L1107" s="82" t="str">
        <f t="shared" si="310"/>
        <v>AUGUST-2-CHAWAN</v>
      </c>
      <c r="M1107" s="70">
        <f t="shared" si="311"/>
        <v>7.25559268331466E-3</v>
      </c>
      <c r="N1107" s="70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25">
      <c r="A1108" t="s">
        <v>42</v>
      </c>
      <c r="B1108">
        <v>2</v>
      </c>
      <c r="C1108" t="s">
        <v>15</v>
      </c>
      <c r="D1108" s="66">
        <v>2406</v>
      </c>
      <c r="E1108" s="68">
        <v>2406</v>
      </c>
      <c r="F1108" s="68">
        <v>2406</v>
      </c>
      <c r="G1108" s="13">
        <f t="shared" si="306"/>
        <v>0</v>
      </c>
      <c r="H1108" s="13">
        <f t="shared" si="307"/>
        <v>0</v>
      </c>
      <c r="I1108" s="70">
        <f t="shared" si="308"/>
        <v>0</v>
      </c>
      <c r="J1108" s="70">
        <f t="shared" si="309"/>
        <v>0</v>
      </c>
      <c r="K1108" s="82" t="str">
        <f>_xlfn.IFNA(VLOOKUP(CLEAN(SUBSTITUTE(C1108," ","")),Ref_Factory!$A:$B,2,FALSE),CLEAN(SUBSTITUTE(C1108," ","")))</f>
        <v>CHAWAN</v>
      </c>
      <c r="L1108" s="82" t="str">
        <f t="shared" si="310"/>
        <v>AUGUST-2-CHAWAN</v>
      </c>
      <c r="M1108" s="70">
        <f t="shared" si="311"/>
        <v>7.25559268331466E-3</v>
      </c>
      <c r="N1108" s="70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25">
      <c r="A1109" t="s">
        <v>42</v>
      </c>
      <c r="B1109">
        <v>2</v>
      </c>
      <c r="C1109" t="s">
        <v>15</v>
      </c>
      <c r="D1109" s="66">
        <v>2406</v>
      </c>
      <c r="E1109" s="68">
        <v>2406</v>
      </c>
      <c r="F1109" s="68">
        <v>2406</v>
      </c>
      <c r="G1109" s="13">
        <f t="shared" si="306"/>
        <v>0</v>
      </c>
      <c r="H1109" s="13">
        <f t="shared" si="307"/>
        <v>0</v>
      </c>
      <c r="I1109" s="70">
        <f t="shared" si="308"/>
        <v>0</v>
      </c>
      <c r="J1109" s="70">
        <f t="shared" si="309"/>
        <v>0</v>
      </c>
      <c r="K1109" s="82" t="str">
        <f>_xlfn.IFNA(VLOOKUP(CLEAN(SUBSTITUTE(C1109," ","")),Ref_Factory!$A:$B,2,FALSE),CLEAN(SUBSTITUTE(C1109," ","")))</f>
        <v>CHAWAN</v>
      </c>
      <c r="L1109" s="82" t="str">
        <f t="shared" si="310"/>
        <v>AUGUST-2-CHAWAN</v>
      </c>
      <c r="M1109" s="70">
        <f t="shared" si="311"/>
        <v>7.25559268331466E-3</v>
      </c>
      <c r="N1109" s="70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25">
      <c r="A1110" t="s">
        <v>42</v>
      </c>
      <c r="B1110">
        <v>2</v>
      </c>
      <c r="C1110" t="s">
        <v>15</v>
      </c>
      <c r="D1110" s="66">
        <v>71</v>
      </c>
      <c r="E1110" s="68">
        <v>71</v>
      </c>
      <c r="F1110" s="68">
        <v>71</v>
      </c>
      <c r="G1110" s="13">
        <f t="shared" si="306"/>
        <v>0</v>
      </c>
      <c r="H1110" s="13">
        <f t="shared" si="307"/>
        <v>0</v>
      </c>
      <c r="I1110" s="70">
        <f t="shared" si="308"/>
        <v>0</v>
      </c>
      <c r="J1110" s="70">
        <f t="shared" si="309"/>
        <v>0</v>
      </c>
      <c r="K1110" s="82" t="str">
        <f>_xlfn.IFNA(VLOOKUP(CLEAN(SUBSTITUTE(C1110," ","")),Ref_Factory!$A:$B,2,FALSE),CLEAN(SUBSTITUTE(C1110," ","")))</f>
        <v>CHAWAN</v>
      </c>
      <c r="L1110" s="82" t="str">
        <f t="shared" si="310"/>
        <v>AUGUST-2-CHAWAN</v>
      </c>
      <c r="M1110" s="70">
        <f t="shared" si="311"/>
        <v>7.25559268331466E-3</v>
      </c>
      <c r="N1110" s="70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25">
      <c r="A1111" t="s">
        <v>42</v>
      </c>
      <c r="B1111">
        <v>2</v>
      </c>
      <c r="C1111" t="s">
        <v>15</v>
      </c>
      <c r="D1111" s="66">
        <v>71</v>
      </c>
      <c r="E1111" s="68">
        <v>71</v>
      </c>
      <c r="F1111" s="68">
        <v>71</v>
      </c>
      <c r="G1111" s="13">
        <f t="shared" si="306"/>
        <v>0</v>
      </c>
      <c r="H1111" s="13">
        <f t="shared" si="307"/>
        <v>0</v>
      </c>
      <c r="I1111" s="70">
        <f t="shared" si="308"/>
        <v>0</v>
      </c>
      <c r="J1111" s="70">
        <f t="shared" si="309"/>
        <v>0</v>
      </c>
      <c r="K1111" s="82" t="str">
        <f>_xlfn.IFNA(VLOOKUP(CLEAN(SUBSTITUTE(C1111," ","")),Ref_Factory!$A:$B,2,FALSE),CLEAN(SUBSTITUTE(C1111," ","")))</f>
        <v>CHAWAN</v>
      </c>
      <c r="L1111" s="82" t="str">
        <f t="shared" si="310"/>
        <v>AUGUST-2-CHAWAN</v>
      </c>
      <c r="M1111" s="70">
        <f t="shared" si="311"/>
        <v>7.25559268331466E-3</v>
      </c>
      <c r="N1111" s="70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25">
      <c r="A1112" t="s">
        <v>42</v>
      </c>
      <c r="B1112">
        <v>2</v>
      </c>
      <c r="C1112" t="s">
        <v>15</v>
      </c>
      <c r="D1112" s="66">
        <v>21</v>
      </c>
      <c r="E1112" s="68">
        <v>21</v>
      </c>
      <c r="F1112" s="68">
        <v>21</v>
      </c>
      <c r="G1112" s="13">
        <f t="shared" si="306"/>
        <v>0</v>
      </c>
      <c r="H1112" s="13">
        <f t="shared" si="307"/>
        <v>0</v>
      </c>
      <c r="I1112" s="70">
        <f t="shared" si="308"/>
        <v>0</v>
      </c>
      <c r="J1112" s="70">
        <f t="shared" si="309"/>
        <v>0</v>
      </c>
      <c r="K1112" s="82" t="str">
        <f>_xlfn.IFNA(VLOOKUP(CLEAN(SUBSTITUTE(C1112," ","")),Ref_Factory!$A:$B,2,FALSE),CLEAN(SUBSTITUTE(C1112," ","")))</f>
        <v>CHAWAN</v>
      </c>
      <c r="L1112" s="82" t="str">
        <f t="shared" si="310"/>
        <v>AUGUST-2-CHAWAN</v>
      </c>
      <c r="M1112" s="70">
        <f t="shared" si="311"/>
        <v>7.25559268331466E-3</v>
      </c>
      <c r="N1112" s="70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25">
      <c r="A1113" t="s">
        <v>42</v>
      </c>
      <c r="B1113">
        <v>2</v>
      </c>
      <c r="C1113" t="s">
        <v>15</v>
      </c>
      <c r="D1113" s="66">
        <v>21</v>
      </c>
      <c r="E1113" s="68">
        <v>21</v>
      </c>
      <c r="F1113" s="68">
        <v>21</v>
      </c>
      <c r="G1113" s="13">
        <f t="shared" si="306"/>
        <v>0</v>
      </c>
      <c r="H1113" s="13">
        <f t="shared" si="307"/>
        <v>0</v>
      </c>
      <c r="I1113" s="70">
        <f t="shared" si="308"/>
        <v>0</v>
      </c>
      <c r="J1113" s="70">
        <f t="shared" si="309"/>
        <v>0</v>
      </c>
      <c r="K1113" s="82" t="str">
        <f>_xlfn.IFNA(VLOOKUP(CLEAN(SUBSTITUTE(C1113," ","")),Ref_Factory!$A:$B,2,FALSE),CLEAN(SUBSTITUTE(C1113," ","")))</f>
        <v>CHAWAN</v>
      </c>
      <c r="L1113" s="82" t="str">
        <f t="shared" si="310"/>
        <v>AUGUST-2-CHAWAN</v>
      </c>
      <c r="M1113" s="70">
        <f t="shared" si="311"/>
        <v>7.25559268331466E-3</v>
      </c>
      <c r="N1113" s="70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25">
      <c r="A1114" t="s">
        <v>42</v>
      </c>
      <c r="B1114">
        <v>2</v>
      </c>
      <c r="C1114" t="s">
        <v>15</v>
      </c>
      <c r="D1114" s="66">
        <v>594</v>
      </c>
      <c r="E1114" s="68">
        <v>594</v>
      </c>
      <c r="F1114" s="68">
        <v>594</v>
      </c>
      <c r="G1114" s="13">
        <f t="shared" si="306"/>
        <v>0</v>
      </c>
      <c r="H1114" s="13">
        <f t="shared" si="307"/>
        <v>0</v>
      </c>
      <c r="I1114" s="70">
        <f t="shared" si="308"/>
        <v>0</v>
      </c>
      <c r="J1114" s="70">
        <f t="shared" si="309"/>
        <v>0</v>
      </c>
      <c r="K1114" s="82" t="str">
        <f>_xlfn.IFNA(VLOOKUP(CLEAN(SUBSTITUTE(C1114," ","")),Ref_Factory!$A:$B,2,FALSE),CLEAN(SUBSTITUTE(C1114," ","")))</f>
        <v>CHAWAN</v>
      </c>
      <c r="L1114" s="82" t="str">
        <f t="shared" si="310"/>
        <v>AUGUST-2-CHAWAN</v>
      </c>
      <c r="M1114" s="70">
        <f t="shared" si="311"/>
        <v>7.25559268331466E-3</v>
      </c>
      <c r="N1114" s="70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25">
      <c r="A1115" t="s">
        <v>42</v>
      </c>
      <c r="B1115">
        <v>2</v>
      </c>
      <c r="C1115" t="s">
        <v>15</v>
      </c>
      <c r="D1115" s="66">
        <v>594</v>
      </c>
      <c r="E1115" s="68">
        <v>594</v>
      </c>
      <c r="F1115" s="68">
        <v>594</v>
      </c>
      <c r="G1115" s="13">
        <f t="shared" si="306"/>
        <v>0</v>
      </c>
      <c r="H1115" s="13">
        <f t="shared" si="307"/>
        <v>0</v>
      </c>
      <c r="I1115" s="70">
        <f t="shared" si="308"/>
        <v>0</v>
      </c>
      <c r="J1115" s="70">
        <f t="shared" si="309"/>
        <v>0</v>
      </c>
      <c r="K1115" s="82" t="str">
        <f>_xlfn.IFNA(VLOOKUP(CLEAN(SUBSTITUTE(C1115," ","")),Ref_Factory!$A:$B,2,FALSE),CLEAN(SUBSTITUTE(C1115," ","")))</f>
        <v>CHAWAN</v>
      </c>
      <c r="L1115" s="82" t="str">
        <f t="shared" si="310"/>
        <v>AUGUST-2-CHAWAN</v>
      </c>
      <c r="M1115" s="70">
        <f t="shared" si="311"/>
        <v>7.25559268331466E-3</v>
      </c>
      <c r="N1115" s="70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25">
      <c r="A1116" t="s">
        <v>42</v>
      </c>
      <c r="B1116">
        <v>2</v>
      </c>
      <c r="C1116" t="s">
        <v>15</v>
      </c>
      <c r="D1116" s="66">
        <v>135</v>
      </c>
      <c r="E1116" s="68">
        <v>135</v>
      </c>
      <c r="F1116" s="68">
        <v>135</v>
      </c>
      <c r="G1116" s="13">
        <f t="shared" si="306"/>
        <v>0</v>
      </c>
      <c r="H1116" s="13">
        <f t="shared" si="307"/>
        <v>0</v>
      </c>
      <c r="I1116" s="70">
        <f t="shared" si="308"/>
        <v>0</v>
      </c>
      <c r="J1116" s="70">
        <f t="shared" si="309"/>
        <v>0</v>
      </c>
      <c r="K1116" s="82" t="str">
        <f>_xlfn.IFNA(VLOOKUP(CLEAN(SUBSTITUTE(C1116," ","")),Ref_Factory!$A:$B,2,FALSE),CLEAN(SUBSTITUTE(C1116," ","")))</f>
        <v>CHAWAN</v>
      </c>
      <c r="L1116" s="82" t="str">
        <f t="shared" si="310"/>
        <v>AUGUST-2-CHAWAN</v>
      </c>
      <c r="M1116" s="70">
        <f t="shared" si="311"/>
        <v>7.25559268331466E-3</v>
      </c>
      <c r="N1116" s="70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25">
      <c r="A1117" t="s">
        <v>42</v>
      </c>
      <c r="B1117">
        <v>2</v>
      </c>
      <c r="C1117" t="s">
        <v>15</v>
      </c>
      <c r="D1117" s="66">
        <v>135</v>
      </c>
      <c r="E1117" s="68">
        <v>135</v>
      </c>
      <c r="F1117" s="68">
        <v>135</v>
      </c>
      <c r="G1117" s="13">
        <f t="shared" si="306"/>
        <v>0</v>
      </c>
      <c r="H1117" s="13">
        <f t="shared" si="307"/>
        <v>0</v>
      </c>
      <c r="I1117" s="70">
        <f t="shared" si="308"/>
        <v>0</v>
      </c>
      <c r="J1117" s="70">
        <f t="shared" si="309"/>
        <v>0</v>
      </c>
      <c r="K1117" s="82" t="str">
        <f>_xlfn.IFNA(VLOOKUP(CLEAN(SUBSTITUTE(C1117," ","")),Ref_Factory!$A:$B,2,FALSE),CLEAN(SUBSTITUTE(C1117," ","")))</f>
        <v>CHAWAN</v>
      </c>
      <c r="L1117" s="82" t="str">
        <f t="shared" si="310"/>
        <v>AUGUST-2-CHAWAN</v>
      </c>
      <c r="M1117" s="70">
        <f t="shared" si="311"/>
        <v>7.25559268331466E-3</v>
      </c>
      <c r="N1117" s="70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25">
      <c r="A1118" t="s">
        <v>42</v>
      </c>
      <c r="B1118">
        <v>2</v>
      </c>
      <c r="C1118" t="s">
        <v>15</v>
      </c>
      <c r="D1118" s="66">
        <v>26</v>
      </c>
      <c r="E1118" s="68">
        <v>26</v>
      </c>
      <c r="F1118" s="68">
        <v>26</v>
      </c>
      <c r="G1118" s="13">
        <f t="shared" si="306"/>
        <v>0</v>
      </c>
      <c r="H1118" s="13">
        <f t="shared" si="307"/>
        <v>0</v>
      </c>
      <c r="I1118" s="70">
        <f t="shared" si="308"/>
        <v>0</v>
      </c>
      <c r="J1118" s="70">
        <f t="shared" si="309"/>
        <v>0</v>
      </c>
      <c r="K1118" s="82" t="str">
        <f>_xlfn.IFNA(VLOOKUP(CLEAN(SUBSTITUTE(C1118," ","")),Ref_Factory!$A:$B,2,FALSE),CLEAN(SUBSTITUTE(C1118," ","")))</f>
        <v>CHAWAN</v>
      </c>
      <c r="L1118" s="82" t="str">
        <f t="shared" si="310"/>
        <v>AUGUST-2-CHAWAN</v>
      </c>
      <c r="M1118" s="70">
        <f t="shared" si="311"/>
        <v>7.25559268331466E-3</v>
      </c>
      <c r="N1118" s="70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25">
      <c r="A1119" t="s">
        <v>42</v>
      </c>
      <c r="B1119">
        <v>2</v>
      </c>
      <c r="C1119" t="s">
        <v>15</v>
      </c>
      <c r="D1119" s="66">
        <v>26</v>
      </c>
      <c r="E1119" s="68">
        <v>26</v>
      </c>
      <c r="F1119" s="68">
        <v>26</v>
      </c>
      <c r="G1119" s="13">
        <f t="shared" si="306"/>
        <v>0</v>
      </c>
      <c r="H1119" s="13">
        <f t="shared" si="307"/>
        <v>0</v>
      </c>
      <c r="I1119" s="70">
        <f t="shared" si="308"/>
        <v>0</v>
      </c>
      <c r="J1119" s="70">
        <f t="shared" si="309"/>
        <v>0</v>
      </c>
      <c r="K1119" s="82" t="str">
        <f>_xlfn.IFNA(VLOOKUP(CLEAN(SUBSTITUTE(C1119," ","")),Ref_Factory!$A:$B,2,FALSE),CLEAN(SUBSTITUTE(C1119," ","")))</f>
        <v>CHAWAN</v>
      </c>
      <c r="L1119" s="82" t="str">
        <f t="shared" si="310"/>
        <v>AUGUST-2-CHAWAN</v>
      </c>
      <c r="M1119" s="70">
        <f t="shared" si="311"/>
        <v>7.25559268331466E-3</v>
      </c>
      <c r="N1119" s="70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25">
      <c r="A1120" t="s">
        <v>42</v>
      </c>
      <c r="B1120">
        <v>2</v>
      </c>
      <c r="C1120" t="s">
        <v>15</v>
      </c>
      <c r="D1120" s="66">
        <v>53</v>
      </c>
      <c r="E1120" s="68">
        <v>53</v>
      </c>
      <c r="F1120" s="68">
        <v>53</v>
      </c>
      <c r="G1120" s="13">
        <f t="shared" si="306"/>
        <v>0</v>
      </c>
      <c r="H1120" s="13">
        <f t="shared" si="307"/>
        <v>0</v>
      </c>
      <c r="I1120" s="70">
        <f t="shared" si="308"/>
        <v>0</v>
      </c>
      <c r="J1120" s="70">
        <f t="shared" si="309"/>
        <v>0</v>
      </c>
      <c r="K1120" s="82" t="str">
        <f>_xlfn.IFNA(VLOOKUP(CLEAN(SUBSTITUTE(C1120," ","")),Ref_Factory!$A:$B,2,FALSE),CLEAN(SUBSTITUTE(C1120," ","")))</f>
        <v>CHAWAN</v>
      </c>
      <c r="L1120" s="82" t="str">
        <f t="shared" si="310"/>
        <v>AUGUST-2-CHAWAN</v>
      </c>
      <c r="M1120" s="70">
        <f t="shared" si="311"/>
        <v>7.25559268331466E-3</v>
      </c>
      <c r="N1120" s="70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25">
      <c r="A1121" t="s">
        <v>42</v>
      </c>
      <c r="B1121">
        <v>2</v>
      </c>
      <c r="C1121" t="s">
        <v>15</v>
      </c>
      <c r="D1121" s="66">
        <v>15</v>
      </c>
      <c r="E1121" s="68">
        <v>15</v>
      </c>
      <c r="F1121" s="68">
        <v>15</v>
      </c>
      <c r="G1121" s="13">
        <f t="shared" si="306"/>
        <v>0</v>
      </c>
      <c r="H1121" s="13">
        <f t="shared" si="307"/>
        <v>0</v>
      </c>
      <c r="I1121" s="70">
        <f t="shared" si="308"/>
        <v>0</v>
      </c>
      <c r="J1121" s="70">
        <f t="shared" si="309"/>
        <v>0</v>
      </c>
      <c r="K1121" s="82" t="str">
        <f>_xlfn.IFNA(VLOOKUP(CLEAN(SUBSTITUTE(C1121," ","")),Ref_Factory!$A:$B,2,FALSE),CLEAN(SUBSTITUTE(C1121," ","")))</f>
        <v>CHAWAN</v>
      </c>
      <c r="L1121" s="82" t="str">
        <f t="shared" si="310"/>
        <v>AUGUST-2-CHAWAN</v>
      </c>
      <c r="M1121" s="70">
        <f t="shared" si="311"/>
        <v>7.25559268331466E-3</v>
      </c>
      <c r="N1121" s="70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25">
      <c r="A1122" t="s">
        <v>42</v>
      </c>
      <c r="B1122">
        <v>2</v>
      </c>
      <c r="C1122" t="s">
        <v>15</v>
      </c>
      <c r="D1122" s="66">
        <v>15</v>
      </c>
      <c r="E1122" s="68">
        <v>15</v>
      </c>
      <c r="F1122" s="68">
        <v>15</v>
      </c>
      <c r="G1122" s="13">
        <f t="shared" si="306"/>
        <v>0</v>
      </c>
      <c r="H1122" s="13">
        <f t="shared" si="307"/>
        <v>0</v>
      </c>
      <c r="I1122" s="70">
        <f t="shared" si="308"/>
        <v>0</v>
      </c>
      <c r="J1122" s="70">
        <f t="shared" si="309"/>
        <v>0</v>
      </c>
      <c r="K1122" s="82" t="str">
        <f>_xlfn.IFNA(VLOOKUP(CLEAN(SUBSTITUTE(C1122," ","")),Ref_Factory!$A:$B,2,FALSE),CLEAN(SUBSTITUTE(C1122," ","")))</f>
        <v>CHAWAN</v>
      </c>
      <c r="L1122" s="82" t="str">
        <f t="shared" si="310"/>
        <v>AUGUST-2-CHAWAN</v>
      </c>
      <c r="M1122" s="70">
        <f t="shared" si="311"/>
        <v>7.25559268331466E-3</v>
      </c>
      <c r="N1122" s="70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25">
      <c r="A1123" t="s">
        <v>42</v>
      </c>
      <c r="B1123">
        <v>2</v>
      </c>
      <c r="C1123" t="s">
        <v>15</v>
      </c>
      <c r="D1123" s="66">
        <v>29</v>
      </c>
      <c r="E1123" s="68">
        <v>29</v>
      </c>
      <c r="F1123" s="68">
        <v>29</v>
      </c>
      <c r="G1123" s="13">
        <f t="shared" si="306"/>
        <v>0</v>
      </c>
      <c r="H1123" s="13">
        <f t="shared" si="307"/>
        <v>0</v>
      </c>
      <c r="I1123" s="70">
        <f t="shared" si="308"/>
        <v>0</v>
      </c>
      <c r="J1123" s="70">
        <f t="shared" si="309"/>
        <v>0</v>
      </c>
      <c r="K1123" s="82" t="str">
        <f>_xlfn.IFNA(VLOOKUP(CLEAN(SUBSTITUTE(C1123," ","")),Ref_Factory!$A:$B,2,FALSE),CLEAN(SUBSTITUTE(C1123," ","")))</f>
        <v>CHAWAN</v>
      </c>
      <c r="L1123" s="82" t="str">
        <f t="shared" si="310"/>
        <v>AUGUST-2-CHAWAN</v>
      </c>
      <c r="M1123" s="70">
        <f t="shared" si="311"/>
        <v>7.25559268331466E-3</v>
      </c>
      <c r="N1123" s="70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25">
      <c r="A1124" t="s">
        <v>42</v>
      </c>
      <c r="B1124">
        <v>2</v>
      </c>
      <c r="C1124" t="s">
        <v>15</v>
      </c>
      <c r="D1124" s="66">
        <v>29</v>
      </c>
      <c r="E1124" s="68">
        <v>29</v>
      </c>
      <c r="F1124" s="68">
        <v>29</v>
      </c>
      <c r="G1124" s="13">
        <f t="shared" si="306"/>
        <v>0</v>
      </c>
      <c r="H1124" s="13">
        <f t="shared" si="307"/>
        <v>0</v>
      </c>
      <c r="I1124" s="70">
        <f t="shared" si="308"/>
        <v>0</v>
      </c>
      <c r="J1124" s="70">
        <f t="shared" si="309"/>
        <v>0</v>
      </c>
      <c r="K1124" s="82" t="str">
        <f>_xlfn.IFNA(VLOOKUP(CLEAN(SUBSTITUTE(C1124," ","")),Ref_Factory!$A:$B,2,FALSE),CLEAN(SUBSTITUTE(C1124," ","")))</f>
        <v>CHAWAN</v>
      </c>
      <c r="L1124" s="82" t="str">
        <f t="shared" si="310"/>
        <v>AUGUST-2-CHAWAN</v>
      </c>
      <c r="M1124" s="70">
        <f t="shared" si="311"/>
        <v>7.25559268331466E-3</v>
      </c>
      <c r="N1124" s="70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25">
      <c r="A1125" t="s">
        <v>42</v>
      </c>
      <c r="B1125">
        <v>2</v>
      </c>
      <c r="C1125" t="s">
        <v>15</v>
      </c>
      <c r="D1125" s="66">
        <v>468</v>
      </c>
      <c r="E1125" s="68">
        <v>468</v>
      </c>
      <c r="F1125" s="68">
        <v>468</v>
      </c>
      <c r="G1125" s="13">
        <f t="shared" si="306"/>
        <v>0</v>
      </c>
      <c r="H1125" s="13">
        <f t="shared" si="307"/>
        <v>0</v>
      </c>
      <c r="I1125" s="70">
        <f t="shared" si="308"/>
        <v>0</v>
      </c>
      <c r="J1125" s="70">
        <f t="shared" si="309"/>
        <v>0</v>
      </c>
      <c r="K1125" s="82" t="str">
        <f>_xlfn.IFNA(VLOOKUP(CLEAN(SUBSTITUTE(C1125," ","")),Ref_Factory!$A:$B,2,FALSE),CLEAN(SUBSTITUTE(C1125," ","")))</f>
        <v>CHAWAN</v>
      </c>
      <c r="L1125" s="82" t="str">
        <f t="shared" si="310"/>
        <v>AUGUST-2-CHAWAN</v>
      </c>
      <c r="M1125" s="70">
        <f t="shared" si="311"/>
        <v>7.25559268331466E-3</v>
      </c>
      <c r="N1125" s="70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25">
      <c r="A1126" t="s">
        <v>42</v>
      </c>
      <c r="B1126">
        <v>2</v>
      </c>
      <c r="C1126" t="s">
        <v>15</v>
      </c>
      <c r="D1126" s="66">
        <v>468</v>
      </c>
      <c r="E1126" s="68">
        <v>468</v>
      </c>
      <c r="F1126" s="68">
        <v>468</v>
      </c>
      <c r="G1126" s="13">
        <f t="shared" si="306"/>
        <v>0</v>
      </c>
      <c r="H1126" s="13">
        <f t="shared" si="307"/>
        <v>0</v>
      </c>
      <c r="I1126" s="70">
        <f t="shared" si="308"/>
        <v>0</v>
      </c>
      <c r="J1126" s="70">
        <f t="shared" si="309"/>
        <v>0</v>
      </c>
      <c r="K1126" s="82" t="str">
        <f>_xlfn.IFNA(VLOOKUP(CLEAN(SUBSTITUTE(C1126," ","")),Ref_Factory!$A:$B,2,FALSE),CLEAN(SUBSTITUTE(C1126," ","")))</f>
        <v>CHAWAN</v>
      </c>
      <c r="L1126" s="82" t="str">
        <f t="shared" si="310"/>
        <v>AUGUST-2-CHAWAN</v>
      </c>
      <c r="M1126" s="70">
        <f t="shared" si="311"/>
        <v>7.25559268331466E-3</v>
      </c>
      <c r="N1126" s="70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25">
      <c r="A1127" t="s">
        <v>42</v>
      </c>
      <c r="B1127">
        <v>2</v>
      </c>
      <c r="C1127" t="s">
        <v>15</v>
      </c>
      <c r="D1127" s="66">
        <v>2943</v>
      </c>
      <c r="E1127" s="66">
        <v>2952</v>
      </c>
      <c r="F1127" s="68">
        <v>2952</v>
      </c>
      <c r="G1127" s="13">
        <f t="shared" si="306"/>
        <v>0</v>
      </c>
      <c r="H1127" s="13">
        <f t="shared" si="307"/>
        <v>9</v>
      </c>
      <c r="I1127" s="70">
        <f t="shared" si="308"/>
        <v>3.0581039755350758E-3</v>
      </c>
      <c r="J1127" s="70">
        <f t="shared" si="309"/>
        <v>0</v>
      </c>
      <c r="K1127" s="82" t="str">
        <f>_xlfn.IFNA(VLOOKUP(CLEAN(SUBSTITUTE(C1127," ","")),Ref_Factory!$A:$B,2,FALSE),CLEAN(SUBSTITUTE(C1127," ","")))</f>
        <v>CHAWAN</v>
      </c>
      <c r="L1127" s="82" t="str">
        <f t="shared" si="310"/>
        <v>AUGUST-2-CHAWAN</v>
      </c>
      <c r="M1127" s="70">
        <f t="shared" si="311"/>
        <v>7.25559268331466E-3</v>
      </c>
      <c r="N1127" s="70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25">
      <c r="A1128" t="s">
        <v>42</v>
      </c>
      <c r="B1128">
        <v>2</v>
      </c>
      <c r="C1128" t="s">
        <v>15</v>
      </c>
      <c r="D1128" s="66">
        <v>2943</v>
      </c>
      <c r="E1128" s="66">
        <v>2952</v>
      </c>
      <c r="F1128" s="68">
        <v>2952</v>
      </c>
      <c r="G1128" s="13">
        <f t="shared" si="306"/>
        <v>0</v>
      </c>
      <c r="H1128" s="13">
        <f t="shared" si="307"/>
        <v>9</v>
      </c>
      <c r="I1128" s="70">
        <f t="shared" si="308"/>
        <v>3.0581039755350758E-3</v>
      </c>
      <c r="J1128" s="70">
        <f t="shared" si="309"/>
        <v>0</v>
      </c>
      <c r="K1128" s="82" t="str">
        <f>_xlfn.IFNA(VLOOKUP(CLEAN(SUBSTITUTE(C1128," ","")),Ref_Factory!$A:$B,2,FALSE),CLEAN(SUBSTITUTE(C1128," ","")))</f>
        <v>CHAWAN</v>
      </c>
      <c r="L1128" s="82" t="str">
        <f t="shared" si="310"/>
        <v>AUGUST-2-CHAWAN</v>
      </c>
      <c r="M1128" s="70">
        <f t="shared" si="311"/>
        <v>7.25559268331466E-3</v>
      </c>
      <c r="N1128" s="70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25">
      <c r="A1129" t="s">
        <v>42</v>
      </c>
      <c r="B1129">
        <v>2</v>
      </c>
      <c r="C1129" t="s">
        <v>15</v>
      </c>
      <c r="D1129" s="66">
        <v>112</v>
      </c>
      <c r="E1129" s="68">
        <v>112</v>
      </c>
      <c r="F1129" s="68">
        <v>112</v>
      </c>
      <c r="G1129" s="13">
        <f t="shared" si="306"/>
        <v>0</v>
      </c>
      <c r="H1129" s="13">
        <f t="shared" si="307"/>
        <v>0</v>
      </c>
      <c r="I1129" s="70">
        <f t="shared" si="308"/>
        <v>0</v>
      </c>
      <c r="J1129" s="70">
        <f t="shared" si="309"/>
        <v>0</v>
      </c>
      <c r="K1129" s="82" t="str">
        <f>_xlfn.IFNA(VLOOKUP(CLEAN(SUBSTITUTE(C1129," ","")),Ref_Factory!$A:$B,2,FALSE),CLEAN(SUBSTITUTE(C1129," ","")))</f>
        <v>CHAWAN</v>
      </c>
      <c r="L1129" s="82" t="str">
        <f t="shared" si="310"/>
        <v>AUGUST-2-CHAWAN</v>
      </c>
      <c r="M1129" s="70">
        <f t="shared" si="311"/>
        <v>7.25559268331466E-3</v>
      </c>
      <c r="N1129" s="70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25">
      <c r="A1130" t="s">
        <v>42</v>
      </c>
      <c r="B1130">
        <v>2</v>
      </c>
      <c r="C1130" t="s">
        <v>15</v>
      </c>
      <c r="D1130" s="66">
        <v>112</v>
      </c>
      <c r="E1130" s="68">
        <v>112</v>
      </c>
      <c r="F1130" s="68">
        <v>112</v>
      </c>
      <c r="G1130" s="13">
        <f t="shared" si="306"/>
        <v>0</v>
      </c>
      <c r="H1130" s="13">
        <f t="shared" si="307"/>
        <v>0</v>
      </c>
      <c r="I1130" s="70">
        <f t="shared" si="308"/>
        <v>0</v>
      </c>
      <c r="J1130" s="70">
        <f t="shared" si="309"/>
        <v>0</v>
      </c>
      <c r="K1130" s="82" t="str">
        <f>_xlfn.IFNA(VLOOKUP(CLEAN(SUBSTITUTE(C1130," ","")),Ref_Factory!$A:$B,2,FALSE),CLEAN(SUBSTITUTE(C1130," ","")))</f>
        <v>CHAWAN</v>
      </c>
      <c r="L1130" s="82" t="str">
        <f t="shared" si="310"/>
        <v>AUGUST-2-CHAWAN</v>
      </c>
      <c r="M1130" s="70">
        <f t="shared" si="311"/>
        <v>7.25559268331466E-3</v>
      </c>
      <c r="N1130" s="70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25">
      <c r="A1131" t="s">
        <v>42</v>
      </c>
      <c r="B1131">
        <v>2</v>
      </c>
      <c r="C1131" t="s">
        <v>15</v>
      </c>
      <c r="D1131" s="66">
        <v>780</v>
      </c>
      <c r="E1131" s="68">
        <v>780</v>
      </c>
      <c r="F1131" s="68">
        <v>780</v>
      </c>
      <c r="G1131" s="13">
        <f t="shared" si="306"/>
        <v>0</v>
      </c>
      <c r="H1131" s="13">
        <f t="shared" si="307"/>
        <v>0</v>
      </c>
      <c r="I1131" s="70">
        <f t="shared" si="308"/>
        <v>0</v>
      </c>
      <c r="J1131" s="70">
        <f t="shared" si="309"/>
        <v>0</v>
      </c>
      <c r="K1131" s="82" t="str">
        <f>_xlfn.IFNA(VLOOKUP(CLEAN(SUBSTITUTE(C1131," ","")),Ref_Factory!$A:$B,2,FALSE),CLEAN(SUBSTITUTE(C1131," ","")))</f>
        <v>CHAWAN</v>
      </c>
      <c r="L1131" s="82" t="str">
        <f t="shared" si="310"/>
        <v>AUGUST-2-CHAWAN</v>
      </c>
      <c r="M1131" s="70">
        <f t="shared" si="311"/>
        <v>7.25559268331466E-3</v>
      </c>
      <c r="N1131" s="70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25">
      <c r="A1132" t="s">
        <v>42</v>
      </c>
      <c r="B1132">
        <v>2</v>
      </c>
      <c r="C1132" t="s">
        <v>15</v>
      </c>
      <c r="D1132" s="66">
        <v>780</v>
      </c>
      <c r="E1132" s="68">
        <v>780</v>
      </c>
      <c r="F1132" s="68">
        <v>780</v>
      </c>
      <c r="G1132" s="13">
        <f t="shared" si="306"/>
        <v>0</v>
      </c>
      <c r="H1132" s="13">
        <f t="shared" si="307"/>
        <v>0</v>
      </c>
      <c r="I1132" s="70">
        <f t="shared" si="308"/>
        <v>0</v>
      </c>
      <c r="J1132" s="70">
        <f t="shared" si="309"/>
        <v>0</v>
      </c>
      <c r="K1132" s="82" t="str">
        <f>_xlfn.IFNA(VLOOKUP(CLEAN(SUBSTITUTE(C1132," ","")),Ref_Factory!$A:$B,2,FALSE),CLEAN(SUBSTITUTE(C1132," ","")))</f>
        <v>CHAWAN</v>
      </c>
      <c r="L1132" s="82" t="str">
        <f t="shared" si="310"/>
        <v>AUGUST-2-CHAWAN</v>
      </c>
      <c r="M1132" s="70">
        <f t="shared" si="311"/>
        <v>7.25559268331466E-3</v>
      </c>
      <c r="N1132" s="70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25">
      <c r="A1133" t="s">
        <v>42</v>
      </c>
      <c r="B1133">
        <v>2</v>
      </c>
      <c r="C1133" t="s">
        <v>15</v>
      </c>
      <c r="D1133" s="66">
        <v>87</v>
      </c>
      <c r="E1133" s="68">
        <v>87</v>
      </c>
      <c r="F1133" s="68">
        <v>87</v>
      </c>
      <c r="G1133" s="13">
        <f t="shared" si="306"/>
        <v>0</v>
      </c>
      <c r="H1133" s="13">
        <f t="shared" si="307"/>
        <v>0</v>
      </c>
      <c r="I1133" s="70">
        <f t="shared" si="308"/>
        <v>0</v>
      </c>
      <c r="J1133" s="70">
        <f t="shared" si="309"/>
        <v>0</v>
      </c>
      <c r="K1133" s="82" t="str">
        <f>_xlfn.IFNA(VLOOKUP(CLEAN(SUBSTITUTE(C1133," ","")),Ref_Factory!$A:$B,2,FALSE),CLEAN(SUBSTITUTE(C1133," ","")))</f>
        <v>CHAWAN</v>
      </c>
      <c r="L1133" s="82" t="str">
        <f t="shared" si="310"/>
        <v>AUGUST-2-CHAWAN</v>
      </c>
      <c r="M1133" s="70">
        <f t="shared" si="311"/>
        <v>7.25559268331466E-3</v>
      </c>
      <c r="N1133" s="70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25">
      <c r="A1134" t="s">
        <v>42</v>
      </c>
      <c r="B1134">
        <v>2</v>
      </c>
      <c r="C1134" t="s">
        <v>15</v>
      </c>
      <c r="D1134" s="66">
        <v>87</v>
      </c>
      <c r="E1134" s="68">
        <v>87</v>
      </c>
      <c r="F1134" s="68">
        <v>87</v>
      </c>
      <c r="G1134" s="13">
        <f t="shared" si="306"/>
        <v>0</v>
      </c>
      <c r="H1134" s="13">
        <f t="shared" si="307"/>
        <v>0</v>
      </c>
      <c r="I1134" s="70">
        <f t="shared" si="308"/>
        <v>0</v>
      </c>
      <c r="J1134" s="70">
        <f t="shared" si="309"/>
        <v>0</v>
      </c>
      <c r="K1134" s="82" t="str">
        <f>_xlfn.IFNA(VLOOKUP(CLEAN(SUBSTITUTE(C1134," ","")),Ref_Factory!$A:$B,2,FALSE),CLEAN(SUBSTITUTE(C1134," ","")))</f>
        <v>CHAWAN</v>
      </c>
      <c r="L1134" s="82" t="str">
        <f t="shared" si="310"/>
        <v>AUGUST-2-CHAWAN</v>
      </c>
      <c r="M1134" s="70">
        <f t="shared" si="311"/>
        <v>7.25559268331466E-3</v>
      </c>
      <c r="N1134" s="70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25">
      <c r="A1135" t="s">
        <v>42</v>
      </c>
      <c r="B1135">
        <v>2</v>
      </c>
      <c r="C1135" t="s">
        <v>15</v>
      </c>
      <c r="D1135" s="66">
        <v>38</v>
      </c>
      <c r="E1135" s="68">
        <v>38</v>
      </c>
      <c r="F1135" s="68">
        <v>38</v>
      </c>
      <c r="G1135" s="13">
        <f t="shared" si="306"/>
        <v>0</v>
      </c>
      <c r="H1135" s="13">
        <f t="shared" si="307"/>
        <v>0</v>
      </c>
      <c r="I1135" s="70">
        <f t="shared" si="308"/>
        <v>0</v>
      </c>
      <c r="J1135" s="70">
        <f t="shared" si="309"/>
        <v>0</v>
      </c>
      <c r="K1135" s="82" t="str">
        <f>_xlfn.IFNA(VLOOKUP(CLEAN(SUBSTITUTE(C1135," ","")),Ref_Factory!$A:$B,2,FALSE),CLEAN(SUBSTITUTE(C1135," ","")))</f>
        <v>CHAWAN</v>
      </c>
      <c r="L1135" s="82" t="str">
        <f t="shared" si="310"/>
        <v>AUGUST-2-CHAWAN</v>
      </c>
      <c r="M1135" s="70">
        <f t="shared" si="311"/>
        <v>7.25559268331466E-3</v>
      </c>
      <c r="N1135" s="70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25">
      <c r="A1136" t="s">
        <v>42</v>
      </c>
      <c r="B1136">
        <v>2</v>
      </c>
      <c r="C1136" t="s">
        <v>15</v>
      </c>
      <c r="D1136" s="66">
        <v>38</v>
      </c>
      <c r="E1136" s="68">
        <v>38</v>
      </c>
      <c r="F1136" s="68">
        <v>38</v>
      </c>
      <c r="G1136" s="13">
        <f t="shared" si="306"/>
        <v>0</v>
      </c>
      <c r="H1136" s="13">
        <f t="shared" si="307"/>
        <v>0</v>
      </c>
      <c r="I1136" s="70">
        <f t="shared" si="308"/>
        <v>0</v>
      </c>
      <c r="J1136" s="70">
        <f t="shared" si="309"/>
        <v>0</v>
      </c>
      <c r="K1136" s="82" t="str">
        <f>_xlfn.IFNA(VLOOKUP(CLEAN(SUBSTITUTE(C1136," ","")),Ref_Factory!$A:$B,2,FALSE),CLEAN(SUBSTITUTE(C1136," ","")))</f>
        <v>CHAWAN</v>
      </c>
      <c r="L1136" s="82" t="str">
        <f t="shared" si="310"/>
        <v>AUGUST-2-CHAWAN</v>
      </c>
      <c r="M1136" s="70">
        <f t="shared" si="311"/>
        <v>7.25559268331466E-3</v>
      </c>
      <c r="N1136" s="70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25">
      <c r="A1137" t="s">
        <v>42</v>
      </c>
      <c r="B1137">
        <v>2</v>
      </c>
      <c r="C1137" t="s">
        <v>15</v>
      </c>
      <c r="D1137" s="66">
        <v>207</v>
      </c>
      <c r="E1137" s="68">
        <v>207</v>
      </c>
      <c r="F1137" s="68">
        <v>207</v>
      </c>
      <c r="G1137" s="13">
        <f t="shared" si="306"/>
        <v>0</v>
      </c>
      <c r="H1137" s="13">
        <f t="shared" si="307"/>
        <v>0</v>
      </c>
      <c r="I1137" s="70">
        <f t="shared" si="308"/>
        <v>0</v>
      </c>
      <c r="J1137" s="70">
        <f t="shared" si="309"/>
        <v>0</v>
      </c>
      <c r="K1137" s="82" t="str">
        <f>_xlfn.IFNA(VLOOKUP(CLEAN(SUBSTITUTE(C1137," ","")),Ref_Factory!$A:$B,2,FALSE),CLEAN(SUBSTITUTE(C1137," ","")))</f>
        <v>CHAWAN</v>
      </c>
      <c r="L1137" s="82" t="str">
        <f t="shared" si="310"/>
        <v>AUGUST-2-CHAWAN</v>
      </c>
      <c r="M1137" s="70">
        <f t="shared" si="311"/>
        <v>7.25559268331466E-3</v>
      </c>
      <c r="N1137" s="70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25">
      <c r="A1138" t="s">
        <v>42</v>
      </c>
      <c r="B1138">
        <v>2</v>
      </c>
      <c r="C1138" t="s">
        <v>15</v>
      </c>
      <c r="D1138" s="66">
        <v>207</v>
      </c>
      <c r="E1138" s="68">
        <v>207</v>
      </c>
      <c r="F1138" s="68">
        <v>207</v>
      </c>
      <c r="G1138" s="13">
        <f t="shared" si="306"/>
        <v>0</v>
      </c>
      <c r="H1138" s="13">
        <f t="shared" si="307"/>
        <v>0</v>
      </c>
      <c r="I1138" s="70">
        <f t="shared" si="308"/>
        <v>0</v>
      </c>
      <c r="J1138" s="70">
        <f t="shared" si="309"/>
        <v>0</v>
      </c>
      <c r="K1138" s="82" t="str">
        <f>_xlfn.IFNA(VLOOKUP(CLEAN(SUBSTITUTE(C1138," ","")),Ref_Factory!$A:$B,2,FALSE),CLEAN(SUBSTITUTE(C1138," ","")))</f>
        <v>CHAWAN</v>
      </c>
      <c r="L1138" s="82" t="str">
        <f t="shared" si="310"/>
        <v>AUGUST-2-CHAWAN</v>
      </c>
      <c r="M1138" s="70">
        <f t="shared" si="311"/>
        <v>7.25559268331466E-3</v>
      </c>
      <c r="N1138" s="70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25">
      <c r="A1139" t="s">
        <v>42</v>
      </c>
      <c r="B1139">
        <v>2</v>
      </c>
      <c r="C1139" t="s">
        <v>15</v>
      </c>
      <c r="D1139" s="66">
        <v>2633</v>
      </c>
      <c r="E1139" s="68">
        <v>2636</v>
      </c>
      <c r="F1139" s="68">
        <v>2636</v>
      </c>
      <c r="G1139" s="13">
        <f t="shared" si="306"/>
        <v>0</v>
      </c>
      <c r="H1139" s="13">
        <f t="shared" si="307"/>
        <v>3</v>
      </c>
      <c r="I1139" s="70">
        <f t="shared" si="308"/>
        <v>1.1393847322445083E-3</v>
      </c>
      <c r="J1139" s="70">
        <f t="shared" si="309"/>
        <v>0</v>
      </c>
      <c r="K1139" s="82" t="str">
        <f>_xlfn.IFNA(VLOOKUP(CLEAN(SUBSTITUTE(C1139," ","")),Ref_Factory!$A:$B,2,FALSE),CLEAN(SUBSTITUTE(C1139," ","")))</f>
        <v>CHAWAN</v>
      </c>
      <c r="L1139" s="82" t="str">
        <f t="shared" si="310"/>
        <v>AUGUST-2-CHAWAN</v>
      </c>
      <c r="M1139" s="70">
        <f t="shared" si="311"/>
        <v>7.25559268331466E-3</v>
      </c>
      <c r="N1139" s="70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25">
      <c r="A1140" t="s">
        <v>42</v>
      </c>
      <c r="B1140">
        <v>2</v>
      </c>
      <c r="C1140" t="s">
        <v>15</v>
      </c>
      <c r="D1140" s="66">
        <v>106</v>
      </c>
      <c r="E1140" s="68">
        <v>106</v>
      </c>
      <c r="F1140" s="68">
        <v>106</v>
      </c>
      <c r="G1140" s="13">
        <f t="shared" si="306"/>
        <v>0</v>
      </c>
      <c r="H1140" s="13">
        <f t="shared" si="307"/>
        <v>0</v>
      </c>
      <c r="I1140" s="70">
        <f t="shared" si="308"/>
        <v>0</v>
      </c>
      <c r="J1140" s="70">
        <f t="shared" si="309"/>
        <v>0</v>
      </c>
      <c r="K1140" s="82" t="str">
        <f>_xlfn.IFNA(VLOOKUP(CLEAN(SUBSTITUTE(C1140," ","")),Ref_Factory!$A:$B,2,FALSE),CLEAN(SUBSTITUTE(C1140," ","")))</f>
        <v>CHAWAN</v>
      </c>
      <c r="L1140" s="82" t="str">
        <f t="shared" si="310"/>
        <v>AUGUST-2-CHAWAN</v>
      </c>
      <c r="M1140" s="70">
        <f t="shared" si="311"/>
        <v>7.25559268331466E-3</v>
      </c>
      <c r="N1140" s="70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25">
      <c r="A1141" t="s">
        <v>42</v>
      </c>
      <c r="B1141">
        <v>2</v>
      </c>
      <c r="C1141" t="s">
        <v>15</v>
      </c>
      <c r="D1141" s="66">
        <v>726</v>
      </c>
      <c r="E1141" s="68">
        <v>726</v>
      </c>
      <c r="F1141" s="68">
        <v>726</v>
      </c>
      <c r="G1141" s="13">
        <f t="shared" si="306"/>
        <v>0</v>
      </c>
      <c r="H1141" s="13">
        <f t="shared" si="307"/>
        <v>0</v>
      </c>
      <c r="I1141" s="70">
        <f t="shared" si="308"/>
        <v>0</v>
      </c>
      <c r="J1141" s="70">
        <f t="shared" si="309"/>
        <v>0</v>
      </c>
      <c r="K1141" s="82" t="str">
        <f>_xlfn.IFNA(VLOOKUP(CLEAN(SUBSTITUTE(C1141," ","")),Ref_Factory!$A:$B,2,FALSE),CLEAN(SUBSTITUTE(C1141," ","")))</f>
        <v>CHAWAN</v>
      </c>
      <c r="L1141" s="82" t="str">
        <f t="shared" si="310"/>
        <v>AUGUST-2-CHAWAN</v>
      </c>
      <c r="M1141" s="70">
        <f t="shared" si="311"/>
        <v>7.25559268331466E-3</v>
      </c>
      <c r="N1141" s="70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25">
      <c r="A1142" t="s">
        <v>42</v>
      </c>
      <c r="B1142">
        <v>2</v>
      </c>
      <c r="C1142" t="s">
        <v>15</v>
      </c>
      <c r="D1142" s="66">
        <v>726</v>
      </c>
      <c r="E1142" s="68">
        <v>726</v>
      </c>
      <c r="F1142" s="68">
        <v>726</v>
      </c>
      <c r="G1142" s="13">
        <f t="shared" si="306"/>
        <v>0</v>
      </c>
      <c r="H1142" s="13">
        <f t="shared" si="307"/>
        <v>0</v>
      </c>
      <c r="I1142" s="70">
        <f t="shared" si="308"/>
        <v>0</v>
      </c>
      <c r="J1142" s="70">
        <f t="shared" si="309"/>
        <v>0</v>
      </c>
      <c r="K1142" s="82" t="str">
        <f>_xlfn.IFNA(VLOOKUP(CLEAN(SUBSTITUTE(C1142," ","")),Ref_Factory!$A:$B,2,FALSE),CLEAN(SUBSTITUTE(C1142," ","")))</f>
        <v>CHAWAN</v>
      </c>
      <c r="L1142" s="82" t="str">
        <f t="shared" si="310"/>
        <v>AUGUST-2-CHAWAN</v>
      </c>
      <c r="M1142" s="70">
        <f t="shared" si="311"/>
        <v>7.25559268331466E-3</v>
      </c>
      <c r="N1142" s="70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25">
      <c r="A1143" t="s">
        <v>42</v>
      </c>
      <c r="B1143">
        <v>2</v>
      </c>
      <c r="C1143" t="s">
        <v>15</v>
      </c>
      <c r="D1143" s="66">
        <v>636</v>
      </c>
      <c r="E1143" s="68">
        <v>636</v>
      </c>
      <c r="F1143" s="68">
        <v>636</v>
      </c>
      <c r="G1143" s="13">
        <f t="shared" si="306"/>
        <v>0</v>
      </c>
      <c r="H1143" s="13">
        <f t="shared" si="307"/>
        <v>0</v>
      </c>
      <c r="I1143" s="70">
        <f t="shared" si="308"/>
        <v>0</v>
      </c>
      <c r="J1143" s="70">
        <f t="shared" si="309"/>
        <v>0</v>
      </c>
      <c r="K1143" s="82" t="str">
        <f>_xlfn.IFNA(VLOOKUP(CLEAN(SUBSTITUTE(C1143," ","")),Ref_Factory!$A:$B,2,FALSE),CLEAN(SUBSTITUTE(C1143," ","")))</f>
        <v>CHAWAN</v>
      </c>
      <c r="L1143" s="82" t="str">
        <f t="shared" si="310"/>
        <v>AUGUST-2-CHAWAN</v>
      </c>
      <c r="M1143" s="70">
        <f t="shared" si="311"/>
        <v>7.25559268331466E-3</v>
      </c>
      <c r="N1143" s="70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25">
      <c r="A1144" t="s">
        <v>42</v>
      </c>
      <c r="B1144">
        <v>2</v>
      </c>
      <c r="C1144" t="s">
        <v>15</v>
      </c>
      <c r="D1144" s="66">
        <v>81</v>
      </c>
      <c r="E1144" s="68">
        <v>81</v>
      </c>
      <c r="F1144" s="68">
        <v>81</v>
      </c>
      <c r="G1144" s="13">
        <f t="shared" si="306"/>
        <v>0</v>
      </c>
      <c r="H1144" s="13">
        <f t="shared" si="307"/>
        <v>0</v>
      </c>
      <c r="I1144" s="70">
        <f t="shared" si="308"/>
        <v>0</v>
      </c>
      <c r="J1144" s="70">
        <f t="shared" si="309"/>
        <v>0</v>
      </c>
      <c r="K1144" s="82" t="str">
        <f>_xlfn.IFNA(VLOOKUP(CLEAN(SUBSTITUTE(C1144," ","")),Ref_Factory!$A:$B,2,FALSE),CLEAN(SUBSTITUTE(C1144," ","")))</f>
        <v>CHAWAN</v>
      </c>
      <c r="L1144" s="82" t="str">
        <f t="shared" si="310"/>
        <v>AUGUST-2-CHAWAN</v>
      </c>
      <c r="M1144" s="70">
        <f t="shared" si="311"/>
        <v>7.25559268331466E-3</v>
      </c>
      <c r="N1144" s="70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25">
      <c r="A1145" t="s">
        <v>42</v>
      </c>
      <c r="B1145">
        <v>2</v>
      </c>
      <c r="C1145" t="s">
        <v>15</v>
      </c>
      <c r="D1145" s="66">
        <v>123</v>
      </c>
      <c r="E1145" s="68">
        <v>123</v>
      </c>
      <c r="F1145" s="68">
        <v>123</v>
      </c>
      <c r="G1145" s="13">
        <f t="shared" si="306"/>
        <v>0</v>
      </c>
      <c r="H1145" s="13">
        <f t="shared" si="307"/>
        <v>0</v>
      </c>
      <c r="I1145" s="70">
        <f t="shared" si="308"/>
        <v>0</v>
      </c>
      <c r="J1145" s="70">
        <f t="shared" si="309"/>
        <v>0</v>
      </c>
      <c r="K1145" s="82" t="str">
        <f>_xlfn.IFNA(VLOOKUP(CLEAN(SUBSTITUTE(C1145," ","")),Ref_Factory!$A:$B,2,FALSE),CLEAN(SUBSTITUTE(C1145," ","")))</f>
        <v>CHAWAN</v>
      </c>
      <c r="L1145" s="82" t="str">
        <f t="shared" si="310"/>
        <v>AUGUST-2-CHAWAN</v>
      </c>
      <c r="M1145" s="70">
        <f t="shared" si="311"/>
        <v>7.25559268331466E-3</v>
      </c>
      <c r="N1145" s="70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25">
      <c r="A1146" t="s">
        <v>42</v>
      </c>
      <c r="B1146">
        <v>2</v>
      </c>
      <c r="C1146" t="s">
        <v>15</v>
      </c>
      <c r="D1146" s="66">
        <v>27</v>
      </c>
      <c r="E1146" s="68">
        <v>27</v>
      </c>
      <c r="F1146" s="68">
        <v>27</v>
      </c>
      <c r="G1146" s="13">
        <f t="shared" si="306"/>
        <v>0</v>
      </c>
      <c r="H1146" s="13">
        <f t="shared" si="307"/>
        <v>0</v>
      </c>
      <c r="I1146" s="70">
        <f t="shared" si="308"/>
        <v>0</v>
      </c>
      <c r="J1146" s="70">
        <f t="shared" si="309"/>
        <v>0</v>
      </c>
      <c r="K1146" s="82" t="str">
        <f>_xlfn.IFNA(VLOOKUP(CLEAN(SUBSTITUTE(C1146," ","")),Ref_Factory!$A:$B,2,FALSE),CLEAN(SUBSTITUTE(C1146," ","")))</f>
        <v>CHAWAN</v>
      </c>
      <c r="L1146" s="82" t="str">
        <f t="shared" si="310"/>
        <v>AUGUST-2-CHAWAN</v>
      </c>
      <c r="M1146" s="70">
        <f t="shared" si="311"/>
        <v>7.25559268331466E-3</v>
      </c>
      <c r="N1146" s="70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25">
      <c r="A1147" t="s">
        <v>42</v>
      </c>
      <c r="B1147">
        <v>2</v>
      </c>
      <c r="C1147" t="s">
        <v>15</v>
      </c>
      <c r="D1147" s="66">
        <v>27</v>
      </c>
      <c r="E1147" s="68">
        <v>27</v>
      </c>
      <c r="F1147" s="68">
        <v>27</v>
      </c>
      <c r="G1147" s="13">
        <f t="shared" si="306"/>
        <v>0</v>
      </c>
      <c r="H1147" s="13">
        <f t="shared" si="307"/>
        <v>0</v>
      </c>
      <c r="I1147" s="70">
        <f t="shared" si="308"/>
        <v>0</v>
      </c>
      <c r="J1147" s="70">
        <f t="shared" si="309"/>
        <v>0</v>
      </c>
      <c r="K1147" s="82" t="str">
        <f>_xlfn.IFNA(VLOOKUP(CLEAN(SUBSTITUTE(C1147," ","")),Ref_Factory!$A:$B,2,FALSE),CLEAN(SUBSTITUTE(C1147," ","")))</f>
        <v>CHAWAN</v>
      </c>
      <c r="L1147" s="82" t="str">
        <f t="shared" si="310"/>
        <v>AUGUST-2-CHAWAN</v>
      </c>
      <c r="M1147" s="70">
        <f t="shared" si="311"/>
        <v>7.25559268331466E-3</v>
      </c>
      <c r="N1147" s="70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25">
      <c r="A1148" t="s">
        <v>42</v>
      </c>
      <c r="B1148">
        <v>2</v>
      </c>
      <c r="C1148" t="s">
        <v>13</v>
      </c>
      <c r="D1148" s="66">
        <v>25920</v>
      </c>
      <c r="E1148" s="68">
        <v>25920</v>
      </c>
      <c r="F1148" s="68">
        <v>25908</v>
      </c>
      <c r="G1148" s="13">
        <f t="shared" si="306"/>
        <v>-12</v>
      </c>
      <c r="H1148" s="13">
        <f t="shared" si="307"/>
        <v>-12</v>
      </c>
      <c r="I1148" s="70">
        <f t="shared" si="308"/>
        <v>-4.6296296296299833E-4</v>
      </c>
      <c r="J1148" s="70">
        <f t="shared" si="309"/>
        <v>-4.6296296296299833E-4</v>
      </c>
      <c r="K1148" s="82" t="str">
        <f>_xlfn.IFNA(VLOOKUP(CLEAN(SUBSTITUTE(C1148," ","")),Ref_Factory!$A:$B,2,FALSE),CLEAN(SUBSTITUTE(C1148," ","")))</f>
        <v>KALIBENDA</v>
      </c>
      <c r="L1148" s="82" t="str">
        <f t="shared" si="310"/>
        <v>AUGUST-2-KALIBENDA</v>
      </c>
      <c r="M1148" s="70">
        <f t="shared" si="311"/>
        <v>8.6111379593768578E-2</v>
      </c>
      <c r="N1148" s="70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25">
      <c r="A1149" t="s">
        <v>42</v>
      </c>
      <c r="B1149">
        <v>2</v>
      </c>
      <c r="C1149" t="s">
        <v>13</v>
      </c>
      <c r="D1149" s="66">
        <v>4320</v>
      </c>
      <c r="E1149" s="68">
        <v>4320</v>
      </c>
      <c r="F1149" s="68">
        <v>4314</v>
      </c>
      <c r="G1149" s="13">
        <f t="shared" si="306"/>
        <v>-6</v>
      </c>
      <c r="H1149" s="13">
        <f t="shared" si="307"/>
        <v>-6</v>
      </c>
      <c r="I1149" s="70">
        <f t="shared" si="308"/>
        <v>-1.388888888888884E-3</v>
      </c>
      <c r="J1149" s="70">
        <f t="shared" si="309"/>
        <v>-1.388888888888884E-3</v>
      </c>
      <c r="K1149" s="82" t="str">
        <f>_xlfn.IFNA(VLOOKUP(CLEAN(SUBSTITUTE(C1149," ","")),Ref_Factory!$A:$B,2,FALSE),CLEAN(SUBSTITUTE(C1149," ","")))</f>
        <v>KALIBENDA</v>
      </c>
      <c r="L1149" s="82" t="str">
        <f t="shared" si="310"/>
        <v>AUGUST-2-KALIBENDA</v>
      </c>
      <c r="M1149" s="70">
        <f t="shared" si="311"/>
        <v>8.6111379593768578E-2</v>
      </c>
      <c r="N1149" s="70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25">
      <c r="A1150" t="s">
        <v>42</v>
      </c>
      <c r="B1150">
        <v>2</v>
      </c>
      <c r="C1150" t="s">
        <v>13</v>
      </c>
      <c r="D1150" s="66">
        <v>13716</v>
      </c>
      <c r="E1150" s="68">
        <v>13716</v>
      </c>
      <c r="F1150" s="68">
        <v>13692</v>
      </c>
      <c r="G1150" s="13">
        <f t="shared" si="306"/>
        <v>-24</v>
      </c>
      <c r="H1150" s="13">
        <f t="shared" si="307"/>
        <v>-24</v>
      </c>
      <c r="I1150" s="70">
        <f t="shared" si="308"/>
        <v>-1.7497812773403787E-3</v>
      </c>
      <c r="J1150" s="70">
        <f t="shared" si="309"/>
        <v>-1.7497812773403787E-3</v>
      </c>
      <c r="K1150" s="82" t="str">
        <f>_xlfn.IFNA(VLOOKUP(CLEAN(SUBSTITUTE(C1150," ","")),Ref_Factory!$A:$B,2,FALSE),CLEAN(SUBSTITUTE(C1150," ","")))</f>
        <v>KALIBENDA</v>
      </c>
      <c r="L1150" s="82" t="str">
        <f t="shared" si="310"/>
        <v>AUGUST-2-KALIBENDA</v>
      </c>
      <c r="M1150" s="70">
        <f t="shared" si="311"/>
        <v>8.6111379593768578E-2</v>
      </c>
      <c r="N1150" s="70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25">
      <c r="A1151" t="s">
        <v>42</v>
      </c>
      <c r="B1151">
        <v>2</v>
      </c>
      <c r="C1151" t="s">
        <v>13</v>
      </c>
      <c r="D1151" s="66">
        <v>1080</v>
      </c>
      <c r="E1151" s="68">
        <v>1080</v>
      </c>
      <c r="F1151" s="68">
        <v>1080</v>
      </c>
      <c r="G1151" s="13">
        <f t="shared" si="306"/>
        <v>0</v>
      </c>
      <c r="H1151" s="13">
        <f t="shared" si="307"/>
        <v>0</v>
      </c>
      <c r="I1151" s="70">
        <f t="shared" si="308"/>
        <v>0</v>
      </c>
      <c r="J1151" s="70">
        <f t="shared" si="309"/>
        <v>0</v>
      </c>
      <c r="K1151" s="82" t="str">
        <f>_xlfn.IFNA(VLOOKUP(CLEAN(SUBSTITUTE(C1151," ","")),Ref_Factory!$A:$B,2,FALSE),CLEAN(SUBSTITUTE(C1151," ","")))</f>
        <v>KALIBENDA</v>
      </c>
      <c r="L1151" s="82" t="str">
        <f t="shared" si="310"/>
        <v>AUGUST-2-KALIBENDA</v>
      </c>
      <c r="M1151" s="70">
        <f t="shared" si="311"/>
        <v>8.6111379593768578E-2</v>
      </c>
      <c r="N1151" s="70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25">
      <c r="A1152" t="s">
        <v>42</v>
      </c>
      <c r="B1152">
        <v>2</v>
      </c>
      <c r="C1152" t="s">
        <v>13</v>
      </c>
      <c r="D1152" s="66">
        <v>17496</v>
      </c>
      <c r="E1152" s="68">
        <v>17496</v>
      </c>
      <c r="F1152" s="68">
        <v>17463</v>
      </c>
      <c r="G1152" s="13">
        <f t="shared" si="306"/>
        <v>-33</v>
      </c>
      <c r="H1152" s="13">
        <f t="shared" si="307"/>
        <v>-33</v>
      </c>
      <c r="I1152" s="70">
        <f t="shared" si="308"/>
        <v>-1.8861454046639192E-3</v>
      </c>
      <c r="J1152" s="70">
        <f t="shared" si="309"/>
        <v>-1.8861454046639192E-3</v>
      </c>
      <c r="K1152" s="82" t="str">
        <f>_xlfn.IFNA(VLOOKUP(CLEAN(SUBSTITUTE(C1152," ","")),Ref_Factory!$A:$B,2,FALSE),CLEAN(SUBSTITUTE(C1152," ","")))</f>
        <v>KALIBENDA</v>
      </c>
      <c r="L1152" s="82" t="str">
        <f t="shared" si="310"/>
        <v>AUGUST-2-KALIBENDA</v>
      </c>
      <c r="M1152" s="70">
        <f t="shared" si="311"/>
        <v>8.6111379593768578E-2</v>
      </c>
      <c r="N1152" s="70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25">
      <c r="A1153" t="s">
        <v>42</v>
      </c>
      <c r="B1153">
        <v>2</v>
      </c>
      <c r="C1153" t="s">
        <v>13</v>
      </c>
      <c r="D1153" s="66">
        <v>2916</v>
      </c>
      <c r="E1153" s="68">
        <v>2916</v>
      </c>
      <c r="F1153" s="68">
        <v>2910</v>
      </c>
      <c r="G1153" s="13">
        <f t="shared" si="306"/>
        <v>-6</v>
      </c>
      <c r="H1153" s="13">
        <f t="shared" si="307"/>
        <v>-6</v>
      </c>
      <c r="I1153" s="70">
        <f t="shared" si="308"/>
        <v>-2.057613168724326E-3</v>
      </c>
      <c r="J1153" s="70">
        <f t="shared" si="309"/>
        <v>-2.057613168724326E-3</v>
      </c>
      <c r="K1153" s="82" t="str">
        <f>_xlfn.IFNA(VLOOKUP(CLEAN(SUBSTITUTE(C1153," ","")),Ref_Factory!$A:$B,2,FALSE),CLEAN(SUBSTITUTE(C1153," ","")))</f>
        <v>KALIBENDA</v>
      </c>
      <c r="L1153" s="82" t="str">
        <f t="shared" si="310"/>
        <v>AUGUST-2-KALIBENDA</v>
      </c>
      <c r="M1153" s="70">
        <f t="shared" si="311"/>
        <v>8.6111379593768578E-2</v>
      </c>
      <c r="N1153" s="70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25">
      <c r="A1154" t="s">
        <v>42</v>
      </c>
      <c r="B1154">
        <v>2</v>
      </c>
      <c r="C1154" t="s">
        <v>13</v>
      </c>
      <c r="D1154" s="66">
        <v>9504</v>
      </c>
      <c r="E1154" s="68">
        <v>9504</v>
      </c>
      <c r="F1154" s="68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70">
        <f t="shared" ref="I1154:I1217" si="326">F1154/D1154-1</f>
        <v>-2.1043771043770532E-3</v>
      </c>
      <c r="J1154" s="70">
        <f t="shared" ref="J1154:J1217" si="327">F1154/E1154-1</f>
        <v>-2.1043771043770532E-3</v>
      </c>
      <c r="K1154" s="82" t="str">
        <f>_xlfn.IFNA(VLOOKUP(CLEAN(SUBSTITUTE(C1154," ","")),Ref_Factory!$A:$B,2,FALSE),CLEAN(SUBSTITUTE(C1154," ","")))</f>
        <v>KALIBENDA</v>
      </c>
      <c r="L1154" s="82" t="str">
        <f t="shared" ref="L1154:L1217" si="328">A1154&amp;"-"&amp;B1154&amp;"-"&amp;K1154</f>
        <v>AUGUST-2-KALIBENDA</v>
      </c>
      <c r="M1154" s="70">
        <f t="shared" ref="M1154:M1217" si="329">SUMIF($L$2:$L$1420,L1154,$I$2:$I$1420)</f>
        <v>8.6111379593768578E-2</v>
      </c>
      <c r="N1154" s="70">
        <f t="shared" ref="N1154:N1217" si="330">SUMIF($L$2:$L$1420,L1154,$J$2:$J$1420)</f>
        <v>-1.5008195517944412E-2</v>
      </c>
      <c r="O1154" s="13">
        <f t="shared" ref="O1154:O1217" si="331">SUMIF($A$2:$A$1420,A1154,$D$2:$D$1420)</f>
        <v>2101778</v>
      </c>
      <c r="P1154" s="13">
        <f t="shared" ref="P1154:P1217" si="332">SUMIF($A$2:$A$1420,A1154,$E$2:$E$1420)</f>
        <v>2128806</v>
      </c>
      <c r="Q1154" s="13">
        <f t="shared" ref="Q1154:Q1217" si="333">SUMIF($A$2:$A$1420,A1154,$F$2:$F$1420)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SUMIF($T$2:$T$1420,T1154,$D$2:$D$1420)</f>
        <v>431892</v>
      </c>
      <c r="V1154">
        <f t="shared" ref="V1154:V1217" si="338">SUMIF($T$2:$T$1420,T1154,$E$2:$E$1420)</f>
        <v>436209</v>
      </c>
      <c r="W1154">
        <f t="shared" ref="W1154:W1217" si="339">SUMIF($T$2:$T$1420,T1154,$F$2:$F$1420)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25">
      <c r="A1155" t="s">
        <v>42</v>
      </c>
      <c r="B1155">
        <v>2</v>
      </c>
      <c r="C1155" t="s">
        <v>13</v>
      </c>
      <c r="D1155" s="66">
        <v>52920</v>
      </c>
      <c r="E1155" s="68">
        <v>53979</v>
      </c>
      <c r="F1155" s="68">
        <v>53889</v>
      </c>
      <c r="G1155" s="13">
        <f t="shared" si="324"/>
        <v>-90</v>
      </c>
      <c r="H1155" s="13">
        <f t="shared" si="325"/>
        <v>969</v>
      </c>
      <c r="I1155" s="70">
        <f t="shared" si="326"/>
        <v>1.8310657596371849E-2</v>
      </c>
      <c r="J1155" s="70">
        <f t="shared" si="327"/>
        <v>-1.6673150669704873E-3</v>
      </c>
      <c r="K1155" s="82" t="str">
        <f>_xlfn.IFNA(VLOOKUP(CLEAN(SUBSTITUTE(C1155," ","")),Ref_Factory!$A:$B,2,FALSE),CLEAN(SUBSTITUTE(C1155," ","")))</f>
        <v>KALIBENDA</v>
      </c>
      <c r="L1155" s="82" t="str">
        <f t="shared" si="328"/>
        <v>AUGUST-2-KALIBENDA</v>
      </c>
      <c r="M1155" s="70">
        <f t="shared" si="329"/>
        <v>8.6111379593768578E-2</v>
      </c>
      <c r="N1155" s="70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25">
      <c r="A1156" t="s">
        <v>42</v>
      </c>
      <c r="B1156">
        <v>2</v>
      </c>
      <c r="C1156" t="s">
        <v>13</v>
      </c>
      <c r="D1156" s="66">
        <v>2052</v>
      </c>
      <c r="E1156" s="68">
        <v>2093</v>
      </c>
      <c r="F1156" s="68">
        <v>2091</v>
      </c>
      <c r="G1156" s="13">
        <f t="shared" si="324"/>
        <v>-2</v>
      </c>
      <c r="H1156" s="13">
        <f t="shared" si="325"/>
        <v>39</v>
      </c>
      <c r="I1156" s="70">
        <f t="shared" si="326"/>
        <v>1.900584795321647E-2</v>
      </c>
      <c r="J1156" s="70">
        <f t="shared" si="327"/>
        <v>-9.5556617295744495E-4</v>
      </c>
      <c r="K1156" s="82" t="str">
        <f>_xlfn.IFNA(VLOOKUP(CLEAN(SUBSTITUTE(C1156," ","")),Ref_Factory!$A:$B,2,FALSE),CLEAN(SUBSTITUTE(C1156," ","")))</f>
        <v>KALIBENDA</v>
      </c>
      <c r="L1156" s="82" t="str">
        <f t="shared" si="328"/>
        <v>AUGUST-2-KALIBENDA</v>
      </c>
      <c r="M1156" s="70">
        <f t="shared" si="329"/>
        <v>8.6111379593768578E-2</v>
      </c>
      <c r="N1156" s="70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25">
      <c r="A1157" t="s">
        <v>42</v>
      </c>
      <c r="B1157">
        <v>2</v>
      </c>
      <c r="C1157" t="s">
        <v>13</v>
      </c>
      <c r="D1157" s="66">
        <v>10152</v>
      </c>
      <c r="E1157" s="68">
        <v>10362</v>
      </c>
      <c r="F1157" s="68">
        <v>10347</v>
      </c>
      <c r="G1157" s="13">
        <f t="shared" si="324"/>
        <v>-15</v>
      </c>
      <c r="H1157" s="13">
        <f t="shared" si="325"/>
        <v>195</v>
      </c>
      <c r="I1157" s="70">
        <f t="shared" si="326"/>
        <v>1.9208037825059199E-2</v>
      </c>
      <c r="J1157" s="70">
        <f t="shared" si="327"/>
        <v>-1.4475969889982121E-3</v>
      </c>
      <c r="K1157" s="82" t="str">
        <f>_xlfn.IFNA(VLOOKUP(CLEAN(SUBSTITUTE(C1157," ","")),Ref_Factory!$A:$B,2,FALSE),CLEAN(SUBSTITUTE(C1157," ","")))</f>
        <v>KALIBENDA</v>
      </c>
      <c r="L1157" s="82" t="str">
        <f t="shared" si="328"/>
        <v>AUGUST-2-KALIBENDA</v>
      </c>
      <c r="M1157" s="70">
        <f t="shared" si="329"/>
        <v>8.6111379593768578E-2</v>
      </c>
      <c r="N1157" s="70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25">
      <c r="A1158" t="s">
        <v>42</v>
      </c>
      <c r="B1158">
        <v>2</v>
      </c>
      <c r="C1158" t="s">
        <v>13</v>
      </c>
      <c r="D1158" s="66">
        <v>15984</v>
      </c>
      <c r="E1158" s="68">
        <v>16305</v>
      </c>
      <c r="F1158" s="68">
        <v>16284</v>
      </c>
      <c r="G1158" s="13">
        <f t="shared" si="324"/>
        <v>-21</v>
      </c>
      <c r="H1158" s="13">
        <f t="shared" si="325"/>
        <v>300</v>
      </c>
      <c r="I1158" s="70">
        <f t="shared" si="326"/>
        <v>1.8768768768768762E-2</v>
      </c>
      <c r="J1158" s="70">
        <f t="shared" si="327"/>
        <v>-1.2879484820607079E-3</v>
      </c>
      <c r="K1158" s="82" t="str">
        <f>_xlfn.IFNA(VLOOKUP(CLEAN(SUBSTITUTE(C1158," ","")),Ref_Factory!$A:$B,2,FALSE),CLEAN(SUBSTITUTE(C1158," ","")))</f>
        <v>KALIBENDA</v>
      </c>
      <c r="L1158" s="82" t="str">
        <f t="shared" si="328"/>
        <v>AUGUST-2-KALIBENDA</v>
      </c>
      <c r="M1158" s="70">
        <f t="shared" si="329"/>
        <v>8.6111379593768578E-2</v>
      </c>
      <c r="N1158" s="70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25">
      <c r="A1159" t="s">
        <v>42</v>
      </c>
      <c r="B1159">
        <v>2</v>
      </c>
      <c r="C1159" t="s">
        <v>13</v>
      </c>
      <c r="D1159" s="66">
        <v>2052</v>
      </c>
      <c r="E1159" s="68">
        <v>2094</v>
      </c>
      <c r="F1159" s="68">
        <v>2094</v>
      </c>
      <c r="G1159" s="13">
        <f t="shared" si="324"/>
        <v>0</v>
      </c>
      <c r="H1159" s="13">
        <f t="shared" si="325"/>
        <v>42</v>
      </c>
      <c r="I1159" s="70">
        <f t="shared" si="326"/>
        <v>2.0467836257309857E-2</v>
      </c>
      <c r="J1159" s="70">
        <f t="shared" si="327"/>
        <v>0</v>
      </c>
      <c r="K1159" s="82" t="str">
        <f>_xlfn.IFNA(VLOOKUP(CLEAN(SUBSTITUTE(C1159," ","")),Ref_Factory!$A:$B,2,FALSE),CLEAN(SUBSTITUTE(C1159," ","")))</f>
        <v>KALIBENDA</v>
      </c>
      <c r="L1159" s="82" t="str">
        <f t="shared" si="328"/>
        <v>AUGUST-2-KALIBENDA</v>
      </c>
      <c r="M1159" s="70">
        <f t="shared" si="329"/>
        <v>8.6111379593768578E-2</v>
      </c>
      <c r="N1159" s="70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25">
      <c r="A1160" t="s">
        <v>42</v>
      </c>
      <c r="B1160">
        <v>2</v>
      </c>
      <c r="C1160" t="s">
        <v>70</v>
      </c>
      <c r="D1160" s="66">
        <v>28944</v>
      </c>
      <c r="E1160" s="66">
        <v>30393</v>
      </c>
      <c r="F1160" s="66">
        <v>29811</v>
      </c>
      <c r="G1160" s="13">
        <f t="shared" si="324"/>
        <v>-582</v>
      </c>
      <c r="H1160" s="13">
        <f t="shared" si="325"/>
        <v>867</v>
      </c>
      <c r="I1160" s="70">
        <f t="shared" si="326"/>
        <v>2.9954394693200603E-2</v>
      </c>
      <c r="J1160" s="70">
        <f t="shared" si="327"/>
        <v>-1.9149146184976762E-2</v>
      </c>
      <c r="K1160" s="82" t="str">
        <f>_xlfn.IFNA(VLOOKUP(CLEAN(SUBSTITUTE(C1160," ","")),Ref_Factory!$A:$B,2,FALSE),CLEAN(SUBSTITUTE(C1160," ","")))</f>
        <v>GM1</v>
      </c>
      <c r="L1160" s="82" t="str">
        <f t="shared" si="328"/>
        <v>AUGUST-2-GM1</v>
      </c>
      <c r="M1160" s="70">
        <f t="shared" si="329"/>
        <v>5.9468283582089443E-2</v>
      </c>
      <c r="N1160" s="70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25">
      <c r="A1161" t="s">
        <v>42</v>
      </c>
      <c r="B1161">
        <v>2</v>
      </c>
      <c r="C1161" t="s">
        <v>70</v>
      </c>
      <c r="D1161" s="66">
        <v>1728</v>
      </c>
      <c r="E1161" s="66">
        <v>1815</v>
      </c>
      <c r="F1161" s="66">
        <v>1779</v>
      </c>
      <c r="G1161" s="13">
        <f t="shared" si="324"/>
        <v>-36</v>
      </c>
      <c r="H1161" s="13">
        <f t="shared" si="325"/>
        <v>51</v>
      </c>
      <c r="I1161" s="70">
        <f t="shared" si="326"/>
        <v>2.951388888888884E-2</v>
      </c>
      <c r="J1161" s="70">
        <f t="shared" si="327"/>
        <v>-1.9834710743801609E-2</v>
      </c>
      <c r="K1161" s="82" t="str">
        <f>_xlfn.IFNA(VLOOKUP(CLEAN(SUBSTITUTE(C1161," ","")),Ref_Factory!$A:$B,2,FALSE),CLEAN(SUBSTITUTE(C1161," ","")))</f>
        <v>GM1</v>
      </c>
      <c r="L1161" s="82" t="str">
        <f t="shared" si="328"/>
        <v>AUGUST-2-GM1</v>
      </c>
      <c r="M1161" s="70">
        <f t="shared" si="329"/>
        <v>5.9468283582089443E-2</v>
      </c>
      <c r="N1161" s="70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25">
      <c r="A1162" t="s">
        <v>42</v>
      </c>
      <c r="B1162">
        <v>2</v>
      </c>
      <c r="C1162" t="s">
        <v>70</v>
      </c>
      <c r="D1162" s="66">
        <v>16740</v>
      </c>
      <c r="E1162" s="66">
        <v>16744</v>
      </c>
      <c r="F1162" s="66">
        <v>16740</v>
      </c>
      <c r="G1162" s="13">
        <f t="shared" si="324"/>
        <v>-4</v>
      </c>
      <c r="H1162" s="13">
        <f t="shared" si="325"/>
        <v>0</v>
      </c>
      <c r="I1162" s="70">
        <f t="shared" si="326"/>
        <v>0</v>
      </c>
      <c r="J1162" s="70">
        <f t="shared" si="327"/>
        <v>-2.3889154323941675E-4</v>
      </c>
      <c r="K1162" s="82" t="str">
        <f>_xlfn.IFNA(VLOOKUP(CLEAN(SUBSTITUTE(C1162," ","")),Ref_Factory!$A:$B,2,FALSE),CLEAN(SUBSTITUTE(C1162," ","")))</f>
        <v>GM1</v>
      </c>
      <c r="L1162" s="82" t="str">
        <f t="shared" si="328"/>
        <v>AUGUST-2-GM1</v>
      </c>
      <c r="M1162" s="70">
        <f t="shared" si="329"/>
        <v>5.9468283582089443E-2</v>
      </c>
      <c r="N1162" s="70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25">
      <c r="A1163" t="s">
        <v>42</v>
      </c>
      <c r="B1163">
        <v>2</v>
      </c>
      <c r="C1163" t="s">
        <v>70</v>
      </c>
      <c r="D1163" s="66">
        <v>2916</v>
      </c>
      <c r="E1163" s="66">
        <v>2917</v>
      </c>
      <c r="F1163" s="66">
        <v>2916</v>
      </c>
      <c r="G1163" s="13">
        <f t="shared" si="324"/>
        <v>-1</v>
      </c>
      <c r="H1163" s="13">
        <f t="shared" si="325"/>
        <v>0</v>
      </c>
      <c r="I1163" s="70">
        <f t="shared" si="326"/>
        <v>0</v>
      </c>
      <c r="J1163" s="70">
        <f t="shared" si="327"/>
        <v>-3.4281796366131267E-4</v>
      </c>
      <c r="K1163" s="82" t="str">
        <f>_xlfn.IFNA(VLOOKUP(CLEAN(SUBSTITUTE(C1163," ","")),Ref_Factory!$A:$B,2,FALSE),CLEAN(SUBSTITUTE(C1163," ","")))</f>
        <v>GM1</v>
      </c>
      <c r="L1163" s="82" t="str">
        <f t="shared" si="328"/>
        <v>AUGUST-2-GM1</v>
      </c>
      <c r="M1163" s="70">
        <f t="shared" si="329"/>
        <v>5.9468283582089443E-2</v>
      </c>
      <c r="N1163" s="70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25">
      <c r="A1164" t="s">
        <v>42</v>
      </c>
      <c r="B1164">
        <v>2</v>
      </c>
      <c r="C1164" t="s">
        <v>70</v>
      </c>
      <c r="D1164" s="66">
        <v>25272</v>
      </c>
      <c r="E1164" s="66">
        <v>25285</v>
      </c>
      <c r="F1164" s="66">
        <v>25272</v>
      </c>
      <c r="G1164" s="13">
        <f t="shared" si="324"/>
        <v>-13</v>
      </c>
      <c r="H1164" s="13">
        <f t="shared" si="325"/>
        <v>0</v>
      </c>
      <c r="I1164" s="70">
        <f t="shared" si="326"/>
        <v>0</v>
      </c>
      <c r="J1164" s="70">
        <f t="shared" si="327"/>
        <v>-5.1413881748074708E-4</v>
      </c>
      <c r="K1164" s="82" t="str">
        <f>_xlfn.IFNA(VLOOKUP(CLEAN(SUBSTITUTE(C1164," ","")),Ref_Factory!$A:$B,2,FALSE),CLEAN(SUBSTITUTE(C1164," ","")))</f>
        <v>GM1</v>
      </c>
      <c r="L1164" s="82" t="str">
        <f t="shared" si="328"/>
        <v>AUGUST-2-GM1</v>
      </c>
      <c r="M1164" s="70">
        <f t="shared" si="329"/>
        <v>5.9468283582089443E-2</v>
      </c>
      <c r="N1164" s="70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25">
      <c r="A1165" t="s">
        <v>42</v>
      </c>
      <c r="B1165">
        <v>2</v>
      </c>
      <c r="C1165" t="s">
        <v>70</v>
      </c>
      <c r="D1165" s="66">
        <v>4320</v>
      </c>
      <c r="E1165" s="66">
        <v>4324</v>
      </c>
      <c r="F1165" s="66">
        <v>4320</v>
      </c>
      <c r="G1165" s="13">
        <f t="shared" si="324"/>
        <v>-4</v>
      </c>
      <c r="H1165" s="13">
        <f t="shared" si="325"/>
        <v>0</v>
      </c>
      <c r="I1165" s="70">
        <f t="shared" si="326"/>
        <v>0</v>
      </c>
      <c r="J1165" s="70">
        <f t="shared" si="327"/>
        <v>-9.2506938020353591E-4</v>
      </c>
      <c r="K1165" s="82" t="str">
        <f>_xlfn.IFNA(VLOOKUP(CLEAN(SUBSTITUTE(C1165," ","")),Ref_Factory!$A:$B,2,FALSE),CLEAN(SUBSTITUTE(C1165," ","")))</f>
        <v>GM1</v>
      </c>
      <c r="L1165" s="82" t="str">
        <f t="shared" si="328"/>
        <v>AUGUST-2-GM1</v>
      </c>
      <c r="M1165" s="70">
        <f t="shared" si="329"/>
        <v>5.9468283582089443E-2</v>
      </c>
      <c r="N1165" s="70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25">
      <c r="A1166" t="s">
        <v>42</v>
      </c>
      <c r="B1166">
        <v>2</v>
      </c>
      <c r="C1166" t="s">
        <v>28</v>
      </c>
      <c r="D1166" s="66">
        <v>38448</v>
      </c>
      <c r="E1166" s="66">
        <v>38451</v>
      </c>
      <c r="F1166" s="66">
        <v>38448</v>
      </c>
      <c r="G1166" s="13">
        <f t="shared" si="324"/>
        <v>-3</v>
      </c>
      <c r="H1166" s="13">
        <f t="shared" si="325"/>
        <v>0</v>
      </c>
      <c r="I1166" s="70">
        <f t="shared" si="326"/>
        <v>0</v>
      </c>
      <c r="J1166" s="70">
        <f t="shared" si="327"/>
        <v>-7.8021377857506735E-5</v>
      </c>
      <c r="K1166" s="82" t="str">
        <f>_xlfn.IFNA(VLOOKUP(CLEAN(SUBSTITUTE(C1166," ","")),Ref_Factory!$A:$B,2,FALSE),CLEAN(SUBSTITUTE(C1166," ","")))</f>
        <v>GM2</v>
      </c>
      <c r="L1166" s="82" t="str">
        <f t="shared" si="328"/>
        <v>AUGUST-2-GM2</v>
      </c>
      <c r="M1166" s="70">
        <f t="shared" si="329"/>
        <v>0.30575230063556891</v>
      </c>
      <c r="N1166" s="70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25">
      <c r="A1167" t="s">
        <v>42</v>
      </c>
      <c r="B1167">
        <v>2</v>
      </c>
      <c r="C1167" t="s">
        <v>28</v>
      </c>
      <c r="D1167" s="66">
        <v>42048</v>
      </c>
      <c r="E1167" s="66">
        <v>42067</v>
      </c>
      <c r="F1167" s="66">
        <v>42048</v>
      </c>
      <c r="G1167" s="13">
        <f t="shared" si="324"/>
        <v>-19</v>
      </c>
      <c r="H1167" s="13">
        <f t="shared" si="325"/>
        <v>0</v>
      </c>
      <c r="I1167" s="70">
        <f t="shared" si="326"/>
        <v>0</v>
      </c>
      <c r="J1167" s="70">
        <f t="shared" si="327"/>
        <v>-4.516604464307461E-4</v>
      </c>
      <c r="K1167" s="82" t="str">
        <f>_xlfn.IFNA(VLOOKUP(CLEAN(SUBSTITUTE(C1167," ","")),Ref_Factory!$A:$B,2,FALSE),CLEAN(SUBSTITUTE(C1167," ","")))</f>
        <v>GM2</v>
      </c>
      <c r="L1167" s="82" t="str">
        <f t="shared" si="328"/>
        <v>AUGUST-2-GM2</v>
      </c>
      <c r="M1167" s="70">
        <f t="shared" si="329"/>
        <v>0.30575230063556891</v>
      </c>
      <c r="N1167" s="70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25">
      <c r="A1168" t="s">
        <v>42</v>
      </c>
      <c r="B1168">
        <v>2</v>
      </c>
      <c r="C1168" t="s">
        <v>28</v>
      </c>
      <c r="D1168" s="66">
        <v>2448</v>
      </c>
      <c r="E1168" s="66">
        <v>2448</v>
      </c>
      <c r="F1168" s="66">
        <v>2448</v>
      </c>
      <c r="G1168" s="13">
        <f t="shared" si="324"/>
        <v>0</v>
      </c>
      <c r="H1168" s="13">
        <f t="shared" si="325"/>
        <v>0</v>
      </c>
      <c r="I1168" s="70">
        <f t="shared" si="326"/>
        <v>0</v>
      </c>
      <c r="J1168" s="70">
        <f t="shared" si="327"/>
        <v>0</v>
      </c>
      <c r="K1168" s="82" t="str">
        <f>_xlfn.IFNA(VLOOKUP(CLEAN(SUBSTITUTE(C1168," ","")),Ref_Factory!$A:$B,2,FALSE),CLEAN(SUBSTITUTE(C1168," ","")))</f>
        <v>GM2</v>
      </c>
      <c r="L1168" s="82" t="str">
        <f t="shared" si="328"/>
        <v>AUGUST-2-GM2</v>
      </c>
      <c r="M1168" s="70">
        <f t="shared" si="329"/>
        <v>0.30575230063556891</v>
      </c>
      <c r="N1168" s="70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25">
      <c r="A1169" t="s">
        <v>42</v>
      </c>
      <c r="B1169">
        <v>2</v>
      </c>
      <c r="C1169" t="s">
        <v>28</v>
      </c>
      <c r="D1169" s="66">
        <v>14256</v>
      </c>
      <c r="E1169" s="66">
        <v>14262</v>
      </c>
      <c r="F1169" s="66">
        <v>14256</v>
      </c>
      <c r="G1169" s="13">
        <f t="shared" si="324"/>
        <v>-6</v>
      </c>
      <c r="H1169" s="13">
        <f t="shared" si="325"/>
        <v>0</v>
      </c>
      <c r="I1169" s="70">
        <f t="shared" si="326"/>
        <v>0</v>
      </c>
      <c r="J1169" s="70">
        <f t="shared" si="327"/>
        <v>-4.2069835927638355E-4</v>
      </c>
      <c r="K1169" s="82" t="str">
        <f>_xlfn.IFNA(VLOOKUP(CLEAN(SUBSTITUTE(C1169," ","")),Ref_Factory!$A:$B,2,FALSE),CLEAN(SUBSTITUTE(C1169," ","")))</f>
        <v>GM2</v>
      </c>
      <c r="L1169" s="82" t="str">
        <f t="shared" si="328"/>
        <v>AUGUST-2-GM2</v>
      </c>
      <c r="M1169" s="70">
        <f t="shared" si="329"/>
        <v>0.30575230063556891</v>
      </c>
      <c r="N1169" s="70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25">
      <c r="A1170" t="s">
        <v>42</v>
      </c>
      <c r="B1170">
        <v>2</v>
      </c>
      <c r="C1170" t="s">
        <v>28</v>
      </c>
      <c r="D1170" s="66">
        <v>2448</v>
      </c>
      <c r="E1170" s="66">
        <v>2448</v>
      </c>
      <c r="F1170" s="66">
        <v>2448</v>
      </c>
      <c r="G1170" s="13">
        <f t="shared" si="324"/>
        <v>0</v>
      </c>
      <c r="H1170" s="13">
        <f t="shared" si="325"/>
        <v>0</v>
      </c>
      <c r="I1170" s="70">
        <f t="shared" si="326"/>
        <v>0</v>
      </c>
      <c r="J1170" s="70">
        <f t="shared" si="327"/>
        <v>0</v>
      </c>
      <c r="K1170" s="82" t="str">
        <f>_xlfn.IFNA(VLOOKUP(CLEAN(SUBSTITUTE(C1170," ","")),Ref_Factory!$A:$B,2,FALSE),CLEAN(SUBSTITUTE(C1170," ","")))</f>
        <v>GM2</v>
      </c>
      <c r="L1170" s="82" t="str">
        <f t="shared" si="328"/>
        <v>AUGUST-2-GM2</v>
      </c>
      <c r="M1170" s="70">
        <f t="shared" si="329"/>
        <v>0.30575230063556891</v>
      </c>
      <c r="N1170" s="70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25">
      <c r="A1171" t="s">
        <v>42</v>
      </c>
      <c r="B1171">
        <v>2</v>
      </c>
      <c r="C1171" t="s">
        <v>28</v>
      </c>
      <c r="D1171" s="66">
        <v>19296</v>
      </c>
      <c r="E1171" s="66">
        <v>19314</v>
      </c>
      <c r="F1171" s="66">
        <v>19296</v>
      </c>
      <c r="G1171" s="13">
        <f t="shared" si="324"/>
        <v>-18</v>
      </c>
      <c r="H1171" s="13">
        <f t="shared" si="325"/>
        <v>0</v>
      </c>
      <c r="I1171" s="70">
        <f t="shared" si="326"/>
        <v>0</v>
      </c>
      <c r="J1171" s="70">
        <f t="shared" si="327"/>
        <v>-9.3196644920778837E-4</v>
      </c>
      <c r="K1171" s="82" t="str">
        <f>_xlfn.IFNA(VLOOKUP(CLEAN(SUBSTITUTE(C1171," ","")),Ref_Factory!$A:$B,2,FALSE),CLEAN(SUBSTITUTE(C1171," ","")))</f>
        <v>GM2</v>
      </c>
      <c r="L1171" s="82" t="str">
        <f t="shared" si="328"/>
        <v>AUGUST-2-GM2</v>
      </c>
      <c r="M1171" s="70">
        <f t="shared" si="329"/>
        <v>0.30575230063556891</v>
      </c>
      <c r="N1171" s="70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25">
      <c r="A1172" t="s">
        <v>42</v>
      </c>
      <c r="B1172">
        <v>2</v>
      </c>
      <c r="C1172" t="s">
        <v>28</v>
      </c>
      <c r="D1172" s="66">
        <v>35856</v>
      </c>
      <c r="E1172" s="66">
        <v>37657</v>
      </c>
      <c r="F1172" s="66">
        <v>37497</v>
      </c>
      <c r="G1172" s="13">
        <f t="shared" si="324"/>
        <v>-160</v>
      </c>
      <c r="H1172" s="13">
        <f t="shared" si="325"/>
        <v>1641</v>
      </c>
      <c r="I1172" s="70">
        <f t="shared" si="326"/>
        <v>4.5766398929049545E-2</v>
      </c>
      <c r="J1172" s="70">
        <f t="shared" si="327"/>
        <v>-4.248878030644998E-3</v>
      </c>
      <c r="K1172" s="82" t="str">
        <f>_xlfn.IFNA(VLOOKUP(CLEAN(SUBSTITUTE(C1172," ","")),Ref_Factory!$A:$B,2,FALSE),CLEAN(SUBSTITUTE(C1172," ","")))</f>
        <v>GM2</v>
      </c>
      <c r="L1172" s="82" t="str">
        <f t="shared" si="328"/>
        <v>AUGUST-2-GM2</v>
      </c>
      <c r="M1172" s="70">
        <f t="shared" si="329"/>
        <v>0.30575230063556891</v>
      </c>
      <c r="N1172" s="70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25">
      <c r="A1173" t="s">
        <v>42</v>
      </c>
      <c r="B1173">
        <v>2</v>
      </c>
      <c r="C1173" t="s">
        <v>28</v>
      </c>
      <c r="D1173" s="66">
        <v>4212</v>
      </c>
      <c r="E1173" s="66">
        <v>4431</v>
      </c>
      <c r="F1173" s="66">
        <v>4368</v>
      </c>
      <c r="G1173" s="13">
        <f t="shared" si="324"/>
        <v>-63</v>
      </c>
      <c r="H1173" s="13">
        <f t="shared" si="325"/>
        <v>156</v>
      </c>
      <c r="I1173" s="70">
        <f t="shared" si="326"/>
        <v>3.7037037037036979E-2</v>
      </c>
      <c r="J1173" s="70">
        <f t="shared" si="327"/>
        <v>-1.4218009478673022E-2</v>
      </c>
      <c r="K1173" s="82" t="str">
        <f>_xlfn.IFNA(VLOOKUP(CLEAN(SUBSTITUTE(C1173," ","")),Ref_Factory!$A:$B,2,FALSE),CLEAN(SUBSTITUTE(C1173," ","")))</f>
        <v>GM2</v>
      </c>
      <c r="L1173" s="82" t="str">
        <f t="shared" si="328"/>
        <v>AUGUST-2-GM2</v>
      </c>
      <c r="M1173" s="70">
        <f t="shared" si="329"/>
        <v>0.30575230063556891</v>
      </c>
      <c r="N1173" s="70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25">
      <c r="A1174" t="s">
        <v>42</v>
      </c>
      <c r="B1174">
        <v>2</v>
      </c>
      <c r="C1174" t="s">
        <v>28</v>
      </c>
      <c r="D1174" s="66">
        <v>32508</v>
      </c>
      <c r="E1174" s="66">
        <v>34006</v>
      </c>
      <c r="F1174" s="66">
        <v>33540</v>
      </c>
      <c r="G1174" s="13">
        <f t="shared" si="324"/>
        <v>-466</v>
      </c>
      <c r="H1174" s="13">
        <f t="shared" si="325"/>
        <v>1032</v>
      </c>
      <c r="I1174" s="70">
        <f t="shared" si="326"/>
        <v>3.1746031746031855E-2</v>
      </c>
      <c r="J1174" s="70">
        <f t="shared" si="327"/>
        <v>-1.3703464094571571E-2</v>
      </c>
      <c r="K1174" s="82" t="str">
        <f>_xlfn.IFNA(VLOOKUP(CLEAN(SUBSTITUTE(C1174," ","")),Ref_Factory!$A:$B,2,FALSE),CLEAN(SUBSTITUTE(C1174," ","")))</f>
        <v>GM2</v>
      </c>
      <c r="L1174" s="82" t="str">
        <f t="shared" si="328"/>
        <v>AUGUST-2-GM2</v>
      </c>
      <c r="M1174" s="70">
        <f t="shared" si="329"/>
        <v>0.30575230063556891</v>
      </c>
      <c r="N1174" s="70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25">
      <c r="A1175" t="s">
        <v>42</v>
      </c>
      <c r="B1175">
        <v>2</v>
      </c>
      <c r="C1175" t="s">
        <v>28</v>
      </c>
      <c r="D1175" s="66">
        <v>4212</v>
      </c>
      <c r="E1175" s="66">
        <v>4424</v>
      </c>
      <c r="F1175" s="66">
        <v>4422</v>
      </c>
      <c r="G1175" s="13">
        <f t="shared" si="324"/>
        <v>-2</v>
      </c>
      <c r="H1175" s="13">
        <f t="shared" si="325"/>
        <v>210</v>
      </c>
      <c r="I1175" s="70">
        <f t="shared" si="326"/>
        <v>4.9857549857549754E-2</v>
      </c>
      <c r="J1175" s="70">
        <f t="shared" si="327"/>
        <v>-4.5207956600357146E-4</v>
      </c>
      <c r="K1175" s="82" t="str">
        <f>_xlfn.IFNA(VLOOKUP(CLEAN(SUBSTITUTE(C1175," ","")),Ref_Factory!$A:$B,2,FALSE),CLEAN(SUBSTITUTE(C1175," ","")))</f>
        <v>GM2</v>
      </c>
      <c r="L1175" s="82" t="str">
        <f t="shared" si="328"/>
        <v>AUGUST-2-GM2</v>
      </c>
      <c r="M1175" s="70">
        <f t="shared" si="329"/>
        <v>0.30575230063556891</v>
      </c>
      <c r="N1175" s="70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25">
      <c r="A1176" t="s">
        <v>42</v>
      </c>
      <c r="B1176">
        <v>2</v>
      </c>
      <c r="C1176" t="s">
        <v>28</v>
      </c>
      <c r="D1176" s="66">
        <v>32508</v>
      </c>
      <c r="E1176" s="66">
        <v>33981</v>
      </c>
      <c r="F1176" s="66">
        <v>33765</v>
      </c>
      <c r="G1176" s="13">
        <f t="shared" si="324"/>
        <v>-216</v>
      </c>
      <c r="H1176" s="13">
        <f t="shared" si="325"/>
        <v>1257</v>
      </c>
      <c r="I1176" s="70">
        <f t="shared" si="326"/>
        <v>3.8667404946474804E-2</v>
      </c>
      <c r="J1176" s="70">
        <f t="shared" si="327"/>
        <v>-6.3564933345104935E-3</v>
      </c>
      <c r="K1176" s="82" t="str">
        <f>_xlfn.IFNA(VLOOKUP(CLEAN(SUBSTITUTE(C1176," ","")),Ref_Factory!$A:$B,2,FALSE),CLEAN(SUBSTITUTE(C1176," ","")))</f>
        <v>GM2</v>
      </c>
      <c r="L1176" s="82" t="str">
        <f t="shared" si="328"/>
        <v>AUGUST-2-GM2</v>
      </c>
      <c r="M1176" s="70">
        <f t="shared" si="329"/>
        <v>0.30575230063556891</v>
      </c>
      <c r="N1176" s="70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25">
      <c r="A1177" t="s">
        <v>42</v>
      </c>
      <c r="B1177">
        <v>2</v>
      </c>
      <c r="C1177" t="s">
        <v>28</v>
      </c>
      <c r="D1177" s="66">
        <v>5292</v>
      </c>
      <c r="E1177" s="66">
        <v>5556</v>
      </c>
      <c r="F1177" s="66">
        <v>5508</v>
      </c>
      <c r="G1177" s="13">
        <f t="shared" si="324"/>
        <v>-48</v>
      </c>
      <c r="H1177" s="13">
        <f t="shared" si="325"/>
        <v>216</v>
      </c>
      <c r="I1177" s="70">
        <f t="shared" si="326"/>
        <v>4.081632653061229E-2</v>
      </c>
      <c r="J1177" s="70">
        <f t="shared" si="327"/>
        <v>-8.6393088552916275E-3</v>
      </c>
      <c r="K1177" s="82" t="str">
        <f>_xlfn.IFNA(VLOOKUP(CLEAN(SUBSTITUTE(C1177," ","")),Ref_Factory!$A:$B,2,FALSE),CLEAN(SUBSTITUTE(C1177," ","")))</f>
        <v>GM2</v>
      </c>
      <c r="L1177" s="82" t="str">
        <f t="shared" si="328"/>
        <v>AUGUST-2-GM2</v>
      </c>
      <c r="M1177" s="70">
        <f t="shared" si="329"/>
        <v>0.30575230063556891</v>
      </c>
      <c r="N1177" s="70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25">
      <c r="A1178" t="s">
        <v>42</v>
      </c>
      <c r="B1178">
        <v>2</v>
      </c>
      <c r="C1178" t="s">
        <v>28</v>
      </c>
      <c r="D1178" s="66">
        <v>45072</v>
      </c>
      <c r="E1178" s="66">
        <v>46889</v>
      </c>
      <c r="F1178" s="66">
        <v>46336</v>
      </c>
      <c r="G1178" s="13">
        <f t="shared" si="324"/>
        <v>-553</v>
      </c>
      <c r="H1178" s="13">
        <f t="shared" si="325"/>
        <v>1264</v>
      </c>
      <c r="I1178" s="70">
        <f t="shared" si="326"/>
        <v>2.8044018459354003E-2</v>
      </c>
      <c r="J1178" s="70">
        <f t="shared" si="327"/>
        <v>-1.1793810915139979E-2</v>
      </c>
      <c r="K1178" s="82" t="str">
        <f>_xlfn.IFNA(VLOOKUP(CLEAN(SUBSTITUTE(C1178," ","")),Ref_Factory!$A:$B,2,FALSE),CLEAN(SUBSTITUTE(C1178," ","")))</f>
        <v>GM2</v>
      </c>
      <c r="L1178" s="82" t="str">
        <f t="shared" si="328"/>
        <v>AUGUST-2-GM2</v>
      </c>
      <c r="M1178" s="70">
        <f t="shared" si="329"/>
        <v>0.30575230063556891</v>
      </c>
      <c r="N1178" s="70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25">
      <c r="A1179" t="s">
        <v>42</v>
      </c>
      <c r="B1179">
        <v>2</v>
      </c>
      <c r="C1179" t="s">
        <v>28</v>
      </c>
      <c r="D1179" s="66">
        <v>1440</v>
      </c>
      <c r="E1179" s="66">
        <v>1498</v>
      </c>
      <c r="F1179" s="66">
        <v>1472</v>
      </c>
      <c r="G1179" s="13">
        <f t="shared" si="324"/>
        <v>-26</v>
      </c>
      <c r="H1179" s="13">
        <f t="shared" si="325"/>
        <v>32</v>
      </c>
      <c r="I1179" s="70">
        <f t="shared" si="326"/>
        <v>2.2222222222222143E-2</v>
      </c>
      <c r="J1179" s="70">
        <f t="shared" si="327"/>
        <v>-1.735647530040052E-2</v>
      </c>
      <c r="K1179" s="82" t="str">
        <f>_xlfn.IFNA(VLOOKUP(CLEAN(SUBSTITUTE(C1179," ","")),Ref_Factory!$A:$B,2,FALSE),CLEAN(SUBSTITUTE(C1179," ","")))</f>
        <v>GM2</v>
      </c>
      <c r="L1179" s="82" t="str">
        <f t="shared" si="328"/>
        <v>AUGUST-2-GM2</v>
      </c>
      <c r="M1179" s="70">
        <f t="shared" si="329"/>
        <v>0.30575230063556891</v>
      </c>
      <c r="N1179" s="70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25">
      <c r="A1180" t="s">
        <v>42</v>
      </c>
      <c r="B1180">
        <v>2</v>
      </c>
      <c r="C1180" t="s">
        <v>28</v>
      </c>
      <c r="D1180" s="66">
        <v>23544</v>
      </c>
      <c r="E1180" s="66">
        <v>23993</v>
      </c>
      <c r="F1180" s="66">
        <v>23817</v>
      </c>
      <c r="G1180" s="13">
        <f t="shared" si="324"/>
        <v>-176</v>
      </c>
      <c r="H1180" s="13">
        <f t="shared" si="325"/>
        <v>273</v>
      </c>
      <c r="I1180" s="70">
        <f t="shared" si="326"/>
        <v>1.1595310907237533E-2</v>
      </c>
      <c r="J1180" s="70">
        <f t="shared" si="327"/>
        <v>-7.3354728462468044E-3</v>
      </c>
      <c r="K1180" s="82" t="str">
        <f>_xlfn.IFNA(VLOOKUP(CLEAN(SUBSTITUTE(C1180," ","")),Ref_Factory!$A:$B,2,FALSE),CLEAN(SUBSTITUTE(C1180," ","")))</f>
        <v>GM2</v>
      </c>
      <c r="L1180" s="82" t="str">
        <f t="shared" si="328"/>
        <v>AUGUST-2-GM2</v>
      </c>
      <c r="M1180" s="70">
        <f t="shared" si="329"/>
        <v>0.30575230063556891</v>
      </c>
      <c r="N1180" s="70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25">
      <c r="A1181" t="s">
        <v>42</v>
      </c>
      <c r="B1181">
        <v>3</v>
      </c>
      <c r="C1181" t="s">
        <v>28</v>
      </c>
      <c r="D1181" s="66">
        <v>36180</v>
      </c>
      <c r="E1181" s="68">
        <v>36508</v>
      </c>
      <c r="F1181" s="68">
        <v>36207</v>
      </c>
      <c r="G1181" s="13">
        <f t="shared" si="324"/>
        <v>-301</v>
      </c>
      <c r="H1181" s="13">
        <f t="shared" si="325"/>
        <v>27</v>
      </c>
      <c r="I1181" s="70">
        <f t="shared" si="326"/>
        <v>7.4626865671634235E-4</v>
      </c>
      <c r="J1181" s="70">
        <f t="shared" si="327"/>
        <v>-8.2447682699682279E-3</v>
      </c>
      <c r="K1181" s="82" t="str">
        <f>_xlfn.IFNA(VLOOKUP(CLEAN(SUBSTITUTE(C1181," ","")),Ref_Factory!$A:$B,2,FALSE),CLEAN(SUBSTITUTE(C1181," ","")))</f>
        <v>GM2</v>
      </c>
      <c r="L1181" s="82" t="str">
        <f t="shared" si="328"/>
        <v>AUGUST-3-GM2</v>
      </c>
      <c r="M1181" s="70">
        <f t="shared" si="329"/>
        <v>7.4626865671634235E-4</v>
      </c>
      <c r="N1181" s="70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25">
      <c r="A1182" t="s">
        <v>42</v>
      </c>
      <c r="B1182">
        <v>3</v>
      </c>
      <c r="C1182" t="s">
        <v>70</v>
      </c>
      <c r="D1182" s="66">
        <v>7992</v>
      </c>
      <c r="E1182" s="66">
        <v>8018</v>
      </c>
      <c r="F1182" s="66">
        <v>7992</v>
      </c>
      <c r="G1182" s="13">
        <f t="shared" si="324"/>
        <v>-26</v>
      </c>
      <c r="H1182" s="13">
        <f t="shared" si="325"/>
        <v>0</v>
      </c>
      <c r="I1182" s="70">
        <f t="shared" si="326"/>
        <v>0</v>
      </c>
      <c r="J1182" s="70">
        <f t="shared" si="327"/>
        <v>-3.2427039161885274E-3</v>
      </c>
      <c r="K1182" s="82" t="str">
        <f>_xlfn.IFNA(VLOOKUP(CLEAN(SUBSTITUTE(C1182," ","")),Ref_Factory!$A:$B,2,FALSE),CLEAN(SUBSTITUTE(C1182," ","")))</f>
        <v>GM1</v>
      </c>
      <c r="L1182" s="82" t="str">
        <f t="shared" si="328"/>
        <v>AUGUST-3-GM1</v>
      </c>
      <c r="M1182" s="70">
        <f t="shared" si="329"/>
        <v>0</v>
      </c>
      <c r="N1182" s="70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25">
      <c r="A1183" t="s">
        <v>42</v>
      </c>
      <c r="B1183">
        <v>3</v>
      </c>
      <c r="C1183" t="s">
        <v>70</v>
      </c>
      <c r="D1183" s="66">
        <v>540</v>
      </c>
      <c r="E1183" s="66">
        <v>542</v>
      </c>
      <c r="F1183" s="66">
        <v>540</v>
      </c>
      <c r="G1183" s="13">
        <f t="shared" si="324"/>
        <v>-2</v>
      </c>
      <c r="H1183" s="13">
        <f t="shared" si="325"/>
        <v>0</v>
      </c>
      <c r="I1183" s="70">
        <f t="shared" si="326"/>
        <v>0</v>
      </c>
      <c r="J1183" s="70">
        <f t="shared" si="327"/>
        <v>-3.6900369003689537E-3</v>
      </c>
      <c r="K1183" s="82" t="str">
        <f>_xlfn.IFNA(VLOOKUP(CLEAN(SUBSTITUTE(C1183," ","")),Ref_Factory!$A:$B,2,FALSE),CLEAN(SUBSTITUTE(C1183," ","")))</f>
        <v>GM1</v>
      </c>
      <c r="L1183" s="82" t="str">
        <f t="shared" si="328"/>
        <v>AUGUST-3-GM1</v>
      </c>
      <c r="M1183" s="70">
        <f t="shared" si="329"/>
        <v>0</v>
      </c>
      <c r="N1183" s="70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25">
      <c r="A1184" t="s">
        <v>42</v>
      </c>
      <c r="B1184">
        <v>3</v>
      </c>
      <c r="C1184" t="s">
        <v>70</v>
      </c>
      <c r="D1184" s="66">
        <v>374</v>
      </c>
      <c r="E1184" s="66">
        <v>377</v>
      </c>
      <c r="F1184" s="66">
        <v>374</v>
      </c>
      <c r="G1184" s="13">
        <f t="shared" si="324"/>
        <v>-3</v>
      </c>
      <c r="H1184" s="13">
        <f t="shared" si="325"/>
        <v>0</v>
      </c>
      <c r="I1184" s="70">
        <f t="shared" si="326"/>
        <v>0</v>
      </c>
      <c r="J1184" s="70">
        <f t="shared" si="327"/>
        <v>-7.9575596816976457E-3</v>
      </c>
      <c r="K1184" s="82" t="str">
        <f>_xlfn.IFNA(VLOOKUP(CLEAN(SUBSTITUTE(C1184," ","")),Ref_Factory!$A:$B,2,FALSE),CLEAN(SUBSTITUTE(C1184," ","")))</f>
        <v>GM1</v>
      </c>
      <c r="L1184" s="82" t="str">
        <f t="shared" si="328"/>
        <v>AUGUST-3-GM1</v>
      </c>
      <c r="M1184" s="70">
        <f t="shared" si="329"/>
        <v>0</v>
      </c>
      <c r="N1184" s="70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25">
      <c r="A1185" t="s">
        <v>42</v>
      </c>
      <c r="B1185">
        <v>4</v>
      </c>
      <c r="C1185" t="s">
        <v>17</v>
      </c>
      <c r="D1185" s="66">
        <v>710</v>
      </c>
      <c r="E1185" s="68">
        <v>710</v>
      </c>
      <c r="F1185" s="68">
        <v>710</v>
      </c>
      <c r="G1185" s="13">
        <f t="shared" si="324"/>
        <v>0</v>
      </c>
      <c r="H1185" s="13">
        <f t="shared" si="325"/>
        <v>0</v>
      </c>
      <c r="I1185" s="70">
        <f t="shared" si="326"/>
        <v>0</v>
      </c>
      <c r="J1185" s="70">
        <f t="shared" si="327"/>
        <v>0</v>
      </c>
      <c r="K1185" s="82" t="str">
        <f>_xlfn.IFNA(VLOOKUP(CLEAN(SUBSTITUTE(C1185," ","")),Ref_Factory!$A:$B,2,FALSE),CLEAN(SUBSTITUTE(C1185," ","")))</f>
        <v>CBA</v>
      </c>
      <c r="L1185" s="82" t="str">
        <f t="shared" si="328"/>
        <v>AUGUST-4-CBA</v>
      </c>
      <c r="M1185" s="70">
        <f t="shared" si="329"/>
        <v>0</v>
      </c>
      <c r="N1185" s="70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25">
      <c r="A1186" t="s">
        <v>42</v>
      </c>
      <c r="B1186">
        <v>4</v>
      </c>
      <c r="C1186" t="s">
        <v>17</v>
      </c>
      <c r="D1186" s="66">
        <v>590</v>
      </c>
      <c r="E1186" s="68">
        <v>590</v>
      </c>
      <c r="F1186" s="68">
        <v>590</v>
      </c>
      <c r="G1186" s="13">
        <f t="shared" si="324"/>
        <v>0</v>
      </c>
      <c r="H1186" s="13">
        <f t="shared" si="325"/>
        <v>0</v>
      </c>
      <c r="I1186" s="70">
        <f t="shared" si="326"/>
        <v>0</v>
      </c>
      <c r="J1186" s="70">
        <f t="shared" si="327"/>
        <v>0</v>
      </c>
      <c r="K1186" s="82" t="str">
        <f>_xlfn.IFNA(VLOOKUP(CLEAN(SUBSTITUTE(C1186," ","")),Ref_Factory!$A:$B,2,FALSE),CLEAN(SUBSTITUTE(C1186," ","")))</f>
        <v>CBA</v>
      </c>
      <c r="L1186" s="82" t="str">
        <f t="shared" si="328"/>
        <v>AUGUST-4-CBA</v>
      </c>
      <c r="M1186" s="70">
        <f t="shared" si="329"/>
        <v>0</v>
      </c>
      <c r="N1186" s="70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25">
      <c r="A1187" t="s">
        <v>42</v>
      </c>
      <c r="B1187">
        <v>4</v>
      </c>
      <c r="C1187" t="s">
        <v>17</v>
      </c>
      <c r="D1187" s="66">
        <v>1600</v>
      </c>
      <c r="E1187" s="68">
        <v>1600</v>
      </c>
      <c r="F1187" s="68">
        <v>1600</v>
      </c>
      <c r="G1187" s="13">
        <f t="shared" si="324"/>
        <v>0</v>
      </c>
      <c r="H1187" s="13">
        <f t="shared" si="325"/>
        <v>0</v>
      </c>
      <c r="I1187" s="70">
        <f t="shared" si="326"/>
        <v>0</v>
      </c>
      <c r="J1187" s="70">
        <f t="shared" si="327"/>
        <v>0</v>
      </c>
      <c r="K1187" s="82" t="str">
        <f>_xlfn.IFNA(VLOOKUP(CLEAN(SUBSTITUTE(C1187," ","")),Ref_Factory!$A:$B,2,FALSE),CLEAN(SUBSTITUTE(C1187," ","")))</f>
        <v>CBA</v>
      </c>
      <c r="L1187" s="82" t="str">
        <f t="shared" si="328"/>
        <v>AUGUST-4-CBA</v>
      </c>
      <c r="M1187" s="70">
        <f t="shared" si="329"/>
        <v>0</v>
      </c>
      <c r="N1187" s="70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25">
      <c r="A1188" t="s">
        <v>42</v>
      </c>
      <c r="B1188">
        <v>4</v>
      </c>
      <c r="C1188" t="s">
        <v>17</v>
      </c>
      <c r="D1188" s="66">
        <v>1560</v>
      </c>
      <c r="E1188" s="68">
        <v>1560</v>
      </c>
      <c r="F1188" s="68">
        <v>1560</v>
      </c>
      <c r="G1188" s="13">
        <f t="shared" si="324"/>
        <v>0</v>
      </c>
      <c r="H1188" s="13">
        <f t="shared" si="325"/>
        <v>0</v>
      </c>
      <c r="I1188" s="70">
        <f t="shared" si="326"/>
        <v>0</v>
      </c>
      <c r="J1188" s="70">
        <f t="shared" si="327"/>
        <v>0</v>
      </c>
      <c r="K1188" s="82" t="str">
        <f>_xlfn.IFNA(VLOOKUP(CLEAN(SUBSTITUTE(C1188," ","")),Ref_Factory!$A:$B,2,FALSE),CLEAN(SUBSTITUTE(C1188," ","")))</f>
        <v>CBA</v>
      </c>
      <c r="L1188" s="82" t="str">
        <f t="shared" si="328"/>
        <v>AUGUST-4-CBA</v>
      </c>
      <c r="M1188" s="70">
        <f t="shared" si="329"/>
        <v>0</v>
      </c>
      <c r="N1188" s="70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25">
      <c r="A1189" t="s">
        <v>42</v>
      </c>
      <c r="B1189">
        <v>4</v>
      </c>
      <c r="C1189" t="s">
        <v>27</v>
      </c>
      <c r="D1189" s="66">
        <v>500</v>
      </c>
      <c r="E1189" s="68">
        <v>514</v>
      </c>
      <c r="F1189" s="68">
        <v>500</v>
      </c>
      <c r="G1189" s="13">
        <f t="shared" si="324"/>
        <v>-14</v>
      </c>
      <c r="H1189" s="13">
        <f t="shared" si="325"/>
        <v>0</v>
      </c>
      <c r="I1189" s="70">
        <f t="shared" si="326"/>
        <v>0</v>
      </c>
      <c r="J1189" s="70">
        <f t="shared" si="327"/>
        <v>-2.7237354085603127E-2</v>
      </c>
      <c r="K1189" s="82" t="str">
        <f>_xlfn.IFNA(VLOOKUP(CLEAN(SUBSTITUTE(C1189," ","")),Ref_Factory!$A:$B,2,FALSE),CLEAN(SUBSTITUTE(C1189," ","")))</f>
        <v>CNJ2</v>
      </c>
      <c r="L1189" s="82" t="str">
        <f t="shared" si="328"/>
        <v>AUGUST-4-CNJ2</v>
      </c>
      <c r="M1189" s="70">
        <f t="shared" si="329"/>
        <v>-4.4444444444444731E-3</v>
      </c>
      <c r="N1189" s="70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25">
      <c r="A1190" t="s">
        <v>42</v>
      </c>
      <c r="B1190">
        <v>4</v>
      </c>
      <c r="C1190" t="s">
        <v>27</v>
      </c>
      <c r="D1190" s="66">
        <v>650</v>
      </c>
      <c r="E1190" s="68">
        <v>666</v>
      </c>
      <c r="F1190" s="68">
        <v>650</v>
      </c>
      <c r="G1190" s="13">
        <f t="shared" si="324"/>
        <v>-16</v>
      </c>
      <c r="H1190" s="13">
        <f t="shared" si="325"/>
        <v>0</v>
      </c>
      <c r="I1190" s="70">
        <f t="shared" si="326"/>
        <v>0</v>
      </c>
      <c r="J1190" s="70">
        <f t="shared" si="327"/>
        <v>-2.4024024024024038E-2</v>
      </c>
      <c r="K1190" s="82" t="str">
        <f>_xlfn.IFNA(VLOOKUP(CLEAN(SUBSTITUTE(C1190," ","")),Ref_Factory!$A:$B,2,FALSE),CLEAN(SUBSTITUTE(C1190," ","")))</f>
        <v>CNJ2</v>
      </c>
      <c r="L1190" s="82" t="str">
        <f t="shared" si="328"/>
        <v>AUGUST-4-CNJ2</v>
      </c>
      <c r="M1190" s="70">
        <f t="shared" si="329"/>
        <v>-4.4444444444444731E-3</v>
      </c>
      <c r="N1190" s="70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25">
      <c r="A1191" t="s">
        <v>42</v>
      </c>
      <c r="B1191">
        <v>4</v>
      </c>
      <c r="C1191" t="s">
        <v>27</v>
      </c>
      <c r="D1191" s="66">
        <v>1460</v>
      </c>
      <c r="E1191" s="68">
        <v>1504</v>
      </c>
      <c r="F1191" s="68">
        <v>1460</v>
      </c>
      <c r="G1191" s="13">
        <f t="shared" si="324"/>
        <v>-44</v>
      </c>
      <c r="H1191" s="13">
        <f t="shared" si="325"/>
        <v>0</v>
      </c>
      <c r="I1191" s="70">
        <f t="shared" si="326"/>
        <v>0</v>
      </c>
      <c r="J1191" s="70">
        <f t="shared" si="327"/>
        <v>-2.9255319148936199E-2</v>
      </c>
      <c r="K1191" s="82" t="str">
        <f>_xlfn.IFNA(VLOOKUP(CLEAN(SUBSTITUTE(C1191," ","")),Ref_Factory!$A:$B,2,FALSE),CLEAN(SUBSTITUTE(C1191," ","")))</f>
        <v>CNJ2</v>
      </c>
      <c r="L1191" s="82" t="str">
        <f t="shared" si="328"/>
        <v>AUGUST-4-CNJ2</v>
      </c>
      <c r="M1191" s="70">
        <f t="shared" si="329"/>
        <v>-4.4444444444444731E-3</v>
      </c>
      <c r="N1191" s="70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25">
      <c r="A1192" t="s">
        <v>42</v>
      </c>
      <c r="B1192">
        <v>4</v>
      </c>
      <c r="C1192" t="s">
        <v>27</v>
      </c>
      <c r="D1192" s="66">
        <v>200</v>
      </c>
      <c r="E1192" s="68">
        <v>208</v>
      </c>
      <c r="F1192" s="68">
        <v>200</v>
      </c>
      <c r="G1192" s="13">
        <f t="shared" si="324"/>
        <v>-8</v>
      </c>
      <c r="H1192" s="13">
        <f t="shared" si="325"/>
        <v>0</v>
      </c>
      <c r="I1192" s="70">
        <f t="shared" si="326"/>
        <v>0</v>
      </c>
      <c r="J1192" s="70">
        <f t="shared" si="327"/>
        <v>-3.8461538461538436E-2</v>
      </c>
      <c r="K1192" s="82" t="str">
        <f>_xlfn.IFNA(VLOOKUP(CLEAN(SUBSTITUTE(C1192," ","")),Ref_Factory!$A:$B,2,FALSE),CLEAN(SUBSTITUTE(C1192," ","")))</f>
        <v>CNJ2</v>
      </c>
      <c r="L1192" s="82" t="str">
        <f t="shared" si="328"/>
        <v>AUGUST-4-CNJ2</v>
      </c>
      <c r="M1192" s="70">
        <f t="shared" si="329"/>
        <v>-4.4444444444444731E-3</v>
      </c>
      <c r="N1192" s="70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25">
      <c r="A1193" t="s">
        <v>42</v>
      </c>
      <c r="B1193">
        <v>4</v>
      </c>
      <c r="C1193" t="s">
        <v>27</v>
      </c>
      <c r="D1193" s="66">
        <v>1400</v>
      </c>
      <c r="E1193" s="68">
        <v>1432</v>
      </c>
      <c r="F1193" s="68">
        <v>1400</v>
      </c>
      <c r="G1193" s="13">
        <f t="shared" si="324"/>
        <v>-32</v>
      </c>
      <c r="H1193" s="13">
        <f t="shared" si="325"/>
        <v>0</v>
      </c>
      <c r="I1193" s="70">
        <f t="shared" si="326"/>
        <v>0</v>
      </c>
      <c r="J1193" s="70">
        <f t="shared" si="327"/>
        <v>-2.2346368715083775E-2</v>
      </c>
      <c r="K1193" s="82" t="str">
        <f>_xlfn.IFNA(VLOOKUP(CLEAN(SUBSTITUTE(C1193," ","")),Ref_Factory!$A:$B,2,FALSE),CLEAN(SUBSTITUTE(C1193," ","")))</f>
        <v>CNJ2</v>
      </c>
      <c r="L1193" s="82" t="str">
        <f t="shared" si="328"/>
        <v>AUGUST-4-CNJ2</v>
      </c>
      <c r="M1193" s="70">
        <f t="shared" si="329"/>
        <v>-4.4444444444444731E-3</v>
      </c>
      <c r="N1193" s="70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25">
      <c r="A1194" t="s">
        <v>42</v>
      </c>
      <c r="B1194">
        <v>4</v>
      </c>
      <c r="C1194" t="s">
        <v>27</v>
      </c>
      <c r="D1194" s="66">
        <v>540</v>
      </c>
      <c r="E1194" s="68">
        <v>560</v>
      </c>
      <c r="F1194" s="68">
        <v>540</v>
      </c>
      <c r="G1194" s="13">
        <f t="shared" si="324"/>
        <v>-20</v>
      </c>
      <c r="H1194" s="13">
        <f t="shared" si="325"/>
        <v>0</v>
      </c>
      <c r="I1194" s="70">
        <f t="shared" si="326"/>
        <v>0</v>
      </c>
      <c r="J1194" s="70">
        <f t="shared" si="327"/>
        <v>-3.5714285714285698E-2</v>
      </c>
      <c r="K1194" s="82" t="str">
        <f>_xlfn.IFNA(VLOOKUP(CLEAN(SUBSTITUTE(C1194," ","")),Ref_Factory!$A:$B,2,FALSE),CLEAN(SUBSTITUTE(C1194," ","")))</f>
        <v>CNJ2</v>
      </c>
      <c r="L1194" s="82" t="str">
        <f t="shared" si="328"/>
        <v>AUGUST-4-CNJ2</v>
      </c>
      <c r="M1194" s="70">
        <f t="shared" si="329"/>
        <v>-4.4444444444444731E-3</v>
      </c>
      <c r="N1194" s="70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25">
      <c r="A1195" t="s">
        <v>42</v>
      </c>
      <c r="B1195">
        <v>4</v>
      </c>
      <c r="C1195" t="s">
        <v>27</v>
      </c>
      <c r="D1195" s="66">
        <v>970</v>
      </c>
      <c r="E1195" s="68">
        <v>1016</v>
      </c>
      <c r="F1195" s="68">
        <v>970</v>
      </c>
      <c r="G1195" s="13">
        <f t="shared" si="324"/>
        <v>-46</v>
      </c>
      <c r="H1195" s="13">
        <f t="shared" si="325"/>
        <v>0</v>
      </c>
      <c r="I1195" s="70">
        <f t="shared" si="326"/>
        <v>0</v>
      </c>
      <c r="J1195" s="70">
        <f t="shared" si="327"/>
        <v>-4.5275590551181133E-2</v>
      </c>
      <c r="K1195" s="82" t="str">
        <f>_xlfn.IFNA(VLOOKUP(CLEAN(SUBSTITUTE(C1195," ","")),Ref_Factory!$A:$B,2,FALSE),CLEAN(SUBSTITUTE(C1195," ","")))</f>
        <v>CNJ2</v>
      </c>
      <c r="L1195" s="82" t="str">
        <f t="shared" si="328"/>
        <v>AUGUST-4-CNJ2</v>
      </c>
      <c r="M1195" s="70">
        <f t="shared" si="329"/>
        <v>-4.4444444444444731E-3</v>
      </c>
      <c r="N1195" s="70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25">
      <c r="A1196" t="s">
        <v>42</v>
      </c>
      <c r="B1196">
        <v>4</v>
      </c>
      <c r="C1196" t="s">
        <v>17</v>
      </c>
      <c r="D1196" s="66">
        <v>1030</v>
      </c>
      <c r="E1196" s="68">
        <v>1030</v>
      </c>
      <c r="F1196" s="68">
        <v>1030</v>
      </c>
      <c r="G1196" s="13">
        <f t="shared" si="324"/>
        <v>0</v>
      </c>
      <c r="H1196" s="13">
        <f t="shared" si="325"/>
        <v>0</v>
      </c>
      <c r="I1196" s="70">
        <f t="shared" si="326"/>
        <v>0</v>
      </c>
      <c r="J1196" s="70">
        <f t="shared" si="327"/>
        <v>0</v>
      </c>
      <c r="K1196" s="82" t="str">
        <f>_xlfn.IFNA(VLOOKUP(CLEAN(SUBSTITUTE(C1196," ","")),Ref_Factory!$A:$B,2,FALSE),CLEAN(SUBSTITUTE(C1196," ","")))</f>
        <v>CBA</v>
      </c>
      <c r="L1196" s="82" t="str">
        <f t="shared" si="328"/>
        <v>AUGUST-4-CBA</v>
      </c>
      <c r="M1196" s="70">
        <f t="shared" si="329"/>
        <v>0</v>
      </c>
      <c r="N1196" s="70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25">
      <c r="A1197" t="s">
        <v>42</v>
      </c>
      <c r="B1197">
        <v>4</v>
      </c>
      <c r="C1197" t="s">
        <v>17</v>
      </c>
      <c r="D1197" s="66">
        <v>820</v>
      </c>
      <c r="E1197" s="68">
        <v>820</v>
      </c>
      <c r="F1197" s="68">
        <v>820</v>
      </c>
      <c r="G1197" s="13">
        <f t="shared" si="324"/>
        <v>0</v>
      </c>
      <c r="H1197" s="13">
        <f t="shared" si="325"/>
        <v>0</v>
      </c>
      <c r="I1197" s="70">
        <f t="shared" si="326"/>
        <v>0</v>
      </c>
      <c r="J1197" s="70">
        <f t="shared" si="327"/>
        <v>0</v>
      </c>
      <c r="K1197" s="82" t="str">
        <f>_xlfn.IFNA(VLOOKUP(CLEAN(SUBSTITUTE(C1197," ","")),Ref_Factory!$A:$B,2,FALSE),CLEAN(SUBSTITUTE(C1197," ","")))</f>
        <v>CBA</v>
      </c>
      <c r="L1197" s="82" t="str">
        <f t="shared" si="328"/>
        <v>AUGUST-4-CBA</v>
      </c>
      <c r="M1197" s="70">
        <f t="shared" si="329"/>
        <v>0</v>
      </c>
      <c r="N1197" s="70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25">
      <c r="A1198" t="s">
        <v>42</v>
      </c>
      <c r="B1198">
        <v>4</v>
      </c>
      <c r="C1198" t="s">
        <v>27</v>
      </c>
      <c r="D1198" s="66">
        <v>3000</v>
      </c>
      <c r="E1198" s="68">
        <v>3017</v>
      </c>
      <c r="F1198" s="68">
        <v>3000</v>
      </c>
      <c r="G1198" s="13">
        <f t="shared" si="324"/>
        <v>-17</v>
      </c>
      <c r="H1198" s="13">
        <f t="shared" si="325"/>
        <v>0</v>
      </c>
      <c r="I1198" s="70">
        <f t="shared" si="326"/>
        <v>0</v>
      </c>
      <c r="J1198" s="70">
        <f t="shared" si="327"/>
        <v>-5.6347364932051169E-3</v>
      </c>
      <c r="K1198" s="82" t="str">
        <f>_xlfn.IFNA(VLOOKUP(CLEAN(SUBSTITUTE(C1198," ","")),Ref_Factory!$A:$B,2,FALSE),CLEAN(SUBSTITUTE(C1198," ","")))</f>
        <v>CNJ2</v>
      </c>
      <c r="L1198" s="82" t="str">
        <f t="shared" si="328"/>
        <v>AUGUST-4-CNJ2</v>
      </c>
      <c r="M1198" s="70">
        <f t="shared" si="329"/>
        <v>-4.4444444444444731E-3</v>
      </c>
      <c r="N1198" s="70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25">
      <c r="A1199" t="s">
        <v>42</v>
      </c>
      <c r="B1199">
        <v>4</v>
      </c>
      <c r="C1199" t="s">
        <v>27</v>
      </c>
      <c r="D1199" s="66">
        <v>3000</v>
      </c>
      <c r="E1199" s="68">
        <v>3051</v>
      </c>
      <c r="F1199" s="68">
        <v>3000</v>
      </c>
      <c r="G1199" s="13">
        <f t="shared" si="324"/>
        <v>-51</v>
      </c>
      <c r="H1199" s="13">
        <f t="shared" si="325"/>
        <v>0</v>
      </c>
      <c r="I1199" s="70">
        <f t="shared" si="326"/>
        <v>0</v>
      </c>
      <c r="J1199" s="70">
        <f t="shared" si="327"/>
        <v>-1.6715830875122961E-2</v>
      </c>
      <c r="K1199" s="82" t="str">
        <f>_xlfn.IFNA(VLOOKUP(CLEAN(SUBSTITUTE(C1199," ","")),Ref_Factory!$A:$B,2,FALSE),CLEAN(SUBSTITUTE(C1199," ","")))</f>
        <v>CNJ2</v>
      </c>
      <c r="L1199" s="82" t="str">
        <f t="shared" si="328"/>
        <v>AUGUST-4-CNJ2</v>
      </c>
      <c r="M1199" s="70">
        <f t="shared" si="329"/>
        <v>-4.4444444444444731E-3</v>
      </c>
      <c r="N1199" s="70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25">
      <c r="A1200" t="s">
        <v>42</v>
      </c>
      <c r="B1200">
        <v>4</v>
      </c>
      <c r="C1200" t="s">
        <v>27</v>
      </c>
      <c r="D1200" s="66">
        <v>6190</v>
      </c>
      <c r="E1200" s="68">
        <v>6222</v>
      </c>
      <c r="F1200" s="68">
        <v>6190</v>
      </c>
      <c r="G1200" s="13">
        <f t="shared" si="324"/>
        <v>-32</v>
      </c>
      <c r="H1200" s="13">
        <f t="shared" si="325"/>
        <v>0</v>
      </c>
      <c r="I1200" s="70">
        <f t="shared" si="326"/>
        <v>0</v>
      </c>
      <c r="J1200" s="70">
        <f t="shared" si="327"/>
        <v>-5.1430408228865243E-3</v>
      </c>
      <c r="K1200" s="82" t="str">
        <f>_xlfn.IFNA(VLOOKUP(CLEAN(SUBSTITUTE(C1200," ","")),Ref_Factory!$A:$B,2,FALSE),CLEAN(SUBSTITUTE(C1200," ","")))</f>
        <v>CNJ2</v>
      </c>
      <c r="L1200" s="82" t="str">
        <f t="shared" si="328"/>
        <v>AUGUST-4-CNJ2</v>
      </c>
      <c r="M1200" s="70">
        <f t="shared" si="329"/>
        <v>-4.4444444444444731E-3</v>
      </c>
      <c r="N1200" s="70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25">
      <c r="A1201" t="s">
        <v>42</v>
      </c>
      <c r="B1201">
        <v>4</v>
      </c>
      <c r="C1201" t="s">
        <v>27</v>
      </c>
      <c r="D1201" s="66">
        <v>1125</v>
      </c>
      <c r="E1201" s="68">
        <v>1125</v>
      </c>
      <c r="F1201" s="68">
        <v>1120</v>
      </c>
      <c r="G1201" s="13">
        <f t="shared" si="324"/>
        <v>-5</v>
      </c>
      <c r="H1201" s="13">
        <f t="shared" si="325"/>
        <v>-5</v>
      </c>
      <c r="I1201" s="70">
        <f t="shared" si="326"/>
        <v>-4.4444444444444731E-3</v>
      </c>
      <c r="J1201" s="70">
        <f t="shared" si="327"/>
        <v>-4.4444444444444731E-3</v>
      </c>
      <c r="K1201" s="82" t="str">
        <f>_xlfn.IFNA(VLOOKUP(CLEAN(SUBSTITUTE(C1201," ","")),Ref_Factory!$A:$B,2,FALSE),CLEAN(SUBSTITUTE(C1201," ","")))</f>
        <v>CNJ2</v>
      </c>
      <c r="L1201" s="82" t="str">
        <f t="shared" si="328"/>
        <v>AUGUST-4-CNJ2</v>
      </c>
      <c r="M1201" s="70">
        <f t="shared" si="329"/>
        <v>-4.4444444444444731E-3</v>
      </c>
      <c r="N1201" s="70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25">
      <c r="A1202" t="s">
        <v>42</v>
      </c>
      <c r="B1202">
        <v>4</v>
      </c>
      <c r="C1202" t="s">
        <v>27</v>
      </c>
      <c r="D1202" s="66">
        <v>1260</v>
      </c>
      <c r="E1202" s="68">
        <v>1284</v>
      </c>
      <c r="F1202" s="68">
        <v>1260</v>
      </c>
      <c r="G1202" s="13">
        <f t="shared" si="324"/>
        <v>-24</v>
      </c>
      <c r="H1202" s="13">
        <f t="shared" si="325"/>
        <v>0</v>
      </c>
      <c r="I1202" s="70">
        <f t="shared" si="326"/>
        <v>0</v>
      </c>
      <c r="J1202" s="70">
        <f t="shared" si="327"/>
        <v>-1.8691588785046731E-2</v>
      </c>
      <c r="K1202" s="82" t="str">
        <f>_xlfn.IFNA(VLOOKUP(CLEAN(SUBSTITUTE(C1202," ","")),Ref_Factory!$A:$B,2,FALSE),CLEAN(SUBSTITUTE(C1202," ","")))</f>
        <v>CNJ2</v>
      </c>
      <c r="L1202" s="82" t="str">
        <f t="shared" si="328"/>
        <v>AUGUST-4-CNJ2</v>
      </c>
      <c r="M1202" s="70">
        <f t="shared" si="329"/>
        <v>-4.4444444444444731E-3</v>
      </c>
      <c r="N1202" s="70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25">
      <c r="A1203" t="s">
        <v>42</v>
      </c>
      <c r="B1203">
        <v>4</v>
      </c>
      <c r="C1203" t="s">
        <v>15</v>
      </c>
      <c r="D1203" s="66">
        <v>1977</v>
      </c>
      <c r="E1203" s="68">
        <v>1983</v>
      </c>
      <c r="F1203" s="68">
        <v>1978</v>
      </c>
      <c r="G1203" s="13">
        <f t="shared" si="324"/>
        <v>-5</v>
      </c>
      <c r="H1203" s="13">
        <f t="shared" si="325"/>
        <v>1</v>
      </c>
      <c r="I1203" s="70">
        <f t="shared" si="326"/>
        <v>5.0581689428419452E-4</v>
      </c>
      <c r="J1203" s="70">
        <f t="shared" si="327"/>
        <v>-2.5214321734745582E-3</v>
      </c>
      <c r="K1203" s="82" t="str">
        <f>_xlfn.IFNA(VLOOKUP(CLEAN(SUBSTITUTE(C1203," ","")),Ref_Factory!$A:$B,2,FALSE),CLEAN(SUBSTITUTE(C1203," ","")))</f>
        <v>CHAWAN</v>
      </c>
      <c r="L1203" s="82" t="str">
        <f t="shared" si="328"/>
        <v>AUGUST-4-CHAWAN</v>
      </c>
      <c r="M1203" s="70">
        <f t="shared" si="329"/>
        <v>5.0581689428419452E-4</v>
      </c>
      <c r="N1203" s="70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25">
      <c r="A1204" t="s">
        <v>42</v>
      </c>
      <c r="B1204">
        <v>4</v>
      </c>
      <c r="C1204" t="s">
        <v>16</v>
      </c>
      <c r="D1204" s="66">
        <v>54000</v>
      </c>
      <c r="E1204" s="68">
        <v>54386</v>
      </c>
      <c r="F1204" s="68">
        <v>54239</v>
      </c>
      <c r="G1204" s="13">
        <f t="shared" si="324"/>
        <v>-147</v>
      </c>
      <c r="H1204" s="13">
        <f t="shared" si="325"/>
        <v>239</v>
      </c>
      <c r="I1204" s="70">
        <f t="shared" si="326"/>
        <v>4.4259259259258332E-3</v>
      </c>
      <c r="J1204" s="70">
        <f t="shared" si="327"/>
        <v>-2.7029014819990316E-3</v>
      </c>
      <c r="K1204" s="82" t="str">
        <f>_xlfn.IFNA(VLOOKUP(CLEAN(SUBSTITUTE(C1204," ","")),Ref_Factory!$A:$B,2,FALSE),CLEAN(SUBSTITUTE(C1204," ","")))</f>
        <v>ANUGERAH</v>
      </c>
      <c r="L1204" s="82" t="str">
        <f t="shared" si="328"/>
        <v>AUGUST-4-ANUGERAH</v>
      </c>
      <c r="M1204" s="70">
        <f t="shared" si="329"/>
        <v>-0.22644386551451789</v>
      </c>
      <c r="N1204" s="70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25">
      <c r="A1205" t="s">
        <v>42</v>
      </c>
      <c r="B1205">
        <v>4</v>
      </c>
      <c r="C1205" t="s">
        <v>16</v>
      </c>
      <c r="D1205" s="66">
        <v>34500</v>
      </c>
      <c r="E1205" s="68">
        <v>35027</v>
      </c>
      <c r="F1205" s="68">
        <v>34689</v>
      </c>
      <c r="G1205" s="13">
        <f t="shared" si="324"/>
        <v>-338</v>
      </c>
      <c r="H1205" s="13">
        <f t="shared" si="325"/>
        <v>189</v>
      </c>
      <c r="I1205" s="70">
        <f t="shared" si="326"/>
        <v>5.4782608695651547E-3</v>
      </c>
      <c r="J1205" s="70">
        <f t="shared" si="327"/>
        <v>-9.6496988037799714E-3</v>
      </c>
      <c r="K1205" s="82" t="str">
        <f>_xlfn.IFNA(VLOOKUP(CLEAN(SUBSTITUTE(C1205," ","")),Ref_Factory!$A:$B,2,FALSE),CLEAN(SUBSTITUTE(C1205," ","")))</f>
        <v>ANUGERAH</v>
      </c>
      <c r="L1205" s="82" t="str">
        <f t="shared" si="328"/>
        <v>AUGUST-4-ANUGERAH</v>
      </c>
      <c r="M1205" s="70">
        <f t="shared" si="329"/>
        <v>-0.22644386551451789</v>
      </c>
      <c r="N1205" s="70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25">
      <c r="A1206" t="s">
        <v>42</v>
      </c>
      <c r="B1206">
        <v>4</v>
      </c>
      <c r="C1206" t="s">
        <v>16</v>
      </c>
      <c r="D1206" s="66">
        <v>33000</v>
      </c>
      <c r="E1206" s="68">
        <v>33254</v>
      </c>
      <c r="F1206" s="68">
        <v>33185</v>
      </c>
      <c r="G1206" s="13">
        <f t="shared" si="324"/>
        <v>-69</v>
      </c>
      <c r="H1206" s="13">
        <f t="shared" si="325"/>
        <v>185</v>
      </c>
      <c r="I1206" s="70">
        <f t="shared" si="326"/>
        <v>5.6060606060606144E-3</v>
      </c>
      <c r="J1206" s="70">
        <f t="shared" si="327"/>
        <v>-2.0749383532807641E-3</v>
      </c>
      <c r="K1206" s="82" t="str">
        <f>_xlfn.IFNA(VLOOKUP(CLEAN(SUBSTITUTE(C1206," ","")),Ref_Factory!$A:$B,2,FALSE),CLEAN(SUBSTITUTE(C1206," ","")))</f>
        <v>ANUGERAH</v>
      </c>
      <c r="L1206" s="82" t="str">
        <f t="shared" si="328"/>
        <v>AUGUST-4-ANUGERAH</v>
      </c>
      <c r="M1206" s="70">
        <f t="shared" si="329"/>
        <v>-0.22644386551451789</v>
      </c>
      <c r="N1206" s="70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25">
      <c r="A1207" t="s">
        <v>42</v>
      </c>
      <c r="B1207">
        <v>4</v>
      </c>
      <c r="C1207" t="s">
        <v>16</v>
      </c>
      <c r="D1207" s="66">
        <v>6500</v>
      </c>
      <c r="E1207" s="68">
        <v>6501</v>
      </c>
      <c r="F1207" s="68">
        <v>6457</v>
      </c>
      <c r="G1207" s="13">
        <f t="shared" si="324"/>
        <v>-44</v>
      </c>
      <c r="H1207" s="13">
        <f t="shared" si="325"/>
        <v>-43</v>
      </c>
      <c r="I1207" s="70">
        <f t="shared" si="326"/>
        <v>-6.6153846153845786E-3</v>
      </c>
      <c r="J1207" s="70">
        <f t="shared" si="327"/>
        <v>-6.7681895093062439E-3</v>
      </c>
      <c r="K1207" s="82" t="str">
        <f>_xlfn.IFNA(VLOOKUP(CLEAN(SUBSTITUTE(C1207," ","")),Ref_Factory!$A:$B,2,FALSE),CLEAN(SUBSTITUTE(C1207," ","")))</f>
        <v>ANUGERAH</v>
      </c>
      <c r="L1207" s="82" t="str">
        <f t="shared" si="328"/>
        <v>AUGUST-4-ANUGERAH</v>
      </c>
      <c r="M1207" s="70">
        <f t="shared" si="329"/>
        <v>-0.22644386551451789</v>
      </c>
      <c r="N1207" s="70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25">
      <c r="A1208" t="s">
        <v>42</v>
      </c>
      <c r="B1208">
        <v>4</v>
      </c>
      <c r="C1208" t="s">
        <v>16</v>
      </c>
      <c r="D1208" s="66">
        <v>7500</v>
      </c>
      <c r="E1208" s="68">
        <v>7500</v>
      </c>
      <c r="F1208" s="68">
        <v>7293</v>
      </c>
      <c r="G1208" s="13">
        <f t="shared" si="324"/>
        <v>-207</v>
      </c>
      <c r="H1208" s="13">
        <f t="shared" si="325"/>
        <v>-207</v>
      </c>
      <c r="I1208" s="70">
        <f t="shared" si="326"/>
        <v>-2.7599999999999958E-2</v>
      </c>
      <c r="J1208" s="70">
        <f t="shared" si="327"/>
        <v>-2.7599999999999958E-2</v>
      </c>
      <c r="K1208" s="82" t="str">
        <f>_xlfn.IFNA(VLOOKUP(CLEAN(SUBSTITUTE(C1208," ","")),Ref_Factory!$A:$B,2,FALSE),CLEAN(SUBSTITUTE(C1208," ","")))</f>
        <v>ANUGERAH</v>
      </c>
      <c r="L1208" s="82" t="str">
        <f t="shared" si="328"/>
        <v>AUGUST-4-ANUGERAH</v>
      </c>
      <c r="M1208" s="70">
        <f t="shared" si="329"/>
        <v>-0.22644386551451789</v>
      </c>
      <c r="N1208" s="70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25">
      <c r="A1209" t="s">
        <v>42</v>
      </c>
      <c r="B1209">
        <v>4</v>
      </c>
      <c r="C1209" t="s">
        <v>16</v>
      </c>
      <c r="D1209" s="66">
        <v>28000</v>
      </c>
      <c r="E1209" s="68">
        <v>28000</v>
      </c>
      <c r="F1209" s="68">
        <v>27837</v>
      </c>
      <c r="G1209" s="13">
        <f t="shared" si="324"/>
        <v>-163</v>
      </c>
      <c r="H1209" s="13">
        <f t="shared" si="325"/>
        <v>-163</v>
      </c>
      <c r="I1209" s="70">
        <f t="shared" si="326"/>
        <v>-5.821428571428533E-3</v>
      </c>
      <c r="J1209" s="70">
        <f t="shared" si="327"/>
        <v>-5.821428571428533E-3</v>
      </c>
      <c r="K1209" s="82" t="str">
        <f>_xlfn.IFNA(VLOOKUP(CLEAN(SUBSTITUTE(C1209," ","")),Ref_Factory!$A:$B,2,FALSE),CLEAN(SUBSTITUTE(C1209," ","")))</f>
        <v>ANUGERAH</v>
      </c>
      <c r="L1209" s="82" t="str">
        <f t="shared" si="328"/>
        <v>AUGUST-4-ANUGERAH</v>
      </c>
      <c r="M1209" s="70">
        <f t="shared" si="329"/>
        <v>-0.22644386551451789</v>
      </c>
      <c r="N1209" s="70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25">
      <c r="A1210" t="s">
        <v>42</v>
      </c>
      <c r="B1210">
        <v>4</v>
      </c>
      <c r="C1210" t="s">
        <v>16</v>
      </c>
      <c r="D1210" s="66">
        <v>21000</v>
      </c>
      <c r="E1210" s="68">
        <v>21505</v>
      </c>
      <c r="F1210" s="68">
        <v>21333</v>
      </c>
      <c r="G1210" s="13">
        <f t="shared" si="324"/>
        <v>-172</v>
      </c>
      <c r="H1210" s="13">
        <f t="shared" si="325"/>
        <v>333</v>
      </c>
      <c r="I1210" s="70">
        <f t="shared" si="326"/>
        <v>1.5857142857142792E-2</v>
      </c>
      <c r="J1210" s="70">
        <f t="shared" si="327"/>
        <v>-7.9981399674494691E-3</v>
      </c>
      <c r="K1210" s="82" t="str">
        <f>_xlfn.IFNA(VLOOKUP(CLEAN(SUBSTITUTE(C1210," ","")),Ref_Factory!$A:$B,2,FALSE),CLEAN(SUBSTITUTE(C1210," ","")))</f>
        <v>ANUGERAH</v>
      </c>
      <c r="L1210" s="82" t="str">
        <f t="shared" si="328"/>
        <v>AUGUST-4-ANUGERAH</v>
      </c>
      <c r="M1210" s="70">
        <f t="shared" si="329"/>
        <v>-0.22644386551451789</v>
      </c>
      <c r="N1210" s="70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25">
      <c r="A1211" t="s">
        <v>42</v>
      </c>
      <c r="B1211">
        <v>4</v>
      </c>
      <c r="C1211" t="s">
        <v>16</v>
      </c>
      <c r="D1211" s="66">
        <v>40000</v>
      </c>
      <c r="E1211" s="68">
        <v>40800</v>
      </c>
      <c r="F1211" s="68">
        <v>40569</v>
      </c>
      <c r="G1211" s="13">
        <f t="shared" si="324"/>
        <v>-231</v>
      </c>
      <c r="H1211" s="13">
        <f t="shared" si="325"/>
        <v>569</v>
      </c>
      <c r="I1211" s="70">
        <f t="shared" si="326"/>
        <v>1.4224999999999932E-2</v>
      </c>
      <c r="J1211" s="70">
        <f t="shared" si="327"/>
        <v>-5.6617647058823106E-3</v>
      </c>
      <c r="K1211" s="82" t="str">
        <f>_xlfn.IFNA(VLOOKUP(CLEAN(SUBSTITUTE(C1211," ","")),Ref_Factory!$A:$B,2,FALSE),CLEAN(SUBSTITUTE(C1211," ","")))</f>
        <v>ANUGERAH</v>
      </c>
      <c r="L1211" s="82" t="str">
        <f t="shared" si="328"/>
        <v>AUGUST-4-ANUGERAH</v>
      </c>
      <c r="M1211" s="70">
        <f t="shared" si="329"/>
        <v>-0.22644386551451789</v>
      </c>
      <c r="N1211" s="70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25">
      <c r="A1212" t="s">
        <v>42</v>
      </c>
      <c r="B1212">
        <v>4</v>
      </c>
      <c r="C1212" t="s">
        <v>16</v>
      </c>
      <c r="D1212" s="66">
        <v>6500</v>
      </c>
      <c r="E1212" s="68">
        <v>6500</v>
      </c>
      <c r="F1212" s="68">
        <v>6346</v>
      </c>
      <c r="G1212" s="13">
        <f t="shared" si="324"/>
        <v>-154</v>
      </c>
      <c r="H1212" s="13">
        <f t="shared" si="325"/>
        <v>-154</v>
      </c>
      <c r="I1212" s="70">
        <f t="shared" si="326"/>
        <v>-2.3692307692307679E-2</v>
      </c>
      <c r="J1212" s="70">
        <f t="shared" si="327"/>
        <v>-2.3692307692307679E-2</v>
      </c>
      <c r="K1212" s="82" t="str">
        <f>_xlfn.IFNA(VLOOKUP(CLEAN(SUBSTITUTE(C1212," ","")),Ref_Factory!$A:$B,2,FALSE),CLEAN(SUBSTITUTE(C1212," ","")))</f>
        <v>ANUGERAH</v>
      </c>
      <c r="L1212" s="82" t="str">
        <f t="shared" si="328"/>
        <v>AUGUST-4-ANUGERAH</v>
      </c>
      <c r="M1212" s="70">
        <f t="shared" si="329"/>
        <v>-0.22644386551451789</v>
      </c>
      <c r="N1212" s="70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25">
      <c r="A1213" t="s">
        <v>42</v>
      </c>
      <c r="B1213">
        <v>4</v>
      </c>
      <c r="C1213" t="s">
        <v>16</v>
      </c>
      <c r="D1213" s="66">
        <v>5000</v>
      </c>
      <c r="E1213" s="68">
        <v>5000</v>
      </c>
      <c r="F1213" s="68">
        <v>4841</v>
      </c>
      <c r="G1213" s="13">
        <f t="shared" si="324"/>
        <v>-159</v>
      </c>
      <c r="H1213" s="13">
        <f t="shared" si="325"/>
        <v>-159</v>
      </c>
      <c r="I1213" s="70">
        <f t="shared" si="326"/>
        <v>-3.180000000000005E-2</v>
      </c>
      <c r="J1213" s="70">
        <f t="shared" si="327"/>
        <v>-3.180000000000005E-2</v>
      </c>
      <c r="K1213" s="82" t="str">
        <f>_xlfn.IFNA(VLOOKUP(CLEAN(SUBSTITUTE(C1213," ","")),Ref_Factory!$A:$B,2,FALSE),CLEAN(SUBSTITUTE(C1213," ","")))</f>
        <v>ANUGERAH</v>
      </c>
      <c r="L1213" s="82" t="str">
        <f t="shared" si="328"/>
        <v>AUGUST-4-ANUGERAH</v>
      </c>
      <c r="M1213" s="70">
        <f t="shared" si="329"/>
        <v>-0.22644386551451789</v>
      </c>
      <c r="N1213" s="70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25">
      <c r="A1214" t="s">
        <v>42</v>
      </c>
      <c r="B1214">
        <v>4</v>
      </c>
      <c r="C1214" t="s">
        <v>16</v>
      </c>
      <c r="D1214" s="66">
        <v>8000</v>
      </c>
      <c r="E1214" s="68">
        <v>7683</v>
      </c>
      <c r="F1214" s="68">
        <v>7600</v>
      </c>
      <c r="G1214" s="13">
        <f t="shared" si="324"/>
        <v>-83</v>
      </c>
      <c r="H1214" s="13">
        <f t="shared" si="325"/>
        <v>-400</v>
      </c>
      <c r="I1214" s="70">
        <f t="shared" si="326"/>
        <v>-5.0000000000000044E-2</v>
      </c>
      <c r="J1214" s="70">
        <f t="shared" si="327"/>
        <v>-1.0803071716777302E-2</v>
      </c>
      <c r="K1214" s="82" t="str">
        <f>_xlfn.IFNA(VLOOKUP(CLEAN(SUBSTITUTE(C1214," ","")),Ref_Factory!$A:$B,2,FALSE),CLEAN(SUBSTITUTE(C1214," ","")))</f>
        <v>ANUGERAH</v>
      </c>
      <c r="L1214" s="82" t="str">
        <f t="shared" si="328"/>
        <v>AUGUST-4-ANUGERAH</v>
      </c>
      <c r="M1214" s="70">
        <f t="shared" si="329"/>
        <v>-0.22644386551451789</v>
      </c>
      <c r="N1214" s="70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25">
      <c r="A1215" t="s">
        <v>42</v>
      </c>
      <c r="B1215">
        <v>4</v>
      </c>
      <c r="C1215" t="s">
        <v>16</v>
      </c>
      <c r="D1215" s="66">
        <v>10000</v>
      </c>
      <c r="E1215" s="68">
        <v>9605</v>
      </c>
      <c r="F1215" s="68">
        <v>9488</v>
      </c>
      <c r="G1215" s="13">
        <f t="shared" si="324"/>
        <v>-117</v>
      </c>
      <c r="H1215" s="13">
        <f t="shared" si="325"/>
        <v>-512</v>
      </c>
      <c r="I1215" s="70">
        <f t="shared" si="326"/>
        <v>-5.1200000000000023E-2</v>
      </c>
      <c r="J1215" s="70">
        <f t="shared" si="327"/>
        <v>-1.2181155648099962E-2</v>
      </c>
      <c r="K1215" s="82" t="str">
        <f>_xlfn.IFNA(VLOOKUP(CLEAN(SUBSTITUTE(C1215," ","")),Ref_Factory!$A:$B,2,FALSE),CLEAN(SUBSTITUTE(C1215," ","")))</f>
        <v>ANUGERAH</v>
      </c>
      <c r="L1215" s="82" t="str">
        <f t="shared" si="328"/>
        <v>AUGUST-4-ANUGERAH</v>
      </c>
      <c r="M1215" s="70">
        <f t="shared" si="329"/>
        <v>-0.22644386551451789</v>
      </c>
      <c r="N1215" s="70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25">
      <c r="A1216" t="s">
        <v>42</v>
      </c>
      <c r="B1216">
        <v>4</v>
      </c>
      <c r="C1216" t="s">
        <v>16</v>
      </c>
      <c r="D1216" s="66">
        <v>26000</v>
      </c>
      <c r="E1216" s="68">
        <v>26874</v>
      </c>
      <c r="F1216" s="68">
        <v>26763</v>
      </c>
      <c r="G1216" s="13">
        <f t="shared" si="324"/>
        <v>-111</v>
      </c>
      <c r="H1216" s="13">
        <f t="shared" si="325"/>
        <v>763</v>
      </c>
      <c r="I1216" s="70">
        <f t="shared" si="326"/>
        <v>2.9346153846153911E-2</v>
      </c>
      <c r="J1216" s="70">
        <f t="shared" si="327"/>
        <v>-4.1303862469300734E-3</v>
      </c>
      <c r="K1216" s="82" t="str">
        <f>_xlfn.IFNA(VLOOKUP(CLEAN(SUBSTITUTE(C1216," ","")),Ref_Factory!$A:$B,2,FALSE),CLEAN(SUBSTITUTE(C1216," ","")))</f>
        <v>ANUGERAH</v>
      </c>
      <c r="L1216" s="82" t="str">
        <f t="shared" si="328"/>
        <v>AUGUST-4-ANUGERAH</v>
      </c>
      <c r="M1216" s="70">
        <f t="shared" si="329"/>
        <v>-0.22644386551451789</v>
      </c>
      <c r="N1216" s="70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25">
      <c r="A1217" t="s">
        <v>42</v>
      </c>
      <c r="B1217">
        <v>4</v>
      </c>
      <c r="C1217" t="s">
        <v>16</v>
      </c>
      <c r="D1217" s="66">
        <v>34500</v>
      </c>
      <c r="E1217" s="68">
        <v>34597</v>
      </c>
      <c r="F1217" s="68">
        <v>34458</v>
      </c>
      <c r="G1217" s="13">
        <f t="shared" si="324"/>
        <v>-139</v>
      </c>
      <c r="H1217" s="13">
        <f t="shared" si="325"/>
        <v>-42</v>
      </c>
      <c r="I1217" s="70">
        <f t="shared" si="326"/>
        <v>-1.2173913043478368E-3</v>
      </c>
      <c r="J1217" s="70">
        <f t="shared" si="327"/>
        <v>-4.0176893950342185E-3</v>
      </c>
      <c r="K1217" s="82" t="str">
        <f>_xlfn.IFNA(VLOOKUP(CLEAN(SUBSTITUTE(C1217," ","")),Ref_Factory!$A:$B,2,FALSE),CLEAN(SUBSTITUTE(C1217," ","")))</f>
        <v>ANUGERAH</v>
      </c>
      <c r="L1217" s="82" t="str">
        <f t="shared" si="328"/>
        <v>AUGUST-4-ANUGERAH</v>
      </c>
      <c r="M1217" s="70">
        <f t="shared" si="329"/>
        <v>-0.22644386551451789</v>
      </c>
      <c r="N1217" s="70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25">
      <c r="A1218" t="s">
        <v>42</v>
      </c>
      <c r="B1218">
        <v>4</v>
      </c>
      <c r="C1218" t="s">
        <v>16</v>
      </c>
      <c r="D1218" s="66">
        <v>6500</v>
      </c>
      <c r="E1218" s="68">
        <v>6240</v>
      </c>
      <c r="F1218" s="68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70">
        <f t="shared" ref="I1218:I1281" si="344">F1218/D1218-1</f>
        <v>-6.2769230769230799E-2</v>
      </c>
      <c r="J1218" s="70">
        <f t="shared" ref="J1218:J1281" si="345">F1218/E1218-1</f>
        <v>-2.3717948717948745E-2</v>
      </c>
      <c r="K1218" s="82" t="str">
        <f>_xlfn.IFNA(VLOOKUP(CLEAN(SUBSTITUTE(C1218," ","")),Ref_Factory!$A:$B,2,FALSE),CLEAN(SUBSTITUTE(C1218," ","")))</f>
        <v>ANUGERAH</v>
      </c>
      <c r="L1218" s="82" t="str">
        <f t="shared" ref="L1218:L1281" si="346">A1218&amp;"-"&amp;B1218&amp;"-"&amp;K1218</f>
        <v>AUGUST-4-ANUGERAH</v>
      </c>
      <c r="M1218" s="70">
        <f t="shared" ref="M1218:M1281" si="347">SUMIF($L$2:$L$1420,L1218,$I$2:$I$1420)</f>
        <v>-0.22644386551451789</v>
      </c>
      <c r="N1218" s="70">
        <f t="shared" ref="N1218:N1281" si="348">SUMIF($L$2:$L$1420,L1218,$J$2:$J$1420)</f>
        <v>-0.19119967570500929</v>
      </c>
      <c r="O1218" s="13">
        <f t="shared" ref="O1218:O1281" si="349">SUMIF($A$2:$A$1420,A1218,$D$2:$D$1420)</f>
        <v>2101778</v>
      </c>
      <c r="P1218" s="13">
        <f t="shared" ref="P1218:P1281" si="350">SUMIF($A$2:$A$1420,A1218,$E$2:$E$1420)</f>
        <v>2128806</v>
      </c>
      <c r="Q1218" s="13">
        <f t="shared" ref="Q1218:Q1281" si="351">SUMIF($A$2:$A$1420,A1218,$F$2:$F$1420)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SUMIF($T$2:$T$1420,T1218,$D$2:$D$1420)</f>
        <v>346060</v>
      </c>
      <c r="V1218">
        <f t="shared" ref="V1218:V1281" si="356">SUMIF($T$2:$T$1420,T1218,$E$2:$E$1420)</f>
        <v>348415</v>
      </c>
      <c r="W1218">
        <f t="shared" ref="W1218:W1281" si="357">SUMIF($T$2:$T$1420,T1218,$F$2:$F$1420)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25">
      <c r="A1219" t="s">
        <v>42</v>
      </c>
      <c r="B1219">
        <v>4</v>
      </c>
      <c r="C1219" t="s">
        <v>16</v>
      </c>
      <c r="D1219" s="66">
        <v>9000</v>
      </c>
      <c r="E1219" s="68">
        <v>8744</v>
      </c>
      <c r="F1219" s="68">
        <v>8634</v>
      </c>
      <c r="G1219" s="13">
        <f t="shared" si="342"/>
        <v>-110</v>
      </c>
      <c r="H1219" s="13">
        <f t="shared" si="343"/>
        <v>-366</v>
      </c>
      <c r="I1219" s="70">
        <f t="shared" si="344"/>
        <v>-4.0666666666666629E-2</v>
      </c>
      <c r="J1219" s="70">
        <f t="shared" si="345"/>
        <v>-1.2580054894784976E-2</v>
      </c>
      <c r="K1219" s="82" t="str">
        <f>_xlfn.IFNA(VLOOKUP(CLEAN(SUBSTITUTE(C1219," ","")),Ref_Factory!$A:$B,2,FALSE),CLEAN(SUBSTITUTE(C1219," ","")))</f>
        <v>ANUGERAH</v>
      </c>
      <c r="L1219" s="82" t="str">
        <f t="shared" si="346"/>
        <v>AUGUST-4-ANUGERAH</v>
      </c>
      <c r="M1219" s="70">
        <f t="shared" si="347"/>
        <v>-0.22644386551451789</v>
      </c>
      <c r="N1219" s="70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25">
      <c r="A1220" t="s">
        <v>42</v>
      </c>
      <c r="B1220">
        <v>4</v>
      </c>
      <c r="C1220" t="s">
        <v>27</v>
      </c>
      <c r="D1220" s="66">
        <v>1526</v>
      </c>
      <c r="E1220" s="68">
        <v>1526</v>
      </c>
      <c r="F1220" s="68">
        <v>1526</v>
      </c>
      <c r="G1220" s="13">
        <f t="shared" si="342"/>
        <v>0</v>
      </c>
      <c r="H1220" s="13">
        <f t="shared" si="343"/>
        <v>0</v>
      </c>
      <c r="I1220" s="70">
        <f t="shared" si="344"/>
        <v>0</v>
      </c>
      <c r="J1220" s="70">
        <f t="shared" si="345"/>
        <v>0</v>
      </c>
      <c r="K1220" s="82" t="str">
        <f>_xlfn.IFNA(VLOOKUP(CLEAN(SUBSTITUTE(C1220," ","")),Ref_Factory!$A:$B,2,FALSE),CLEAN(SUBSTITUTE(C1220," ","")))</f>
        <v>CNJ2</v>
      </c>
      <c r="L1220" s="82" t="str">
        <f t="shared" si="346"/>
        <v>AUGUST-4-CNJ2</v>
      </c>
      <c r="M1220" s="70">
        <f t="shared" si="347"/>
        <v>-4.4444444444444731E-3</v>
      </c>
      <c r="N1220" s="70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2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70">
        <f t="shared" si="344"/>
        <v>-1.3473053892215536E-2</v>
      </c>
      <c r="J1221" s="70">
        <f t="shared" si="345"/>
        <v>-1.3473053892215536E-2</v>
      </c>
      <c r="K1221" s="82" t="str">
        <f>_xlfn.IFNA(VLOOKUP(CLEAN(SUBSTITUTE(C1221," ","")),Ref_Factory!$A:$B,2,FALSE),CLEAN(SUBSTITUTE(C1221," ","")))</f>
        <v>GM1</v>
      </c>
      <c r="L1221" s="82" t="str">
        <f t="shared" si="346"/>
        <v>AUGUST-5-GM1</v>
      </c>
      <c r="M1221" s="70">
        <f t="shared" si="347"/>
        <v>-1.3473053892215536E-2</v>
      </c>
      <c r="N1221" s="70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25">
      <c r="A1222" t="s">
        <v>42</v>
      </c>
      <c r="B1222">
        <v>5</v>
      </c>
      <c r="C1222" t="s">
        <v>16</v>
      </c>
      <c r="D1222" s="66">
        <v>5600</v>
      </c>
      <c r="E1222" s="66">
        <v>5600</v>
      </c>
      <c r="F1222" s="66">
        <v>5600</v>
      </c>
      <c r="G1222" s="13">
        <f t="shared" si="342"/>
        <v>0</v>
      </c>
      <c r="H1222" s="13">
        <f t="shared" si="343"/>
        <v>0</v>
      </c>
      <c r="I1222" s="70">
        <f t="shared" si="344"/>
        <v>0</v>
      </c>
      <c r="J1222" s="70">
        <f t="shared" si="345"/>
        <v>0</v>
      </c>
      <c r="K1222" s="82" t="str">
        <f>_xlfn.IFNA(VLOOKUP(CLEAN(SUBSTITUTE(C1222," ","")),Ref_Factory!$A:$B,2,FALSE),CLEAN(SUBSTITUTE(C1222," ","")))</f>
        <v>ANUGERAH</v>
      </c>
      <c r="L1222" s="82" t="str">
        <f t="shared" si="346"/>
        <v>AUGUST-5-ANUGERAH</v>
      </c>
      <c r="M1222" s="70">
        <f t="shared" si="347"/>
        <v>0</v>
      </c>
      <c r="N1222" s="70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25">
      <c r="A1223" t="s">
        <v>42</v>
      </c>
      <c r="B1223">
        <v>5</v>
      </c>
      <c r="C1223" t="s">
        <v>16</v>
      </c>
      <c r="D1223" s="66">
        <v>1200</v>
      </c>
      <c r="E1223" s="66">
        <v>1211</v>
      </c>
      <c r="F1223" s="66">
        <v>1200</v>
      </c>
      <c r="G1223" s="13">
        <f t="shared" si="342"/>
        <v>-11</v>
      </c>
      <c r="H1223" s="13">
        <f t="shared" si="343"/>
        <v>0</v>
      </c>
      <c r="I1223" s="70">
        <f t="shared" si="344"/>
        <v>0</v>
      </c>
      <c r="J1223" s="70">
        <f t="shared" si="345"/>
        <v>-9.0834021469859971E-3</v>
      </c>
      <c r="K1223" s="82" t="str">
        <f>_xlfn.IFNA(VLOOKUP(CLEAN(SUBSTITUTE(C1223," ","")),Ref_Factory!$A:$B,2,FALSE),CLEAN(SUBSTITUTE(C1223," ","")))</f>
        <v>ANUGERAH</v>
      </c>
      <c r="L1223" s="82" t="str">
        <f t="shared" si="346"/>
        <v>AUGUST-5-ANUGERAH</v>
      </c>
      <c r="M1223" s="70">
        <f t="shared" si="347"/>
        <v>0</v>
      </c>
      <c r="N1223" s="70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25">
      <c r="A1224" t="s">
        <v>42</v>
      </c>
      <c r="B1224">
        <v>5</v>
      </c>
      <c r="C1224" t="s">
        <v>16</v>
      </c>
      <c r="D1224" s="66">
        <v>6000</v>
      </c>
      <c r="E1224" s="68">
        <v>6128</v>
      </c>
      <c r="F1224" s="68">
        <v>6000</v>
      </c>
      <c r="G1224" s="13">
        <f t="shared" si="342"/>
        <v>-128</v>
      </c>
      <c r="H1224" s="13">
        <f t="shared" si="343"/>
        <v>0</v>
      </c>
      <c r="I1224" s="70">
        <f t="shared" si="344"/>
        <v>0</v>
      </c>
      <c r="J1224" s="70">
        <f t="shared" si="345"/>
        <v>-2.0887728459530019E-2</v>
      </c>
      <c r="K1224" s="82" t="str">
        <f>_xlfn.IFNA(VLOOKUP(CLEAN(SUBSTITUTE(C1224," ","")),Ref_Factory!$A:$B,2,FALSE),CLEAN(SUBSTITUTE(C1224," ","")))</f>
        <v>ANUGERAH</v>
      </c>
      <c r="L1224" s="82" t="str">
        <f t="shared" si="346"/>
        <v>AUGUST-5-ANUGERAH</v>
      </c>
      <c r="M1224" s="70">
        <f t="shared" si="347"/>
        <v>0</v>
      </c>
      <c r="N1224" s="70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25">
      <c r="A1225" t="s">
        <v>42</v>
      </c>
      <c r="B1225">
        <v>5</v>
      </c>
      <c r="C1225" t="s">
        <v>71</v>
      </c>
      <c r="D1225" s="66">
        <v>2400</v>
      </c>
      <c r="E1225" s="66">
        <v>2405</v>
      </c>
      <c r="F1225" s="66">
        <v>2400</v>
      </c>
      <c r="G1225" s="13">
        <f t="shared" si="342"/>
        <v>-5</v>
      </c>
      <c r="H1225" s="13">
        <f t="shared" si="343"/>
        <v>0</v>
      </c>
      <c r="I1225" s="70">
        <f t="shared" si="344"/>
        <v>0</v>
      </c>
      <c r="J1225" s="70">
        <f t="shared" si="345"/>
        <v>-2.0790020790020236E-3</v>
      </c>
      <c r="K1225" s="82" t="str">
        <f>_xlfn.IFNA(VLOOKUP(CLEAN(SUBSTITUTE(C1225," ","")),Ref_Factory!$A:$B,2,FALSE),CLEAN(SUBSTITUTE(C1225," ","")))</f>
        <v>PARI</v>
      </c>
      <c r="L1225" s="82" t="str">
        <f t="shared" si="346"/>
        <v>AUGUST-5-PARI</v>
      </c>
      <c r="M1225" s="70">
        <f t="shared" si="347"/>
        <v>0</v>
      </c>
      <c r="N1225" s="70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25">
      <c r="A1226" t="s">
        <v>42</v>
      </c>
      <c r="B1226">
        <v>5</v>
      </c>
      <c r="C1226" t="s">
        <v>70</v>
      </c>
      <c r="D1226" s="66">
        <v>1200</v>
      </c>
      <c r="E1226" s="66">
        <v>1230</v>
      </c>
      <c r="F1226" s="66">
        <v>1200</v>
      </c>
      <c r="G1226" s="13">
        <f t="shared" si="342"/>
        <v>-30</v>
      </c>
      <c r="H1226" s="13">
        <f t="shared" si="343"/>
        <v>0</v>
      </c>
      <c r="I1226" s="70">
        <f t="shared" si="344"/>
        <v>0</v>
      </c>
      <c r="J1226" s="70">
        <f t="shared" si="345"/>
        <v>-2.4390243902439046E-2</v>
      </c>
      <c r="K1226" s="82" t="str">
        <f>_xlfn.IFNA(VLOOKUP(CLEAN(SUBSTITUTE(C1226," ","")),Ref_Factory!$A:$B,2,FALSE),CLEAN(SUBSTITUTE(C1226," ","")))</f>
        <v>GM1</v>
      </c>
      <c r="L1226" s="82" t="str">
        <f t="shared" si="346"/>
        <v>AUGUST-5-GM1</v>
      </c>
      <c r="M1226" s="70">
        <f t="shared" si="347"/>
        <v>-1.3473053892215536E-2</v>
      </c>
      <c r="N1226" s="70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25">
      <c r="A1227" t="s">
        <v>42</v>
      </c>
      <c r="B1227">
        <v>5</v>
      </c>
      <c r="C1227" t="s">
        <v>71</v>
      </c>
      <c r="D1227" s="66">
        <v>2200</v>
      </c>
      <c r="E1227" s="66">
        <v>2203</v>
      </c>
      <c r="F1227" s="66">
        <v>2200</v>
      </c>
      <c r="G1227" s="13">
        <f t="shared" si="342"/>
        <v>-3</v>
      </c>
      <c r="H1227" s="13">
        <f t="shared" si="343"/>
        <v>0</v>
      </c>
      <c r="I1227" s="70">
        <f t="shared" si="344"/>
        <v>0</v>
      </c>
      <c r="J1227" s="70">
        <f t="shared" si="345"/>
        <v>-1.3617793917385379E-3</v>
      </c>
      <c r="K1227" s="82" t="str">
        <f>_xlfn.IFNA(VLOOKUP(CLEAN(SUBSTITUTE(C1227," ","")),Ref_Factory!$A:$B,2,FALSE),CLEAN(SUBSTITUTE(C1227," ","")))</f>
        <v>PARI</v>
      </c>
      <c r="L1227" s="82" t="str">
        <f t="shared" si="346"/>
        <v>AUGUST-5-PARI</v>
      </c>
      <c r="M1227" s="70">
        <f t="shared" si="347"/>
        <v>0</v>
      </c>
      <c r="N1227" s="70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25">
      <c r="A1228" t="s">
        <v>42</v>
      </c>
      <c r="B1228">
        <v>5</v>
      </c>
      <c r="C1228" t="s">
        <v>71</v>
      </c>
      <c r="D1228" s="66">
        <v>4800</v>
      </c>
      <c r="E1228" s="66">
        <v>4803</v>
      </c>
      <c r="F1228" s="66">
        <v>4800</v>
      </c>
      <c r="G1228" s="13">
        <f t="shared" si="342"/>
        <v>-3</v>
      </c>
      <c r="H1228" s="13">
        <f t="shared" si="343"/>
        <v>0</v>
      </c>
      <c r="I1228" s="70">
        <f t="shared" si="344"/>
        <v>0</v>
      </c>
      <c r="J1228" s="70">
        <f t="shared" si="345"/>
        <v>-6.2460961898813672E-4</v>
      </c>
      <c r="K1228" s="82" t="str">
        <f>_xlfn.IFNA(VLOOKUP(CLEAN(SUBSTITUTE(C1228," ","")),Ref_Factory!$A:$B,2,FALSE),CLEAN(SUBSTITUTE(C1228," ","")))</f>
        <v>PARI</v>
      </c>
      <c r="L1228" s="82" t="str">
        <f t="shared" si="346"/>
        <v>AUGUST-5-PARI</v>
      </c>
      <c r="M1228" s="70">
        <f t="shared" si="347"/>
        <v>0</v>
      </c>
      <c r="N1228" s="70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25">
      <c r="A1229" t="s">
        <v>42</v>
      </c>
      <c r="B1229">
        <v>5</v>
      </c>
      <c r="C1229" t="s">
        <v>71</v>
      </c>
      <c r="D1229" s="66">
        <v>2200</v>
      </c>
      <c r="E1229" s="66">
        <v>2200</v>
      </c>
      <c r="F1229" s="66">
        <v>2200</v>
      </c>
      <c r="G1229" s="13">
        <f t="shared" si="342"/>
        <v>0</v>
      </c>
      <c r="H1229" s="13">
        <f t="shared" si="343"/>
        <v>0</v>
      </c>
      <c r="I1229" s="70">
        <f t="shared" si="344"/>
        <v>0</v>
      </c>
      <c r="J1229" s="70">
        <f t="shared" si="345"/>
        <v>0</v>
      </c>
      <c r="K1229" s="82" t="str">
        <f>_xlfn.IFNA(VLOOKUP(CLEAN(SUBSTITUTE(C1229," ","")),Ref_Factory!$A:$B,2,FALSE),CLEAN(SUBSTITUTE(C1229," ","")))</f>
        <v>PARI</v>
      </c>
      <c r="L1229" s="82" t="str">
        <f t="shared" si="346"/>
        <v>AUGUST-5-PARI</v>
      </c>
      <c r="M1229" s="70">
        <f t="shared" si="347"/>
        <v>0</v>
      </c>
      <c r="N1229" s="70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25">
      <c r="A1230" t="s">
        <v>42</v>
      </c>
      <c r="B1230">
        <v>5</v>
      </c>
      <c r="C1230" t="s">
        <v>71</v>
      </c>
      <c r="D1230" s="66">
        <v>3600</v>
      </c>
      <c r="E1230" s="68">
        <v>3602</v>
      </c>
      <c r="F1230" s="68">
        <v>3600</v>
      </c>
      <c r="G1230" s="13">
        <f t="shared" si="342"/>
        <v>-2</v>
      </c>
      <c r="H1230" s="13">
        <f t="shared" si="343"/>
        <v>0</v>
      </c>
      <c r="I1230" s="70">
        <f t="shared" si="344"/>
        <v>0</v>
      </c>
      <c r="J1230" s="70">
        <f t="shared" si="345"/>
        <v>-5.552470849528035E-4</v>
      </c>
      <c r="K1230" s="82" t="str">
        <f>_xlfn.IFNA(VLOOKUP(CLEAN(SUBSTITUTE(C1230," ","")),Ref_Factory!$A:$B,2,FALSE),CLEAN(SUBSTITUTE(C1230," ","")))</f>
        <v>PARI</v>
      </c>
      <c r="L1230" s="82" t="str">
        <f t="shared" si="346"/>
        <v>AUGUST-5-PARI</v>
      </c>
      <c r="M1230" s="70">
        <f t="shared" si="347"/>
        <v>0</v>
      </c>
      <c r="N1230" s="70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25">
      <c r="A1231" t="s">
        <v>42</v>
      </c>
      <c r="B1231">
        <v>5</v>
      </c>
      <c r="C1231" t="s">
        <v>71</v>
      </c>
      <c r="D1231" s="66">
        <v>3600</v>
      </c>
      <c r="E1231" s="66">
        <v>3600</v>
      </c>
      <c r="F1231" s="66">
        <v>3600</v>
      </c>
      <c r="G1231" s="13">
        <f t="shared" si="342"/>
        <v>0</v>
      </c>
      <c r="H1231" s="13">
        <f t="shared" si="343"/>
        <v>0</v>
      </c>
      <c r="I1231" s="70">
        <f t="shared" si="344"/>
        <v>0</v>
      </c>
      <c r="J1231" s="70">
        <f t="shared" si="345"/>
        <v>0</v>
      </c>
      <c r="K1231" s="82" t="str">
        <f>_xlfn.IFNA(VLOOKUP(CLEAN(SUBSTITUTE(C1231," ","")),Ref_Factory!$A:$B,2,FALSE),CLEAN(SUBSTITUTE(C1231," ","")))</f>
        <v>PARI</v>
      </c>
      <c r="L1231" s="82" t="str">
        <f t="shared" si="346"/>
        <v>AUGUST-5-PARI</v>
      </c>
      <c r="M1231" s="70">
        <f t="shared" si="347"/>
        <v>0</v>
      </c>
      <c r="N1231" s="70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25">
      <c r="A1232" t="s">
        <v>42</v>
      </c>
      <c r="B1232">
        <v>5</v>
      </c>
      <c r="C1232" t="s">
        <v>16</v>
      </c>
      <c r="D1232" s="66">
        <v>2000</v>
      </c>
      <c r="E1232" s="68">
        <v>2000</v>
      </c>
      <c r="F1232" s="68">
        <v>2000</v>
      </c>
      <c r="G1232" s="13">
        <f t="shared" si="342"/>
        <v>0</v>
      </c>
      <c r="H1232" s="13">
        <f t="shared" si="343"/>
        <v>0</v>
      </c>
      <c r="I1232" s="70">
        <f t="shared" si="344"/>
        <v>0</v>
      </c>
      <c r="J1232" s="70">
        <f t="shared" si="345"/>
        <v>0</v>
      </c>
      <c r="K1232" s="82" t="str">
        <f>_xlfn.IFNA(VLOOKUP(CLEAN(SUBSTITUTE(C1232," ","")),Ref_Factory!$A:$B,2,FALSE),CLEAN(SUBSTITUTE(C1232," ","")))</f>
        <v>ANUGERAH</v>
      </c>
      <c r="L1232" s="82" t="str">
        <f t="shared" si="346"/>
        <v>AUGUST-5-ANUGERAH</v>
      </c>
      <c r="M1232" s="70">
        <f t="shared" si="347"/>
        <v>0</v>
      </c>
      <c r="N1232" s="70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25">
      <c r="A1233" t="s">
        <v>42</v>
      </c>
      <c r="B1233">
        <v>5</v>
      </c>
      <c r="C1233" t="s">
        <v>16</v>
      </c>
      <c r="D1233" s="66">
        <v>1260</v>
      </c>
      <c r="E1233" s="68">
        <v>1260</v>
      </c>
      <c r="F1233" s="68">
        <v>1260</v>
      </c>
      <c r="G1233" s="13">
        <f t="shared" si="342"/>
        <v>0</v>
      </c>
      <c r="H1233" s="13">
        <f t="shared" si="343"/>
        <v>0</v>
      </c>
      <c r="I1233" s="70">
        <f t="shared" si="344"/>
        <v>0</v>
      </c>
      <c r="J1233" s="70">
        <f t="shared" si="345"/>
        <v>0</v>
      </c>
      <c r="K1233" s="82" t="str">
        <f>_xlfn.IFNA(VLOOKUP(CLEAN(SUBSTITUTE(C1233," ","")),Ref_Factory!$A:$B,2,FALSE),CLEAN(SUBSTITUTE(C1233," ","")))</f>
        <v>ANUGERAH</v>
      </c>
      <c r="L1233" s="82" t="str">
        <f t="shared" si="346"/>
        <v>AUGUST-5-ANUGERAH</v>
      </c>
      <c r="M1233" s="70">
        <f t="shared" si="347"/>
        <v>0</v>
      </c>
      <c r="N1233" s="70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25">
      <c r="A1234" t="s">
        <v>42</v>
      </c>
      <c r="B1234">
        <v>5</v>
      </c>
      <c r="C1234" t="s">
        <v>70</v>
      </c>
      <c r="D1234" s="66">
        <v>3600</v>
      </c>
      <c r="E1234" s="68">
        <v>3673</v>
      </c>
      <c r="F1234" s="68">
        <v>3600</v>
      </c>
      <c r="G1234" s="13">
        <f t="shared" si="342"/>
        <v>-73</v>
      </c>
      <c r="H1234" s="13">
        <f t="shared" si="343"/>
        <v>0</v>
      </c>
      <c r="I1234" s="70">
        <f t="shared" si="344"/>
        <v>0</v>
      </c>
      <c r="J1234" s="70">
        <f t="shared" si="345"/>
        <v>-1.9874761775115712E-2</v>
      </c>
      <c r="K1234" s="82" t="str">
        <f>_xlfn.IFNA(VLOOKUP(CLEAN(SUBSTITUTE(C1234," ","")),Ref_Factory!$A:$B,2,FALSE),CLEAN(SUBSTITUTE(C1234," ","")))</f>
        <v>GM1</v>
      </c>
      <c r="L1234" s="82" t="str">
        <f t="shared" si="346"/>
        <v>AUGUST-5-GM1</v>
      </c>
      <c r="M1234" s="70">
        <f t="shared" si="347"/>
        <v>-1.3473053892215536E-2</v>
      </c>
      <c r="N1234" s="70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25">
      <c r="A1235" t="s">
        <v>42</v>
      </c>
      <c r="B1235">
        <v>5</v>
      </c>
      <c r="C1235" t="s">
        <v>70</v>
      </c>
      <c r="D1235" s="66">
        <v>3600</v>
      </c>
      <c r="E1235" s="68">
        <v>3720</v>
      </c>
      <c r="F1235" s="68">
        <v>3600</v>
      </c>
      <c r="G1235" s="13">
        <f t="shared" si="342"/>
        <v>-120</v>
      </c>
      <c r="H1235" s="13">
        <f t="shared" si="343"/>
        <v>0</v>
      </c>
      <c r="I1235" s="70">
        <f t="shared" si="344"/>
        <v>0</v>
      </c>
      <c r="J1235" s="70">
        <f t="shared" si="345"/>
        <v>-3.2258064516129004E-2</v>
      </c>
      <c r="K1235" s="82" t="str">
        <f>_xlfn.IFNA(VLOOKUP(CLEAN(SUBSTITUTE(C1235," ","")),Ref_Factory!$A:$B,2,FALSE),CLEAN(SUBSTITUTE(C1235," ","")))</f>
        <v>GM1</v>
      </c>
      <c r="L1235" s="82" t="str">
        <f t="shared" si="346"/>
        <v>AUGUST-5-GM1</v>
      </c>
      <c r="M1235" s="70">
        <f t="shared" si="347"/>
        <v>-1.3473053892215536E-2</v>
      </c>
      <c r="N1235" s="70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25">
      <c r="A1236" t="s">
        <v>42</v>
      </c>
      <c r="B1236">
        <v>5</v>
      </c>
      <c r="C1236" t="s">
        <v>15</v>
      </c>
      <c r="D1236" s="66">
        <v>2000</v>
      </c>
      <c r="E1236" s="68">
        <v>2065</v>
      </c>
      <c r="F1236" s="68">
        <v>2000</v>
      </c>
      <c r="G1236" s="13">
        <f t="shared" si="342"/>
        <v>-65</v>
      </c>
      <c r="H1236" s="13">
        <f t="shared" si="343"/>
        <v>0</v>
      </c>
      <c r="I1236" s="70">
        <f t="shared" si="344"/>
        <v>0</v>
      </c>
      <c r="J1236" s="70">
        <f t="shared" si="345"/>
        <v>-3.1476997578692489E-2</v>
      </c>
      <c r="K1236" s="82" t="str">
        <f>_xlfn.IFNA(VLOOKUP(CLEAN(SUBSTITUTE(C1236," ","")),Ref_Factory!$A:$B,2,FALSE),CLEAN(SUBSTITUTE(C1236," ","")))</f>
        <v>CHAWAN</v>
      </c>
      <c r="L1236" s="82" t="str">
        <f t="shared" si="346"/>
        <v>AUGUST-5-CHAWAN</v>
      </c>
      <c r="M1236" s="70">
        <f t="shared" si="347"/>
        <v>0</v>
      </c>
      <c r="N1236" s="70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25">
      <c r="A1237" t="s">
        <v>42</v>
      </c>
      <c r="B1237">
        <v>5</v>
      </c>
      <c r="C1237" t="s">
        <v>15</v>
      </c>
      <c r="D1237" s="66">
        <v>4800</v>
      </c>
      <c r="E1237" s="68">
        <v>4846</v>
      </c>
      <c r="F1237" s="68">
        <v>4800</v>
      </c>
      <c r="G1237" s="13">
        <f t="shared" si="342"/>
        <v>-46</v>
      </c>
      <c r="H1237" s="13">
        <f t="shared" si="343"/>
        <v>0</v>
      </c>
      <c r="I1237" s="70">
        <f t="shared" si="344"/>
        <v>0</v>
      </c>
      <c r="J1237" s="70">
        <f t="shared" si="345"/>
        <v>-9.492364836978906E-3</v>
      </c>
      <c r="K1237" s="82" t="str">
        <f>_xlfn.IFNA(VLOOKUP(CLEAN(SUBSTITUTE(C1237," ","")),Ref_Factory!$A:$B,2,FALSE),CLEAN(SUBSTITUTE(C1237," ","")))</f>
        <v>CHAWAN</v>
      </c>
      <c r="L1237" s="82" t="str">
        <f t="shared" si="346"/>
        <v>AUGUST-5-CHAWAN</v>
      </c>
      <c r="M1237" s="70">
        <f t="shared" si="347"/>
        <v>0</v>
      </c>
      <c r="N1237" s="70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25">
      <c r="A1238" t="s">
        <v>42</v>
      </c>
      <c r="B1238">
        <v>5</v>
      </c>
      <c r="C1238" t="s">
        <v>15</v>
      </c>
      <c r="D1238" s="66">
        <v>3600</v>
      </c>
      <c r="E1238" s="68">
        <v>3612</v>
      </c>
      <c r="F1238" s="68">
        <v>3600</v>
      </c>
      <c r="G1238" s="13">
        <f t="shared" si="342"/>
        <v>-12</v>
      </c>
      <c r="H1238" s="13">
        <f t="shared" si="343"/>
        <v>0</v>
      </c>
      <c r="I1238" s="70">
        <f t="shared" si="344"/>
        <v>0</v>
      </c>
      <c r="J1238" s="70">
        <f t="shared" si="345"/>
        <v>-3.3222591362126463E-3</v>
      </c>
      <c r="K1238" s="82" t="str">
        <f>_xlfn.IFNA(VLOOKUP(CLEAN(SUBSTITUTE(C1238," ","")),Ref_Factory!$A:$B,2,FALSE),CLEAN(SUBSTITUTE(C1238," ","")))</f>
        <v>CHAWAN</v>
      </c>
      <c r="L1238" s="82" t="str">
        <f t="shared" si="346"/>
        <v>AUGUST-5-CHAWAN</v>
      </c>
      <c r="M1238" s="70">
        <f t="shared" si="347"/>
        <v>0</v>
      </c>
      <c r="N1238" s="70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25">
      <c r="A1239" t="s">
        <v>42</v>
      </c>
      <c r="B1239">
        <v>5</v>
      </c>
      <c r="C1239" t="s">
        <v>13</v>
      </c>
      <c r="D1239" s="68">
        <v>13824</v>
      </c>
      <c r="E1239" s="68">
        <v>14100</v>
      </c>
      <c r="F1239" s="68">
        <v>14067</v>
      </c>
      <c r="G1239" s="13">
        <f t="shared" si="342"/>
        <v>-33</v>
      </c>
      <c r="H1239" s="13">
        <f t="shared" si="343"/>
        <v>243</v>
      </c>
      <c r="I1239" s="70">
        <f t="shared" si="344"/>
        <v>1.7578125E-2</v>
      </c>
      <c r="J1239" s="70">
        <f t="shared" si="345"/>
        <v>-2.3404255319149359E-3</v>
      </c>
      <c r="K1239" s="82" t="str">
        <f>_xlfn.IFNA(VLOOKUP(CLEAN(SUBSTITUTE(C1239," ","")),Ref_Factory!$A:$B,2,FALSE),CLEAN(SUBSTITUTE(C1239," ","")))</f>
        <v>KALIBENDA</v>
      </c>
      <c r="L1239" s="82" t="str">
        <f t="shared" si="346"/>
        <v>AUGUST-5-KALIBENDA</v>
      </c>
      <c r="M1239" s="70">
        <f t="shared" si="347"/>
        <v>0.13216021118030252</v>
      </c>
      <c r="N1239" s="70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25">
      <c r="A1240" t="s">
        <v>42</v>
      </c>
      <c r="B1240">
        <v>5</v>
      </c>
      <c r="C1240" t="s">
        <v>13</v>
      </c>
      <c r="D1240" s="68">
        <v>1080</v>
      </c>
      <c r="E1240" s="68">
        <v>1101</v>
      </c>
      <c r="F1240" s="68">
        <v>1101</v>
      </c>
      <c r="G1240" s="13">
        <f t="shared" si="342"/>
        <v>0</v>
      </c>
      <c r="H1240" s="13">
        <f t="shared" si="343"/>
        <v>21</v>
      </c>
      <c r="I1240" s="70">
        <f t="shared" si="344"/>
        <v>1.9444444444444375E-2</v>
      </c>
      <c r="J1240" s="70">
        <f t="shared" si="345"/>
        <v>0</v>
      </c>
      <c r="K1240" s="82" t="str">
        <f>_xlfn.IFNA(VLOOKUP(CLEAN(SUBSTITUTE(C1240," ","")),Ref_Factory!$A:$B,2,FALSE),CLEAN(SUBSTITUTE(C1240," ","")))</f>
        <v>KALIBENDA</v>
      </c>
      <c r="L1240" s="82" t="str">
        <f t="shared" si="346"/>
        <v>AUGUST-5-KALIBENDA</v>
      </c>
      <c r="M1240" s="70">
        <f t="shared" si="347"/>
        <v>0.13216021118030252</v>
      </c>
      <c r="N1240" s="70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25">
      <c r="A1241" t="s">
        <v>42</v>
      </c>
      <c r="B1241">
        <v>5</v>
      </c>
      <c r="C1241" t="s">
        <v>13</v>
      </c>
      <c r="D1241" s="68">
        <v>22140</v>
      </c>
      <c r="E1241" s="68">
        <v>22590</v>
      </c>
      <c r="F1241" s="68">
        <v>22539</v>
      </c>
      <c r="G1241" s="13">
        <f t="shared" si="342"/>
        <v>-51</v>
      </c>
      <c r="H1241" s="13">
        <f t="shared" si="343"/>
        <v>399</v>
      </c>
      <c r="I1241" s="70">
        <f t="shared" si="344"/>
        <v>1.8021680216802061E-2</v>
      </c>
      <c r="J1241" s="70">
        <f t="shared" si="345"/>
        <v>-2.2576361221779973E-3</v>
      </c>
      <c r="K1241" s="82" t="str">
        <f>_xlfn.IFNA(VLOOKUP(CLEAN(SUBSTITUTE(C1241," ","")),Ref_Factory!$A:$B,2,FALSE),CLEAN(SUBSTITUTE(C1241," ","")))</f>
        <v>KALIBENDA</v>
      </c>
      <c r="L1241" s="82" t="str">
        <f t="shared" si="346"/>
        <v>AUGUST-5-KALIBENDA</v>
      </c>
      <c r="M1241" s="70">
        <f t="shared" si="347"/>
        <v>0.13216021118030252</v>
      </c>
      <c r="N1241" s="70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25">
      <c r="A1242" t="s">
        <v>42</v>
      </c>
      <c r="B1242">
        <v>5</v>
      </c>
      <c r="C1242" t="s">
        <v>13</v>
      </c>
      <c r="D1242" s="68">
        <v>1620</v>
      </c>
      <c r="E1242" s="68">
        <v>1653</v>
      </c>
      <c r="F1242" s="68">
        <v>1650</v>
      </c>
      <c r="G1242" s="13">
        <f t="shared" si="342"/>
        <v>-3</v>
      </c>
      <c r="H1242" s="13">
        <f t="shared" si="343"/>
        <v>30</v>
      </c>
      <c r="I1242" s="70">
        <f t="shared" si="344"/>
        <v>1.8518518518518601E-2</v>
      </c>
      <c r="J1242" s="70">
        <f t="shared" si="345"/>
        <v>-1.8148820326678861E-3</v>
      </c>
      <c r="K1242" s="82" t="str">
        <f>_xlfn.IFNA(VLOOKUP(CLEAN(SUBSTITUTE(C1242," ","")),Ref_Factory!$A:$B,2,FALSE),CLEAN(SUBSTITUTE(C1242," ","")))</f>
        <v>KALIBENDA</v>
      </c>
      <c r="L1242" s="82" t="str">
        <f t="shared" si="346"/>
        <v>AUGUST-5-KALIBENDA</v>
      </c>
      <c r="M1242" s="70">
        <f t="shared" si="347"/>
        <v>0.13216021118030252</v>
      </c>
      <c r="N1242" s="70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25">
      <c r="A1243" t="s">
        <v>42</v>
      </c>
      <c r="B1243">
        <v>5</v>
      </c>
      <c r="C1243" t="s">
        <v>13</v>
      </c>
      <c r="D1243" s="68">
        <v>22896</v>
      </c>
      <c r="E1243" s="68">
        <v>23193</v>
      </c>
      <c r="F1243" s="68">
        <v>23157</v>
      </c>
      <c r="G1243" s="13">
        <f t="shared" si="342"/>
        <v>-36</v>
      </c>
      <c r="H1243" s="13">
        <f t="shared" si="343"/>
        <v>261</v>
      </c>
      <c r="I1243" s="70">
        <f t="shared" si="344"/>
        <v>1.1399371069182429E-2</v>
      </c>
      <c r="J1243" s="70">
        <f t="shared" si="345"/>
        <v>-1.5521924718665536E-3</v>
      </c>
      <c r="K1243" s="82" t="str">
        <f>_xlfn.IFNA(VLOOKUP(CLEAN(SUBSTITUTE(C1243," ","")),Ref_Factory!$A:$B,2,FALSE),CLEAN(SUBSTITUTE(C1243," ","")))</f>
        <v>KALIBENDA</v>
      </c>
      <c r="L1243" s="82" t="str">
        <f t="shared" si="346"/>
        <v>AUGUST-5-KALIBENDA</v>
      </c>
      <c r="M1243" s="70">
        <f t="shared" si="347"/>
        <v>0.13216021118030252</v>
      </c>
      <c r="N1243" s="70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25">
      <c r="A1244" t="s">
        <v>42</v>
      </c>
      <c r="B1244">
        <v>5</v>
      </c>
      <c r="C1244" t="s">
        <v>13</v>
      </c>
      <c r="D1244" s="68">
        <v>1080</v>
      </c>
      <c r="E1244" s="68">
        <v>1101</v>
      </c>
      <c r="F1244" s="68">
        <v>1098</v>
      </c>
      <c r="G1244" s="13">
        <f t="shared" si="342"/>
        <v>-3</v>
      </c>
      <c r="H1244" s="13">
        <f t="shared" si="343"/>
        <v>18</v>
      </c>
      <c r="I1244" s="70">
        <f t="shared" si="344"/>
        <v>1.6666666666666607E-2</v>
      </c>
      <c r="J1244" s="70">
        <f t="shared" si="345"/>
        <v>-2.7247956403270157E-3</v>
      </c>
      <c r="K1244" s="82" t="str">
        <f>_xlfn.IFNA(VLOOKUP(CLEAN(SUBSTITUTE(C1244," ","")),Ref_Factory!$A:$B,2,FALSE),CLEAN(SUBSTITUTE(C1244," ","")))</f>
        <v>KALIBENDA</v>
      </c>
      <c r="L1244" s="82" t="str">
        <f t="shared" si="346"/>
        <v>AUGUST-5-KALIBENDA</v>
      </c>
      <c r="M1244" s="70">
        <f t="shared" si="347"/>
        <v>0.13216021118030252</v>
      </c>
      <c r="N1244" s="70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25">
      <c r="A1245" t="s">
        <v>42</v>
      </c>
      <c r="B1245">
        <v>5</v>
      </c>
      <c r="C1245" t="s">
        <v>13</v>
      </c>
      <c r="D1245" s="68">
        <v>21060</v>
      </c>
      <c r="E1245" s="68">
        <v>21483</v>
      </c>
      <c r="F1245" s="68">
        <v>21429</v>
      </c>
      <c r="G1245" s="13">
        <f t="shared" si="342"/>
        <v>-54</v>
      </c>
      <c r="H1245" s="13">
        <f t="shared" si="343"/>
        <v>369</v>
      </c>
      <c r="I1245" s="70">
        <f t="shared" si="344"/>
        <v>1.7521367521367459E-2</v>
      </c>
      <c r="J1245" s="70">
        <f t="shared" si="345"/>
        <v>-2.5136154168412528E-3</v>
      </c>
      <c r="K1245" s="82" t="str">
        <f>_xlfn.IFNA(VLOOKUP(CLEAN(SUBSTITUTE(C1245," ","")),Ref_Factory!$A:$B,2,FALSE),CLEAN(SUBSTITUTE(C1245," ","")))</f>
        <v>KALIBENDA</v>
      </c>
      <c r="L1245" s="82" t="str">
        <f t="shared" si="346"/>
        <v>AUGUST-5-KALIBENDA</v>
      </c>
      <c r="M1245" s="70">
        <f t="shared" si="347"/>
        <v>0.13216021118030252</v>
      </c>
      <c r="N1245" s="70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25">
      <c r="A1246" t="s">
        <v>42</v>
      </c>
      <c r="B1246">
        <v>5</v>
      </c>
      <c r="C1246" t="s">
        <v>13</v>
      </c>
      <c r="D1246" s="68">
        <v>33264</v>
      </c>
      <c r="E1246" s="68">
        <v>33264</v>
      </c>
      <c r="F1246" s="68">
        <v>33189</v>
      </c>
      <c r="G1246" s="13">
        <f t="shared" si="342"/>
        <v>-75</v>
      </c>
      <c r="H1246" s="13">
        <f t="shared" si="343"/>
        <v>-75</v>
      </c>
      <c r="I1246" s="70">
        <f t="shared" si="344"/>
        <v>-2.2546897546897871E-3</v>
      </c>
      <c r="J1246" s="70">
        <f t="shared" si="345"/>
        <v>-2.2546897546897871E-3</v>
      </c>
      <c r="K1246" s="82" t="str">
        <f>_xlfn.IFNA(VLOOKUP(CLEAN(SUBSTITUTE(C1246," ","")),Ref_Factory!$A:$B,2,FALSE),CLEAN(SUBSTITUTE(C1246," ","")))</f>
        <v>KALIBENDA</v>
      </c>
      <c r="L1246" s="82" t="str">
        <f t="shared" si="346"/>
        <v>AUGUST-5-KALIBENDA</v>
      </c>
      <c r="M1246" s="70">
        <f t="shared" si="347"/>
        <v>0.13216021118030252</v>
      </c>
      <c r="N1246" s="70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25">
      <c r="A1247" t="s">
        <v>42</v>
      </c>
      <c r="B1247">
        <v>5</v>
      </c>
      <c r="C1247" t="s">
        <v>13</v>
      </c>
      <c r="D1247" s="68">
        <v>1080</v>
      </c>
      <c r="E1247" s="68">
        <v>1101</v>
      </c>
      <c r="F1247" s="68">
        <v>1101</v>
      </c>
      <c r="G1247" s="13">
        <f t="shared" si="342"/>
        <v>0</v>
      </c>
      <c r="H1247" s="13">
        <f t="shared" si="343"/>
        <v>21</v>
      </c>
      <c r="I1247" s="70">
        <f t="shared" si="344"/>
        <v>1.9444444444444375E-2</v>
      </c>
      <c r="J1247" s="70">
        <f t="shared" si="345"/>
        <v>0</v>
      </c>
      <c r="K1247" s="82" t="str">
        <f>_xlfn.IFNA(VLOOKUP(CLEAN(SUBSTITUTE(C1247," ","")),Ref_Factory!$A:$B,2,FALSE),CLEAN(SUBSTITUTE(C1247," ","")))</f>
        <v>KALIBENDA</v>
      </c>
      <c r="L1247" s="82" t="str">
        <f t="shared" si="346"/>
        <v>AUGUST-5-KALIBENDA</v>
      </c>
      <c r="M1247" s="70">
        <f t="shared" si="347"/>
        <v>0.13216021118030252</v>
      </c>
      <c r="N1247" s="70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25">
      <c r="A1248" t="s">
        <v>42</v>
      </c>
      <c r="B1248">
        <v>5</v>
      </c>
      <c r="C1248" t="s">
        <v>13</v>
      </c>
      <c r="D1248" s="68">
        <v>15228</v>
      </c>
      <c r="E1248" s="68">
        <v>15228</v>
      </c>
      <c r="F1248" s="68">
        <v>15201</v>
      </c>
      <c r="G1248" s="13">
        <f t="shared" si="342"/>
        <v>-27</v>
      </c>
      <c r="H1248" s="13">
        <f t="shared" si="343"/>
        <v>-27</v>
      </c>
      <c r="I1248" s="70">
        <f t="shared" si="344"/>
        <v>-1.7730496453900457E-3</v>
      </c>
      <c r="J1248" s="70">
        <f t="shared" si="345"/>
        <v>-1.7730496453900457E-3</v>
      </c>
      <c r="K1248" s="82" t="str">
        <f>_xlfn.IFNA(VLOOKUP(CLEAN(SUBSTITUTE(C1248," ","")),Ref_Factory!$A:$B,2,FALSE),CLEAN(SUBSTITUTE(C1248," ","")))</f>
        <v>KALIBENDA</v>
      </c>
      <c r="L1248" s="82" t="str">
        <f t="shared" si="346"/>
        <v>AUGUST-5-KALIBENDA</v>
      </c>
      <c r="M1248" s="70">
        <f t="shared" si="347"/>
        <v>0.13216021118030252</v>
      </c>
      <c r="N1248" s="70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25">
      <c r="A1249" t="s">
        <v>42</v>
      </c>
      <c r="B1249">
        <v>5</v>
      </c>
      <c r="C1249" t="s">
        <v>13</v>
      </c>
      <c r="D1249" s="68">
        <v>24408</v>
      </c>
      <c r="E1249" s="68">
        <v>24408</v>
      </c>
      <c r="F1249" s="68">
        <v>24393</v>
      </c>
      <c r="G1249" s="13">
        <f t="shared" si="342"/>
        <v>-15</v>
      </c>
      <c r="H1249" s="13">
        <f t="shared" si="343"/>
        <v>-15</v>
      </c>
      <c r="I1249" s="70">
        <f t="shared" si="344"/>
        <v>-6.1455260570308923E-4</v>
      </c>
      <c r="J1249" s="70">
        <f t="shared" si="345"/>
        <v>-6.1455260570308923E-4</v>
      </c>
      <c r="K1249" s="82" t="str">
        <f>_xlfn.IFNA(VLOOKUP(CLEAN(SUBSTITUTE(C1249," ","")),Ref_Factory!$A:$B,2,FALSE),CLEAN(SUBSTITUTE(C1249," ","")))</f>
        <v>KALIBENDA</v>
      </c>
      <c r="L1249" s="82" t="str">
        <f t="shared" si="346"/>
        <v>AUGUST-5-KALIBENDA</v>
      </c>
      <c r="M1249" s="70">
        <f t="shared" si="347"/>
        <v>0.13216021118030252</v>
      </c>
      <c r="N1249" s="70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25">
      <c r="A1250" t="s">
        <v>42</v>
      </c>
      <c r="B1250">
        <v>5</v>
      </c>
      <c r="C1250" t="s">
        <v>13</v>
      </c>
      <c r="D1250" s="68">
        <v>6696</v>
      </c>
      <c r="E1250" s="68">
        <v>6696</v>
      </c>
      <c r="F1250" s="68">
        <v>6684</v>
      </c>
      <c r="G1250" s="13">
        <f t="shared" si="342"/>
        <v>-12</v>
      </c>
      <c r="H1250" s="13">
        <f t="shared" si="343"/>
        <v>-12</v>
      </c>
      <c r="I1250" s="70">
        <f t="shared" si="344"/>
        <v>-1.7921146953404632E-3</v>
      </c>
      <c r="J1250" s="70">
        <f t="shared" si="345"/>
        <v>-1.7921146953404632E-3</v>
      </c>
      <c r="K1250" s="82" t="str">
        <f>_xlfn.IFNA(VLOOKUP(CLEAN(SUBSTITUTE(C1250," ","")),Ref_Factory!$A:$B,2,FALSE),CLEAN(SUBSTITUTE(C1250," ","")))</f>
        <v>KALIBENDA</v>
      </c>
      <c r="L1250" s="82" t="str">
        <f t="shared" si="346"/>
        <v>AUGUST-5-KALIBENDA</v>
      </c>
      <c r="M1250" s="70">
        <f t="shared" si="347"/>
        <v>0.13216021118030252</v>
      </c>
      <c r="N1250" s="70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25">
      <c r="A1251" t="s">
        <v>42</v>
      </c>
      <c r="B1251">
        <v>5</v>
      </c>
      <c r="C1251" t="s">
        <v>28</v>
      </c>
      <c r="D1251" s="66">
        <v>57744</v>
      </c>
      <c r="E1251" s="68">
        <v>58907</v>
      </c>
      <c r="F1251" s="68">
        <v>58712</v>
      </c>
      <c r="G1251" s="13">
        <f t="shared" si="342"/>
        <v>-195</v>
      </c>
      <c r="H1251" s="13">
        <f t="shared" si="343"/>
        <v>968</v>
      </c>
      <c r="I1251" s="70">
        <f t="shared" si="344"/>
        <v>1.6763646439456936E-2</v>
      </c>
      <c r="J1251" s="70">
        <f t="shared" si="345"/>
        <v>-3.3103026804963687E-3</v>
      </c>
      <c r="K1251" s="82" t="str">
        <f>_xlfn.IFNA(VLOOKUP(CLEAN(SUBSTITUTE(C1251," ","")),Ref_Factory!$A:$B,2,FALSE),CLEAN(SUBSTITUTE(C1251," ","")))</f>
        <v>GM2</v>
      </c>
      <c r="L1251" s="82" t="str">
        <f t="shared" si="346"/>
        <v>AUGUST-5-GM2</v>
      </c>
      <c r="M1251" s="70">
        <f t="shared" si="347"/>
        <v>0.42100071685859808</v>
      </c>
      <c r="N1251" s="70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25">
      <c r="A1252" t="s">
        <v>42</v>
      </c>
      <c r="B1252">
        <v>5</v>
      </c>
      <c r="C1252" t="s">
        <v>28</v>
      </c>
      <c r="D1252" s="66">
        <v>47232</v>
      </c>
      <c r="E1252" s="68">
        <v>48194</v>
      </c>
      <c r="F1252" s="68">
        <v>47936</v>
      </c>
      <c r="G1252" s="13">
        <f t="shared" si="342"/>
        <v>-258</v>
      </c>
      <c r="H1252" s="13">
        <f t="shared" si="343"/>
        <v>704</v>
      </c>
      <c r="I1252" s="70">
        <f t="shared" si="344"/>
        <v>1.4905149051490429E-2</v>
      </c>
      <c r="J1252" s="70">
        <f t="shared" si="345"/>
        <v>-5.3533634892309889E-3</v>
      </c>
      <c r="K1252" s="82" t="str">
        <f>_xlfn.IFNA(VLOOKUP(CLEAN(SUBSTITUTE(C1252," ","")),Ref_Factory!$A:$B,2,FALSE),CLEAN(SUBSTITUTE(C1252," ","")))</f>
        <v>GM2</v>
      </c>
      <c r="L1252" s="82" t="str">
        <f t="shared" si="346"/>
        <v>AUGUST-5-GM2</v>
      </c>
      <c r="M1252" s="70">
        <f t="shared" si="347"/>
        <v>0.42100071685859808</v>
      </c>
      <c r="N1252" s="70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25">
      <c r="A1253" t="s">
        <v>42</v>
      </c>
      <c r="B1253">
        <v>5</v>
      </c>
      <c r="C1253" t="s">
        <v>28</v>
      </c>
      <c r="D1253" s="66">
        <v>24048</v>
      </c>
      <c r="E1253" s="68">
        <v>24538</v>
      </c>
      <c r="F1253" s="68">
        <v>24404</v>
      </c>
      <c r="G1253" s="13">
        <f t="shared" si="342"/>
        <v>-134</v>
      </c>
      <c r="H1253" s="13">
        <f t="shared" si="343"/>
        <v>356</v>
      </c>
      <c r="I1253" s="70">
        <f t="shared" si="344"/>
        <v>1.4803725881570085E-2</v>
      </c>
      <c r="J1253" s="70">
        <f t="shared" si="345"/>
        <v>-5.4609177602086278E-3</v>
      </c>
      <c r="K1253" s="82" t="str">
        <f>_xlfn.IFNA(VLOOKUP(CLEAN(SUBSTITUTE(C1253," ","")),Ref_Factory!$A:$B,2,FALSE),CLEAN(SUBSTITUTE(C1253," ","")))</f>
        <v>GM2</v>
      </c>
      <c r="L1253" s="82" t="str">
        <f t="shared" si="346"/>
        <v>AUGUST-5-GM2</v>
      </c>
      <c r="M1253" s="70">
        <f t="shared" si="347"/>
        <v>0.42100071685859808</v>
      </c>
      <c r="N1253" s="70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25">
      <c r="A1254" t="s">
        <v>42</v>
      </c>
      <c r="B1254">
        <v>5</v>
      </c>
      <c r="C1254" t="s">
        <v>28</v>
      </c>
      <c r="D1254" s="66">
        <v>6048</v>
      </c>
      <c r="E1254" s="68">
        <v>6055</v>
      </c>
      <c r="F1254" s="68">
        <v>6048</v>
      </c>
      <c r="G1254" s="13">
        <f t="shared" si="342"/>
        <v>-7</v>
      </c>
      <c r="H1254" s="13">
        <f t="shared" si="343"/>
        <v>0</v>
      </c>
      <c r="I1254" s="70">
        <f t="shared" si="344"/>
        <v>0</v>
      </c>
      <c r="J1254" s="70">
        <f t="shared" si="345"/>
        <v>-1.1560693641619046E-3</v>
      </c>
      <c r="K1254" s="82" t="str">
        <f>_xlfn.IFNA(VLOOKUP(CLEAN(SUBSTITUTE(C1254," ","")),Ref_Factory!$A:$B,2,FALSE),CLEAN(SUBSTITUTE(C1254," ","")))</f>
        <v>GM2</v>
      </c>
      <c r="L1254" s="82" t="str">
        <f t="shared" si="346"/>
        <v>AUGUST-5-GM2</v>
      </c>
      <c r="M1254" s="70">
        <f t="shared" si="347"/>
        <v>0.42100071685859808</v>
      </c>
      <c r="N1254" s="70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25">
      <c r="A1255" t="s">
        <v>42</v>
      </c>
      <c r="B1255">
        <v>5</v>
      </c>
      <c r="C1255" t="s">
        <v>28</v>
      </c>
      <c r="D1255" s="66">
        <v>11376</v>
      </c>
      <c r="E1255" s="68">
        <v>11662</v>
      </c>
      <c r="F1255" s="68">
        <v>11596</v>
      </c>
      <c r="G1255" s="13">
        <f t="shared" si="342"/>
        <v>-66</v>
      </c>
      <c r="H1255" s="13">
        <f t="shared" si="343"/>
        <v>220</v>
      </c>
      <c r="I1255" s="70">
        <f t="shared" si="344"/>
        <v>1.9338959212376938E-2</v>
      </c>
      <c r="J1255" s="70">
        <f t="shared" si="345"/>
        <v>-5.6594066197908077E-3</v>
      </c>
      <c r="K1255" s="82" t="str">
        <f>_xlfn.IFNA(VLOOKUP(CLEAN(SUBSTITUTE(C1255," ","")),Ref_Factory!$A:$B,2,FALSE),CLEAN(SUBSTITUTE(C1255," ","")))</f>
        <v>GM2</v>
      </c>
      <c r="L1255" s="82" t="str">
        <f t="shared" si="346"/>
        <v>AUGUST-5-GM2</v>
      </c>
      <c r="M1255" s="70">
        <f t="shared" si="347"/>
        <v>0.42100071685859808</v>
      </c>
      <c r="N1255" s="70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25">
      <c r="A1256" t="s">
        <v>42</v>
      </c>
      <c r="B1256">
        <v>5</v>
      </c>
      <c r="C1256" t="s">
        <v>28</v>
      </c>
      <c r="D1256" s="66">
        <v>3888</v>
      </c>
      <c r="E1256" s="68">
        <v>4116</v>
      </c>
      <c r="F1256" s="68">
        <v>4080</v>
      </c>
      <c r="G1256" s="13">
        <f t="shared" si="342"/>
        <v>-36</v>
      </c>
      <c r="H1256" s="13">
        <f t="shared" si="343"/>
        <v>192</v>
      </c>
      <c r="I1256" s="70">
        <f t="shared" si="344"/>
        <v>4.9382716049382713E-2</v>
      </c>
      <c r="J1256" s="70">
        <f t="shared" si="345"/>
        <v>-8.7463556851311575E-3</v>
      </c>
      <c r="K1256" s="82" t="str">
        <f>_xlfn.IFNA(VLOOKUP(CLEAN(SUBSTITUTE(C1256," ","")),Ref_Factory!$A:$B,2,FALSE),CLEAN(SUBSTITUTE(C1256," ","")))</f>
        <v>GM2</v>
      </c>
      <c r="L1256" s="82" t="str">
        <f t="shared" si="346"/>
        <v>AUGUST-5-GM2</v>
      </c>
      <c r="M1256" s="70">
        <f t="shared" si="347"/>
        <v>0.42100071685859808</v>
      </c>
      <c r="N1256" s="70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25">
      <c r="A1257" t="s">
        <v>42</v>
      </c>
      <c r="B1257">
        <v>5</v>
      </c>
      <c r="C1257" t="s">
        <v>28</v>
      </c>
      <c r="D1257" s="66">
        <v>3672</v>
      </c>
      <c r="E1257" s="68">
        <v>3867</v>
      </c>
      <c r="F1257" s="68">
        <v>3843</v>
      </c>
      <c r="G1257" s="13">
        <f t="shared" si="342"/>
        <v>-24</v>
      </c>
      <c r="H1257" s="13">
        <f t="shared" si="343"/>
        <v>171</v>
      </c>
      <c r="I1257" s="70">
        <f t="shared" si="344"/>
        <v>4.6568627450980449E-2</v>
      </c>
      <c r="J1257" s="70">
        <f t="shared" si="345"/>
        <v>-6.2063615205585343E-3</v>
      </c>
      <c r="K1257" s="82" t="str">
        <f>_xlfn.IFNA(VLOOKUP(CLEAN(SUBSTITUTE(C1257," ","")),Ref_Factory!$A:$B,2,FALSE),CLEAN(SUBSTITUTE(C1257," ","")))</f>
        <v>GM2</v>
      </c>
      <c r="L1257" s="82" t="str">
        <f t="shared" si="346"/>
        <v>AUGUST-5-GM2</v>
      </c>
      <c r="M1257" s="70">
        <f t="shared" si="347"/>
        <v>0.42100071685859808</v>
      </c>
      <c r="N1257" s="70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25">
      <c r="A1258" t="s">
        <v>42</v>
      </c>
      <c r="B1258">
        <v>5</v>
      </c>
      <c r="C1258" t="s">
        <v>28</v>
      </c>
      <c r="D1258" s="66">
        <v>31104</v>
      </c>
      <c r="E1258" s="68">
        <v>31125</v>
      </c>
      <c r="F1258" s="68">
        <v>31104</v>
      </c>
      <c r="G1258" s="13">
        <f t="shared" si="342"/>
        <v>-21</v>
      </c>
      <c r="H1258" s="13">
        <f t="shared" si="343"/>
        <v>0</v>
      </c>
      <c r="I1258" s="70">
        <f t="shared" si="344"/>
        <v>0</v>
      </c>
      <c r="J1258" s="70">
        <f t="shared" si="345"/>
        <v>-6.7469879518067266E-4</v>
      </c>
      <c r="K1258" s="82" t="str">
        <f>_xlfn.IFNA(VLOOKUP(CLEAN(SUBSTITUTE(C1258," ","")),Ref_Factory!$A:$B,2,FALSE),CLEAN(SUBSTITUTE(C1258," ","")))</f>
        <v>GM2</v>
      </c>
      <c r="L1258" s="82" t="str">
        <f t="shared" si="346"/>
        <v>AUGUST-5-GM2</v>
      </c>
      <c r="M1258" s="70">
        <f t="shared" si="347"/>
        <v>0.42100071685859808</v>
      </c>
      <c r="N1258" s="70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25">
      <c r="A1259" t="s">
        <v>42</v>
      </c>
      <c r="B1259">
        <v>5</v>
      </c>
      <c r="C1259" t="s">
        <v>28</v>
      </c>
      <c r="D1259" s="66">
        <v>19008</v>
      </c>
      <c r="E1259" s="68">
        <v>18894</v>
      </c>
      <c r="F1259" s="68">
        <v>19008</v>
      </c>
      <c r="G1259" s="13">
        <f t="shared" si="342"/>
        <v>114</v>
      </c>
      <c r="H1259" s="13">
        <f t="shared" si="343"/>
        <v>0</v>
      </c>
      <c r="I1259" s="70">
        <f t="shared" si="344"/>
        <v>0</v>
      </c>
      <c r="J1259" s="70">
        <f t="shared" si="345"/>
        <v>6.033661479834862E-3</v>
      </c>
      <c r="K1259" s="82" t="str">
        <f>_xlfn.IFNA(VLOOKUP(CLEAN(SUBSTITUTE(C1259," ","")),Ref_Factory!$A:$B,2,FALSE),CLEAN(SUBSTITUTE(C1259," ","")))</f>
        <v>GM2</v>
      </c>
      <c r="L1259" s="82" t="str">
        <f t="shared" si="346"/>
        <v>AUGUST-5-GM2</v>
      </c>
      <c r="M1259" s="70">
        <f t="shared" si="347"/>
        <v>0.42100071685859808</v>
      </c>
      <c r="N1259" s="70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25">
      <c r="A1260" t="s">
        <v>42</v>
      </c>
      <c r="B1260">
        <v>5</v>
      </c>
      <c r="C1260" t="s">
        <v>28</v>
      </c>
      <c r="D1260" s="66">
        <v>13392</v>
      </c>
      <c r="E1260" s="68">
        <v>13394</v>
      </c>
      <c r="F1260" s="68">
        <v>13392</v>
      </c>
      <c r="G1260" s="13">
        <f t="shared" si="342"/>
        <v>-2</v>
      </c>
      <c r="H1260" s="13">
        <f t="shared" si="343"/>
        <v>0</v>
      </c>
      <c r="I1260" s="70">
        <f t="shared" si="344"/>
        <v>0</v>
      </c>
      <c r="J1260" s="70">
        <f t="shared" si="345"/>
        <v>-1.4932059130956521E-4</v>
      </c>
      <c r="K1260" s="82" t="str">
        <f>_xlfn.IFNA(VLOOKUP(CLEAN(SUBSTITUTE(C1260," ","")),Ref_Factory!$A:$B,2,FALSE),CLEAN(SUBSTITUTE(C1260," ","")))</f>
        <v>GM2</v>
      </c>
      <c r="L1260" s="82" t="str">
        <f t="shared" si="346"/>
        <v>AUGUST-5-GM2</v>
      </c>
      <c r="M1260" s="70">
        <f t="shared" si="347"/>
        <v>0.42100071685859808</v>
      </c>
      <c r="N1260" s="70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25">
      <c r="A1261" t="s">
        <v>42</v>
      </c>
      <c r="B1261">
        <v>5</v>
      </c>
      <c r="C1261" t="s">
        <v>28</v>
      </c>
      <c r="D1261" s="66">
        <v>6480</v>
      </c>
      <c r="E1261" s="68">
        <v>6698</v>
      </c>
      <c r="F1261" s="68">
        <v>6678</v>
      </c>
      <c r="G1261" s="13">
        <f t="shared" si="342"/>
        <v>-20</v>
      </c>
      <c r="H1261" s="13">
        <f t="shared" si="343"/>
        <v>198</v>
      </c>
      <c r="I1261" s="70">
        <f t="shared" si="344"/>
        <v>3.0555555555555447E-2</v>
      </c>
      <c r="J1261" s="70">
        <f t="shared" si="345"/>
        <v>-2.9859659599880128E-3</v>
      </c>
      <c r="K1261" s="82" t="str">
        <f>_xlfn.IFNA(VLOOKUP(CLEAN(SUBSTITUTE(C1261," ","")),Ref_Factory!$A:$B,2,FALSE),CLEAN(SUBSTITUTE(C1261," ","")))</f>
        <v>GM2</v>
      </c>
      <c r="L1261" s="82" t="str">
        <f t="shared" si="346"/>
        <v>AUGUST-5-GM2</v>
      </c>
      <c r="M1261" s="70">
        <f t="shared" si="347"/>
        <v>0.42100071685859808</v>
      </c>
      <c r="N1261" s="70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25">
      <c r="A1262" t="s">
        <v>42</v>
      </c>
      <c r="B1262">
        <v>5</v>
      </c>
      <c r="C1262" t="s">
        <v>28</v>
      </c>
      <c r="D1262" s="66">
        <v>7236</v>
      </c>
      <c r="E1262" s="68">
        <v>7416</v>
      </c>
      <c r="F1262" s="68">
        <v>7362</v>
      </c>
      <c r="G1262" s="13">
        <f t="shared" si="342"/>
        <v>-54</v>
      </c>
      <c r="H1262" s="13">
        <f t="shared" si="343"/>
        <v>126</v>
      </c>
      <c r="I1262" s="70">
        <f t="shared" si="344"/>
        <v>1.7412935323383172E-2</v>
      </c>
      <c r="J1262" s="70">
        <f t="shared" si="345"/>
        <v>-7.2815533980582492E-3</v>
      </c>
      <c r="K1262" s="82" t="str">
        <f>_xlfn.IFNA(VLOOKUP(CLEAN(SUBSTITUTE(C1262," ","")),Ref_Factory!$A:$B,2,FALSE),CLEAN(SUBSTITUTE(C1262," ","")))</f>
        <v>GM2</v>
      </c>
      <c r="L1262" s="82" t="str">
        <f t="shared" si="346"/>
        <v>AUGUST-5-GM2</v>
      </c>
      <c r="M1262" s="70">
        <f t="shared" si="347"/>
        <v>0.42100071685859808</v>
      </c>
      <c r="N1262" s="70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25">
      <c r="A1263" t="s">
        <v>42</v>
      </c>
      <c r="B1263">
        <v>5</v>
      </c>
      <c r="C1263" t="s">
        <v>28</v>
      </c>
      <c r="D1263" s="66">
        <v>1620</v>
      </c>
      <c r="E1263" s="68">
        <v>1656</v>
      </c>
      <c r="F1263" s="68">
        <v>1653</v>
      </c>
      <c r="G1263" s="13">
        <f t="shared" si="342"/>
        <v>-3</v>
      </c>
      <c r="H1263" s="13">
        <f t="shared" si="343"/>
        <v>33</v>
      </c>
      <c r="I1263" s="70">
        <f t="shared" si="344"/>
        <v>2.0370370370370372E-2</v>
      </c>
      <c r="J1263" s="70">
        <f t="shared" si="345"/>
        <v>-1.8115942028985588E-3</v>
      </c>
      <c r="K1263" s="82" t="str">
        <f>_xlfn.IFNA(VLOOKUP(CLEAN(SUBSTITUTE(C1263," ","")),Ref_Factory!$A:$B,2,FALSE),CLEAN(SUBSTITUTE(C1263," ","")))</f>
        <v>GM2</v>
      </c>
      <c r="L1263" s="82" t="str">
        <f t="shared" si="346"/>
        <v>AUGUST-5-GM2</v>
      </c>
      <c r="M1263" s="70">
        <f t="shared" si="347"/>
        <v>0.42100071685859808</v>
      </c>
      <c r="N1263" s="70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25">
      <c r="A1264" t="s">
        <v>42</v>
      </c>
      <c r="B1264">
        <v>5</v>
      </c>
      <c r="C1264" t="s">
        <v>28</v>
      </c>
      <c r="D1264" s="66">
        <v>8316</v>
      </c>
      <c r="E1264" s="68">
        <v>8506</v>
      </c>
      <c r="F1264" s="68">
        <v>8487</v>
      </c>
      <c r="G1264" s="13">
        <f t="shared" si="342"/>
        <v>-19</v>
      </c>
      <c r="H1264" s="13">
        <f t="shared" si="343"/>
        <v>171</v>
      </c>
      <c r="I1264" s="70">
        <f t="shared" si="344"/>
        <v>2.0562770562770671E-2</v>
      </c>
      <c r="J1264" s="70">
        <f t="shared" si="345"/>
        <v>-2.2337173759698903E-3</v>
      </c>
      <c r="K1264" s="82" t="str">
        <f>_xlfn.IFNA(VLOOKUP(CLEAN(SUBSTITUTE(C1264," ","")),Ref_Factory!$A:$B,2,FALSE),CLEAN(SUBSTITUTE(C1264," ","")))</f>
        <v>GM2</v>
      </c>
      <c r="L1264" s="82" t="str">
        <f t="shared" si="346"/>
        <v>AUGUST-5-GM2</v>
      </c>
      <c r="M1264" s="70">
        <f t="shared" si="347"/>
        <v>0.42100071685859808</v>
      </c>
      <c r="N1264" s="70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25">
      <c r="A1265" t="s">
        <v>42</v>
      </c>
      <c r="B1265">
        <v>5</v>
      </c>
      <c r="C1265" t="s">
        <v>28</v>
      </c>
      <c r="D1265" s="66">
        <v>1080</v>
      </c>
      <c r="E1265" s="68">
        <v>1109</v>
      </c>
      <c r="F1265" s="68">
        <v>1104</v>
      </c>
      <c r="G1265" s="13">
        <f t="shared" si="342"/>
        <v>-5</v>
      </c>
      <c r="H1265" s="13">
        <f t="shared" si="343"/>
        <v>24</v>
      </c>
      <c r="I1265" s="70">
        <f t="shared" si="344"/>
        <v>2.2222222222222143E-2</v>
      </c>
      <c r="J1265" s="70">
        <f t="shared" si="345"/>
        <v>-4.5085662759242195E-3</v>
      </c>
      <c r="K1265" s="82" t="str">
        <f>_xlfn.IFNA(VLOOKUP(CLEAN(SUBSTITUTE(C1265," ","")),Ref_Factory!$A:$B,2,FALSE),CLEAN(SUBSTITUTE(C1265," ","")))</f>
        <v>GM2</v>
      </c>
      <c r="L1265" s="82" t="str">
        <f t="shared" si="346"/>
        <v>AUGUST-5-GM2</v>
      </c>
      <c r="M1265" s="70">
        <f t="shared" si="347"/>
        <v>0.42100071685859808</v>
      </c>
      <c r="N1265" s="70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25">
      <c r="A1266" t="s">
        <v>42</v>
      </c>
      <c r="B1266">
        <v>5</v>
      </c>
      <c r="C1266" t="s">
        <v>28</v>
      </c>
      <c r="D1266" s="66">
        <v>7128</v>
      </c>
      <c r="E1266" s="66">
        <v>7362</v>
      </c>
      <c r="F1266" s="66">
        <v>7371</v>
      </c>
      <c r="G1266" s="13">
        <f t="shared" si="342"/>
        <v>9</v>
      </c>
      <c r="H1266" s="13">
        <f t="shared" si="343"/>
        <v>243</v>
      </c>
      <c r="I1266" s="70">
        <f t="shared" si="344"/>
        <v>3.4090909090909172E-2</v>
      </c>
      <c r="J1266" s="70">
        <f t="shared" si="345"/>
        <v>1.2224938875304847E-3</v>
      </c>
      <c r="K1266" s="82" t="str">
        <f>_xlfn.IFNA(VLOOKUP(CLEAN(SUBSTITUTE(C1266," ","")),Ref_Factory!$A:$B,2,FALSE),CLEAN(SUBSTITUTE(C1266," ","")))</f>
        <v>GM2</v>
      </c>
      <c r="L1266" s="82" t="str">
        <f t="shared" si="346"/>
        <v>AUGUST-5-GM2</v>
      </c>
      <c r="M1266" s="70">
        <f t="shared" si="347"/>
        <v>0.42100071685859808</v>
      </c>
      <c r="N1266" s="70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25">
      <c r="A1267" t="s">
        <v>42</v>
      </c>
      <c r="B1267">
        <v>5</v>
      </c>
      <c r="C1267" t="s">
        <v>28</v>
      </c>
      <c r="D1267" s="66">
        <v>1080</v>
      </c>
      <c r="E1267" s="66">
        <v>1117</v>
      </c>
      <c r="F1267" s="66">
        <v>1113</v>
      </c>
      <c r="G1267" s="13">
        <f t="shared" si="342"/>
        <v>-4</v>
      </c>
      <c r="H1267" s="13">
        <f t="shared" si="343"/>
        <v>33</v>
      </c>
      <c r="I1267" s="70">
        <f t="shared" si="344"/>
        <v>3.0555555555555447E-2</v>
      </c>
      <c r="J1267" s="70">
        <f t="shared" si="345"/>
        <v>-3.5810205908684001E-3</v>
      </c>
      <c r="K1267" s="82" t="str">
        <f>_xlfn.IFNA(VLOOKUP(CLEAN(SUBSTITUTE(C1267," ","")),Ref_Factory!$A:$B,2,FALSE),CLEAN(SUBSTITUTE(C1267," ","")))</f>
        <v>GM2</v>
      </c>
      <c r="L1267" s="82" t="str">
        <f t="shared" si="346"/>
        <v>AUGUST-5-GM2</v>
      </c>
      <c r="M1267" s="70">
        <f t="shared" si="347"/>
        <v>0.42100071685859808</v>
      </c>
      <c r="N1267" s="70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25">
      <c r="A1268" t="s">
        <v>42</v>
      </c>
      <c r="B1268">
        <v>5</v>
      </c>
      <c r="C1268" t="s">
        <v>28</v>
      </c>
      <c r="D1268" s="66">
        <v>6480</v>
      </c>
      <c r="E1268" s="66">
        <v>6486</v>
      </c>
      <c r="F1268" s="66">
        <v>6480</v>
      </c>
      <c r="G1268" s="13">
        <f t="shared" si="342"/>
        <v>-6</v>
      </c>
      <c r="H1268" s="13">
        <f t="shared" si="343"/>
        <v>0</v>
      </c>
      <c r="I1268" s="70">
        <f t="shared" si="344"/>
        <v>0</v>
      </c>
      <c r="J1268" s="70">
        <f t="shared" si="345"/>
        <v>-9.2506938020353591E-4</v>
      </c>
      <c r="K1268" s="82" t="str">
        <f>_xlfn.IFNA(VLOOKUP(CLEAN(SUBSTITUTE(C1268," ","")),Ref_Factory!$A:$B,2,FALSE),CLEAN(SUBSTITUTE(C1268," ","")))</f>
        <v>GM2</v>
      </c>
      <c r="L1268" s="82" t="str">
        <f t="shared" si="346"/>
        <v>AUGUST-5-GM2</v>
      </c>
      <c r="M1268" s="70">
        <f t="shared" si="347"/>
        <v>0.42100071685859808</v>
      </c>
      <c r="N1268" s="70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25">
      <c r="A1269" t="s">
        <v>42</v>
      </c>
      <c r="B1269">
        <v>5</v>
      </c>
      <c r="C1269" t="s">
        <v>28</v>
      </c>
      <c r="D1269" s="66">
        <v>11088</v>
      </c>
      <c r="E1269" s="68">
        <v>11428</v>
      </c>
      <c r="F1269" s="68">
        <v>11412</v>
      </c>
      <c r="G1269" s="13">
        <f t="shared" si="342"/>
        <v>-16</v>
      </c>
      <c r="H1269" s="13">
        <f t="shared" si="343"/>
        <v>324</v>
      </c>
      <c r="I1269" s="70">
        <f t="shared" si="344"/>
        <v>2.9220779220779258E-2</v>
      </c>
      <c r="J1269" s="70">
        <f t="shared" si="345"/>
        <v>-1.4000700035001756E-3</v>
      </c>
      <c r="K1269" s="82" t="str">
        <f>_xlfn.IFNA(VLOOKUP(CLEAN(SUBSTITUTE(C1269," ","")),Ref_Factory!$A:$B,2,FALSE),CLEAN(SUBSTITUTE(C1269," ","")))</f>
        <v>GM2</v>
      </c>
      <c r="L1269" s="82" t="str">
        <f t="shared" si="346"/>
        <v>AUGUST-5-GM2</v>
      </c>
      <c r="M1269" s="70">
        <f t="shared" si="347"/>
        <v>0.42100071685859808</v>
      </c>
      <c r="N1269" s="70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25">
      <c r="A1270" t="s">
        <v>42</v>
      </c>
      <c r="B1270">
        <v>5</v>
      </c>
      <c r="C1270" t="s">
        <v>28</v>
      </c>
      <c r="D1270" s="66">
        <v>3996</v>
      </c>
      <c r="E1270" s="66">
        <v>4004</v>
      </c>
      <c r="F1270" s="66">
        <v>3996</v>
      </c>
      <c r="G1270" s="13">
        <f t="shared" si="342"/>
        <v>-8</v>
      </c>
      <c r="H1270" s="13">
        <f t="shared" si="343"/>
        <v>0</v>
      </c>
      <c r="I1270" s="70">
        <f t="shared" si="344"/>
        <v>0</v>
      </c>
      <c r="J1270" s="70">
        <f t="shared" si="345"/>
        <v>-1.9980019980020414E-3</v>
      </c>
      <c r="K1270" s="82" t="str">
        <f>_xlfn.IFNA(VLOOKUP(CLEAN(SUBSTITUTE(C1270," ","")),Ref_Factory!$A:$B,2,FALSE),CLEAN(SUBSTITUTE(C1270," ","")))</f>
        <v>GM2</v>
      </c>
      <c r="L1270" s="82" t="str">
        <f t="shared" si="346"/>
        <v>AUGUST-5-GM2</v>
      </c>
      <c r="M1270" s="70">
        <f t="shared" si="347"/>
        <v>0.42100071685859808</v>
      </c>
      <c r="N1270" s="70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25">
      <c r="A1271" t="s">
        <v>42</v>
      </c>
      <c r="B1271">
        <v>5</v>
      </c>
      <c r="C1271" t="s">
        <v>28</v>
      </c>
      <c r="D1271" s="66">
        <v>4320</v>
      </c>
      <c r="E1271" s="66">
        <v>4335</v>
      </c>
      <c r="F1271" s="66">
        <v>4320</v>
      </c>
      <c r="G1271" s="13">
        <f t="shared" si="342"/>
        <v>-15</v>
      </c>
      <c r="H1271" s="13">
        <f t="shared" si="343"/>
        <v>0</v>
      </c>
      <c r="I1271" s="70">
        <f t="shared" si="344"/>
        <v>0</v>
      </c>
      <c r="J1271" s="70">
        <f t="shared" si="345"/>
        <v>-3.4602076124568004E-3</v>
      </c>
      <c r="K1271" s="82" t="str">
        <f>_xlfn.IFNA(VLOOKUP(CLEAN(SUBSTITUTE(C1271," ","")),Ref_Factory!$A:$B,2,FALSE),CLEAN(SUBSTITUTE(C1271," ","")))</f>
        <v>GM2</v>
      </c>
      <c r="L1271" s="82" t="str">
        <f t="shared" si="346"/>
        <v>AUGUST-5-GM2</v>
      </c>
      <c r="M1271" s="70">
        <f t="shared" si="347"/>
        <v>0.42100071685859808</v>
      </c>
      <c r="N1271" s="70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25">
      <c r="A1272" t="s">
        <v>42</v>
      </c>
      <c r="B1272">
        <v>5</v>
      </c>
      <c r="C1272" t="s">
        <v>28</v>
      </c>
      <c r="D1272" s="66">
        <v>1080</v>
      </c>
      <c r="E1272" s="66">
        <v>1089</v>
      </c>
      <c r="F1272" s="66">
        <v>1080</v>
      </c>
      <c r="G1272" s="13">
        <f t="shared" si="342"/>
        <v>-9</v>
      </c>
      <c r="H1272" s="13">
        <f t="shared" si="343"/>
        <v>0</v>
      </c>
      <c r="I1272" s="70">
        <f t="shared" si="344"/>
        <v>0</v>
      </c>
      <c r="J1272" s="70">
        <f t="shared" si="345"/>
        <v>-8.2644628099173278E-3</v>
      </c>
      <c r="K1272" s="82" t="str">
        <f>_xlfn.IFNA(VLOOKUP(CLEAN(SUBSTITUTE(C1272," ","")),Ref_Factory!$A:$B,2,FALSE),CLEAN(SUBSTITUTE(C1272," ","")))</f>
        <v>GM2</v>
      </c>
      <c r="L1272" s="82" t="str">
        <f t="shared" si="346"/>
        <v>AUGUST-5-GM2</v>
      </c>
      <c r="M1272" s="70">
        <f t="shared" si="347"/>
        <v>0.42100071685859808</v>
      </c>
      <c r="N1272" s="70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25">
      <c r="A1273" t="s">
        <v>42</v>
      </c>
      <c r="B1273">
        <v>5</v>
      </c>
      <c r="C1273" t="s">
        <v>28</v>
      </c>
      <c r="D1273" s="66">
        <v>3240</v>
      </c>
      <c r="E1273" s="66">
        <v>3240</v>
      </c>
      <c r="F1273" s="66">
        <v>3240</v>
      </c>
      <c r="G1273" s="13">
        <f t="shared" si="342"/>
        <v>0</v>
      </c>
      <c r="H1273" s="13">
        <f t="shared" si="343"/>
        <v>0</v>
      </c>
      <c r="I1273" s="70">
        <f t="shared" si="344"/>
        <v>0</v>
      </c>
      <c r="J1273" s="70">
        <f t="shared" si="345"/>
        <v>0</v>
      </c>
      <c r="K1273" s="82" t="str">
        <f>_xlfn.IFNA(VLOOKUP(CLEAN(SUBSTITUTE(C1273," ","")),Ref_Factory!$A:$B,2,FALSE),CLEAN(SUBSTITUTE(C1273," ","")))</f>
        <v>GM2</v>
      </c>
      <c r="L1273" s="82" t="str">
        <f t="shared" si="346"/>
        <v>AUGUST-5-GM2</v>
      </c>
      <c r="M1273" s="70">
        <f t="shared" si="347"/>
        <v>0.42100071685859808</v>
      </c>
      <c r="N1273" s="70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25">
      <c r="A1274" t="s">
        <v>42</v>
      </c>
      <c r="B1274">
        <v>5</v>
      </c>
      <c r="C1274" t="s">
        <v>28</v>
      </c>
      <c r="D1274" s="66">
        <v>4320</v>
      </c>
      <c r="E1274" s="66">
        <v>4460</v>
      </c>
      <c r="F1274" s="66">
        <v>4413</v>
      </c>
      <c r="G1274" s="13">
        <f t="shared" si="342"/>
        <v>-47</v>
      </c>
      <c r="H1274" s="13">
        <f t="shared" si="343"/>
        <v>93</v>
      </c>
      <c r="I1274" s="70">
        <f t="shared" si="344"/>
        <v>2.1527777777777812E-2</v>
      </c>
      <c r="J1274" s="70">
        <f t="shared" si="345"/>
        <v>-1.053811659192827E-2</v>
      </c>
      <c r="K1274" s="82" t="str">
        <f>_xlfn.IFNA(VLOOKUP(CLEAN(SUBSTITUTE(C1274," ","")),Ref_Factory!$A:$B,2,FALSE),CLEAN(SUBSTITUTE(C1274," ","")))</f>
        <v>GM2</v>
      </c>
      <c r="L1274" s="82" t="str">
        <f t="shared" si="346"/>
        <v>AUGUST-5-GM2</v>
      </c>
      <c r="M1274" s="70">
        <f t="shared" si="347"/>
        <v>0.42100071685859808</v>
      </c>
      <c r="N1274" s="70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25">
      <c r="A1275" t="s">
        <v>42</v>
      </c>
      <c r="B1275">
        <v>5</v>
      </c>
      <c r="C1275" t="s">
        <v>28</v>
      </c>
      <c r="D1275" s="66">
        <v>22464</v>
      </c>
      <c r="E1275" s="66">
        <v>23385</v>
      </c>
      <c r="F1275" s="66">
        <v>23199</v>
      </c>
      <c r="G1275" s="13">
        <f t="shared" si="342"/>
        <v>-186</v>
      </c>
      <c r="H1275" s="13">
        <f t="shared" si="343"/>
        <v>735</v>
      </c>
      <c r="I1275" s="70">
        <f t="shared" si="344"/>
        <v>3.2719017094017033E-2</v>
      </c>
      <c r="J1275" s="70">
        <f t="shared" si="345"/>
        <v>-7.9538165490699031E-3</v>
      </c>
      <c r="K1275" s="82" t="str">
        <f>_xlfn.IFNA(VLOOKUP(CLEAN(SUBSTITUTE(C1275," ","")),Ref_Factory!$A:$B,2,FALSE),CLEAN(SUBSTITUTE(C1275," ","")))</f>
        <v>GM2</v>
      </c>
      <c r="L1275" s="82" t="str">
        <f t="shared" si="346"/>
        <v>AUGUST-5-GM2</v>
      </c>
      <c r="M1275" s="70">
        <f t="shared" si="347"/>
        <v>0.42100071685859808</v>
      </c>
      <c r="N1275" s="70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25">
      <c r="A1276" t="s">
        <v>43</v>
      </c>
      <c r="B1276" s="66">
        <v>1</v>
      </c>
      <c r="C1276" t="s">
        <v>16</v>
      </c>
      <c r="D1276" s="66">
        <v>15260</v>
      </c>
      <c r="E1276" s="68">
        <v>15266</v>
      </c>
      <c r="F1276" s="68">
        <v>15124</v>
      </c>
      <c r="G1276" s="13">
        <f t="shared" si="342"/>
        <v>-142</v>
      </c>
      <c r="H1276" s="13">
        <f t="shared" si="343"/>
        <v>-136</v>
      </c>
      <c r="I1276" s="70">
        <f t="shared" si="344"/>
        <v>-8.9121887287024748E-3</v>
      </c>
      <c r="J1276" s="70">
        <f t="shared" si="345"/>
        <v>-9.3017162321499258E-3</v>
      </c>
      <c r="K1276" s="82" t="str">
        <f>_xlfn.IFNA(VLOOKUP(CLEAN(SUBSTITUTE(C1276," ","")),Ref_Factory!$A:$B,2,FALSE),CLEAN(SUBSTITUTE(C1276," ","")))</f>
        <v>ANUGERAH</v>
      </c>
      <c r="L1276" s="82" t="str">
        <f t="shared" si="346"/>
        <v>SEPTEMBER-1-ANUGERAH</v>
      </c>
      <c r="M1276" s="70">
        <f t="shared" si="347"/>
        <v>-8.9121887287024748E-3</v>
      </c>
      <c r="N1276" s="70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2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70">
        <f t="shared" si="344"/>
        <v>0</v>
      </c>
      <c r="J1277" s="70">
        <f t="shared" si="345"/>
        <v>0</v>
      </c>
      <c r="K1277" s="82" t="str">
        <f>_xlfn.IFNA(VLOOKUP(CLEAN(SUBSTITUTE(C1277," ","")),Ref_Factory!$A:$B,2,FALSE),CLEAN(SUBSTITUTE(C1277," ","")))</f>
        <v>GM1</v>
      </c>
      <c r="L1277" s="82" t="str">
        <f t="shared" si="346"/>
        <v>SEPTEMBER-1-GM1</v>
      </c>
      <c r="M1277" s="70">
        <f t="shared" si="347"/>
        <v>6.6154263326694274E-3</v>
      </c>
      <c r="N1277" s="70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2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70">
        <f t="shared" si="344"/>
        <v>0</v>
      </c>
      <c r="J1278" s="70">
        <f t="shared" si="345"/>
        <v>0</v>
      </c>
      <c r="K1278" s="82" t="str">
        <f>_xlfn.IFNA(VLOOKUP(CLEAN(SUBSTITUTE(C1278," ","")),Ref_Factory!$A:$B,2,FALSE),CLEAN(SUBSTITUTE(C1278," ","")))</f>
        <v>GM1</v>
      </c>
      <c r="L1278" s="82" t="str">
        <f t="shared" si="346"/>
        <v>SEPTEMBER-1-GM1</v>
      </c>
      <c r="M1278" s="70">
        <f t="shared" si="347"/>
        <v>6.6154263326694274E-3</v>
      </c>
      <c r="N1278" s="70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2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70">
        <f t="shared" si="344"/>
        <v>0</v>
      </c>
      <c r="J1279" s="70">
        <f t="shared" si="345"/>
        <v>0</v>
      </c>
      <c r="K1279" s="82" t="str">
        <f>_xlfn.IFNA(VLOOKUP(CLEAN(SUBSTITUTE(C1279," ","")),Ref_Factory!$A:$B,2,FALSE),CLEAN(SUBSTITUTE(C1279," ","")))</f>
        <v>GM1</v>
      </c>
      <c r="L1279" s="82" t="str">
        <f t="shared" si="346"/>
        <v>SEPTEMBER-1-GM1</v>
      </c>
      <c r="M1279" s="70">
        <f t="shared" si="347"/>
        <v>6.6154263326694274E-3</v>
      </c>
      <c r="N1279" s="70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2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70">
        <f t="shared" si="344"/>
        <v>0</v>
      </c>
      <c r="J1280" s="70">
        <f t="shared" si="345"/>
        <v>-7.9365079365079083E-3</v>
      </c>
      <c r="K1280" s="82" t="str">
        <f>_xlfn.IFNA(VLOOKUP(CLEAN(SUBSTITUTE(C1280," ","")),Ref_Factory!$A:$B,2,FALSE),CLEAN(SUBSTITUTE(C1280," ","")))</f>
        <v>GM1</v>
      </c>
      <c r="L1280" s="82" t="str">
        <f t="shared" si="346"/>
        <v>SEPTEMBER-1-GM1</v>
      </c>
      <c r="M1280" s="70">
        <f t="shared" si="347"/>
        <v>6.6154263326694274E-3</v>
      </c>
      <c r="N1280" s="70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2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70">
        <f t="shared" si="344"/>
        <v>0</v>
      </c>
      <c r="J1281" s="70">
        <f t="shared" si="345"/>
        <v>0</v>
      </c>
      <c r="K1281" s="82" t="str">
        <f>_xlfn.IFNA(VLOOKUP(CLEAN(SUBSTITUTE(C1281," ","")),Ref_Factory!$A:$B,2,FALSE),CLEAN(SUBSTITUTE(C1281," ","")))</f>
        <v>GM1</v>
      </c>
      <c r="L1281" s="82" t="str">
        <f t="shared" si="346"/>
        <v>SEPTEMBER-1-GM1</v>
      </c>
      <c r="M1281" s="70">
        <f t="shared" si="347"/>
        <v>6.6154263326694274E-3</v>
      </c>
      <c r="N1281" s="70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2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70">
        <f t="shared" ref="I1282:I1345" si="362">F1282/D1282-1</f>
        <v>0</v>
      </c>
      <c r="J1282" s="70">
        <f t="shared" ref="J1282:J1345" si="363">F1282/E1282-1</f>
        <v>0</v>
      </c>
      <c r="K1282" s="82" t="str">
        <f>_xlfn.IFNA(VLOOKUP(CLEAN(SUBSTITUTE(C1282," ","")),Ref_Factory!$A:$B,2,FALSE),CLEAN(SUBSTITUTE(C1282," ","")))</f>
        <v>GM1</v>
      </c>
      <c r="L1282" s="82" t="str">
        <f t="shared" ref="L1282:L1345" si="364">A1282&amp;"-"&amp;B1282&amp;"-"&amp;K1282</f>
        <v>SEPTEMBER-1-GM1</v>
      </c>
      <c r="M1282" s="70">
        <f t="shared" ref="M1282:M1345" si="365">SUMIF($L$2:$L$1420,L1282,$I$2:$I$1420)</f>
        <v>6.6154263326694274E-3</v>
      </c>
      <c r="N1282" s="70">
        <f t="shared" ref="N1282:N1345" si="366">SUMIF($L$2:$L$1420,L1282,$J$2:$J$1420)</f>
        <v>-2.1010032449772287E-2</v>
      </c>
      <c r="O1282" s="13">
        <f t="shared" ref="O1282:O1345" si="367">SUMIF($A$2:$A$1420,A1282,$D$2:$D$1420)</f>
        <v>1013903</v>
      </c>
      <c r="P1282" s="13">
        <f t="shared" ref="P1282:P1345" si="368">SUMIF($A$2:$A$1420,A1282,$E$2:$E$1420)</f>
        <v>1020738</v>
      </c>
      <c r="Q1282" s="13">
        <f t="shared" ref="Q1282:Q1345" si="369">SUMIF($A$2:$A$1420,A1282,$F$2:$F$1420)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SUMIF($T$2:$T$1420,T1282,$D$2:$D$1420)</f>
        <v>517451</v>
      </c>
      <c r="V1282">
        <f t="shared" ref="V1282:V1345" si="374">SUMIF($T$2:$T$1420,T1282,$E$2:$E$1420)</f>
        <v>521405</v>
      </c>
      <c r="W1282">
        <f t="shared" ref="W1282:W1345" si="375">SUMIF($T$2:$T$1420,T1282,$F$2:$F$1420)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2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70">
        <f t="shared" si="362"/>
        <v>0</v>
      </c>
      <c r="J1283" s="70">
        <f t="shared" si="363"/>
        <v>0</v>
      </c>
      <c r="K1283" s="82" t="str">
        <f>_xlfn.IFNA(VLOOKUP(CLEAN(SUBSTITUTE(C1283," ","")),Ref_Factory!$A:$B,2,FALSE),CLEAN(SUBSTITUTE(C1283," ","")))</f>
        <v>GM1</v>
      </c>
      <c r="L1283" s="82" t="str">
        <f t="shared" si="364"/>
        <v>SEPTEMBER-1-GM1</v>
      </c>
      <c r="M1283" s="70">
        <f t="shared" si="365"/>
        <v>6.6154263326694274E-3</v>
      </c>
      <c r="N1283" s="70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25">
      <c r="A1284" t="s">
        <v>43</v>
      </c>
      <c r="B1284">
        <v>1</v>
      </c>
      <c r="C1284" t="s">
        <v>28</v>
      </c>
      <c r="D1284" s="66">
        <v>38243</v>
      </c>
      <c r="E1284" s="68">
        <v>38243</v>
      </c>
      <c r="F1284" s="68">
        <v>38148</v>
      </c>
      <c r="G1284" s="13">
        <f t="shared" si="360"/>
        <v>-95</v>
      </c>
      <c r="H1284" s="13">
        <f t="shared" si="361"/>
        <v>-95</v>
      </c>
      <c r="I1284" s="70">
        <f t="shared" si="362"/>
        <v>-2.4841147399523589E-3</v>
      </c>
      <c r="J1284" s="70">
        <f t="shared" si="363"/>
        <v>-2.4841147399523589E-3</v>
      </c>
      <c r="K1284" s="82" t="str">
        <f>_xlfn.IFNA(VLOOKUP(CLEAN(SUBSTITUTE(C1284," ","")),Ref_Factory!$A:$B,2,FALSE),CLEAN(SUBSTITUTE(C1284," ","")))</f>
        <v>GM2</v>
      </c>
      <c r="L1284" s="82" t="str">
        <f t="shared" si="364"/>
        <v>SEPTEMBER-1-GM2</v>
      </c>
      <c r="M1284" s="70">
        <f t="shared" si="365"/>
        <v>-1.587457080265442E-2</v>
      </c>
      <c r="N1284" s="70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25">
      <c r="A1285" t="s">
        <v>43</v>
      </c>
      <c r="B1285">
        <v>1</v>
      </c>
      <c r="C1285" t="s">
        <v>13</v>
      </c>
      <c r="D1285" s="68">
        <v>68976</v>
      </c>
      <c r="E1285" s="68">
        <v>69668</v>
      </c>
      <c r="F1285" s="67">
        <v>69604</v>
      </c>
      <c r="G1285" s="13">
        <f t="shared" si="360"/>
        <v>-64</v>
      </c>
      <c r="H1285" s="13">
        <f t="shared" si="361"/>
        <v>628</v>
      </c>
      <c r="I1285" s="70">
        <f t="shared" si="362"/>
        <v>9.1046160983530022E-3</v>
      </c>
      <c r="J1285" s="70">
        <f t="shared" si="363"/>
        <v>-9.1864270540276127E-4</v>
      </c>
      <c r="K1285" s="82" t="str">
        <f>_xlfn.IFNA(VLOOKUP(CLEAN(SUBSTITUTE(C1285," ","")),Ref_Factory!$A:$B,2,FALSE),CLEAN(SUBSTITUTE(C1285," ","")))</f>
        <v>KALIBENDA</v>
      </c>
      <c r="L1285" s="82" t="str">
        <f t="shared" si="364"/>
        <v>SEPTEMBER-1-KALIBENDA</v>
      </c>
      <c r="M1285" s="70">
        <f t="shared" si="365"/>
        <v>9.1046160983530022E-3</v>
      </c>
      <c r="N1285" s="70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25">
      <c r="A1286" t="s">
        <v>43</v>
      </c>
      <c r="B1286">
        <v>1</v>
      </c>
      <c r="C1286" t="s">
        <v>28</v>
      </c>
      <c r="D1286" s="66">
        <v>19497</v>
      </c>
      <c r="E1286" s="68">
        <v>19497</v>
      </c>
      <c r="F1286" s="68">
        <v>19460</v>
      </c>
      <c r="G1286" s="13">
        <f t="shared" si="360"/>
        <v>-37</v>
      </c>
      <c r="H1286" s="13">
        <f t="shared" si="361"/>
        <v>-37</v>
      </c>
      <c r="I1286" s="70">
        <f t="shared" si="362"/>
        <v>-1.8977278555675214E-3</v>
      </c>
      <c r="J1286" s="70">
        <f t="shared" si="363"/>
        <v>-1.8977278555675214E-3</v>
      </c>
      <c r="K1286" s="82" t="str">
        <f>_xlfn.IFNA(VLOOKUP(CLEAN(SUBSTITUTE(C1286," ","")),Ref_Factory!$A:$B,2,FALSE),CLEAN(SUBSTITUTE(C1286," ","")))</f>
        <v>GM2</v>
      </c>
      <c r="L1286" s="82" t="str">
        <f t="shared" si="364"/>
        <v>SEPTEMBER-1-GM2</v>
      </c>
      <c r="M1286" s="70">
        <f t="shared" si="365"/>
        <v>-1.587457080265442E-2</v>
      </c>
      <c r="N1286" s="70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25">
      <c r="A1287" t="s">
        <v>43</v>
      </c>
      <c r="B1287">
        <v>1</v>
      </c>
      <c r="C1287" t="s">
        <v>28</v>
      </c>
      <c r="D1287" s="66">
        <v>28232</v>
      </c>
      <c r="E1287" s="68">
        <v>28232</v>
      </c>
      <c r="F1287" s="68">
        <v>28196</v>
      </c>
      <c r="G1287" s="13">
        <f t="shared" si="360"/>
        <v>-36</v>
      </c>
      <c r="H1287" s="13">
        <f t="shared" si="361"/>
        <v>-36</v>
      </c>
      <c r="I1287" s="70">
        <f t="shared" si="362"/>
        <v>-1.2751487673562378E-3</v>
      </c>
      <c r="J1287" s="70">
        <f t="shared" si="363"/>
        <v>-1.2751487673562378E-3</v>
      </c>
      <c r="K1287" s="82" t="str">
        <f>_xlfn.IFNA(VLOOKUP(CLEAN(SUBSTITUTE(C1287," ","")),Ref_Factory!$A:$B,2,FALSE),CLEAN(SUBSTITUTE(C1287," ","")))</f>
        <v>GM2</v>
      </c>
      <c r="L1287" s="82" t="str">
        <f t="shared" si="364"/>
        <v>SEPTEMBER-1-GM2</v>
      </c>
      <c r="M1287" s="70">
        <f t="shared" si="365"/>
        <v>-1.587457080265442E-2</v>
      </c>
      <c r="N1287" s="70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25">
      <c r="A1288" t="s">
        <v>43</v>
      </c>
      <c r="B1288">
        <v>1</v>
      </c>
      <c r="C1288" t="s">
        <v>70</v>
      </c>
      <c r="D1288" s="66">
        <v>67104</v>
      </c>
      <c r="E1288" s="66">
        <v>67776</v>
      </c>
      <c r="F1288" s="67">
        <v>67420</v>
      </c>
      <c r="G1288" s="13">
        <f t="shared" si="360"/>
        <v>-356</v>
      </c>
      <c r="H1288" s="13">
        <f t="shared" si="361"/>
        <v>316</v>
      </c>
      <c r="I1288" s="70">
        <f t="shared" si="362"/>
        <v>4.7091082498806891E-3</v>
      </c>
      <c r="J1288" s="70">
        <f t="shared" si="363"/>
        <v>-5.2525967894240244E-3</v>
      </c>
      <c r="K1288" s="82" t="str">
        <f>_xlfn.IFNA(VLOOKUP(CLEAN(SUBSTITUTE(C1288," ","")),Ref_Factory!$A:$B,2,FALSE),CLEAN(SUBSTITUTE(C1288," ","")))</f>
        <v>GM1</v>
      </c>
      <c r="L1288" s="82" t="str">
        <f t="shared" si="364"/>
        <v>SEPTEMBER-1-GM1</v>
      </c>
      <c r="M1288" s="70">
        <f t="shared" si="365"/>
        <v>6.6154263326694274E-3</v>
      </c>
      <c r="N1288" s="70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25">
      <c r="A1289" t="s">
        <v>43</v>
      </c>
      <c r="B1289">
        <v>1</v>
      </c>
      <c r="C1289" t="s">
        <v>70</v>
      </c>
      <c r="D1289" s="66">
        <v>11016</v>
      </c>
      <c r="E1289" s="64">
        <v>11124</v>
      </c>
      <c r="F1289" s="64">
        <v>11037</v>
      </c>
      <c r="G1289" s="13">
        <f t="shared" si="360"/>
        <v>-87</v>
      </c>
      <c r="H1289" s="13">
        <f t="shared" si="361"/>
        <v>21</v>
      </c>
      <c r="I1289" s="70">
        <f t="shared" si="362"/>
        <v>1.9063180827887383E-3</v>
      </c>
      <c r="J1289" s="70">
        <f t="shared" si="363"/>
        <v>-7.8209277238403541E-3</v>
      </c>
      <c r="K1289" s="82" t="str">
        <f>_xlfn.IFNA(VLOOKUP(CLEAN(SUBSTITUTE(C1289," ","")),Ref_Factory!$A:$B,2,FALSE),CLEAN(SUBSTITUTE(C1289," ","")))</f>
        <v>GM1</v>
      </c>
      <c r="L1289" s="82" t="str">
        <f t="shared" si="364"/>
        <v>SEPTEMBER-1-GM1</v>
      </c>
      <c r="M1289" s="70">
        <f t="shared" si="365"/>
        <v>6.6154263326694274E-3</v>
      </c>
      <c r="N1289" s="70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25">
      <c r="A1290" t="s">
        <v>43</v>
      </c>
      <c r="B1290">
        <v>1</v>
      </c>
      <c r="C1290" t="s">
        <v>28</v>
      </c>
      <c r="D1290" s="66">
        <v>11349</v>
      </c>
      <c r="E1290" s="68">
        <v>11349</v>
      </c>
      <c r="F1290" s="68">
        <v>11322</v>
      </c>
      <c r="G1290" s="13">
        <f t="shared" si="360"/>
        <v>-27</v>
      </c>
      <c r="H1290" s="13">
        <f t="shared" si="361"/>
        <v>-27</v>
      </c>
      <c r="I1290" s="70">
        <f t="shared" si="362"/>
        <v>-2.3790642347343294E-3</v>
      </c>
      <c r="J1290" s="70">
        <f t="shared" si="363"/>
        <v>-2.3790642347343294E-3</v>
      </c>
      <c r="K1290" s="82" t="str">
        <f>_xlfn.IFNA(VLOOKUP(CLEAN(SUBSTITUTE(C1290," ","")),Ref_Factory!$A:$B,2,FALSE),CLEAN(SUBSTITUTE(C1290," ","")))</f>
        <v>GM2</v>
      </c>
      <c r="L1290" s="82" t="str">
        <f t="shared" si="364"/>
        <v>SEPTEMBER-1-GM2</v>
      </c>
      <c r="M1290" s="70">
        <f t="shared" si="365"/>
        <v>-1.587457080265442E-2</v>
      </c>
      <c r="N1290" s="70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25">
      <c r="A1291" t="s">
        <v>43</v>
      </c>
      <c r="B1291">
        <v>1</v>
      </c>
      <c r="C1291" t="s">
        <v>28</v>
      </c>
      <c r="D1291" s="66">
        <v>10941</v>
      </c>
      <c r="E1291" s="68">
        <v>10948</v>
      </c>
      <c r="F1291" s="68">
        <v>10929</v>
      </c>
      <c r="G1291" s="13">
        <f t="shared" si="360"/>
        <v>-19</v>
      </c>
      <c r="H1291" s="13">
        <f t="shared" si="361"/>
        <v>-12</v>
      </c>
      <c r="I1291" s="70">
        <f t="shared" si="362"/>
        <v>-1.0967918837400115E-3</v>
      </c>
      <c r="J1291" s="70">
        <f t="shared" si="363"/>
        <v>-1.7354767994154363E-3</v>
      </c>
      <c r="K1291" s="82" t="str">
        <f>_xlfn.IFNA(VLOOKUP(CLEAN(SUBSTITUTE(C1291," ","")),Ref_Factory!$A:$B,2,FALSE),CLEAN(SUBSTITUTE(C1291," ","")))</f>
        <v>GM2</v>
      </c>
      <c r="L1291" s="82" t="str">
        <f t="shared" si="364"/>
        <v>SEPTEMBER-1-GM2</v>
      </c>
      <c r="M1291" s="70">
        <f t="shared" si="365"/>
        <v>-1.587457080265442E-2</v>
      </c>
      <c r="N1291" s="70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25">
      <c r="A1292" t="s">
        <v>43</v>
      </c>
      <c r="B1292">
        <v>1</v>
      </c>
      <c r="C1292" t="s">
        <v>28</v>
      </c>
      <c r="D1292" s="66">
        <v>54593</v>
      </c>
      <c r="E1292" s="68">
        <v>54593</v>
      </c>
      <c r="F1292" s="68">
        <v>54462</v>
      </c>
      <c r="G1292" s="13">
        <f t="shared" si="360"/>
        <v>-131</v>
      </c>
      <c r="H1292" s="13">
        <f t="shared" si="361"/>
        <v>-131</v>
      </c>
      <c r="I1292" s="70">
        <f t="shared" si="362"/>
        <v>-2.3995750370926494E-3</v>
      </c>
      <c r="J1292" s="70">
        <f t="shared" si="363"/>
        <v>-2.3995750370926494E-3</v>
      </c>
      <c r="K1292" s="82" t="str">
        <f>_xlfn.IFNA(VLOOKUP(CLEAN(SUBSTITUTE(C1292," ","")),Ref_Factory!$A:$B,2,FALSE),CLEAN(SUBSTITUTE(C1292," ","")))</f>
        <v>GM2</v>
      </c>
      <c r="L1292" s="82" t="str">
        <f t="shared" si="364"/>
        <v>SEPTEMBER-1-GM2</v>
      </c>
      <c r="M1292" s="70">
        <f t="shared" si="365"/>
        <v>-1.587457080265442E-2</v>
      </c>
      <c r="N1292" s="70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25">
      <c r="A1293" t="s">
        <v>43</v>
      </c>
      <c r="B1293">
        <v>1</v>
      </c>
      <c r="C1293" t="s">
        <v>28</v>
      </c>
      <c r="D1293" s="66">
        <v>1200</v>
      </c>
      <c r="E1293" s="68">
        <v>1200</v>
      </c>
      <c r="F1293" s="68">
        <v>1200</v>
      </c>
      <c r="G1293" s="13">
        <f t="shared" si="360"/>
        <v>0</v>
      </c>
      <c r="H1293" s="13">
        <f t="shared" si="361"/>
        <v>0</v>
      </c>
      <c r="I1293" s="70">
        <f t="shared" si="362"/>
        <v>0</v>
      </c>
      <c r="J1293" s="70">
        <f t="shared" si="363"/>
        <v>0</v>
      </c>
      <c r="K1293" s="82" t="str">
        <f>_xlfn.IFNA(VLOOKUP(CLEAN(SUBSTITUTE(C1293," ","")),Ref_Factory!$A:$B,2,FALSE),CLEAN(SUBSTITUTE(C1293," ","")))</f>
        <v>GM2</v>
      </c>
      <c r="L1293" s="82" t="str">
        <f t="shared" si="364"/>
        <v>SEPTEMBER-1-GM2</v>
      </c>
      <c r="M1293" s="70">
        <f t="shared" si="365"/>
        <v>-1.587457080265442E-2</v>
      </c>
      <c r="N1293" s="70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25">
      <c r="A1294" t="s">
        <v>43</v>
      </c>
      <c r="B1294">
        <v>1</v>
      </c>
      <c r="C1294" t="s">
        <v>28</v>
      </c>
      <c r="D1294" s="66">
        <v>30376</v>
      </c>
      <c r="E1294" s="68">
        <v>30376</v>
      </c>
      <c r="F1294" s="68">
        <v>30306</v>
      </c>
      <c r="G1294" s="13">
        <f t="shared" si="360"/>
        <v>-70</v>
      </c>
      <c r="H1294" s="13">
        <f t="shared" si="361"/>
        <v>-70</v>
      </c>
      <c r="I1294" s="70">
        <f t="shared" si="362"/>
        <v>-2.3044508822754883E-3</v>
      </c>
      <c r="J1294" s="70">
        <f t="shared" si="363"/>
        <v>-2.3044508822754883E-3</v>
      </c>
      <c r="K1294" s="82" t="str">
        <f>_xlfn.IFNA(VLOOKUP(CLEAN(SUBSTITUTE(C1294," ","")),Ref_Factory!$A:$B,2,FALSE),CLEAN(SUBSTITUTE(C1294," ","")))</f>
        <v>GM2</v>
      </c>
      <c r="L1294" s="82" t="str">
        <f t="shared" si="364"/>
        <v>SEPTEMBER-1-GM2</v>
      </c>
      <c r="M1294" s="70">
        <f t="shared" si="365"/>
        <v>-1.587457080265442E-2</v>
      </c>
      <c r="N1294" s="70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25">
      <c r="A1295" t="s">
        <v>43</v>
      </c>
      <c r="B1295">
        <v>1</v>
      </c>
      <c r="C1295" t="s">
        <v>28</v>
      </c>
      <c r="D1295" s="66">
        <v>1963</v>
      </c>
      <c r="E1295" s="68">
        <v>1963</v>
      </c>
      <c r="F1295" s="68">
        <v>1959</v>
      </c>
      <c r="G1295" s="13">
        <f t="shared" si="360"/>
        <v>-4</v>
      </c>
      <c r="H1295" s="13">
        <f t="shared" si="361"/>
        <v>-4</v>
      </c>
      <c r="I1295" s="70">
        <f t="shared" si="362"/>
        <v>-2.0376974019358229E-3</v>
      </c>
      <c r="J1295" s="70">
        <f t="shared" si="363"/>
        <v>-2.0376974019358229E-3</v>
      </c>
      <c r="K1295" s="82" t="str">
        <f>_xlfn.IFNA(VLOOKUP(CLEAN(SUBSTITUTE(C1295," ","")),Ref_Factory!$A:$B,2,FALSE),CLEAN(SUBSTITUTE(C1295," ","")))</f>
        <v>GM2</v>
      </c>
      <c r="L1295" s="82" t="str">
        <f t="shared" si="364"/>
        <v>SEPTEMBER-1-GM2</v>
      </c>
      <c r="M1295" s="70">
        <f t="shared" si="365"/>
        <v>-1.587457080265442E-2</v>
      </c>
      <c r="N1295" s="70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25">
      <c r="A1296" t="s">
        <v>43</v>
      </c>
      <c r="B1296">
        <v>1</v>
      </c>
      <c r="C1296" t="s">
        <v>15</v>
      </c>
      <c r="D1296" s="68">
        <v>3929</v>
      </c>
      <c r="E1296" s="68">
        <v>3955</v>
      </c>
      <c r="F1296" s="68">
        <v>3937</v>
      </c>
      <c r="G1296" s="13">
        <f t="shared" si="360"/>
        <v>-18</v>
      </c>
      <c r="H1296" s="13">
        <f t="shared" si="361"/>
        <v>8</v>
      </c>
      <c r="I1296" s="70">
        <f t="shared" si="362"/>
        <v>2.0361415118350656E-3</v>
      </c>
      <c r="J1296" s="70">
        <f t="shared" si="363"/>
        <v>-4.5512010113779588E-3</v>
      </c>
      <c r="K1296" s="82" t="str">
        <f>_xlfn.IFNA(VLOOKUP(CLEAN(SUBSTITUTE(C1296," ","")),Ref_Factory!$A:$B,2,FALSE),CLEAN(SUBSTITUTE(C1296," ","")))</f>
        <v>CHAWAN</v>
      </c>
      <c r="L1296" s="82" t="str">
        <f t="shared" si="364"/>
        <v>SEPTEMBER-1-CHAWAN</v>
      </c>
      <c r="M1296" s="70">
        <f t="shared" si="365"/>
        <v>3.7832379224227886E-2</v>
      </c>
      <c r="N1296" s="70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25">
      <c r="A1297" t="s">
        <v>43</v>
      </c>
      <c r="B1297" s="66">
        <v>1</v>
      </c>
      <c r="C1297" t="s">
        <v>15</v>
      </c>
      <c r="D1297" s="68">
        <v>866</v>
      </c>
      <c r="E1297" s="68">
        <v>878</v>
      </c>
      <c r="F1297" s="68">
        <v>872</v>
      </c>
      <c r="G1297" s="13">
        <f t="shared" si="360"/>
        <v>-6</v>
      </c>
      <c r="H1297" s="13">
        <f t="shared" si="361"/>
        <v>6</v>
      </c>
      <c r="I1297" s="70">
        <f t="shared" si="362"/>
        <v>6.9284064665127154E-3</v>
      </c>
      <c r="J1297" s="70">
        <f t="shared" si="363"/>
        <v>-6.8337129840546629E-3</v>
      </c>
      <c r="K1297" s="82" t="str">
        <f>_xlfn.IFNA(VLOOKUP(CLEAN(SUBSTITUTE(C1297," ","")),Ref_Factory!$A:$B,2,FALSE),CLEAN(SUBSTITUTE(C1297," ","")))</f>
        <v>CHAWAN</v>
      </c>
      <c r="L1297" s="82" t="str">
        <f t="shared" si="364"/>
        <v>SEPTEMBER-1-CHAWAN</v>
      </c>
      <c r="M1297" s="70">
        <f t="shared" si="365"/>
        <v>3.7832379224227886E-2</v>
      </c>
      <c r="N1297" s="70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25">
      <c r="A1298" t="s">
        <v>43</v>
      </c>
      <c r="B1298">
        <v>1</v>
      </c>
      <c r="C1298" t="s">
        <v>15</v>
      </c>
      <c r="D1298" s="68">
        <v>3034</v>
      </c>
      <c r="E1298" s="68">
        <v>3180</v>
      </c>
      <c r="F1298" s="68">
        <v>3074</v>
      </c>
      <c r="G1298" s="13">
        <f t="shared" si="360"/>
        <v>-106</v>
      </c>
      <c r="H1298" s="13">
        <f t="shared" si="361"/>
        <v>40</v>
      </c>
      <c r="I1298" s="70">
        <f t="shared" si="362"/>
        <v>1.3183915622940079E-2</v>
      </c>
      <c r="J1298" s="70">
        <f t="shared" si="363"/>
        <v>-3.3333333333333326E-2</v>
      </c>
      <c r="K1298" s="82" t="str">
        <f>_xlfn.IFNA(VLOOKUP(CLEAN(SUBSTITUTE(C1298," ","")),Ref_Factory!$A:$B,2,FALSE),CLEAN(SUBSTITUTE(C1298," ","")))</f>
        <v>CHAWAN</v>
      </c>
      <c r="L1298" s="82" t="str">
        <f t="shared" si="364"/>
        <v>SEPTEMBER-1-CHAWAN</v>
      </c>
      <c r="M1298" s="70">
        <f t="shared" si="365"/>
        <v>3.7832379224227886E-2</v>
      </c>
      <c r="N1298" s="70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25">
      <c r="A1299" t="s">
        <v>43</v>
      </c>
      <c r="B1299">
        <v>1</v>
      </c>
      <c r="C1299" t="s">
        <v>15</v>
      </c>
      <c r="D1299" s="68">
        <v>3034</v>
      </c>
      <c r="E1299" s="68">
        <v>3236</v>
      </c>
      <c r="F1299" s="68">
        <v>3074</v>
      </c>
      <c r="G1299" s="13">
        <f t="shared" si="360"/>
        <v>-162</v>
      </c>
      <c r="H1299" s="13">
        <f t="shared" si="361"/>
        <v>40</v>
      </c>
      <c r="I1299" s="70">
        <f t="shared" si="362"/>
        <v>1.3183915622940079E-2</v>
      </c>
      <c r="J1299" s="70">
        <f t="shared" si="363"/>
        <v>-5.0061804697156931E-2</v>
      </c>
      <c r="K1299" s="82" t="str">
        <f>_xlfn.IFNA(VLOOKUP(CLEAN(SUBSTITUTE(C1299," ","")),Ref_Factory!$A:$B,2,FALSE),CLEAN(SUBSTITUTE(C1299," ","")))</f>
        <v>CHAWAN</v>
      </c>
      <c r="L1299" s="82" t="str">
        <f t="shared" si="364"/>
        <v>SEPTEMBER-1-CHAWAN</v>
      </c>
      <c r="M1299" s="70">
        <f t="shared" si="365"/>
        <v>3.7832379224227886E-2</v>
      </c>
      <c r="N1299" s="70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25">
      <c r="A1300" t="s">
        <v>43</v>
      </c>
      <c r="B1300">
        <v>1</v>
      </c>
      <c r="C1300" t="s">
        <v>15</v>
      </c>
      <c r="D1300" s="68">
        <v>400</v>
      </c>
      <c r="E1300" s="68">
        <v>416</v>
      </c>
      <c r="F1300" s="68">
        <v>401</v>
      </c>
      <c r="G1300" s="13">
        <f t="shared" si="360"/>
        <v>-15</v>
      </c>
      <c r="H1300" s="13">
        <f t="shared" si="361"/>
        <v>1</v>
      </c>
      <c r="I1300" s="70">
        <f t="shared" si="362"/>
        <v>2.4999999999999467E-3</v>
      </c>
      <c r="J1300" s="70">
        <f t="shared" si="363"/>
        <v>-3.6057692307692291E-2</v>
      </c>
      <c r="K1300" s="82" t="str">
        <f>_xlfn.IFNA(VLOOKUP(CLEAN(SUBSTITUTE(C1300," ","")),Ref_Factory!$A:$B,2,FALSE),CLEAN(SUBSTITUTE(C1300," ","")))</f>
        <v>CHAWAN</v>
      </c>
      <c r="L1300" s="82" t="str">
        <f t="shared" si="364"/>
        <v>SEPTEMBER-1-CHAWAN</v>
      </c>
      <c r="M1300" s="70">
        <f t="shared" si="365"/>
        <v>3.7832379224227886E-2</v>
      </c>
      <c r="N1300" s="70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25">
      <c r="A1301" t="s">
        <v>43</v>
      </c>
      <c r="B1301">
        <v>2</v>
      </c>
      <c r="C1301" t="s">
        <v>16</v>
      </c>
      <c r="D1301" s="66">
        <v>3450</v>
      </c>
      <c r="E1301" s="66">
        <v>3398</v>
      </c>
      <c r="F1301" s="66">
        <v>3183</v>
      </c>
      <c r="G1301" s="13">
        <f t="shared" si="360"/>
        <v>-215</v>
      </c>
      <c r="H1301" s="13">
        <f t="shared" si="361"/>
        <v>-267</v>
      </c>
      <c r="I1301" s="70">
        <f t="shared" si="362"/>
        <v>-7.739130434782604E-2</v>
      </c>
      <c r="J1301" s="70">
        <f t="shared" si="363"/>
        <v>-6.3272513243084139E-2</v>
      </c>
      <c r="K1301" s="82" t="str">
        <f>_xlfn.IFNA(VLOOKUP(CLEAN(SUBSTITUTE(C1301," ","")),Ref_Factory!$A:$B,2,FALSE),CLEAN(SUBSTITUTE(C1301," ","")))</f>
        <v>ANUGERAH</v>
      </c>
      <c r="L1301" s="82" t="str">
        <f t="shared" si="364"/>
        <v>SEPTEMBER-2-ANUGERAH</v>
      </c>
      <c r="M1301" s="70">
        <f t="shared" si="365"/>
        <v>-0.38456521739130434</v>
      </c>
      <c r="N1301" s="70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25">
      <c r="A1302" t="s">
        <v>43</v>
      </c>
      <c r="B1302">
        <v>2</v>
      </c>
      <c r="C1302" t="s">
        <v>16</v>
      </c>
      <c r="D1302" s="66">
        <v>1600</v>
      </c>
      <c r="E1302" s="66">
        <v>1616</v>
      </c>
      <c r="F1302" s="66">
        <v>1576</v>
      </c>
      <c r="G1302" s="13">
        <f t="shared" si="360"/>
        <v>-40</v>
      </c>
      <c r="H1302" s="13">
        <f t="shared" si="361"/>
        <v>-24</v>
      </c>
      <c r="I1302" s="70">
        <f t="shared" si="362"/>
        <v>-1.5000000000000013E-2</v>
      </c>
      <c r="J1302" s="70">
        <f t="shared" si="363"/>
        <v>-2.4752475247524774E-2</v>
      </c>
      <c r="K1302" s="82" t="str">
        <f>_xlfn.IFNA(VLOOKUP(CLEAN(SUBSTITUTE(C1302," ","")),Ref_Factory!$A:$B,2,FALSE),CLEAN(SUBSTITUTE(C1302," ","")))</f>
        <v>ANUGERAH</v>
      </c>
      <c r="L1302" s="82" t="str">
        <f t="shared" si="364"/>
        <v>SEPTEMBER-2-ANUGERAH</v>
      </c>
      <c r="M1302" s="70">
        <f t="shared" si="365"/>
        <v>-0.38456521739130434</v>
      </c>
      <c r="N1302" s="70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25">
      <c r="A1303" t="s">
        <v>43</v>
      </c>
      <c r="B1303">
        <v>2</v>
      </c>
      <c r="C1303" t="s">
        <v>16</v>
      </c>
      <c r="D1303" s="66">
        <v>3450</v>
      </c>
      <c r="E1303" s="66">
        <v>3493</v>
      </c>
      <c r="F1303" s="66">
        <v>2442</v>
      </c>
      <c r="G1303" s="13">
        <f t="shared" si="360"/>
        <v>-1051</v>
      </c>
      <c r="H1303" s="13">
        <f t="shared" si="361"/>
        <v>-1008</v>
      </c>
      <c r="I1303" s="70">
        <f t="shared" si="362"/>
        <v>-0.29217391304347828</v>
      </c>
      <c r="J1303" s="70">
        <f t="shared" si="363"/>
        <v>-0.3008874892642428</v>
      </c>
      <c r="K1303" s="82" t="str">
        <f>_xlfn.IFNA(VLOOKUP(CLEAN(SUBSTITUTE(C1303," ","")),Ref_Factory!$A:$B,2,FALSE),CLEAN(SUBSTITUTE(C1303," ","")))</f>
        <v>ANUGERAH</v>
      </c>
      <c r="L1303" s="82" t="str">
        <f t="shared" si="364"/>
        <v>SEPTEMBER-2-ANUGERAH</v>
      </c>
      <c r="M1303" s="70">
        <f t="shared" si="365"/>
        <v>-0.38456521739130434</v>
      </c>
      <c r="N1303" s="70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25">
      <c r="A1304" t="s">
        <v>43</v>
      </c>
      <c r="B1304">
        <v>2</v>
      </c>
      <c r="C1304" t="s">
        <v>17</v>
      </c>
      <c r="D1304" s="66">
        <v>2185</v>
      </c>
      <c r="E1304" s="68">
        <v>2185</v>
      </c>
      <c r="F1304" s="68">
        <v>2177</v>
      </c>
      <c r="G1304" s="13">
        <f t="shared" si="360"/>
        <v>-8</v>
      </c>
      <c r="H1304" s="13">
        <f t="shared" si="361"/>
        <v>-8</v>
      </c>
      <c r="I1304" s="70">
        <f t="shared" si="362"/>
        <v>-3.6613272311213363E-3</v>
      </c>
      <c r="J1304" s="70">
        <f t="shared" si="363"/>
        <v>-3.6613272311213363E-3</v>
      </c>
      <c r="K1304" s="82" t="str">
        <f>_xlfn.IFNA(VLOOKUP(CLEAN(SUBSTITUTE(C1304," ","")),Ref_Factory!$A:$B,2,FALSE),CLEAN(SUBSTITUTE(C1304," ","")))</f>
        <v>CBA</v>
      </c>
      <c r="L1304" s="82" t="str">
        <f t="shared" si="364"/>
        <v>SEPTEMBER-2-CBA</v>
      </c>
      <c r="M1304" s="70">
        <f t="shared" si="365"/>
        <v>-9.902747416636215E-2</v>
      </c>
      <c r="N1304" s="70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25">
      <c r="A1305" t="s">
        <v>43</v>
      </c>
      <c r="B1305">
        <v>2</v>
      </c>
      <c r="C1305" t="s">
        <v>17</v>
      </c>
      <c r="D1305" s="66">
        <v>1301</v>
      </c>
      <c r="E1305" s="68">
        <v>1285</v>
      </c>
      <c r="F1305" s="68">
        <v>1298</v>
      </c>
      <c r="G1305" s="13">
        <f t="shared" si="360"/>
        <v>13</v>
      </c>
      <c r="H1305" s="13">
        <f t="shared" si="361"/>
        <v>-3</v>
      </c>
      <c r="I1305" s="70">
        <f t="shared" si="362"/>
        <v>-2.3059185242121361E-3</v>
      </c>
      <c r="J1305" s="70">
        <f t="shared" si="363"/>
        <v>1.0116731517509692E-2</v>
      </c>
      <c r="K1305" s="82" t="str">
        <f>_xlfn.IFNA(VLOOKUP(CLEAN(SUBSTITUTE(C1305," ","")),Ref_Factory!$A:$B,2,FALSE),CLEAN(SUBSTITUTE(C1305," ","")))</f>
        <v>CBA</v>
      </c>
      <c r="L1305" s="82" t="str">
        <f t="shared" si="364"/>
        <v>SEPTEMBER-2-CBA</v>
      </c>
      <c r="M1305" s="70">
        <f t="shared" si="365"/>
        <v>-9.902747416636215E-2</v>
      </c>
      <c r="N1305" s="70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25">
      <c r="A1306" t="s">
        <v>43</v>
      </c>
      <c r="B1306">
        <v>2</v>
      </c>
      <c r="C1306" t="s">
        <v>17</v>
      </c>
      <c r="D1306" s="66">
        <v>1001</v>
      </c>
      <c r="E1306" s="68">
        <v>992</v>
      </c>
      <c r="F1306" s="68">
        <v>985</v>
      </c>
      <c r="G1306" s="13">
        <f t="shared" si="360"/>
        <v>-7</v>
      </c>
      <c r="H1306" s="13">
        <f t="shared" si="361"/>
        <v>-16</v>
      </c>
      <c r="I1306" s="70">
        <f t="shared" si="362"/>
        <v>-1.5984015984015998E-2</v>
      </c>
      <c r="J1306" s="70">
        <f t="shared" si="363"/>
        <v>-7.0564516129032473E-3</v>
      </c>
      <c r="K1306" s="82" t="str">
        <f>_xlfn.IFNA(VLOOKUP(CLEAN(SUBSTITUTE(C1306," ","")),Ref_Factory!$A:$B,2,FALSE),CLEAN(SUBSTITUTE(C1306," ","")))</f>
        <v>CBA</v>
      </c>
      <c r="L1306" s="82" t="str">
        <f t="shared" si="364"/>
        <v>SEPTEMBER-2-CBA</v>
      </c>
      <c r="M1306" s="70">
        <f t="shared" si="365"/>
        <v>-9.902747416636215E-2</v>
      </c>
      <c r="N1306" s="70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25">
      <c r="A1307" t="s">
        <v>43</v>
      </c>
      <c r="B1307">
        <v>2</v>
      </c>
      <c r="C1307" t="s">
        <v>17</v>
      </c>
      <c r="D1307" s="66">
        <v>2050</v>
      </c>
      <c r="E1307" s="68">
        <v>2050</v>
      </c>
      <c r="F1307" s="68">
        <v>2039</v>
      </c>
      <c r="G1307" s="13">
        <f t="shared" si="360"/>
        <v>-11</v>
      </c>
      <c r="H1307" s="13">
        <f t="shared" si="361"/>
        <v>-11</v>
      </c>
      <c r="I1307" s="70">
        <f t="shared" si="362"/>
        <v>-5.3658536585365901E-3</v>
      </c>
      <c r="J1307" s="70">
        <f t="shared" si="363"/>
        <v>-5.3658536585365901E-3</v>
      </c>
      <c r="K1307" s="82" t="str">
        <f>_xlfn.IFNA(VLOOKUP(CLEAN(SUBSTITUTE(C1307," ","")),Ref_Factory!$A:$B,2,FALSE),CLEAN(SUBSTITUTE(C1307," ","")))</f>
        <v>CBA</v>
      </c>
      <c r="L1307" s="82" t="str">
        <f t="shared" si="364"/>
        <v>SEPTEMBER-2-CBA</v>
      </c>
      <c r="M1307" s="70">
        <f t="shared" si="365"/>
        <v>-9.902747416636215E-2</v>
      </c>
      <c r="N1307" s="70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25">
      <c r="A1308" t="s">
        <v>43</v>
      </c>
      <c r="B1308">
        <v>2</v>
      </c>
      <c r="C1308" t="s">
        <v>17</v>
      </c>
      <c r="D1308" s="66">
        <v>2350</v>
      </c>
      <c r="E1308" s="68">
        <v>2280</v>
      </c>
      <c r="F1308" s="68">
        <v>2270</v>
      </c>
      <c r="G1308" s="13">
        <f t="shared" si="360"/>
        <v>-10</v>
      </c>
      <c r="H1308" s="13">
        <f t="shared" si="361"/>
        <v>-80</v>
      </c>
      <c r="I1308" s="70">
        <f t="shared" si="362"/>
        <v>-3.4042553191489411E-2</v>
      </c>
      <c r="J1308" s="70">
        <f t="shared" si="363"/>
        <v>-4.3859649122807154E-3</v>
      </c>
      <c r="K1308" s="82" t="str">
        <f>_xlfn.IFNA(VLOOKUP(CLEAN(SUBSTITUTE(C1308," ","")),Ref_Factory!$A:$B,2,FALSE),CLEAN(SUBSTITUTE(C1308," ","")))</f>
        <v>CBA</v>
      </c>
      <c r="L1308" s="82" t="str">
        <f t="shared" si="364"/>
        <v>SEPTEMBER-2-CBA</v>
      </c>
      <c r="M1308" s="70">
        <f t="shared" si="365"/>
        <v>-9.902747416636215E-2</v>
      </c>
      <c r="N1308" s="70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25">
      <c r="A1309" t="s">
        <v>43</v>
      </c>
      <c r="B1309">
        <v>2</v>
      </c>
      <c r="C1309" t="s">
        <v>17</v>
      </c>
      <c r="D1309" s="66">
        <v>2150</v>
      </c>
      <c r="E1309" s="68">
        <v>2130</v>
      </c>
      <c r="F1309" s="68">
        <v>2122</v>
      </c>
      <c r="G1309" s="13">
        <f t="shared" si="360"/>
        <v>-8</v>
      </c>
      <c r="H1309" s="13">
        <f t="shared" si="361"/>
        <v>-28</v>
      </c>
      <c r="I1309" s="70">
        <f t="shared" si="362"/>
        <v>-1.3023255813953472E-2</v>
      </c>
      <c r="J1309" s="70">
        <f t="shared" si="363"/>
        <v>-3.755868544600971E-3</v>
      </c>
      <c r="K1309" s="82" t="str">
        <f>_xlfn.IFNA(VLOOKUP(CLEAN(SUBSTITUTE(C1309," ","")),Ref_Factory!$A:$B,2,FALSE),CLEAN(SUBSTITUTE(C1309," ","")))</f>
        <v>CBA</v>
      </c>
      <c r="L1309" s="82" t="str">
        <f t="shared" si="364"/>
        <v>SEPTEMBER-2-CBA</v>
      </c>
      <c r="M1309" s="70">
        <f t="shared" si="365"/>
        <v>-9.902747416636215E-2</v>
      </c>
      <c r="N1309" s="70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25">
      <c r="A1310" t="s">
        <v>43</v>
      </c>
      <c r="B1310">
        <v>2</v>
      </c>
      <c r="C1310" t="s">
        <v>17</v>
      </c>
      <c r="D1310" s="66">
        <v>1055</v>
      </c>
      <c r="E1310" s="68">
        <v>1055</v>
      </c>
      <c r="F1310" s="68">
        <v>1029</v>
      </c>
      <c r="G1310" s="13">
        <f t="shared" si="360"/>
        <v>-26</v>
      </c>
      <c r="H1310" s="13">
        <f t="shared" si="361"/>
        <v>-26</v>
      </c>
      <c r="I1310" s="70">
        <f t="shared" si="362"/>
        <v>-2.4644549763033208E-2</v>
      </c>
      <c r="J1310" s="70">
        <f t="shared" si="363"/>
        <v>-2.4644549763033208E-2</v>
      </c>
      <c r="K1310" s="82" t="str">
        <f>_xlfn.IFNA(VLOOKUP(CLEAN(SUBSTITUTE(C1310," ","")),Ref_Factory!$A:$B,2,FALSE),CLEAN(SUBSTITUTE(C1310," ","")))</f>
        <v>CBA</v>
      </c>
      <c r="L1310" s="82" t="str">
        <f t="shared" si="364"/>
        <v>SEPTEMBER-2-CBA</v>
      </c>
      <c r="M1310" s="70">
        <f t="shared" si="365"/>
        <v>-9.902747416636215E-2</v>
      </c>
      <c r="N1310" s="70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25">
      <c r="A1311" t="s">
        <v>43</v>
      </c>
      <c r="B1311">
        <v>2</v>
      </c>
      <c r="C1311" t="s">
        <v>27</v>
      </c>
      <c r="D1311" s="66">
        <v>1001</v>
      </c>
      <c r="E1311" s="68">
        <v>1001</v>
      </c>
      <c r="F1311" s="68">
        <v>997</v>
      </c>
      <c r="G1311" s="13">
        <f t="shared" si="360"/>
        <v>-4</v>
      </c>
      <c r="H1311" s="13">
        <f t="shared" si="361"/>
        <v>-4</v>
      </c>
      <c r="I1311" s="70">
        <f t="shared" si="362"/>
        <v>-3.9960039960039717E-3</v>
      </c>
      <c r="J1311" s="70">
        <f t="shared" si="363"/>
        <v>-3.9960039960039717E-3</v>
      </c>
      <c r="K1311" s="82" t="str">
        <f>_xlfn.IFNA(VLOOKUP(CLEAN(SUBSTITUTE(C1311," ","")),Ref_Factory!$A:$B,2,FALSE),CLEAN(SUBSTITUTE(C1311," ","")))</f>
        <v>CNJ2</v>
      </c>
      <c r="L1311" s="82" t="str">
        <f t="shared" si="364"/>
        <v>SEPTEMBER-2-CNJ2</v>
      </c>
      <c r="M1311" s="70">
        <f t="shared" si="365"/>
        <v>-7.4259792964828875E-2</v>
      </c>
      <c r="N1311" s="70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25">
      <c r="A1312" t="s">
        <v>43</v>
      </c>
      <c r="B1312">
        <v>2</v>
      </c>
      <c r="C1312" t="s">
        <v>27</v>
      </c>
      <c r="D1312" s="66">
        <v>1200</v>
      </c>
      <c r="E1312" s="68">
        <v>1125</v>
      </c>
      <c r="F1312" s="68">
        <v>1120</v>
      </c>
      <c r="G1312" s="13">
        <f t="shared" si="360"/>
        <v>-5</v>
      </c>
      <c r="H1312" s="13">
        <f t="shared" si="361"/>
        <v>-80</v>
      </c>
      <c r="I1312" s="70">
        <f t="shared" si="362"/>
        <v>-6.6666666666666652E-2</v>
      </c>
      <c r="J1312" s="70">
        <f t="shared" si="363"/>
        <v>-4.4444444444444731E-3</v>
      </c>
      <c r="K1312" s="82" t="str">
        <f>_xlfn.IFNA(VLOOKUP(CLEAN(SUBSTITUTE(C1312," ","")),Ref_Factory!$A:$B,2,FALSE),CLEAN(SUBSTITUTE(C1312," ","")))</f>
        <v>CNJ2</v>
      </c>
      <c r="L1312" s="82" t="str">
        <f t="shared" si="364"/>
        <v>SEPTEMBER-2-CNJ2</v>
      </c>
      <c r="M1312" s="70">
        <f t="shared" si="365"/>
        <v>-7.4259792964828875E-2</v>
      </c>
      <c r="N1312" s="70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25">
      <c r="A1313" t="s">
        <v>43</v>
      </c>
      <c r="B1313">
        <v>2</v>
      </c>
      <c r="C1313" t="s">
        <v>27</v>
      </c>
      <c r="D1313" s="66">
        <v>2780</v>
      </c>
      <c r="E1313" s="68">
        <v>2775</v>
      </c>
      <c r="F1313" s="68">
        <v>2770</v>
      </c>
      <c r="G1313" s="13">
        <f t="shared" si="360"/>
        <v>-5</v>
      </c>
      <c r="H1313" s="13">
        <f t="shared" si="361"/>
        <v>-10</v>
      </c>
      <c r="I1313" s="70">
        <f t="shared" si="362"/>
        <v>-3.597122302158251E-3</v>
      </c>
      <c r="J1313" s="70">
        <f t="shared" si="363"/>
        <v>-1.8018018018017834E-3</v>
      </c>
      <c r="K1313" s="82" t="str">
        <f>_xlfn.IFNA(VLOOKUP(CLEAN(SUBSTITUTE(C1313," ","")),Ref_Factory!$A:$B,2,FALSE),CLEAN(SUBSTITUTE(C1313," ","")))</f>
        <v>CNJ2</v>
      </c>
      <c r="L1313" s="82" t="str">
        <f t="shared" si="364"/>
        <v>SEPTEMBER-2-CNJ2</v>
      </c>
      <c r="M1313" s="70">
        <f t="shared" si="365"/>
        <v>-7.4259792964828875E-2</v>
      </c>
      <c r="N1313" s="70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2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8">
        <v>270</v>
      </c>
      <c r="G1314" s="13">
        <f t="shared" si="360"/>
        <v>0</v>
      </c>
      <c r="H1314" s="13">
        <f t="shared" si="361"/>
        <v>0</v>
      </c>
      <c r="I1314" s="70">
        <f t="shared" si="362"/>
        <v>0</v>
      </c>
      <c r="J1314" s="70">
        <f t="shared" si="363"/>
        <v>0</v>
      </c>
      <c r="K1314" s="82" t="str">
        <f>_xlfn.IFNA(VLOOKUP(CLEAN(SUBSTITUTE(C1314," ","")),Ref_Factory!$A:$B,2,FALSE),CLEAN(SUBSTITUTE(C1314," ","")))</f>
        <v>GM1</v>
      </c>
      <c r="L1314" s="82" t="str">
        <f t="shared" si="364"/>
        <v>SEPTEMBER-2-GM1</v>
      </c>
      <c r="M1314" s="70">
        <f t="shared" si="365"/>
        <v>0.35477726989864</v>
      </c>
      <c r="N1314" s="70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2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8">
        <v>60</v>
      </c>
      <c r="G1315" s="13">
        <f t="shared" si="360"/>
        <v>0</v>
      </c>
      <c r="H1315" s="13">
        <f t="shared" si="361"/>
        <v>0</v>
      </c>
      <c r="I1315" s="70">
        <f t="shared" si="362"/>
        <v>0</v>
      </c>
      <c r="J1315" s="70">
        <f t="shared" si="363"/>
        <v>0</v>
      </c>
      <c r="K1315" s="82" t="str">
        <f>_xlfn.IFNA(VLOOKUP(CLEAN(SUBSTITUTE(C1315," ","")),Ref_Factory!$A:$B,2,FALSE),CLEAN(SUBSTITUTE(C1315," ","")))</f>
        <v>GM1</v>
      </c>
      <c r="L1315" s="82" t="str">
        <f t="shared" si="364"/>
        <v>SEPTEMBER-2-GM1</v>
      </c>
      <c r="M1315" s="70">
        <f t="shared" si="365"/>
        <v>0.35477726989864</v>
      </c>
      <c r="N1315" s="70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2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8">
        <v>410</v>
      </c>
      <c r="G1316" s="13">
        <f t="shared" si="360"/>
        <v>0</v>
      </c>
      <c r="H1316" s="13">
        <f t="shared" si="361"/>
        <v>0</v>
      </c>
      <c r="I1316" s="70">
        <f t="shared" si="362"/>
        <v>0</v>
      </c>
      <c r="J1316" s="70">
        <f t="shared" si="363"/>
        <v>0</v>
      </c>
      <c r="K1316" s="82" t="str">
        <f>_xlfn.IFNA(VLOOKUP(CLEAN(SUBSTITUTE(C1316," ","")),Ref_Factory!$A:$B,2,FALSE),CLEAN(SUBSTITUTE(C1316," ","")))</f>
        <v>GM1</v>
      </c>
      <c r="L1316" s="82" t="str">
        <f t="shared" si="364"/>
        <v>SEPTEMBER-2-GM1</v>
      </c>
      <c r="M1316" s="70">
        <f t="shared" si="365"/>
        <v>0.35477726989864</v>
      </c>
      <c r="N1316" s="70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2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6">
        <v>120</v>
      </c>
      <c r="G1317" s="13">
        <f t="shared" si="360"/>
        <v>0</v>
      </c>
      <c r="H1317" s="13">
        <f t="shared" si="361"/>
        <v>0</v>
      </c>
      <c r="I1317" s="70">
        <f t="shared" si="362"/>
        <v>0</v>
      </c>
      <c r="J1317" s="70">
        <f t="shared" si="363"/>
        <v>0</v>
      </c>
      <c r="K1317" s="82" t="str">
        <f>_xlfn.IFNA(VLOOKUP(CLEAN(SUBSTITUTE(C1317," ","")),Ref_Factory!$A:$B,2,FALSE),CLEAN(SUBSTITUTE(C1317," ","")))</f>
        <v>GM1</v>
      </c>
      <c r="L1317" s="82" t="str">
        <f t="shared" si="364"/>
        <v>SEPTEMBER-2-GM1</v>
      </c>
      <c r="M1317" s="70">
        <f t="shared" si="365"/>
        <v>0.35477726989864</v>
      </c>
      <c r="N1317" s="70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25">
      <c r="A1318" t="s">
        <v>43</v>
      </c>
      <c r="B1318">
        <v>2</v>
      </c>
      <c r="C1318" t="s">
        <v>13</v>
      </c>
      <c r="D1318" s="66">
        <v>50976</v>
      </c>
      <c r="E1318" s="67">
        <v>51485</v>
      </c>
      <c r="F1318" s="67">
        <v>51412</v>
      </c>
      <c r="G1318" s="13">
        <f t="shared" si="360"/>
        <v>-73</v>
      </c>
      <c r="H1318" s="13">
        <f t="shared" si="361"/>
        <v>436</v>
      </c>
      <c r="I1318" s="70">
        <f t="shared" si="362"/>
        <v>8.5530445699937285E-3</v>
      </c>
      <c r="J1318" s="70">
        <f t="shared" si="363"/>
        <v>-1.4178887054482336E-3</v>
      </c>
      <c r="K1318" s="82" t="str">
        <f>_xlfn.IFNA(VLOOKUP(CLEAN(SUBSTITUTE(C1318," ","")),Ref_Factory!$A:$B,2,FALSE),CLEAN(SUBSTITUTE(C1318," ","")))</f>
        <v>KALIBENDA</v>
      </c>
      <c r="L1318" s="82" t="str">
        <f t="shared" si="364"/>
        <v>SEPTEMBER-2-KALIBENDA</v>
      </c>
      <c r="M1318" s="70">
        <f t="shared" si="365"/>
        <v>1.6778503038170633E-2</v>
      </c>
      <c r="N1318" s="70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25">
      <c r="A1319" t="s">
        <v>43</v>
      </c>
      <c r="B1319">
        <v>2</v>
      </c>
      <c r="C1319" t="s">
        <v>72</v>
      </c>
      <c r="D1319" s="66">
        <v>19054</v>
      </c>
      <c r="E1319" s="66">
        <v>18818</v>
      </c>
      <c r="F1319" s="66">
        <v>19056</v>
      </c>
      <c r="G1319" s="13">
        <f t="shared" si="360"/>
        <v>238</v>
      </c>
      <c r="H1319" s="13">
        <f t="shared" si="361"/>
        <v>2</v>
      </c>
      <c r="I1319" s="70">
        <f t="shared" si="362"/>
        <v>1.0496483677968627E-4</v>
      </c>
      <c r="J1319" s="70">
        <f t="shared" si="363"/>
        <v>1.2647465192900498E-2</v>
      </c>
      <c r="K1319" s="82" t="str">
        <f>_xlfn.IFNA(VLOOKUP(CLEAN(SUBSTITUTE(C1319," ","")),Ref_Factory!$A:$B,2,FALSE),CLEAN(SUBSTITUTE(C1319," ","")))</f>
        <v>GM1</v>
      </c>
      <c r="L1319" s="82" t="str">
        <f t="shared" si="364"/>
        <v>SEPTEMBER-2-GM1</v>
      </c>
      <c r="M1319" s="70">
        <f t="shared" si="365"/>
        <v>0.35477726989864</v>
      </c>
      <c r="N1319" s="70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25">
      <c r="A1320" t="s">
        <v>43</v>
      </c>
      <c r="B1320">
        <v>2</v>
      </c>
      <c r="C1320" t="s">
        <v>72</v>
      </c>
      <c r="D1320" s="66">
        <v>17585</v>
      </c>
      <c r="E1320" s="66">
        <v>17373</v>
      </c>
      <c r="F1320" s="66">
        <v>17544</v>
      </c>
      <c r="G1320" s="13">
        <f t="shared" si="360"/>
        <v>171</v>
      </c>
      <c r="H1320" s="13">
        <f t="shared" si="361"/>
        <v>-41</v>
      </c>
      <c r="I1320" s="70">
        <f t="shared" si="362"/>
        <v>-2.3315325561558131E-3</v>
      </c>
      <c r="J1320" s="70">
        <f t="shared" si="363"/>
        <v>9.8428596097392962E-3</v>
      </c>
      <c r="K1320" s="82" t="str">
        <f>_xlfn.IFNA(VLOOKUP(CLEAN(SUBSTITUTE(C1320," ","")),Ref_Factory!$A:$B,2,FALSE),CLEAN(SUBSTITUTE(C1320," ","")))</f>
        <v>GM1</v>
      </c>
      <c r="L1320" s="82" t="str">
        <f t="shared" si="364"/>
        <v>SEPTEMBER-2-GM1</v>
      </c>
      <c r="M1320" s="70">
        <f t="shared" si="365"/>
        <v>0.35477726989864</v>
      </c>
      <c r="N1320" s="70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25">
      <c r="A1321" t="s">
        <v>43</v>
      </c>
      <c r="B1321">
        <v>2</v>
      </c>
      <c r="C1321" t="s">
        <v>72</v>
      </c>
      <c r="D1321" s="66">
        <v>6372</v>
      </c>
      <c r="E1321" s="68">
        <v>6709</v>
      </c>
      <c r="F1321" s="68">
        <v>6693</v>
      </c>
      <c r="G1321" s="13">
        <f t="shared" si="360"/>
        <v>-16</v>
      </c>
      <c r="H1321" s="13">
        <f t="shared" si="361"/>
        <v>321</v>
      </c>
      <c r="I1321" s="70">
        <f t="shared" si="362"/>
        <v>5.0376647834274868E-2</v>
      </c>
      <c r="J1321" s="70">
        <f t="shared" si="363"/>
        <v>-2.384856163362592E-3</v>
      </c>
      <c r="K1321" s="82" t="str">
        <f>_xlfn.IFNA(VLOOKUP(CLEAN(SUBSTITUTE(C1321," ","")),Ref_Factory!$A:$B,2,FALSE),CLEAN(SUBSTITUTE(C1321," ","")))</f>
        <v>GM1</v>
      </c>
      <c r="L1321" s="82" t="str">
        <f t="shared" si="364"/>
        <v>SEPTEMBER-2-GM1</v>
      </c>
      <c r="M1321" s="70">
        <f t="shared" si="365"/>
        <v>0.35477726989864</v>
      </c>
      <c r="N1321" s="70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25">
      <c r="A1322" t="s">
        <v>43</v>
      </c>
      <c r="B1322">
        <v>2</v>
      </c>
      <c r="C1322" t="s">
        <v>72</v>
      </c>
      <c r="D1322" s="66">
        <v>1080</v>
      </c>
      <c r="E1322" s="68">
        <v>1136</v>
      </c>
      <c r="F1322" s="68">
        <v>1134</v>
      </c>
      <c r="G1322" s="13">
        <f t="shared" si="360"/>
        <v>-2</v>
      </c>
      <c r="H1322" s="13">
        <f t="shared" si="361"/>
        <v>54</v>
      </c>
      <c r="I1322" s="70">
        <f t="shared" si="362"/>
        <v>5.0000000000000044E-2</v>
      </c>
      <c r="J1322" s="70">
        <f t="shared" si="363"/>
        <v>-1.7605633802817433E-3</v>
      </c>
      <c r="K1322" s="82" t="str">
        <f>_xlfn.IFNA(VLOOKUP(CLEAN(SUBSTITUTE(C1322," ","")),Ref_Factory!$A:$B,2,FALSE),CLEAN(SUBSTITUTE(C1322," ","")))</f>
        <v>GM1</v>
      </c>
      <c r="L1322" s="82" t="str">
        <f t="shared" si="364"/>
        <v>SEPTEMBER-2-GM1</v>
      </c>
      <c r="M1322" s="70">
        <f t="shared" si="365"/>
        <v>0.35477726989864</v>
      </c>
      <c r="N1322" s="70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25">
      <c r="A1323" t="s">
        <v>43</v>
      </c>
      <c r="B1323">
        <v>2</v>
      </c>
      <c r="C1323" t="s">
        <v>72</v>
      </c>
      <c r="D1323" s="66">
        <v>1224</v>
      </c>
      <c r="E1323" s="68">
        <v>1299</v>
      </c>
      <c r="F1323" s="68">
        <v>1282</v>
      </c>
      <c r="G1323" s="13">
        <f t="shared" si="360"/>
        <v>-17</v>
      </c>
      <c r="H1323" s="13">
        <f t="shared" si="361"/>
        <v>58</v>
      </c>
      <c r="I1323" s="70">
        <f t="shared" si="362"/>
        <v>4.7385620915032733E-2</v>
      </c>
      <c r="J1323" s="70">
        <f t="shared" si="363"/>
        <v>-1.3086989992301734E-2</v>
      </c>
      <c r="K1323" s="82" t="str">
        <f>_xlfn.IFNA(VLOOKUP(CLEAN(SUBSTITUTE(C1323," ","")),Ref_Factory!$A:$B,2,FALSE),CLEAN(SUBSTITUTE(C1323," ","")))</f>
        <v>GM1</v>
      </c>
      <c r="L1323" s="82" t="str">
        <f t="shared" si="364"/>
        <v>SEPTEMBER-2-GM1</v>
      </c>
      <c r="M1323" s="70">
        <f t="shared" si="365"/>
        <v>0.35477726989864</v>
      </c>
      <c r="N1323" s="70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25">
      <c r="A1324" t="s">
        <v>43</v>
      </c>
      <c r="B1324">
        <v>2</v>
      </c>
      <c r="C1324" t="s">
        <v>72</v>
      </c>
      <c r="D1324" s="66">
        <v>10044</v>
      </c>
      <c r="E1324" s="68">
        <v>10126</v>
      </c>
      <c r="F1324" s="68">
        <v>10137</v>
      </c>
      <c r="G1324" s="13">
        <f t="shared" si="360"/>
        <v>11</v>
      </c>
      <c r="H1324" s="13">
        <f t="shared" si="361"/>
        <v>93</v>
      </c>
      <c r="I1324" s="70">
        <f t="shared" si="362"/>
        <v>9.2592592592593004E-3</v>
      </c>
      <c r="J1324" s="70">
        <f t="shared" si="363"/>
        <v>1.0863124629665322E-3</v>
      </c>
      <c r="K1324" s="82" t="str">
        <f>_xlfn.IFNA(VLOOKUP(CLEAN(SUBSTITUTE(C1324," ","")),Ref_Factory!$A:$B,2,FALSE),CLEAN(SUBSTITUTE(C1324," ","")))</f>
        <v>GM1</v>
      </c>
      <c r="L1324" s="82" t="str">
        <f t="shared" si="364"/>
        <v>SEPTEMBER-2-GM1</v>
      </c>
      <c r="M1324" s="70">
        <f t="shared" si="365"/>
        <v>0.35477726989864</v>
      </c>
      <c r="N1324" s="70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25">
      <c r="A1325" t="s">
        <v>43</v>
      </c>
      <c r="B1325">
        <v>2</v>
      </c>
      <c r="C1325" t="s">
        <v>72</v>
      </c>
      <c r="D1325" s="66">
        <v>6048</v>
      </c>
      <c r="E1325" s="68">
        <v>6120</v>
      </c>
      <c r="F1325" s="68">
        <v>6105</v>
      </c>
      <c r="G1325" s="13">
        <f t="shared" si="360"/>
        <v>-15</v>
      </c>
      <c r="H1325" s="13">
        <f t="shared" si="361"/>
        <v>57</v>
      </c>
      <c r="I1325" s="70">
        <f t="shared" si="362"/>
        <v>9.4246031746032521E-3</v>
      </c>
      <c r="J1325" s="70">
        <f t="shared" si="363"/>
        <v>-2.450980392156854E-3</v>
      </c>
      <c r="K1325" s="82" t="str">
        <f>_xlfn.IFNA(VLOOKUP(CLEAN(SUBSTITUTE(C1325," ","")),Ref_Factory!$A:$B,2,FALSE),CLEAN(SUBSTITUTE(C1325," ","")))</f>
        <v>GM1</v>
      </c>
      <c r="L1325" s="82" t="str">
        <f t="shared" si="364"/>
        <v>SEPTEMBER-2-GM1</v>
      </c>
      <c r="M1325" s="70">
        <f t="shared" si="365"/>
        <v>0.35477726989864</v>
      </c>
      <c r="N1325" s="70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25">
      <c r="A1326" t="s">
        <v>43</v>
      </c>
      <c r="B1326">
        <v>2</v>
      </c>
      <c r="C1326" t="s">
        <v>72</v>
      </c>
      <c r="D1326" s="66">
        <v>4752</v>
      </c>
      <c r="E1326" s="68">
        <v>4814</v>
      </c>
      <c r="F1326" s="68">
        <v>4803</v>
      </c>
      <c r="G1326" s="13">
        <f t="shared" si="360"/>
        <v>-11</v>
      </c>
      <c r="H1326" s="13">
        <f t="shared" si="361"/>
        <v>51</v>
      </c>
      <c r="I1326" s="70">
        <f t="shared" si="362"/>
        <v>1.0732323232323315E-2</v>
      </c>
      <c r="J1326" s="70">
        <f t="shared" si="363"/>
        <v>-2.2850020772746671E-3</v>
      </c>
      <c r="K1326" s="82" t="str">
        <f>_xlfn.IFNA(VLOOKUP(CLEAN(SUBSTITUTE(C1326," ","")),Ref_Factory!$A:$B,2,FALSE),CLEAN(SUBSTITUTE(C1326," ","")))</f>
        <v>GM1</v>
      </c>
      <c r="L1326" s="82" t="str">
        <f t="shared" si="364"/>
        <v>SEPTEMBER-2-GM1</v>
      </c>
      <c r="M1326" s="70">
        <f t="shared" si="365"/>
        <v>0.35477726989864</v>
      </c>
      <c r="N1326" s="70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25">
      <c r="A1327" t="s">
        <v>43</v>
      </c>
      <c r="B1327">
        <v>2</v>
      </c>
      <c r="C1327" t="s">
        <v>72</v>
      </c>
      <c r="D1327" s="66">
        <v>8640</v>
      </c>
      <c r="E1327" s="68">
        <v>8733</v>
      </c>
      <c r="F1327" s="68">
        <v>8736</v>
      </c>
      <c r="G1327" s="13">
        <f t="shared" si="360"/>
        <v>3</v>
      </c>
      <c r="H1327" s="13">
        <f t="shared" si="361"/>
        <v>96</v>
      </c>
      <c r="I1327" s="70">
        <f t="shared" si="362"/>
        <v>1.1111111111111072E-2</v>
      </c>
      <c r="J1327" s="70">
        <f t="shared" si="363"/>
        <v>3.435245620062588E-4</v>
      </c>
      <c r="K1327" s="82" t="str">
        <f>_xlfn.IFNA(VLOOKUP(CLEAN(SUBSTITUTE(C1327," ","")),Ref_Factory!$A:$B,2,FALSE),CLEAN(SUBSTITUTE(C1327," ","")))</f>
        <v>GM1</v>
      </c>
      <c r="L1327" s="82" t="str">
        <f t="shared" si="364"/>
        <v>SEPTEMBER-2-GM1</v>
      </c>
      <c r="M1327" s="70">
        <f t="shared" si="365"/>
        <v>0.35477726989864</v>
      </c>
      <c r="N1327" s="70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25">
      <c r="A1328" t="s">
        <v>43</v>
      </c>
      <c r="B1328">
        <v>2</v>
      </c>
      <c r="C1328" t="s">
        <v>72</v>
      </c>
      <c r="D1328" s="66">
        <v>1836</v>
      </c>
      <c r="E1328" s="68">
        <v>1855</v>
      </c>
      <c r="F1328" s="68">
        <v>1851</v>
      </c>
      <c r="G1328" s="13">
        <f t="shared" si="360"/>
        <v>-4</v>
      </c>
      <c r="H1328" s="13">
        <f t="shared" si="361"/>
        <v>15</v>
      </c>
      <c r="I1328" s="70">
        <f t="shared" si="362"/>
        <v>8.1699346405228468E-3</v>
      </c>
      <c r="J1328" s="70">
        <f t="shared" si="363"/>
        <v>-2.1563342318059453E-3</v>
      </c>
      <c r="K1328" s="82" t="str">
        <f>_xlfn.IFNA(VLOOKUP(CLEAN(SUBSTITUTE(C1328," ","")),Ref_Factory!$A:$B,2,FALSE),CLEAN(SUBSTITUTE(C1328," ","")))</f>
        <v>GM1</v>
      </c>
      <c r="L1328" s="82" t="str">
        <f t="shared" si="364"/>
        <v>SEPTEMBER-2-GM1</v>
      </c>
      <c r="M1328" s="70">
        <f t="shared" si="365"/>
        <v>0.35477726989864</v>
      </c>
      <c r="N1328" s="70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25">
      <c r="A1329" t="s">
        <v>43</v>
      </c>
      <c r="B1329">
        <v>2</v>
      </c>
      <c r="C1329" t="s">
        <v>72</v>
      </c>
      <c r="D1329" s="66">
        <v>44820</v>
      </c>
      <c r="E1329" s="68">
        <v>45244</v>
      </c>
      <c r="F1329" s="68">
        <v>45129</v>
      </c>
      <c r="G1329" s="13">
        <f t="shared" si="360"/>
        <v>-115</v>
      </c>
      <c r="H1329" s="13">
        <f t="shared" si="361"/>
        <v>309</v>
      </c>
      <c r="I1329" s="70">
        <f t="shared" si="362"/>
        <v>6.8942436412315899E-3</v>
      </c>
      <c r="J1329" s="70">
        <f t="shared" si="363"/>
        <v>-2.5417734948280923E-3</v>
      </c>
      <c r="K1329" s="82" t="str">
        <f>_xlfn.IFNA(VLOOKUP(CLEAN(SUBSTITUTE(C1329," ","")),Ref_Factory!$A:$B,2,FALSE),CLEAN(SUBSTITUTE(C1329," ","")))</f>
        <v>GM1</v>
      </c>
      <c r="L1329" s="82" t="str">
        <f t="shared" si="364"/>
        <v>SEPTEMBER-2-GM1</v>
      </c>
      <c r="M1329" s="70">
        <f t="shared" si="365"/>
        <v>0.35477726989864</v>
      </c>
      <c r="N1329" s="70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25">
      <c r="A1330" t="s">
        <v>43</v>
      </c>
      <c r="B1330">
        <v>2</v>
      </c>
      <c r="C1330" t="s">
        <v>72</v>
      </c>
      <c r="D1330" s="66">
        <v>19548</v>
      </c>
      <c r="E1330" s="68">
        <v>19730</v>
      </c>
      <c r="F1330" s="68">
        <v>19686</v>
      </c>
      <c r="G1330" s="13">
        <f t="shared" si="360"/>
        <v>-44</v>
      </c>
      <c r="H1330" s="13">
        <f t="shared" si="361"/>
        <v>138</v>
      </c>
      <c r="I1330" s="70">
        <f t="shared" si="362"/>
        <v>7.0595457335789202E-3</v>
      </c>
      <c r="J1330" s="70">
        <f t="shared" si="363"/>
        <v>-2.2301064368981383E-3</v>
      </c>
      <c r="K1330" s="82" t="str">
        <f>_xlfn.IFNA(VLOOKUP(CLEAN(SUBSTITUTE(C1330," ","")),Ref_Factory!$A:$B,2,FALSE),CLEAN(SUBSTITUTE(C1330," ","")))</f>
        <v>GM1</v>
      </c>
      <c r="L1330" s="82" t="str">
        <f t="shared" si="364"/>
        <v>SEPTEMBER-2-GM1</v>
      </c>
      <c r="M1330" s="70">
        <f t="shared" si="365"/>
        <v>0.35477726989864</v>
      </c>
      <c r="N1330" s="70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25">
      <c r="A1331" t="s">
        <v>43</v>
      </c>
      <c r="B1331">
        <v>2</v>
      </c>
      <c r="C1331" t="s">
        <v>72</v>
      </c>
      <c r="D1331" s="66">
        <v>1080</v>
      </c>
      <c r="E1331" s="68">
        <v>1094</v>
      </c>
      <c r="F1331" s="68">
        <v>1092</v>
      </c>
      <c r="G1331" s="13">
        <f t="shared" si="360"/>
        <v>-2</v>
      </c>
      <c r="H1331" s="13">
        <f t="shared" si="361"/>
        <v>12</v>
      </c>
      <c r="I1331" s="70">
        <f t="shared" si="362"/>
        <v>1.1111111111111072E-2</v>
      </c>
      <c r="J1331" s="70">
        <f t="shared" si="363"/>
        <v>-1.8281535648994041E-3</v>
      </c>
      <c r="K1331" s="82" t="str">
        <f>_xlfn.IFNA(VLOOKUP(CLEAN(SUBSTITUTE(C1331," ","")),Ref_Factory!$A:$B,2,FALSE),CLEAN(SUBSTITUTE(C1331," ","")))</f>
        <v>GM1</v>
      </c>
      <c r="L1331" s="82" t="str">
        <f t="shared" si="364"/>
        <v>SEPTEMBER-2-GM1</v>
      </c>
      <c r="M1331" s="70">
        <f t="shared" si="365"/>
        <v>0.35477726989864</v>
      </c>
      <c r="N1331" s="70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25">
      <c r="A1332" t="s">
        <v>43</v>
      </c>
      <c r="B1332">
        <v>2</v>
      </c>
      <c r="C1332" t="s">
        <v>72</v>
      </c>
      <c r="D1332" s="66">
        <v>4104</v>
      </c>
      <c r="E1332" s="68">
        <v>4112</v>
      </c>
      <c r="F1332" s="68">
        <v>4104</v>
      </c>
      <c r="G1332" s="13">
        <f t="shared" si="360"/>
        <v>-8</v>
      </c>
      <c r="H1332" s="13">
        <f t="shared" si="361"/>
        <v>0</v>
      </c>
      <c r="I1332" s="70">
        <f t="shared" si="362"/>
        <v>0</v>
      </c>
      <c r="J1332" s="70">
        <f t="shared" si="363"/>
        <v>-1.9455252918287869E-3</v>
      </c>
      <c r="K1332" s="82" t="str">
        <f>_xlfn.IFNA(VLOOKUP(CLEAN(SUBSTITUTE(C1332," ","")),Ref_Factory!$A:$B,2,FALSE),CLEAN(SUBSTITUTE(C1332," ","")))</f>
        <v>GM1</v>
      </c>
      <c r="L1332" s="82" t="str">
        <f t="shared" si="364"/>
        <v>SEPTEMBER-2-GM1</v>
      </c>
      <c r="M1332" s="70">
        <f t="shared" si="365"/>
        <v>0.35477726989864</v>
      </c>
      <c r="N1332" s="70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25">
      <c r="A1333" t="s">
        <v>43</v>
      </c>
      <c r="B1333">
        <v>2</v>
      </c>
      <c r="C1333" t="s">
        <v>72</v>
      </c>
      <c r="D1333" s="66">
        <v>3888</v>
      </c>
      <c r="E1333" s="68">
        <v>3897</v>
      </c>
      <c r="F1333" s="68">
        <v>3888</v>
      </c>
      <c r="G1333" s="13">
        <f t="shared" si="360"/>
        <v>-9</v>
      </c>
      <c r="H1333" s="13">
        <f t="shared" si="361"/>
        <v>0</v>
      </c>
      <c r="I1333" s="70">
        <f t="shared" si="362"/>
        <v>0</v>
      </c>
      <c r="J1333" s="70">
        <f t="shared" si="363"/>
        <v>-2.3094688221708681E-3</v>
      </c>
      <c r="K1333" s="82" t="str">
        <f>_xlfn.IFNA(VLOOKUP(CLEAN(SUBSTITUTE(C1333," ","")),Ref_Factory!$A:$B,2,FALSE),CLEAN(SUBSTITUTE(C1333," ","")))</f>
        <v>GM1</v>
      </c>
      <c r="L1333" s="82" t="str">
        <f t="shared" si="364"/>
        <v>SEPTEMBER-2-GM1</v>
      </c>
      <c r="M1333" s="70">
        <f t="shared" si="365"/>
        <v>0.35477726989864</v>
      </c>
      <c r="N1333" s="70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25">
      <c r="A1334" t="s">
        <v>43</v>
      </c>
      <c r="B1334">
        <v>2</v>
      </c>
      <c r="C1334" t="s">
        <v>72</v>
      </c>
      <c r="D1334" s="66">
        <v>4860</v>
      </c>
      <c r="E1334" s="68">
        <v>4869</v>
      </c>
      <c r="F1334" s="68">
        <v>4860</v>
      </c>
      <c r="G1334" s="13">
        <f t="shared" si="360"/>
        <v>-9</v>
      </c>
      <c r="H1334" s="13">
        <f t="shared" si="361"/>
        <v>0</v>
      </c>
      <c r="I1334" s="70">
        <f t="shared" si="362"/>
        <v>0</v>
      </c>
      <c r="J1334" s="70">
        <f t="shared" si="363"/>
        <v>-1.848428835489857E-3</v>
      </c>
      <c r="K1334" s="82" t="str">
        <f>_xlfn.IFNA(VLOOKUP(CLEAN(SUBSTITUTE(C1334," ","")),Ref_Factory!$A:$B,2,FALSE),CLEAN(SUBSTITUTE(C1334," ","")))</f>
        <v>GM1</v>
      </c>
      <c r="L1334" s="82" t="str">
        <f t="shared" si="364"/>
        <v>SEPTEMBER-2-GM1</v>
      </c>
      <c r="M1334" s="70">
        <f t="shared" si="365"/>
        <v>0.35477726989864</v>
      </c>
      <c r="N1334" s="70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25">
      <c r="A1335" t="s">
        <v>43</v>
      </c>
      <c r="B1335">
        <v>2</v>
      </c>
      <c r="C1335" t="s">
        <v>72</v>
      </c>
      <c r="D1335" s="66">
        <v>1080</v>
      </c>
      <c r="E1335" s="68">
        <v>1080</v>
      </c>
      <c r="F1335" s="68">
        <v>1080</v>
      </c>
      <c r="G1335" s="13">
        <f t="shared" si="360"/>
        <v>0</v>
      </c>
      <c r="H1335" s="13">
        <f t="shared" si="361"/>
        <v>0</v>
      </c>
      <c r="I1335" s="70">
        <f t="shared" si="362"/>
        <v>0</v>
      </c>
      <c r="J1335" s="70">
        <f t="shared" si="363"/>
        <v>0</v>
      </c>
      <c r="K1335" s="82" t="str">
        <f>_xlfn.IFNA(VLOOKUP(CLEAN(SUBSTITUTE(C1335," ","")),Ref_Factory!$A:$B,2,FALSE),CLEAN(SUBSTITUTE(C1335," ","")))</f>
        <v>GM1</v>
      </c>
      <c r="L1335" s="82" t="str">
        <f t="shared" si="364"/>
        <v>SEPTEMBER-2-GM1</v>
      </c>
      <c r="M1335" s="70">
        <f t="shared" si="365"/>
        <v>0.35477726989864</v>
      </c>
      <c r="N1335" s="70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25">
      <c r="A1336" t="s">
        <v>43</v>
      </c>
      <c r="B1336">
        <v>2</v>
      </c>
      <c r="C1336" t="s">
        <v>72</v>
      </c>
      <c r="D1336" s="66">
        <v>10476</v>
      </c>
      <c r="E1336" s="68">
        <v>10485</v>
      </c>
      <c r="F1336" s="68">
        <v>10476</v>
      </c>
      <c r="G1336" s="13">
        <f t="shared" si="360"/>
        <v>-9</v>
      </c>
      <c r="H1336" s="13">
        <f t="shared" si="361"/>
        <v>0</v>
      </c>
      <c r="I1336" s="70">
        <f t="shared" si="362"/>
        <v>0</v>
      </c>
      <c r="J1336" s="70">
        <f t="shared" si="363"/>
        <v>-8.5836909871239708E-4</v>
      </c>
      <c r="K1336" s="82" t="str">
        <f>_xlfn.IFNA(VLOOKUP(CLEAN(SUBSTITUTE(C1336," ","")),Ref_Factory!$A:$B,2,FALSE),CLEAN(SUBSTITUTE(C1336," ","")))</f>
        <v>GM1</v>
      </c>
      <c r="L1336" s="82" t="str">
        <f t="shared" si="364"/>
        <v>SEPTEMBER-2-GM1</v>
      </c>
      <c r="M1336" s="70">
        <f t="shared" si="365"/>
        <v>0.35477726989864</v>
      </c>
      <c r="N1336" s="70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25">
      <c r="A1337" t="s">
        <v>43</v>
      </c>
      <c r="B1337">
        <v>2</v>
      </c>
      <c r="C1337" t="s">
        <v>13</v>
      </c>
      <c r="D1337" s="66">
        <v>3780</v>
      </c>
      <c r="E1337" s="67">
        <v>3780</v>
      </c>
      <c r="F1337" s="67">
        <v>3780</v>
      </c>
      <c r="G1337" s="13">
        <f t="shared" si="360"/>
        <v>0</v>
      </c>
      <c r="H1337" s="13">
        <f t="shared" si="361"/>
        <v>0</v>
      </c>
      <c r="I1337" s="70">
        <f t="shared" si="362"/>
        <v>0</v>
      </c>
      <c r="J1337" s="70">
        <f t="shared" si="363"/>
        <v>0</v>
      </c>
      <c r="K1337" s="82" t="str">
        <f>_xlfn.IFNA(VLOOKUP(CLEAN(SUBSTITUTE(C1337," ","")),Ref_Factory!$A:$B,2,FALSE),CLEAN(SUBSTITUTE(C1337," ","")))</f>
        <v>KALIBENDA</v>
      </c>
      <c r="L1337" s="82" t="str">
        <f t="shared" si="364"/>
        <v>SEPTEMBER-2-KALIBENDA</v>
      </c>
      <c r="M1337" s="70">
        <f t="shared" si="365"/>
        <v>1.6778503038170633E-2</v>
      </c>
      <c r="N1337" s="70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25">
      <c r="A1338" t="s">
        <v>43</v>
      </c>
      <c r="B1338">
        <v>2</v>
      </c>
      <c r="C1338" t="s">
        <v>13</v>
      </c>
      <c r="D1338" s="66">
        <v>22248</v>
      </c>
      <c r="E1338" s="67">
        <v>22473</v>
      </c>
      <c r="F1338" s="67">
        <v>22431</v>
      </c>
      <c r="G1338" s="13">
        <f t="shared" si="360"/>
        <v>-42</v>
      </c>
      <c r="H1338" s="13">
        <f t="shared" si="361"/>
        <v>183</v>
      </c>
      <c r="I1338" s="70">
        <f t="shared" si="362"/>
        <v>8.225458468176905E-3</v>
      </c>
      <c r="J1338" s="70">
        <f t="shared" si="363"/>
        <v>-1.8689093578961868E-3</v>
      </c>
      <c r="K1338" s="82" t="str">
        <f>_xlfn.IFNA(VLOOKUP(CLEAN(SUBSTITUTE(C1338," ","")),Ref_Factory!$A:$B,2,FALSE),CLEAN(SUBSTITUTE(C1338," ","")))</f>
        <v>KALIBENDA</v>
      </c>
      <c r="L1338" s="82" t="str">
        <f t="shared" si="364"/>
        <v>SEPTEMBER-2-KALIBENDA</v>
      </c>
      <c r="M1338" s="70">
        <f t="shared" si="365"/>
        <v>1.6778503038170633E-2</v>
      </c>
      <c r="N1338" s="70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25">
      <c r="A1339" t="s">
        <v>43</v>
      </c>
      <c r="B1339">
        <v>2</v>
      </c>
      <c r="C1339" t="s">
        <v>70</v>
      </c>
      <c r="D1339" s="66">
        <v>3888</v>
      </c>
      <c r="E1339" s="66">
        <v>3888</v>
      </c>
      <c r="F1339" s="67">
        <v>3912</v>
      </c>
      <c r="G1339" s="13">
        <f t="shared" si="360"/>
        <v>24</v>
      </c>
      <c r="H1339" s="13">
        <f t="shared" si="361"/>
        <v>24</v>
      </c>
      <c r="I1339" s="70">
        <f t="shared" si="362"/>
        <v>6.1728395061728669E-3</v>
      </c>
      <c r="J1339" s="70">
        <f t="shared" si="363"/>
        <v>6.1728395061728669E-3</v>
      </c>
      <c r="K1339" s="82" t="str">
        <f>_xlfn.IFNA(VLOOKUP(CLEAN(SUBSTITUTE(C1339," ","")),Ref_Factory!$A:$B,2,FALSE),CLEAN(SUBSTITUTE(C1339," ","")))</f>
        <v>GM1</v>
      </c>
      <c r="L1339" s="82" t="str">
        <f t="shared" si="364"/>
        <v>SEPTEMBER-2-GM1</v>
      </c>
      <c r="M1339" s="70">
        <f t="shared" si="365"/>
        <v>0.35477726989864</v>
      </c>
      <c r="N1339" s="70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25">
      <c r="A1340" t="s">
        <v>43</v>
      </c>
      <c r="B1340">
        <v>2</v>
      </c>
      <c r="C1340" t="s">
        <v>70</v>
      </c>
      <c r="D1340" s="66">
        <v>3096</v>
      </c>
      <c r="E1340" s="66">
        <v>3096</v>
      </c>
      <c r="F1340" s="67">
        <v>3112</v>
      </c>
      <c r="G1340" s="13">
        <f t="shared" si="360"/>
        <v>16</v>
      </c>
      <c r="H1340" s="13">
        <f t="shared" si="361"/>
        <v>16</v>
      </c>
      <c r="I1340" s="70">
        <f t="shared" si="362"/>
        <v>5.1679586563306845E-3</v>
      </c>
      <c r="J1340" s="70">
        <f t="shared" si="363"/>
        <v>5.1679586563306845E-3</v>
      </c>
      <c r="K1340" s="82" t="str">
        <f>_xlfn.IFNA(VLOOKUP(CLEAN(SUBSTITUTE(C1340," ","")),Ref_Factory!$A:$B,2,FALSE),CLEAN(SUBSTITUTE(C1340," ","")))</f>
        <v>GM1</v>
      </c>
      <c r="L1340" s="82" t="str">
        <f t="shared" si="364"/>
        <v>SEPTEMBER-2-GM1</v>
      </c>
      <c r="M1340" s="70">
        <f t="shared" si="365"/>
        <v>0.35477726989864</v>
      </c>
      <c r="N1340" s="70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25">
      <c r="A1341" t="s">
        <v>43</v>
      </c>
      <c r="B1341">
        <v>2</v>
      </c>
      <c r="C1341" t="s">
        <v>70</v>
      </c>
      <c r="D1341" s="66">
        <v>16092</v>
      </c>
      <c r="E1341" s="66">
        <v>16421</v>
      </c>
      <c r="F1341" s="66">
        <v>16320</v>
      </c>
      <c r="G1341" s="13">
        <f t="shared" si="360"/>
        <v>-101</v>
      </c>
      <c r="H1341" s="13">
        <f t="shared" si="361"/>
        <v>228</v>
      </c>
      <c r="I1341" s="70">
        <f t="shared" si="362"/>
        <v>1.4168530947054503E-2</v>
      </c>
      <c r="J1341" s="70">
        <f t="shared" si="363"/>
        <v>-6.1506607392972645E-3</v>
      </c>
      <c r="K1341" s="82" t="str">
        <f>_xlfn.IFNA(VLOOKUP(CLEAN(SUBSTITUTE(C1341," ","")),Ref_Factory!$A:$B,2,FALSE),CLEAN(SUBSTITUTE(C1341," ","")))</f>
        <v>GM1</v>
      </c>
      <c r="L1341" s="82" t="str">
        <f t="shared" si="364"/>
        <v>SEPTEMBER-2-GM1</v>
      </c>
      <c r="M1341" s="70">
        <f t="shared" si="365"/>
        <v>0.35477726989864</v>
      </c>
      <c r="N1341" s="70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25">
      <c r="A1342" t="s">
        <v>43</v>
      </c>
      <c r="B1342">
        <v>2</v>
      </c>
      <c r="C1342" t="s">
        <v>70</v>
      </c>
      <c r="D1342" s="66">
        <v>1512</v>
      </c>
      <c r="E1342" s="66">
        <v>1542</v>
      </c>
      <c r="F1342" s="66">
        <v>1512</v>
      </c>
      <c r="G1342" s="13">
        <f t="shared" si="360"/>
        <v>-30</v>
      </c>
      <c r="H1342" s="13">
        <f t="shared" si="361"/>
        <v>0</v>
      </c>
      <c r="I1342" s="70">
        <f t="shared" si="362"/>
        <v>0</v>
      </c>
      <c r="J1342" s="70">
        <f t="shared" si="363"/>
        <v>-1.945525291828798E-2</v>
      </c>
      <c r="K1342" s="82" t="str">
        <f>_xlfn.IFNA(VLOOKUP(CLEAN(SUBSTITUTE(C1342," ","")),Ref_Factory!$A:$B,2,FALSE),CLEAN(SUBSTITUTE(C1342," ","")))</f>
        <v>GM1</v>
      </c>
      <c r="L1342" s="82" t="str">
        <f t="shared" si="364"/>
        <v>SEPTEMBER-2-GM1</v>
      </c>
      <c r="M1342" s="70">
        <f t="shared" si="365"/>
        <v>0.35477726989864</v>
      </c>
      <c r="N1342" s="70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25">
      <c r="A1343" t="s">
        <v>43</v>
      </c>
      <c r="B1343">
        <v>2</v>
      </c>
      <c r="C1343" t="s">
        <v>70</v>
      </c>
      <c r="D1343" s="66">
        <v>12096</v>
      </c>
      <c r="E1343" s="66">
        <v>12381</v>
      </c>
      <c r="F1343" s="66">
        <v>12369</v>
      </c>
      <c r="G1343" s="13">
        <f t="shared" si="360"/>
        <v>-12</v>
      </c>
      <c r="H1343" s="13">
        <f t="shared" si="361"/>
        <v>273</v>
      </c>
      <c r="I1343" s="70">
        <f t="shared" si="362"/>
        <v>2.256944444444442E-2</v>
      </c>
      <c r="J1343" s="70">
        <f t="shared" si="363"/>
        <v>-9.6922704143442839E-4</v>
      </c>
      <c r="K1343" s="82" t="str">
        <f>_xlfn.IFNA(VLOOKUP(CLEAN(SUBSTITUTE(C1343," ","")),Ref_Factory!$A:$B,2,FALSE),CLEAN(SUBSTITUTE(C1343," ","")))</f>
        <v>GM1</v>
      </c>
      <c r="L1343" s="82" t="str">
        <f t="shared" si="364"/>
        <v>SEPTEMBER-2-GM1</v>
      </c>
      <c r="M1343" s="70">
        <f t="shared" si="365"/>
        <v>0.35477726989864</v>
      </c>
      <c r="N1343" s="70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25">
      <c r="A1344" t="s">
        <v>43</v>
      </c>
      <c r="B1344">
        <v>2</v>
      </c>
      <c r="C1344" t="s">
        <v>70</v>
      </c>
      <c r="D1344" s="66">
        <v>1512</v>
      </c>
      <c r="E1344" s="66">
        <v>1542</v>
      </c>
      <c r="F1344" s="66">
        <v>1542</v>
      </c>
      <c r="G1344" s="13">
        <f t="shared" si="360"/>
        <v>0</v>
      </c>
      <c r="H1344" s="13">
        <f t="shared" si="361"/>
        <v>30</v>
      </c>
      <c r="I1344" s="70">
        <f t="shared" si="362"/>
        <v>1.9841269841269771E-2</v>
      </c>
      <c r="J1344" s="70">
        <f t="shared" si="363"/>
        <v>0</v>
      </c>
      <c r="K1344" s="82" t="str">
        <f>_xlfn.IFNA(VLOOKUP(CLEAN(SUBSTITUTE(C1344," ","")),Ref_Factory!$A:$B,2,FALSE),CLEAN(SUBSTITUTE(C1344," ","")))</f>
        <v>GM1</v>
      </c>
      <c r="L1344" s="82" t="str">
        <f t="shared" si="364"/>
        <v>SEPTEMBER-2-GM1</v>
      </c>
      <c r="M1344" s="70">
        <f t="shared" si="365"/>
        <v>0.35477726989864</v>
      </c>
      <c r="N1344" s="70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25">
      <c r="A1345" t="s">
        <v>43</v>
      </c>
      <c r="B1345">
        <v>2</v>
      </c>
      <c r="C1345" t="s">
        <v>70</v>
      </c>
      <c r="D1345" s="66">
        <v>8748</v>
      </c>
      <c r="E1345" s="66">
        <v>8931</v>
      </c>
      <c r="F1345" s="66">
        <v>8859</v>
      </c>
      <c r="G1345" s="13">
        <f t="shared" si="360"/>
        <v>-72</v>
      </c>
      <c r="H1345" s="13">
        <f t="shared" si="361"/>
        <v>111</v>
      </c>
      <c r="I1345" s="70">
        <f t="shared" si="362"/>
        <v>1.2688614540466325E-2</v>
      </c>
      <c r="J1345" s="70">
        <f t="shared" si="363"/>
        <v>-8.0618071884447362E-3</v>
      </c>
      <c r="K1345" s="82" t="str">
        <f>_xlfn.IFNA(VLOOKUP(CLEAN(SUBSTITUTE(C1345," ","")),Ref_Factory!$A:$B,2,FALSE),CLEAN(SUBSTITUTE(C1345," ","")))</f>
        <v>GM1</v>
      </c>
      <c r="L1345" s="82" t="str">
        <f t="shared" si="364"/>
        <v>SEPTEMBER-2-GM1</v>
      </c>
      <c r="M1345" s="70">
        <f t="shared" si="365"/>
        <v>0.35477726989864</v>
      </c>
      <c r="N1345" s="70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25">
      <c r="A1346" t="s">
        <v>43</v>
      </c>
      <c r="B1346">
        <v>2</v>
      </c>
      <c r="C1346" t="s">
        <v>70</v>
      </c>
      <c r="D1346" s="66">
        <v>1080</v>
      </c>
      <c r="E1346" s="66">
        <v>1104</v>
      </c>
      <c r="F1346" s="66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70">
        <f t="shared" ref="I1346:I1409" si="380">F1346/D1346-1</f>
        <v>1.6666666666666607E-2</v>
      </c>
      <c r="J1346" s="70">
        <f t="shared" ref="J1346:J1409" si="381">F1346/E1346-1</f>
        <v>-5.4347826086956763E-3</v>
      </c>
      <c r="K1346" s="82" t="str">
        <f>_xlfn.IFNA(VLOOKUP(CLEAN(SUBSTITUTE(C1346," ","")),Ref_Factory!$A:$B,2,FALSE),CLEAN(SUBSTITUTE(C1346," ","")))</f>
        <v>GM1</v>
      </c>
      <c r="L1346" s="82" t="str">
        <f t="shared" ref="L1346:L1409" si="382">A1346&amp;"-"&amp;B1346&amp;"-"&amp;K1346</f>
        <v>SEPTEMBER-2-GM1</v>
      </c>
      <c r="M1346" s="70">
        <f t="shared" ref="M1346:M1409" si="383">SUMIF($L$2:$L$1420,L1346,$I$2:$I$1420)</f>
        <v>0.35477726989864</v>
      </c>
      <c r="N1346" s="70">
        <f t="shared" ref="N1346:N1409" si="384">SUMIF($L$2:$L$1420,L1346,$J$2:$J$1420)</f>
        <v>-9.7358030367351467E-2</v>
      </c>
      <c r="O1346" s="13">
        <f t="shared" ref="O1346:O1409" si="385">SUMIF($A$2:$A$1420,A1346,$D$2:$D$1420)</f>
        <v>1013903</v>
      </c>
      <c r="P1346" s="13">
        <f t="shared" ref="P1346:P1409" si="386">SUMIF($A$2:$A$1420,A1346,$E$2:$E$1420)</f>
        <v>1020738</v>
      </c>
      <c r="Q1346" s="13">
        <f t="shared" ref="Q1346:Q1409" si="387">SUMIF($A$2:$A$1420,A1346,$F$2:$F$1420)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SUMIF($T$2:$T$1420,T1346,$D$2:$D$1420)</f>
        <v>517451</v>
      </c>
      <c r="V1346">
        <f t="shared" ref="V1346:V1409" si="392">SUMIF($T$2:$T$1420,T1346,$E$2:$E$1420)</f>
        <v>521405</v>
      </c>
      <c r="W1346">
        <f t="shared" ref="W1346:W1409" si="393">SUMIF($T$2:$T$1420,T1346,$F$2:$F$1420)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25">
      <c r="A1347" t="s">
        <v>43</v>
      </c>
      <c r="B1347">
        <v>2</v>
      </c>
      <c r="C1347" t="s">
        <v>70</v>
      </c>
      <c r="D1347" s="66">
        <v>12528</v>
      </c>
      <c r="E1347" s="66">
        <v>13134</v>
      </c>
      <c r="F1347" s="66">
        <v>12798</v>
      </c>
      <c r="G1347" s="13">
        <f t="shared" si="378"/>
        <v>-336</v>
      </c>
      <c r="H1347" s="13">
        <f t="shared" si="379"/>
        <v>270</v>
      </c>
      <c r="I1347" s="70">
        <f t="shared" si="380"/>
        <v>2.155172413793105E-2</v>
      </c>
      <c r="J1347" s="70">
        <f t="shared" si="381"/>
        <v>-2.5582457743261733E-2</v>
      </c>
      <c r="K1347" s="82" t="str">
        <f>_xlfn.IFNA(VLOOKUP(CLEAN(SUBSTITUTE(C1347," ","")),Ref_Factory!$A:$B,2,FALSE),CLEAN(SUBSTITUTE(C1347," ","")))</f>
        <v>GM1</v>
      </c>
      <c r="L1347" s="82" t="str">
        <f t="shared" si="382"/>
        <v>SEPTEMBER-2-GM1</v>
      </c>
      <c r="M1347" s="70">
        <f t="shared" si="383"/>
        <v>0.35477726989864</v>
      </c>
      <c r="N1347" s="70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25">
      <c r="A1348" t="s">
        <v>43</v>
      </c>
      <c r="B1348">
        <v>2</v>
      </c>
      <c r="C1348" t="s">
        <v>70</v>
      </c>
      <c r="D1348" s="66">
        <v>1620</v>
      </c>
      <c r="E1348" s="66">
        <v>1667</v>
      </c>
      <c r="F1348" s="66">
        <v>1659</v>
      </c>
      <c r="G1348" s="13">
        <f t="shared" si="378"/>
        <v>-8</v>
      </c>
      <c r="H1348" s="13">
        <f t="shared" si="379"/>
        <v>39</v>
      </c>
      <c r="I1348" s="70">
        <f t="shared" si="380"/>
        <v>2.4074074074074137E-2</v>
      </c>
      <c r="J1348" s="70">
        <f t="shared" si="381"/>
        <v>-4.7990401919616454E-3</v>
      </c>
      <c r="K1348" s="82" t="str">
        <f>_xlfn.IFNA(VLOOKUP(CLEAN(SUBSTITUTE(C1348," ","")),Ref_Factory!$A:$B,2,FALSE),CLEAN(SUBSTITUTE(C1348," ","")))</f>
        <v>GM1</v>
      </c>
      <c r="L1348" s="82" t="str">
        <f t="shared" si="382"/>
        <v>SEPTEMBER-2-GM1</v>
      </c>
      <c r="M1348" s="70">
        <f t="shared" si="383"/>
        <v>0.35477726989864</v>
      </c>
      <c r="N1348" s="70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25">
      <c r="A1349" t="s">
        <v>43</v>
      </c>
      <c r="B1349">
        <v>2</v>
      </c>
      <c r="C1349" t="s">
        <v>70</v>
      </c>
      <c r="D1349" s="66">
        <v>19152</v>
      </c>
      <c r="E1349" s="66">
        <v>19536</v>
      </c>
      <c r="F1349" s="66">
        <v>19264</v>
      </c>
      <c r="G1349" s="13">
        <f t="shared" si="378"/>
        <v>-272</v>
      </c>
      <c r="H1349" s="13">
        <f t="shared" si="379"/>
        <v>112</v>
      </c>
      <c r="I1349" s="70">
        <f t="shared" si="380"/>
        <v>5.8479532163742132E-3</v>
      </c>
      <c r="J1349" s="70">
        <f t="shared" si="381"/>
        <v>-1.3923013923013872E-2</v>
      </c>
      <c r="K1349" s="82" t="str">
        <f>_xlfn.IFNA(VLOOKUP(CLEAN(SUBSTITUTE(C1349," ","")),Ref_Factory!$A:$B,2,FALSE),CLEAN(SUBSTITUTE(C1349," ","")))</f>
        <v>GM1</v>
      </c>
      <c r="L1349" s="82" t="str">
        <f t="shared" si="382"/>
        <v>SEPTEMBER-2-GM1</v>
      </c>
      <c r="M1349" s="70">
        <f t="shared" si="383"/>
        <v>0.35477726989864</v>
      </c>
      <c r="N1349" s="70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25">
      <c r="A1350" t="s">
        <v>43</v>
      </c>
      <c r="B1350">
        <v>2</v>
      </c>
      <c r="C1350" t="s">
        <v>70</v>
      </c>
      <c r="D1350" s="66">
        <v>22608</v>
      </c>
      <c r="E1350" s="66">
        <v>22546</v>
      </c>
      <c r="F1350" s="66">
        <v>22308</v>
      </c>
      <c r="G1350" s="13">
        <f t="shared" si="378"/>
        <v>-238</v>
      </c>
      <c r="H1350" s="13">
        <f t="shared" si="379"/>
        <v>-300</v>
      </c>
      <c r="I1350" s="70">
        <f t="shared" si="380"/>
        <v>-1.3269639065817462E-2</v>
      </c>
      <c r="J1350" s="70">
        <f t="shared" si="381"/>
        <v>-1.0556196221059189E-2</v>
      </c>
      <c r="K1350" s="82" t="str">
        <f>_xlfn.IFNA(VLOOKUP(CLEAN(SUBSTITUTE(C1350," ","")),Ref_Factory!$A:$B,2,FALSE),CLEAN(SUBSTITUTE(C1350," ","")))</f>
        <v>GM1</v>
      </c>
      <c r="L1350" s="82" t="str">
        <f t="shared" si="382"/>
        <v>SEPTEMBER-2-GM1</v>
      </c>
      <c r="M1350" s="70">
        <f t="shared" si="383"/>
        <v>0.35477726989864</v>
      </c>
      <c r="N1350" s="70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25">
      <c r="A1351" t="s">
        <v>43</v>
      </c>
      <c r="B1351">
        <v>3</v>
      </c>
      <c r="C1351" t="s">
        <v>27</v>
      </c>
      <c r="D1351" s="66">
        <v>1710</v>
      </c>
      <c r="E1351" s="66">
        <v>1727</v>
      </c>
      <c r="F1351" s="66">
        <v>1710</v>
      </c>
      <c r="G1351" s="13">
        <f t="shared" si="378"/>
        <v>-17</v>
      </c>
      <c r="H1351" s="13">
        <f t="shared" si="379"/>
        <v>0</v>
      </c>
      <c r="I1351" s="70">
        <f t="shared" si="380"/>
        <v>0</v>
      </c>
      <c r="J1351" s="70">
        <f t="shared" si="381"/>
        <v>-9.8436595251881753E-3</v>
      </c>
      <c r="K1351" s="82" t="str">
        <f>_xlfn.IFNA(VLOOKUP(CLEAN(SUBSTITUTE(C1351," ","")),Ref_Factory!$A:$B,2,FALSE),CLEAN(SUBSTITUTE(C1351," ","")))</f>
        <v>CNJ2</v>
      </c>
      <c r="L1351" s="82" t="str">
        <f t="shared" si="382"/>
        <v>SEPTEMBER-3-CNJ2</v>
      </c>
      <c r="M1351" s="70">
        <f t="shared" si="383"/>
        <v>0</v>
      </c>
      <c r="N1351" s="70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25">
      <c r="A1352" t="s">
        <v>43</v>
      </c>
      <c r="B1352">
        <v>3</v>
      </c>
      <c r="C1352" t="s">
        <v>27</v>
      </c>
      <c r="D1352" s="66">
        <v>8000</v>
      </c>
      <c r="E1352" s="66">
        <v>8219</v>
      </c>
      <c r="F1352" s="66">
        <v>8000</v>
      </c>
      <c r="G1352" s="13">
        <f t="shared" si="378"/>
        <v>-219</v>
      </c>
      <c r="H1352" s="13">
        <f t="shared" si="379"/>
        <v>0</v>
      </c>
      <c r="I1352" s="70">
        <f t="shared" si="380"/>
        <v>0</v>
      </c>
      <c r="J1352" s="70">
        <f t="shared" si="381"/>
        <v>-2.664557732084194E-2</v>
      </c>
      <c r="K1352" s="82" t="str">
        <f>_xlfn.IFNA(VLOOKUP(CLEAN(SUBSTITUTE(C1352," ","")),Ref_Factory!$A:$B,2,FALSE),CLEAN(SUBSTITUTE(C1352," ","")))</f>
        <v>CNJ2</v>
      </c>
      <c r="L1352" s="82" t="str">
        <f t="shared" si="382"/>
        <v>SEPTEMBER-3-CNJ2</v>
      </c>
      <c r="M1352" s="70">
        <f t="shared" si="383"/>
        <v>0</v>
      </c>
      <c r="N1352" s="70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25">
      <c r="A1353" t="s">
        <v>43</v>
      </c>
      <c r="B1353">
        <v>3</v>
      </c>
      <c r="C1353" t="s">
        <v>27</v>
      </c>
      <c r="D1353" s="66">
        <v>1500</v>
      </c>
      <c r="E1353" s="66">
        <v>1540</v>
      </c>
      <c r="F1353" s="66">
        <v>1500</v>
      </c>
      <c r="G1353" s="13">
        <f t="shared" si="378"/>
        <v>-40</v>
      </c>
      <c r="H1353" s="13">
        <f t="shared" si="379"/>
        <v>0</v>
      </c>
      <c r="I1353" s="70">
        <f t="shared" si="380"/>
        <v>0</v>
      </c>
      <c r="J1353" s="70">
        <f t="shared" si="381"/>
        <v>-2.5974025974025983E-2</v>
      </c>
      <c r="K1353" s="82" t="str">
        <f>_xlfn.IFNA(VLOOKUP(CLEAN(SUBSTITUTE(C1353," ","")),Ref_Factory!$A:$B,2,FALSE),CLEAN(SUBSTITUTE(C1353," ","")))</f>
        <v>CNJ2</v>
      </c>
      <c r="L1353" s="82" t="str">
        <f t="shared" si="382"/>
        <v>SEPTEMBER-3-CNJ2</v>
      </c>
      <c r="M1353" s="70">
        <f t="shared" si="383"/>
        <v>0</v>
      </c>
      <c r="N1353" s="70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25">
      <c r="A1354" t="s">
        <v>43</v>
      </c>
      <c r="B1354">
        <v>3</v>
      </c>
      <c r="C1354" t="s">
        <v>27</v>
      </c>
      <c r="D1354" s="66">
        <v>2000</v>
      </c>
      <c r="E1354" s="66">
        <v>2077</v>
      </c>
      <c r="F1354" s="66">
        <v>2000</v>
      </c>
      <c r="G1354" s="13">
        <f t="shared" si="378"/>
        <v>-77</v>
      </c>
      <c r="H1354" s="13">
        <f t="shared" si="379"/>
        <v>0</v>
      </c>
      <c r="I1354" s="70">
        <f t="shared" si="380"/>
        <v>0</v>
      </c>
      <c r="J1354" s="70">
        <f t="shared" si="381"/>
        <v>-3.7072701011073628E-2</v>
      </c>
      <c r="K1354" s="82" t="str">
        <f>_xlfn.IFNA(VLOOKUP(CLEAN(SUBSTITUTE(C1354," ","")),Ref_Factory!$A:$B,2,FALSE),CLEAN(SUBSTITUTE(C1354," ","")))</f>
        <v>CNJ2</v>
      </c>
      <c r="L1354" s="82" t="str">
        <f t="shared" si="382"/>
        <v>SEPTEMBER-3-CNJ2</v>
      </c>
      <c r="M1354" s="70">
        <f t="shared" si="383"/>
        <v>0</v>
      </c>
      <c r="N1354" s="70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25">
      <c r="A1355" t="s">
        <v>43</v>
      </c>
      <c r="B1355">
        <v>3</v>
      </c>
      <c r="C1355" t="s">
        <v>27</v>
      </c>
      <c r="D1355" s="66">
        <v>8000</v>
      </c>
      <c r="E1355" s="66">
        <v>8074</v>
      </c>
      <c r="F1355" s="66">
        <v>8000</v>
      </c>
      <c r="G1355" s="13">
        <f t="shared" si="378"/>
        <v>-74</v>
      </c>
      <c r="H1355" s="13">
        <f t="shared" si="379"/>
        <v>0</v>
      </c>
      <c r="I1355" s="70">
        <f t="shared" si="380"/>
        <v>0</v>
      </c>
      <c r="J1355" s="70">
        <f t="shared" si="381"/>
        <v>-9.1652216992816893E-3</v>
      </c>
      <c r="K1355" s="82" t="str">
        <f>_xlfn.IFNA(VLOOKUP(CLEAN(SUBSTITUTE(C1355," ","")),Ref_Factory!$A:$B,2,FALSE),CLEAN(SUBSTITUTE(C1355," ","")))</f>
        <v>CNJ2</v>
      </c>
      <c r="L1355" s="82" t="str">
        <f t="shared" si="382"/>
        <v>SEPTEMBER-3-CNJ2</v>
      </c>
      <c r="M1355" s="70">
        <f t="shared" si="383"/>
        <v>0</v>
      </c>
      <c r="N1355" s="70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25">
      <c r="A1356" t="s">
        <v>43</v>
      </c>
      <c r="B1356">
        <v>3</v>
      </c>
      <c r="C1356" t="s">
        <v>27</v>
      </c>
      <c r="D1356" s="66">
        <v>6000</v>
      </c>
      <c r="E1356" s="66">
        <v>6129</v>
      </c>
      <c r="F1356" s="66">
        <v>6000</v>
      </c>
      <c r="G1356" s="13">
        <f t="shared" si="378"/>
        <v>-129</v>
      </c>
      <c r="H1356" s="13">
        <f t="shared" si="379"/>
        <v>0</v>
      </c>
      <c r="I1356" s="70">
        <f t="shared" si="380"/>
        <v>0</v>
      </c>
      <c r="J1356" s="70">
        <f t="shared" si="381"/>
        <v>-2.1047479197258911E-2</v>
      </c>
      <c r="K1356" s="82" t="str">
        <f>_xlfn.IFNA(VLOOKUP(CLEAN(SUBSTITUTE(C1356," ","")),Ref_Factory!$A:$B,2,FALSE),CLEAN(SUBSTITUTE(C1356," ","")))</f>
        <v>CNJ2</v>
      </c>
      <c r="L1356" s="82" t="str">
        <f t="shared" si="382"/>
        <v>SEPTEMBER-3-CNJ2</v>
      </c>
      <c r="M1356" s="70">
        <f t="shared" si="383"/>
        <v>0</v>
      </c>
      <c r="N1356" s="70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25">
      <c r="A1357" t="s">
        <v>43</v>
      </c>
      <c r="B1357">
        <v>3</v>
      </c>
      <c r="C1357" t="s">
        <v>27</v>
      </c>
      <c r="D1357" s="66">
        <v>2100</v>
      </c>
      <c r="E1357" s="66">
        <v>2121</v>
      </c>
      <c r="F1357" s="66">
        <v>2100</v>
      </c>
      <c r="G1357" s="13">
        <f t="shared" si="378"/>
        <v>-21</v>
      </c>
      <c r="H1357" s="13">
        <f t="shared" si="379"/>
        <v>0</v>
      </c>
      <c r="I1357" s="70">
        <f t="shared" si="380"/>
        <v>0</v>
      </c>
      <c r="J1357" s="70">
        <f t="shared" si="381"/>
        <v>-9.9009900990099098E-3</v>
      </c>
      <c r="K1357" s="82" t="str">
        <f>_xlfn.IFNA(VLOOKUP(CLEAN(SUBSTITUTE(C1357," ","")),Ref_Factory!$A:$B,2,FALSE),CLEAN(SUBSTITUTE(C1357," ","")))</f>
        <v>CNJ2</v>
      </c>
      <c r="L1357" s="82" t="str">
        <f t="shared" si="382"/>
        <v>SEPTEMBER-3-CNJ2</v>
      </c>
      <c r="M1357" s="70">
        <f t="shared" si="383"/>
        <v>0</v>
      </c>
      <c r="N1357" s="70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25">
      <c r="A1358" t="s">
        <v>43</v>
      </c>
      <c r="B1358">
        <v>3</v>
      </c>
      <c r="C1358" t="s">
        <v>17</v>
      </c>
      <c r="D1358" s="66">
        <v>1060</v>
      </c>
      <c r="E1358" s="68">
        <v>1079</v>
      </c>
      <c r="F1358" s="68">
        <v>1060</v>
      </c>
      <c r="G1358" s="13">
        <f t="shared" si="378"/>
        <v>-19</v>
      </c>
      <c r="H1358" s="13">
        <f t="shared" si="379"/>
        <v>0</v>
      </c>
      <c r="I1358" s="70">
        <f t="shared" si="380"/>
        <v>0</v>
      </c>
      <c r="J1358" s="70">
        <f t="shared" si="381"/>
        <v>-1.7608897126969447E-2</v>
      </c>
      <c r="K1358" s="82" t="str">
        <f>_xlfn.IFNA(VLOOKUP(CLEAN(SUBSTITUTE(C1358," ","")),Ref_Factory!$A:$B,2,FALSE),CLEAN(SUBSTITUTE(C1358," ","")))</f>
        <v>CBA</v>
      </c>
      <c r="L1358" s="82" t="str">
        <f t="shared" si="382"/>
        <v>SEPTEMBER-3-CBA</v>
      </c>
      <c r="M1358" s="70">
        <f t="shared" si="383"/>
        <v>0</v>
      </c>
      <c r="N1358" s="70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25">
      <c r="A1359" t="s">
        <v>43</v>
      </c>
      <c r="B1359">
        <v>3</v>
      </c>
      <c r="C1359" t="s">
        <v>17</v>
      </c>
      <c r="D1359" s="66">
        <v>1180</v>
      </c>
      <c r="E1359" s="68">
        <v>1255</v>
      </c>
      <c r="F1359" s="68">
        <v>1180</v>
      </c>
      <c r="G1359" s="13">
        <f t="shared" si="378"/>
        <v>-75</v>
      </c>
      <c r="H1359" s="13">
        <f t="shared" si="379"/>
        <v>0</v>
      </c>
      <c r="I1359" s="70">
        <f t="shared" si="380"/>
        <v>0</v>
      </c>
      <c r="J1359" s="70">
        <f t="shared" si="381"/>
        <v>-5.9760956175298752E-2</v>
      </c>
      <c r="K1359" s="82" t="str">
        <f>_xlfn.IFNA(VLOOKUP(CLEAN(SUBSTITUTE(C1359," ","")),Ref_Factory!$A:$B,2,FALSE),CLEAN(SUBSTITUTE(C1359," ","")))</f>
        <v>CBA</v>
      </c>
      <c r="L1359" s="82" t="str">
        <f t="shared" si="382"/>
        <v>SEPTEMBER-3-CBA</v>
      </c>
      <c r="M1359" s="70">
        <f t="shared" si="383"/>
        <v>0</v>
      </c>
      <c r="N1359" s="70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25">
      <c r="A1360" t="s">
        <v>43</v>
      </c>
      <c r="B1360">
        <v>3</v>
      </c>
      <c r="C1360" t="s">
        <v>27</v>
      </c>
      <c r="D1360" s="66">
        <v>1290</v>
      </c>
      <c r="E1360" s="66">
        <v>1333</v>
      </c>
      <c r="F1360" s="66">
        <v>1290</v>
      </c>
      <c r="G1360" s="13">
        <f t="shared" si="378"/>
        <v>-43</v>
      </c>
      <c r="H1360" s="13">
        <f t="shared" si="379"/>
        <v>0</v>
      </c>
      <c r="I1360" s="70">
        <f t="shared" si="380"/>
        <v>0</v>
      </c>
      <c r="J1360" s="70">
        <f t="shared" si="381"/>
        <v>-3.2258064516129004E-2</v>
      </c>
      <c r="K1360" s="82" t="str">
        <f>_xlfn.IFNA(VLOOKUP(CLEAN(SUBSTITUTE(C1360," ","")),Ref_Factory!$A:$B,2,FALSE),CLEAN(SUBSTITUTE(C1360," ","")))</f>
        <v>CNJ2</v>
      </c>
      <c r="L1360" s="82" t="str">
        <f t="shared" si="382"/>
        <v>SEPTEMBER-3-CNJ2</v>
      </c>
      <c r="M1360" s="70">
        <f t="shared" si="383"/>
        <v>0</v>
      </c>
      <c r="N1360" s="70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25">
      <c r="A1361" t="s">
        <v>43</v>
      </c>
      <c r="B1361">
        <v>3</v>
      </c>
      <c r="C1361" t="s">
        <v>27</v>
      </c>
      <c r="D1361" s="66">
        <v>1670</v>
      </c>
      <c r="E1361" s="66">
        <v>1698</v>
      </c>
      <c r="F1361" s="66">
        <v>1670</v>
      </c>
      <c r="G1361" s="13">
        <f t="shared" si="378"/>
        <v>-28</v>
      </c>
      <c r="H1361" s="13">
        <f t="shared" si="379"/>
        <v>0</v>
      </c>
      <c r="I1361" s="70">
        <f t="shared" si="380"/>
        <v>0</v>
      </c>
      <c r="J1361" s="70">
        <f t="shared" si="381"/>
        <v>-1.6489988221436991E-2</v>
      </c>
      <c r="K1361" s="82" t="str">
        <f>_xlfn.IFNA(VLOOKUP(CLEAN(SUBSTITUTE(C1361," ","")),Ref_Factory!$A:$B,2,FALSE),CLEAN(SUBSTITUTE(C1361," ","")))</f>
        <v>CNJ2</v>
      </c>
      <c r="L1361" s="82" t="str">
        <f t="shared" si="382"/>
        <v>SEPTEMBER-3-CNJ2</v>
      </c>
      <c r="M1361" s="70">
        <f t="shared" si="383"/>
        <v>0</v>
      </c>
      <c r="N1361" s="70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25">
      <c r="A1362" t="s">
        <v>43</v>
      </c>
      <c r="B1362">
        <v>3</v>
      </c>
      <c r="C1362" t="s">
        <v>27</v>
      </c>
      <c r="D1362" s="66">
        <v>3340</v>
      </c>
      <c r="E1362" s="66">
        <v>3382</v>
      </c>
      <c r="F1362" s="66">
        <v>3340</v>
      </c>
      <c r="G1362" s="13">
        <f t="shared" si="378"/>
        <v>-42</v>
      </c>
      <c r="H1362" s="13">
        <f t="shared" si="379"/>
        <v>0</v>
      </c>
      <c r="I1362" s="70">
        <f t="shared" si="380"/>
        <v>0</v>
      </c>
      <c r="J1362" s="70">
        <f t="shared" si="381"/>
        <v>-1.2418687167356612E-2</v>
      </c>
      <c r="K1362" s="82" t="str">
        <f>_xlfn.IFNA(VLOOKUP(CLEAN(SUBSTITUTE(C1362," ","")),Ref_Factory!$A:$B,2,FALSE),CLEAN(SUBSTITUTE(C1362," ","")))</f>
        <v>CNJ2</v>
      </c>
      <c r="L1362" s="82" t="str">
        <f t="shared" si="382"/>
        <v>SEPTEMBER-3-CNJ2</v>
      </c>
      <c r="M1362" s="70">
        <f t="shared" si="383"/>
        <v>0</v>
      </c>
      <c r="N1362" s="70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25">
      <c r="A1363" t="s">
        <v>43</v>
      </c>
      <c r="B1363">
        <v>3</v>
      </c>
      <c r="C1363" t="s">
        <v>27</v>
      </c>
      <c r="D1363" s="66">
        <v>1090</v>
      </c>
      <c r="E1363" s="66">
        <v>1122</v>
      </c>
      <c r="F1363" s="66">
        <v>1090</v>
      </c>
      <c r="G1363" s="13">
        <f t="shared" si="378"/>
        <v>-32</v>
      </c>
      <c r="H1363" s="13">
        <f t="shared" si="379"/>
        <v>0</v>
      </c>
      <c r="I1363" s="70">
        <f t="shared" si="380"/>
        <v>0</v>
      </c>
      <c r="J1363" s="70">
        <f t="shared" si="381"/>
        <v>-2.8520499108734443E-2</v>
      </c>
      <c r="K1363" s="82" t="str">
        <f>_xlfn.IFNA(VLOOKUP(CLEAN(SUBSTITUTE(C1363," ","")),Ref_Factory!$A:$B,2,FALSE),CLEAN(SUBSTITUTE(C1363," ","")))</f>
        <v>CNJ2</v>
      </c>
      <c r="L1363" s="82" t="str">
        <f t="shared" si="382"/>
        <v>SEPTEMBER-3-CNJ2</v>
      </c>
      <c r="M1363" s="70">
        <f t="shared" si="383"/>
        <v>0</v>
      </c>
      <c r="N1363" s="70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25">
      <c r="A1364" t="s">
        <v>43</v>
      </c>
      <c r="B1364">
        <v>3</v>
      </c>
      <c r="C1364" t="s">
        <v>27</v>
      </c>
      <c r="D1364" s="66">
        <v>1740</v>
      </c>
      <c r="E1364" s="66">
        <v>1802</v>
      </c>
      <c r="F1364" s="66">
        <v>1740</v>
      </c>
      <c r="G1364" s="13">
        <f t="shared" si="378"/>
        <v>-62</v>
      </c>
      <c r="H1364" s="13">
        <f t="shared" si="379"/>
        <v>0</v>
      </c>
      <c r="I1364" s="70">
        <f t="shared" si="380"/>
        <v>0</v>
      </c>
      <c r="J1364" s="70">
        <f t="shared" si="381"/>
        <v>-3.4406215316315159E-2</v>
      </c>
      <c r="K1364" s="82" t="str">
        <f>_xlfn.IFNA(VLOOKUP(CLEAN(SUBSTITUTE(C1364," ","")),Ref_Factory!$A:$B,2,FALSE),CLEAN(SUBSTITUTE(C1364," ","")))</f>
        <v>CNJ2</v>
      </c>
      <c r="L1364" s="82" t="str">
        <f t="shared" si="382"/>
        <v>SEPTEMBER-3-CNJ2</v>
      </c>
      <c r="M1364" s="70">
        <f t="shared" si="383"/>
        <v>0</v>
      </c>
      <c r="N1364" s="70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25">
      <c r="A1365" t="s">
        <v>43</v>
      </c>
      <c r="B1365">
        <v>3</v>
      </c>
      <c r="C1365" t="s">
        <v>27</v>
      </c>
      <c r="D1365" s="66">
        <v>970</v>
      </c>
      <c r="E1365" s="66">
        <v>1016</v>
      </c>
      <c r="F1365" s="66">
        <v>970</v>
      </c>
      <c r="G1365" s="13">
        <f t="shared" si="378"/>
        <v>-46</v>
      </c>
      <c r="H1365" s="13">
        <f t="shared" si="379"/>
        <v>0</v>
      </c>
      <c r="I1365" s="70">
        <f t="shared" si="380"/>
        <v>0</v>
      </c>
      <c r="J1365" s="70">
        <f t="shared" si="381"/>
        <v>-4.5275590551181133E-2</v>
      </c>
      <c r="K1365" s="82" t="str">
        <f>_xlfn.IFNA(VLOOKUP(CLEAN(SUBSTITUTE(C1365," ","")),Ref_Factory!$A:$B,2,FALSE),CLEAN(SUBSTITUTE(C1365," ","")))</f>
        <v>CNJ2</v>
      </c>
      <c r="L1365" s="82" t="str">
        <f t="shared" si="382"/>
        <v>SEPTEMBER-3-CNJ2</v>
      </c>
      <c r="M1365" s="70">
        <f t="shared" si="383"/>
        <v>0</v>
      </c>
      <c r="N1365" s="70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25">
      <c r="A1366" t="s">
        <v>43</v>
      </c>
      <c r="B1366">
        <v>3</v>
      </c>
      <c r="C1366" t="s">
        <v>17</v>
      </c>
      <c r="D1366" s="66">
        <v>500</v>
      </c>
      <c r="E1366">
        <v>510</v>
      </c>
      <c r="F1366" s="68">
        <v>500</v>
      </c>
      <c r="G1366" s="13">
        <f t="shared" si="378"/>
        <v>-10</v>
      </c>
      <c r="H1366" s="13">
        <f t="shared" si="379"/>
        <v>0</v>
      </c>
      <c r="I1366" s="70">
        <f t="shared" si="380"/>
        <v>0</v>
      </c>
      <c r="J1366" s="70">
        <f t="shared" si="381"/>
        <v>-1.9607843137254943E-2</v>
      </c>
      <c r="K1366" s="82" t="str">
        <f>_xlfn.IFNA(VLOOKUP(CLEAN(SUBSTITUTE(C1366," ","")),Ref_Factory!$A:$B,2,FALSE),CLEAN(SUBSTITUTE(C1366," ","")))</f>
        <v>CBA</v>
      </c>
      <c r="L1366" s="82" t="str">
        <f t="shared" si="382"/>
        <v>SEPTEMBER-3-CBA</v>
      </c>
      <c r="M1366" s="70">
        <f t="shared" si="383"/>
        <v>0</v>
      </c>
      <c r="N1366" s="70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25">
      <c r="A1367" t="s">
        <v>43</v>
      </c>
      <c r="B1367">
        <v>3</v>
      </c>
      <c r="C1367" t="s">
        <v>72</v>
      </c>
      <c r="D1367" s="66">
        <v>6588</v>
      </c>
      <c r="E1367" s="66">
        <v>6749</v>
      </c>
      <c r="F1367" s="66">
        <v>6588</v>
      </c>
      <c r="G1367" s="13">
        <f t="shared" si="378"/>
        <v>-161</v>
      </c>
      <c r="H1367" s="13">
        <f t="shared" si="379"/>
        <v>0</v>
      </c>
      <c r="I1367" s="70">
        <f t="shared" si="380"/>
        <v>0</v>
      </c>
      <c r="J1367" s="70">
        <f t="shared" si="381"/>
        <v>-2.3855385983108657E-2</v>
      </c>
      <c r="K1367" s="82" t="str">
        <f>_xlfn.IFNA(VLOOKUP(CLEAN(SUBSTITUTE(C1367," ","")),Ref_Factory!$A:$B,2,FALSE),CLEAN(SUBSTITUTE(C1367," ","")))</f>
        <v>GM1</v>
      </c>
      <c r="L1367" s="82" t="str">
        <f t="shared" si="382"/>
        <v>SEPTEMBER-3-GM1</v>
      </c>
      <c r="M1367" s="70">
        <f t="shared" si="383"/>
        <v>6.3974413889878456E-2</v>
      </c>
      <c r="N1367" s="70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25">
      <c r="A1368" t="s">
        <v>43</v>
      </c>
      <c r="B1368">
        <v>3</v>
      </c>
      <c r="C1368" t="s">
        <v>72</v>
      </c>
      <c r="D1368" s="66">
        <v>5076</v>
      </c>
      <c r="E1368" s="66">
        <v>5292</v>
      </c>
      <c r="F1368" s="66">
        <v>5280</v>
      </c>
      <c r="G1368" s="13">
        <f t="shared" si="378"/>
        <v>-12</v>
      </c>
      <c r="H1368" s="13">
        <f t="shared" si="379"/>
        <v>204</v>
      </c>
      <c r="I1368" s="70">
        <f t="shared" si="380"/>
        <v>4.0189125295508221E-2</v>
      </c>
      <c r="J1368" s="70">
        <f t="shared" si="381"/>
        <v>-2.2675736961451642E-3</v>
      </c>
      <c r="K1368" s="82" t="str">
        <f>_xlfn.IFNA(VLOOKUP(CLEAN(SUBSTITUTE(C1368," ","")),Ref_Factory!$A:$B,2,FALSE),CLEAN(SUBSTITUTE(C1368," ","")))</f>
        <v>GM1</v>
      </c>
      <c r="L1368" s="82" t="str">
        <f t="shared" si="382"/>
        <v>SEPTEMBER-3-GM1</v>
      </c>
      <c r="M1368" s="70">
        <f t="shared" si="383"/>
        <v>6.3974413889878456E-2</v>
      </c>
      <c r="N1368" s="70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25">
      <c r="A1369" t="s">
        <v>43</v>
      </c>
      <c r="B1369">
        <v>3</v>
      </c>
      <c r="C1369" t="s">
        <v>72</v>
      </c>
      <c r="D1369" s="66">
        <v>4860</v>
      </c>
      <c r="E1369" s="68">
        <v>5058</v>
      </c>
      <c r="F1369" s="68">
        <v>5046</v>
      </c>
      <c r="G1369" s="13">
        <f t="shared" si="378"/>
        <v>-12</v>
      </c>
      <c r="H1369" s="13">
        <f t="shared" si="379"/>
        <v>186</v>
      </c>
      <c r="I1369" s="70">
        <f t="shared" si="380"/>
        <v>3.8271604938271642E-2</v>
      </c>
      <c r="J1369" s="70">
        <f t="shared" si="381"/>
        <v>-2.3724792408066353E-3</v>
      </c>
      <c r="K1369" s="82" t="str">
        <f>_xlfn.IFNA(VLOOKUP(CLEAN(SUBSTITUTE(C1369," ","")),Ref_Factory!$A:$B,2,FALSE),CLEAN(SUBSTITUTE(C1369," ","")))</f>
        <v>GM1</v>
      </c>
      <c r="L1369" s="82" t="str">
        <f t="shared" si="382"/>
        <v>SEPTEMBER-3-GM1</v>
      </c>
      <c r="M1369" s="70">
        <f t="shared" si="383"/>
        <v>6.3974413889878456E-2</v>
      </c>
      <c r="N1369" s="70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25">
      <c r="A1370" t="s">
        <v>43</v>
      </c>
      <c r="B1370">
        <v>3</v>
      </c>
      <c r="C1370" t="s">
        <v>72</v>
      </c>
      <c r="D1370" s="66">
        <v>6156</v>
      </c>
      <c r="E1370" s="68">
        <v>6411</v>
      </c>
      <c r="F1370" s="68">
        <v>6396</v>
      </c>
      <c r="G1370" s="13">
        <f t="shared" si="378"/>
        <v>-15</v>
      </c>
      <c r="H1370" s="13">
        <f t="shared" si="379"/>
        <v>240</v>
      </c>
      <c r="I1370" s="70">
        <f t="shared" si="380"/>
        <v>3.8986354775828458E-2</v>
      </c>
      <c r="J1370" s="70">
        <f t="shared" si="381"/>
        <v>-2.3397285914833477E-3</v>
      </c>
      <c r="K1370" s="82" t="str">
        <f>_xlfn.IFNA(VLOOKUP(CLEAN(SUBSTITUTE(C1370," ","")),Ref_Factory!$A:$B,2,FALSE),CLEAN(SUBSTITUTE(C1370," ","")))</f>
        <v>GM1</v>
      </c>
      <c r="L1370" s="82" t="str">
        <f t="shared" si="382"/>
        <v>SEPTEMBER-3-GM1</v>
      </c>
      <c r="M1370" s="70">
        <f t="shared" si="383"/>
        <v>6.3974413889878456E-2</v>
      </c>
      <c r="N1370" s="70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25">
      <c r="A1371" t="s">
        <v>43</v>
      </c>
      <c r="B1371">
        <v>3</v>
      </c>
      <c r="C1371" t="s">
        <v>72</v>
      </c>
      <c r="D1371" s="66">
        <v>1404</v>
      </c>
      <c r="E1371" s="68">
        <v>1464</v>
      </c>
      <c r="F1371" s="68">
        <v>1461</v>
      </c>
      <c r="G1371" s="13">
        <f t="shared" si="378"/>
        <v>-3</v>
      </c>
      <c r="H1371" s="13">
        <f t="shared" si="379"/>
        <v>57</v>
      </c>
      <c r="I1371" s="70">
        <f t="shared" si="380"/>
        <v>4.0598290598290676E-2</v>
      </c>
      <c r="J1371" s="70">
        <f t="shared" si="381"/>
        <v>-2.049180327868827E-3</v>
      </c>
      <c r="K1371" s="82" t="str">
        <f>_xlfn.IFNA(VLOOKUP(CLEAN(SUBSTITUTE(C1371," ","")),Ref_Factory!$A:$B,2,FALSE),CLEAN(SUBSTITUTE(C1371," ","")))</f>
        <v>GM1</v>
      </c>
      <c r="L1371" s="82" t="str">
        <f t="shared" si="382"/>
        <v>SEPTEMBER-3-GM1</v>
      </c>
      <c r="M1371" s="70">
        <f t="shared" si="383"/>
        <v>6.3974413889878456E-2</v>
      </c>
      <c r="N1371" s="70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25">
      <c r="A1372" t="s">
        <v>43</v>
      </c>
      <c r="B1372">
        <v>3</v>
      </c>
      <c r="C1372" t="s">
        <v>72</v>
      </c>
      <c r="D1372" s="66">
        <v>4860</v>
      </c>
      <c r="E1372" s="68">
        <v>4869</v>
      </c>
      <c r="F1372" s="68">
        <v>4860</v>
      </c>
      <c r="G1372" s="13">
        <f t="shared" si="378"/>
        <v>-9</v>
      </c>
      <c r="H1372" s="13">
        <f t="shared" si="379"/>
        <v>0</v>
      </c>
      <c r="I1372" s="70">
        <f t="shared" si="380"/>
        <v>0</v>
      </c>
      <c r="J1372" s="70">
        <f t="shared" si="381"/>
        <v>-1.848428835489857E-3</v>
      </c>
      <c r="K1372" s="82" t="str">
        <f>_xlfn.IFNA(VLOOKUP(CLEAN(SUBSTITUTE(C1372," ","")),Ref_Factory!$A:$B,2,FALSE),CLEAN(SUBSTITUTE(C1372," ","")))</f>
        <v>GM1</v>
      </c>
      <c r="L1372" s="82" t="str">
        <f t="shared" si="382"/>
        <v>SEPTEMBER-3-GM1</v>
      </c>
      <c r="M1372" s="70">
        <f t="shared" si="383"/>
        <v>6.3974413889878456E-2</v>
      </c>
      <c r="N1372" s="70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25">
      <c r="A1373" t="s">
        <v>43</v>
      </c>
      <c r="B1373">
        <v>3</v>
      </c>
      <c r="C1373" t="s">
        <v>72</v>
      </c>
      <c r="D1373" s="66">
        <v>1188</v>
      </c>
      <c r="E1373" s="68">
        <v>1188</v>
      </c>
      <c r="F1373" s="68">
        <v>1188</v>
      </c>
      <c r="G1373" s="13">
        <f t="shared" si="378"/>
        <v>0</v>
      </c>
      <c r="H1373" s="13">
        <f t="shared" si="379"/>
        <v>0</v>
      </c>
      <c r="I1373" s="70">
        <f t="shared" si="380"/>
        <v>0</v>
      </c>
      <c r="J1373" s="70">
        <f t="shared" si="381"/>
        <v>0</v>
      </c>
      <c r="K1373" s="82" t="str">
        <f>_xlfn.IFNA(VLOOKUP(CLEAN(SUBSTITUTE(C1373," ","")),Ref_Factory!$A:$B,2,FALSE),CLEAN(SUBSTITUTE(C1373," ","")))</f>
        <v>GM1</v>
      </c>
      <c r="L1373" s="82" t="str">
        <f t="shared" si="382"/>
        <v>SEPTEMBER-3-GM1</v>
      </c>
      <c r="M1373" s="70">
        <f t="shared" si="383"/>
        <v>6.3974413889878456E-2</v>
      </c>
      <c r="N1373" s="70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25">
      <c r="A1374" t="s">
        <v>43</v>
      </c>
      <c r="B1374">
        <v>3</v>
      </c>
      <c r="C1374" t="s">
        <v>72</v>
      </c>
      <c r="D1374" s="66">
        <v>12852</v>
      </c>
      <c r="E1374" s="68">
        <v>12072</v>
      </c>
      <c r="F1374" s="68">
        <v>11643</v>
      </c>
      <c r="G1374" s="13">
        <f t="shared" si="378"/>
        <v>-429</v>
      </c>
      <c r="H1374" s="13">
        <f t="shared" si="379"/>
        <v>-1209</v>
      </c>
      <c r="I1374" s="70">
        <f t="shared" si="380"/>
        <v>-9.407096171802054E-2</v>
      </c>
      <c r="J1374" s="70">
        <f t="shared" si="381"/>
        <v>-3.5536779324055634E-2</v>
      </c>
      <c r="K1374" s="82" t="str">
        <f>_xlfn.IFNA(VLOOKUP(CLEAN(SUBSTITUTE(C1374," ","")),Ref_Factory!$A:$B,2,FALSE),CLEAN(SUBSTITUTE(C1374," ","")))</f>
        <v>GM1</v>
      </c>
      <c r="L1374" s="82" t="str">
        <f t="shared" si="382"/>
        <v>SEPTEMBER-3-GM1</v>
      </c>
      <c r="M1374" s="70">
        <f t="shared" si="383"/>
        <v>6.3974413889878456E-2</v>
      </c>
      <c r="N1374" s="70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25">
      <c r="A1375" t="s">
        <v>43</v>
      </c>
      <c r="B1375">
        <v>3</v>
      </c>
      <c r="C1375" t="s">
        <v>72</v>
      </c>
      <c r="D1375" s="66">
        <v>7884</v>
      </c>
      <c r="E1375" s="68">
        <v>7887</v>
      </c>
      <c r="F1375" s="68">
        <v>7884</v>
      </c>
      <c r="G1375" s="13">
        <f t="shared" si="378"/>
        <v>-3</v>
      </c>
      <c r="H1375" s="13">
        <f t="shared" si="379"/>
        <v>0</v>
      </c>
      <c r="I1375" s="70">
        <f t="shared" si="380"/>
        <v>0</v>
      </c>
      <c r="J1375" s="70">
        <f t="shared" si="381"/>
        <v>-3.8037276530999975E-4</v>
      </c>
      <c r="K1375" s="82" t="str">
        <f>_xlfn.IFNA(VLOOKUP(CLEAN(SUBSTITUTE(C1375," ","")),Ref_Factory!$A:$B,2,FALSE),CLEAN(SUBSTITUTE(C1375," ","")))</f>
        <v>GM1</v>
      </c>
      <c r="L1375" s="82" t="str">
        <f t="shared" si="382"/>
        <v>SEPTEMBER-3-GM1</v>
      </c>
      <c r="M1375" s="70">
        <f t="shared" si="383"/>
        <v>6.3974413889878456E-2</v>
      </c>
      <c r="N1375" s="70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25">
      <c r="A1376" t="s">
        <v>43</v>
      </c>
      <c r="B1376">
        <v>3</v>
      </c>
      <c r="C1376" t="s">
        <v>72</v>
      </c>
      <c r="D1376" s="66">
        <v>6048</v>
      </c>
      <c r="E1376" s="68">
        <v>6048</v>
      </c>
      <c r="F1376" s="68">
        <v>6048</v>
      </c>
      <c r="G1376" s="13">
        <f t="shared" si="378"/>
        <v>0</v>
      </c>
      <c r="H1376" s="13">
        <f t="shared" si="379"/>
        <v>0</v>
      </c>
      <c r="I1376" s="70">
        <f t="shared" si="380"/>
        <v>0</v>
      </c>
      <c r="J1376" s="70">
        <f t="shared" si="381"/>
        <v>0</v>
      </c>
      <c r="K1376" s="82" t="str">
        <f>_xlfn.IFNA(VLOOKUP(CLEAN(SUBSTITUTE(C1376," ","")),Ref_Factory!$A:$B,2,FALSE),CLEAN(SUBSTITUTE(C1376," ","")))</f>
        <v>GM1</v>
      </c>
      <c r="L1376" s="82" t="str">
        <f t="shared" si="382"/>
        <v>SEPTEMBER-3-GM1</v>
      </c>
      <c r="M1376" s="70">
        <f t="shared" si="383"/>
        <v>6.3974413889878456E-2</v>
      </c>
      <c r="N1376" s="70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2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70">
        <f t="shared" si="380"/>
        <v>0</v>
      </c>
      <c r="J1377" s="70">
        <f t="shared" si="381"/>
        <v>0</v>
      </c>
      <c r="K1377" s="82" t="str">
        <f>_xlfn.IFNA(VLOOKUP(CLEAN(SUBSTITUTE(C1377," ","")),Ref_Factory!$A:$B,2,FALSE),CLEAN(SUBSTITUTE(C1377," ","")))</f>
        <v>GM1</v>
      </c>
      <c r="L1377" s="82" t="str">
        <f t="shared" si="382"/>
        <v>SEPTEMBER-4-GM1</v>
      </c>
      <c r="M1377" s="70">
        <f t="shared" si="383"/>
        <v>9.791142526959018E-2</v>
      </c>
      <c r="N1377" s="70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2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70">
        <f t="shared" si="380"/>
        <v>0</v>
      </c>
      <c r="J1378" s="70">
        <f t="shared" si="381"/>
        <v>-4.9751243781094301E-3</v>
      </c>
      <c r="K1378" s="82" t="str">
        <f>_xlfn.IFNA(VLOOKUP(CLEAN(SUBSTITUTE(C1378," ","")),Ref_Factory!$A:$B,2,FALSE),CLEAN(SUBSTITUTE(C1378," ","")))</f>
        <v>GM1</v>
      </c>
      <c r="L1378" s="82" t="str">
        <f t="shared" si="382"/>
        <v>SEPTEMBER-4-GM1</v>
      </c>
      <c r="M1378" s="70">
        <f t="shared" si="383"/>
        <v>9.791142526959018E-2</v>
      </c>
      <c r="N1378" s="70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25">
      <c r="A1379" t="s">
        <v>43</v>
      </c>
      <c r="B1379">
        <v>4</v>
      </c>
      <c r="C1379" t="s">
        <v>70</v>
      </c>
      <c r="D1379" s="69">
        <v>4104</v>
      </c>
      <c r="E1379" s="69">
        <v>4104</v>
      </c>
      <c r="F1379" s="69">
        <v>4104</v>
      </c>
      <c r="G1379" s="13">
        <f t="shared" si="378"/>
        <v>0</v>
      </c>
      <c r="H1379" s="13">
        <f t="shared" si="379"/>
        <v>0</v>
      </c>
      <c r="I1379" s="70">
        <f t="shared" si="380"/>
        <v>0</v>
      </c>
      <c r="J1379" s="70">
        <f t="shared" si="381"/>
        <v>0</v>
      </c>
      <c r="K1379" s="82" t="str">
        <f>_xlfn.IFNA(VLOOKUP(CLEAN(SUBSTITUTE(C1379," ","")),Ref_Factory!$A:$B,2,FALSE),CLEAN(SUBSTITUTE(C1379," ","")))</f>
        <v>GM1</v>
      </c>
      <c r="L1379" s="82" t="str">
        <f t="shared" si="382"/>
        <v>SEPTEMBER-4-GM1</v>
      </c>
      <c r="M1379" s="70">
        <f t="shared" si="383"/>
        <v>9.791142526959018E-2</v>
      </c>
      <c r="N1379" s="70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25">
      <c r="A1380" t="s">
        <v>43</v>
      </c>
      <c r="B1380">
        <v>4</v>
      </c>
      <c r="C1380" t="s">
        <v>70</v>
      </c>
      <c r="D1380" s="69">
        <v>15660</v>
      </c>
      <c r="E1380" s="69">
        <v>16293</v>
      </c>
      <c r="F1380" s="69">
        <v>16215</v>
      </c>
      <c r="G1380" s="13">
        <f t="shared" si="378"/>
        <v>-78</v>
      </c>
      <c r="H1380" s="13">
        <f t="shared" si="379"/>
        <v>555</v>
      </c>
      <c r="I1380" s="70">
        <f t="shared" si="380"/>
        <v>3.5440613026819889E-2</v>
      </c>
      <c r="J1380" s="70">
        <f t="shared" si="381"/>
        <v>-4.7873319830602501E-3</v>
      </c>
      <c r="K1380" s="82" t="str">
        <f>_xlfn.IFNA(VLOOKUP(CLEAN(SUBSTITUTE(C1380," ","")),Ref_Factory!$A:$B,2,FALSE),CLEAN(SUBSTITUTE(C1380," ","")))</f>
        <v>GM1</v>
      </c>
      <c r="L1380" s="82" t="str">
        <f t="shared" si="382"/>
        <v>SEPTEMBER-4-GM1</v>
      </c>
      <c r="M1380" s="70">
        <f t="shared" si="383"/>
        <v>9.791142526959018E-2</v>
      </c>
      <c r="N1380" s="70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25">
      <c r="A1381" t="s">
        <v>43</v>
      </c>
      <c r="B1381">
        <v>4</v>
      </c>
      <c r="C1381" t="s">
        <v>70</v>
      </c>
      <c r="D1381" s="69">
        <v>7344</v>
      </c>
      <c r="E1381" s="69">
        <v>7344</v>
      </c>
      <c r="F1381" s="69">
        <v>7344</v>
      </c>
      <c r="G1381" s="13">
        <f t="shared" si="378"/>
        <v>0</v>
      </c>
      <c r="H1381" s="13">
        <f t="shared" si="379"/>
        <v>0</v>
      </c>
      <c r="I1381" s="70">
        <f t="shared" si="380"/>
        <v>0</v>
      </c>
      <c r="J1381" s="70">
        <f t="shared" si="381"/>
        <v>0</v>
      </c>
      <c r="K1381" s="82" t="str">
        <f>_xlfn.IFNA(VLOOKUP(CLEAN(SUBSTITUTE(C1381," ","")),Ref_Factory!$A:$B,2,FALSE),CLEAN(SUBSTITUTE(C1381," ","")))</f>
        <v>GM1</v>
      </c>
      <c r="L1381" s="82" t="str">
        <f t="shared" si="382"/>
        <v>SEPTEMBER-4-GM1</v>
      </c>
      <c r="M1381" s="70">
        <f t="shared" si="383"/>
        <v>9.791142526959018E-2</v>
      </c>
      <c r="N1381" s="70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25">
      <c r="A1382" t="s">
        <v>43</v>
      </c>
      <c r="B1382">
        <v>4</v>
      </c>
      <c r="C1382" t="s">
        <v>72</v>
      </c>
      <c r="D1382" s="66">
        <v>3888</v>
      </c>
      <c r="E1382" s="66">
        <v>3941</v>
      </c>
      <c r="F1382" s="66">
        <v>3933</v>
      </c>
      <c r="G1382" s="13">
        <f t="shared" si="378"/>
        <v>-8</v>
      </c>
      <c r="H1382" s="13">
        <f t="shared" si="379"/>
        <v>45</v>
      </c>
      <c r="I1382" s="70">
        <f t="shared" si="380"/>
        <v>1.1574074074074181E-2</v>
      </c>
      <c r="J1382" s="70">
        <f t="shared" si="381"/>
        <v>-2.0299416391779124E-3</v>
      </c>
      <c r="K1382" s="82" t="str">
        <f>_xlfn.IFNA(VLOOKUP(CLEAN(SUBSTITUTE(C1382," ","")),Ref_Factory!$A:$B,2,FALSE),CLEAN(SUBSTITUTE(C1382," ","")))</f>
        <v>GM1</v>
      </c>
      <c r="L1382" s="82" t="str">
        <f t="shared" si="382"/>
        <v>SEPTEMBER-4-GM1</v>
      </c>
      <c r="M1382" s="70">
        <f t="shared" si="383"/>
        <v>9.791142526959018E-2</v>
      </c>
      <c r="N1382" s="70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25">
      <c r="A1383" t="s">
        <v>43</v>
      </c>
      <c r="B1383">
        <v>4</v>
      </c>
      <c r="C1383" t="s">
        <v>72</v>
      </c>
      <c r="D1383" s="66">
        <v>7344</v>
      </c>
      <c r="E1383" s="66">
        <v>7428</v>
      </c>
      <c r="F1383" s="66">
        <v>7431</v>
      </c>
      <c r="G1383" s="13">
        <f t="shared" si="378"/>
        <v>3</v>
      </c>
      <c r="H1383" s="13">
        <f t="shared" si="379"/>
        <v>87</v>
      </c>
      <c r="I1383" s="70">
        <f t="shared" si="380"/>
        <v>1.1846405228758128E-2</v>
      </c>
      <c r="J1383" s="70">
        <f t="shared" si="381"/>
        <v>4.0387722132462223E-4</v>
      </c>
      <c r="K1383" s="82" t="str">
        <f>_xlfn.IFNA(VLOOKUP(CLEAN(SUBSTITUTE(C1383," ","")),Ref_Factory!$A:$B,2,FALSE),CLEAN(SUBSTITUTE(C1383," ","")))</f>
        <v>GM1</v>
      </c>
      <c r="L1383" s="82" t="str">
        <f t="shared" si="382"/>
        <v>SEPTEMBER-4-GM1</v>
      </c>
      <c r="M1383" s="70">
        <f t="shared" si="383"/>
        <v>9.791142526959018E-2</v>
      </c>
      <c r="N1383" s="70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25">
      <c r="A1384" t="s">
        <v>43</v>
      </c>
      <c r="B1384">
        <v>4</v>
      </c>
      <c r="C1384" t="s">
        <v>72</v>
      </c>
      <c r="D1384" s="66">
        <v>1080</v>
      </c>
      <c r="E1384" s="68">
        <v>1091</v>
      </c>
      <c r="F1384" s="68">
        <v>1089</v>
      </c>
      <c r="G1384" s="13">
        <f t="shared" si="378"/>
        <v>-2</v>
      </c>
      <c r="H1384" s="13">
        <f t="shared" si="379"/>
        <v>9</v>
      </c>
      <c r="I1384" s="70">
        <f t="shared" si="380"/>
        <v>8.3333333333333037E-3</v>
      </c>
      <c r="J1384" s="70">
        <f t="shared" si="381"/>
        <v>-1.8331805682859637E-3</v>
      </c>
      <c r="K1384" s="82" t="str">
        <f>_xlfn.IFNA(VLOOKUP(CLEAN(SUBSTITUTE(C1384," ","")),Ref_Factory!$A:$B,2,FALSE),CLEAN(SUBSTITUTE(C1384," ","")))</f>
        <v>GM1</v>
      </c>
      <c r="L1384" s="82" t="str">
        <f t="shared" si="382"/>
        <v>SEPTEMBER-4-GM1</v>
      </c>
      <c r="M1384" s="70">
        <f t="shared" si="383"/>
        <v>9.791142526959018E-2</v>
      </c>
      <c r="N1384" s="70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25">
      <c r="A1385" t="s">
        <v>43</v>
      </c>
      <c r="B1385">
        <v>4</v>
      </c>
      <c r="C1385" t="s">
        <v>72</v>
      </c>
      <c r="D1385" s="66">
        <v>10476</v>
      </c>
      <c r="E1385" s="68">
        <v>10902</v>
      </c>
      <c r="F1385" s="68">
        <v>10878</v>
      </c>
      <c r="G1385" s="13">
        <f t="shared" si="378"/>
        <v>-24</v>
      </c>
      <c r="H1385" s="13">
        <f t="shared" si="379"/>
        <v>402</v>
      </c>
      <c r="I1385" s="70">
        <f t="shared" si="380"/>
        <v>3.8373424971363201E-2</v>
      </c>
      <c r="J1385" s="70">
        <f t="shared" si="381"/>
        <v>-2.2014309301046087E-3</v>
      </c>
      <c r="K1385" s="82" t="str">
        <f>_xlfn.IFNA(VLOOKUP(CLEAN(SUBSTITUTE(C1385," ","")),Ref_Factory!$A:$B,2,FALSE),CLEAN(SUBSTITUTE(C1385," ","")))</f>
        <v>GM1</v>
      </c>
      <c r="L1385" s="82" t="str">
        <f t="shared" si="382"/>
        <v>SEPTEMBER-4-GM1</v>
      </c>
      <c r="M1385" s="70">
        <f t="shared" si="383"/>
        <v>9.791142526959018E-2</v>
      </c>
      <c r="N1385" s="70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25">
      <c r="A1386" t="s">
        <v>43</v>
      </c>
      <c r="B1386">
        <v>4</v>
      </c>
      <c r="C1386" t="s">
        <v>72</v>
      </c>
      <c r="D1386" s="66">
        <v>1080</v>
      </c>
      <c r="E1386" s="68">
        <v>1118</v>
      </c>
      <c r="F1386" s="68">
        <v>1116</v>
      </c>
      <c r="G1386" s="13">
        <f t="shared" si="378"/>
        <v>-2</v>
      </c>
      <c r="H1386" s="13">
        <f t="shared" si="379"/>
        <v>36</v>
      </c>
      <c r="I1386" s="70">
        <f t="shared" si="380"/>
        <v>3.3333333333333437E-2</v>
      </c>
      <c r="J1386" s="70">
        <f t="shared" si="381"/>
        <v>-1.7889087656529634E-3</v>
      </c>
      <c r="K1386" s="82" t="str">
        <f>_xlfn.IFNA(VLOOKUP(CLEAN(SUBSTITUTE(C1386," ","")),Ref_Factory!$A:$B,2,FALSE),CLEAN(SUBSTITUTE(C1386," ","")))</f>
        <v>GM1</v>
      </c>
      <c r="L1386" s="82" t="str">
        <f t="shared" si="382"/>
        <v>SEPTEMBER-4-GM1</v>
      </c>
      <c r="M1386" s="70">
        <f t="shared" si="383"/>
        <v>9.791142526959018E-2</v>
      </c>
      <c r="N1386" s="70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25">
      <c r="A1387" t="s">
        <v>43</v>
      </c>
      <c r="B1387">
        <v>4</v>
      </c>
      <c r="C1387" t="s">
        <v>72</v>
      </c>
      <c r="D1387" s="66">
        <v>5940</v>
      </c>
      <c r="E1387" s="68">
        <v>5940</v>
      </c>
      <c r="F1387" s="68">
        <v>5925</v>
      </c>
      <c r="G1387" s="13">
        <f t="shared" si="378"/>
        <v>-15</v>
      </c>
      <c r="H1387" s="13">
        <f t="shared" si="379"/>
        <v>-15</v>
      </c>
      <c r="I1387" s="70">
        <f t="shared" si="380"/>
        <v>-2.525252525252486E-3</v>
      </c>
      <c r="J1387" s="70">
        <f t="shared" si="381"/>
        <v>-2.525252525252486E-3</v>
      </c>
      <c r="K1387" s="82" t="str">
        <f>_xlfn.IFNA(VLOOKUP(CLEAN(SUBSTITUTE(C1387," ","")),Ref_Factory!$A:$B,2,FALSE),CLEAN(SUBSTITUTE(C1387," ","")))</f>
        <v>GM1</v>
      </c>
      <c r="L1387" s="82" t="str">
        <f t="shared" si="382"/>
        <v>SEPTEMBER-4-GM1</v>
      </c>
      <c r="M1387" s="70">
        <f t="shared" si="383"/>
        <v>9.791142526959018E-2</v>
      </c>
      <c r="N1387" s="70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25">
      <c r="A1388" t="s">
        <v>43</v>
      </c>
      <c r="B1388">
        <v>4</v>
      </c>
      <c r="C1388" t="s">
        <v>72</v>
      </c>
      <c r="D1388" s="66">
        <v>3996</v>
      </c>
      <c r="E1388" s="68">
        <v>2933</v>
      </c>
      <c r="F1388" s="68">
        <v>3996</v>
      </c>
      <c r="G1388" s="13">
        <f t="shared" si="378"/>
        <v>1063</v>
      </c>
      <c r="H1388" s="13">
        <f t="shared" si="379"/>
        <v>0</v>
      </c>
      <c r="I1388" s="70">
        <f t="shared" si="380"/>
        <v>0</v>
      </c>
      <c r="J1388" s="70">
        <f t="shared" si="381"/>
        <v>0.36242754858506654</v>
      </c>
      <c r="K1388" s="82" t="str">
        <f>_xlfn.IFNA(VLOOKUP(CLEAN(SUBSTITUTE(C1388," ","")),Ref_Factory!$A:$B,2,FALSE),CLEAN(SUBSTITUTE(C1388," ","")))</f>
        <v>GM1</v>
      </c>
      <c r="L1388" s="82" t="str">
        <f t="shared" si="382"/>
        <v>SEPTEMBER-4-GM1</v>
      </c>
      <c r="M1388" s="70">
        <f t="shared" si="383"/>
        <v>9.791142526959018E-2</v>
      </c>
      <c r="N1388" s="70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25">
      <c r="A1389" t="s">
        <v>43</v>
      </c>
      <c r="B1389">
        <v>4</v>
      </c>
      <c r="C1389" t="s">
        <v>72</v>
      </c>
      <c r="D1389" s="66">
        <v>8316</v>
      </c>
      <c r="E1389" s="68">
        <v>8327</v>
      </c>
      <c r="F1389" s="68">
        <v>8316</v>
      </c>
      <c r="G1389" s="13">
        <f t="shared" si="378"/>
        <v>-11</v>
      </c>
      <c r="H1389" s="13">
        <f t="shared" si="379"/>
        <v>0</v>
      </c>
      <c r="I1389" s="70">
        <f t="shared" si="380"/>
        <v>0</v>
      </c>
      <c r="J1389" s="70">
        <f t="shared" si="381"/>
        <v>-1.3210039630119352E-3</v>
      </c>
      <c r="K1389" s="82" t="str">
        <f>_xlfn.IFNA(VLOOKUP(CLEAN(SUBSTITUTE(C1389," ","")),Ref_Factory!$A:$B,2,FALSE),CLEAN(SUBSTITUTE(C1389," ","")))</f>
        <v>GM1</v>
      </c>
      <c r="L1389" s="82" t="str">
        <f t="shared" si="382"/>
        <v>SEPTEMBER-4-GM1</v>
      </c>
      <c r="M1389" s="70">
        <f t="shared" si="383"/>
        <v>9.791142526959018E-2</v>
      </c>
      <c r="N1389" s="70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25">
      <c r="A1390" t="s">
        <v>43</v>
      </c>
      <c r="B1390">
        <v>4</v>
      </c>
      <c r="C1390" t="s">
        <v>72</v>
      </c>
      <c r="D1390" s="66">
        <v>11520</v>
      </c>
      <c r="E1390" s="68">
        <v>11481</v>
      </c>
      <c r="F1390" s="68">
        <v>11316</v>
      </c>
      <c r="G1390" s="13">
        <f t="shared" si="378"/>
        <v>-165</v>
      </c>
      <c r="H1390" s="13">
        <f t="shared" si="379"/>
        <v>-204</v>
      </c>
      <c r="I1390" s="70">
        <f t="shared" si="380"/>
        <v>-1.7708333333333326E-2</v>
      </c>
      <c r="J1390" s="70">
        <f t="shared" si="381"/>
        <v>-1.4371570420695035E-2</v>
      </c>
      <c r="K1390" s="82" t="str">
        <f>_xlfn.IFNA(VLOOKUP(CLEAN(SUBSTITUTE(C1390," ","")),Ref_Factory!$A:$B,2,FALSE),CLEAN(SUBSTITUTE(C1390," ","")))</f>
        <v>GM1</v>
      </c>
      <c r="L1390" s="82" t="str">
        <f t="shared" si="382"/>
        <v>SEPTEMBER-4-GM1</v>
      </c>
      <c r="M1390" s="70">
        <f t="shared" si="383"/>
        <v>9.791142526959018E-2</v>
      </c>
      <c r="N1390" s="70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25">
      <c r="A1391" t="s">
        <v>43</v>
      </c>
      <c r="B1391">
        <v>4</v>
      </c>
      <c r="C1391" t="s">
        <v>72</v>
      </c>
      <c r="D1391" s="66">
        <v>5760</v>
      </c>
      <c r="E1391" s="68">
        <v>5769</v>
      </c>
      <c r="F1391" s="68">
        <v>5716</v>
      </c>
      <c r="G1391" s="13">
        <f t="shared" si="378"/>
        <v>-53</v>
      </c>
      <c r="H1391" s="13">
        <f t="shared" si="379"/>
        <v>-44</v>
      </c>
      <c r="I1391" s="70">
        <f t="shared" si="380"/>
        <v>-7.6388888888888618E-3</v>
      </c>
      <c r="J1391" s="70">
        <f t="shared" si="381"/>
        <v>-9.187034148032569E-3</v>
      </c>
      <c r="K1391" s="82" t="str">
        <f>_xlfn.IFNA(VLOOKUP(CLEAN(SUBSTITUTE(C1391," ","")),Ref_Factory!$A:$B,2,FALSE),CLEAN(SUBSTITUTE(C1391," ","")))</f>
        <v>GM1</v>
      </c>
      <c r="L1391" s="82" t="str">
        <f t="shared" si="382"/>
        <v>SEPTEMBER-4-GM1</v>
      </c>
      <c r="M1391" s="70">
        <f t="shared" si="383"/>
        <v>9.791142526959018E-2</v>
      </c>
      <c r="N1391" s="70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25">
      <c r="A1392" t="s">
        <v>43</v>
      </c>
      <c r="B1392">
        <v>4</v>
      </c>
      <c r="C1392" t="s">
        <v>72</v>
      </c>
      <c r="D1392" s="66">
        <v>15552</v>
      </c>
      <c r="E1392" s="68">
        <v>15563</v>
      </c>
      <c r="F1392" s="68">
        <v>15348</v>
      </c>
      <c r="G1392" s="13">
        <f t="shared" si="378"/>
        <v>-215</v>
      </c>
      <c r="H1392" s="13">
        <f t="shared" si="379"/>
        <v>-204</v>
      </c>
      <c r="I1392" s="70">
        <f t="shared" si="380"/>
        <v>-1.3117283950617287E-2</v>
      </c>
      <c r="J1392" s="70">
        <f t="shared" si="381"/>
        <v>-1.3814817194628293E-2</v>
      </c>
      <c r="K1392" s="82" t="str">
        <f>_xlfn.IFNA(VLOOKUP(CLEAN(SUBSTITUTE(C1392," ","")),Ref_Factory!$A:$B,2,FALSE),CLEAN(SUBSTITUTE(C1392," ","")))</f>
        <v>GM1</v>
      </c>
      <c r="L1392" s="82" t="str">
        <f t="shared" si="382"/>
        <v>SEPTEMBER-4-GM1</v>
      </c>
      <c r="M1392" s="70">
        <f t="shared" si="383"/>
        <v>9.791142526959018E-2</v>
      </c>
      <c r="N1392" s="70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25">
      <c r="A1393" t="s">
        <v>43</v>
      </c>
      <c r="B1393">
        <v>4</v>
      </c>
      <c r="C1393" t="s">
        <v>72</v>
      </c>
      <c r="D1393" s="66">
        <v>6192</v>
      </c>
      <c r="E1393" s="68">
        <v>6206</v>
      </c>
      <c r="F1393" s="68">
        <v>6192</v>
      </c>
      <c r="G1393" s="13">
        <f t="shared" si="378"/>
        <v>-14</v>
      </c>
      <c r="H1393" s="13">
        <f t="shared" si="379"/>
        <v>0</v>
      </c>
      <c r="I1393" s="70">
        <f t="shared" si="380"/>
        <v>0</v>
      </c>
      <c r="J1393" s="70">
        <f t="shared" si="381"/>
        <v>-2.2558814050918086E-3</v>
      </c>
      <c r="K1393" s="82" t="str">
        <f>_xlfn.IFNA(VLOOKUP(CLEAN(SUBSTITUTE(C1393," ","")),Ref_Factory!$A:$B,2,FALSE),CLEAN(SUBSTITUTE(C1393," ","")))</f>
        <v>GM1</v>
      </c>
      <c r="L1393" s="82" t="str">
        <f t="shared" si="382"/>
        <v>SEPTEMBER-4-GM1</v>
      </c>
      <c r="M1393" s="70">
        <f t="shared" si="383"/>
        <v>9.791142526959018E-2</v>
      </c>
      <c r="N1393" s="70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25">
      <c r="A1394" t="s">
        <v>43</v>
      </c>
      <c r="B1394">
        <v>4</v>
      </c>
      <c r="C1394" t="s">
        <v>13</v>
      </c>
      <c r="D1394" s="68">
        <v>29376</v>
      </c>
      <c r="E1394" s="68">
        <v>29670</v>
      </c>
      <c r="F1394" s="66">
        <v>29622</v>
      </c>
      <c r="G1394" s="13">
        <f t="shared" si="378"/>
        <v>-48</v>
      </c>
      <c r="H1394" s="13">
        <f t="shared" si="379"/>
        <v>246</v>
      </c>
      <c r="I1394" s="70">
        <f t="shared" si="380"/>
        <v>8.374183006536029E-3</v>
      </c>
      <c r="J1394" s="70">
        <f t="shared" si="381"/>
        <v>-1.6177957532861331E-3</v>
      </c>
      <c r="K1394" s="82" t="str">
        <f>_xlfn.IFNA(VLOOKUP(CLEAN(SUBSTITUTE(C1394," ","")),Ref_Factory!$A:$B,2,FALSE),CLEAN(SUBSTITUTE(C1394," ","")))</f>
        <v>KALIBENDA</v>
      </c>
      <c r="L1394" s="82" t="str">
        <f t="shared" si="382"/>
        <v>SEPTEMBER-4-KALIBENDA</v>
      </c>
      <c r="M1394" s="70">
        <f t="shared" si="383"/>
        <v>6.7267532284110976E-3</v>
      </c>
      <c r="N1394" s="70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25">
      <c r="A1395" t="s">
        <v>43</v>
      </c>
      <c r="B1395">
        <v>4</v>
      </c>
      <c r="C1395" t="s">
        <v>13</v>
      </c>
      <c r="D1395" s="68">
        <v>18036</v>
      </c>
      <c r="E1395" s="68">
        <v>18036</v>
      </c>
      <c r="F1395" s="66">
        <v>18015</v>
      </c>
      <c r="G1395" s="13">
        <f t="shared" si="378"/>
        <v>-21</v>
      </c>
      <c r="H1395" s="13">
        <f t="shared" si="379"/>
        <v>-21</v>
      </c>
      <c r="I1395" s="70">
        <f t="shared" si="380"/>
        <v>-1.1643379906852713E-3</v>
      </c>
      <c r="J1395" s="70">
        <f t="shared" si="381"/>
        <v>-1.1643379906852713E-3</v>
      </c>
      <c r="K1395" s="82" t="str">
        <f>_xlfn.IFNA(VLOOKUP(CLEAN(SUBSTITUTE(C1395," ","")),Ref_Factory!$A:$B,2,FALSE),CLEAN(SUBSTITUTE(C1395," ","")))</f>
        <v>KALIBENDA</v>
      </c>
      <c r="L1395" s="82" t="str">
        <f t="shared" si="382"/>
        <v>SEPTEMBER-4-KALIBENDA</v>
      </c>
      <c r="M1395" s="70">
        <f t="shared" si="383"/>
        <v>6.7267532284110976E-3</v>
      </c>
      <c r="N1395" s="70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25">
      <c r="A1396" t="s">
        <v>43</v>
      </c>
      <c r="B1396">
        <v>4</v>
      </c>
      <c r="C1396" t="s">
        <v>13</v>
      </c>
      <c r="D1396" s="68">
        <v>12420</v>
      </c>
      <c r="E1396" s="68">
        <v>12420</v>
      </c>
      <c r="F1396" s="68">
        <v>12414</v>
      </c>
      <c r="G1396" s="13">
        <f t="shared" si="378"/>
        <v>-6</v>
      </c>
      <c r="H1396" s="13">
        <f t="shared" si="379"/>
        <v>-6</v>
      </c>
      <c r="I1396" s="70">
        <f t="shared" si="380"/>
        <v>-4.8309178743966008E-4</v>
      </c>
      <c r="J1396" s="70">
        <f t="shared" si="381"/>
        <v>-4.8309178743966008E-4</v>
      </c>
      <c r="K1396" s="82" t="str">
        <f>_xlfn.IFNA(VLOOKUP(CLEAN(SUBSTITUTE(C1396," ","")),Ref_Factory!$A:$B,2,FALSE),CLEAN(SUBSTITUTE(C1396," ","")))</f>
        <v>KALIBENDA</v>
      </c>
      <c r="L1396" s="82" t="str">
        <f t="shared" si="382"/>
        <v>SEPTEMBER-4-KALIBENDA</v>
      </c>
      <c r="M1396" s="70">
        <f t="shared" si="383"/>
        <v>6.7267532284110976E-3</v>
      </c>
      <c r="N1396" s="70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25">
      <c r="A1397" t="s">
        <v>44</v>
      </c>
      <c r="B1397" s="66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70">
        <f t="shared" si="380"/>
        <v>0</v>
      </c>
      <c r="J1397" s="70">
        <f t="shared" si="381"/>
        <v>0</v>
      </c>
      <c r="K1397" s="82" t="str">
        <f>_xlfn.IFNA(VLOOKUP(CLEAN(SUBSTITUTE(C1397," ","")),Ref_Factory!$A:$B,2,FALSE),CLEAN(SUBSTITUTE(C1397," ","")))</f>
        <v>GM1</v>
      </c>
      <c r="L1397" s="82" t="str">
        <f t="shared" si="382"/>
        <v>OCTOBER-1-GM1</v>
      </c>
      <c r="M1397" s="70">
        <f t="shared" si="383"/>
        <v>-0.15000428535679877</v>
      </c>
      <c r="N1397" s="70">
        <f t="shared" si="384"/>
        <v>-0.19723563272295686</v>
      </c>
      <c r="O1397" s="13">
        <f t="shared" si="385"/>
        <v>238448</v>
      </c>
      <c r="P1397" s="13">
        <f t="shared" si="386"/>
        <v>238967</v>
      </c>
      <c r="Q1397" s="13">
        <f t="shared" si="387"/>
        <v>236948</v>
      </c>
      <c r="R1397" s="33">
        <f t="shared" si="388"/>
        <v>-6.2906797289136174E-3</v>
      </c>
      <c r="S1397" s="33">
        <f t="shared" si="389"/>
        <v>-8.4488653245008427E-3</v>
      </c>
      <c r="T1397" t="str">
        <f t="shared" si="390"/>
        <v>OCTOBER-GM1</v>
      </c>
      <c r="U1397">
        <f t="shared" si="391"/>
        <v>160796</v>
      </c>
      <c r="V1397">
        <f t="shared" si="392"/>
        <v>160541</v>
      </c>
      <c r="W1397">
        <f t="shared" si="393"/>
        <v>158684</v>
      </c>
      <c r="X1397" s="33">
        <f t="shared" si="394"/>
        <v>-1.3134655090922709E-2</v>
      </c>
      <c r="Y1397" s="33">
        <f t="shared" si="395"/>
        <v>-1.1567138612566308E-2</v>
      </c>
    </row>
    <row r="1398" spans="1:25" x14ac:dyDescent="0.25">
      <c r="A1398" t="s">
        <v>44</v>
      </c>
      <c r="B1398" s="66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70">
        <f t="shared" si="380"/>
        <v>0</v>
      </c>
      <c r="J1398" s="70">
        <f t="shared" si="381"/>
        <v>0</v>
      </c>
      <c r="K1398" s="82" t="str">
        <f>_xlfn.IFNA(VLOOKUP(CLEAN(SUBSTITUTE(C1398," ","")),Ref_Factory!$A:$B,2,FALSE),CLEAN(SUBSTITUTE(C1398," ","")))</f>
        <v>GM1</v>
      </c>
      <c r="L1398" s="82" t="str">
        <f t="shared" si="382"/>
        <v>OCTOBER-1-GM1</v>
      </c>
      <c r="M1398" s="70">
        <f t="shared" si="383"/>
        <v>-0.15000428535679877</v>
      </c>
      <c r="N1398" s="70">
        <f t="shared" si="384"/>
        <v>-0.19723563272295686</v>
      </c>
      <c r="O1398" s="13">
        <f t="shared" si="385"/>
        <v>238448</v>
      </c>
      <c r="P1398" s="13">
        <f t="shared" si="386"/>
        <v>238967</v>
      </c>
      <c r="Q1398" s="13">
        <f t="shared" si="387"/>
        <v>236948</v>
      </c>
      <c r="R1398" s="33">
        <f t="shared" si="388"/>
        <v>-6.2906797289136174E-3</v>
      </c>
      <c r="S1398" s="33">
        <f t="shared" si="389"/>
        <v>-8.4488653245008427E-3</v>
      </c>
      <c r="T1398" t="str">
        <f t="shared" si="390"/>
        <v>OCTOBER-GM1</v>
      </c>
      <c r="U1398">
        <f t="shared" si="391"/>
        <v>160796</v>
      </c>
      <c r="V1398">
        <f t="shared" si="392"/>
        <v>160541</v>
      </c>
      <c r="W1398">
        <f t="shared" si="393"/>
        <v>158684</v>
      </c>
      <c r="X1398" s="33">
        <f t="shared" si="394"/>
        <v>-1.3134655090922709E-2</v>
      </c>
      <c r="Y1398" s="33">
        <f t="shared" si="395"/>
        <v>-1.1567138612566308E-2</v>
      </c>
    </row>
    <row r="1399" spans="1:25" x14ac:dyDescent="0.25">
      <c r="A1399" t="s">
        <v>44</v>
      </c>
      <c r="B1399" s="66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70">
        <f t="shared" si="380"/>
        <v>0</v>
      </c>
      <c r="J1399" s="70">
        <f t="shared" si="381"/>
        <v>0</v>
      </c>
      <c r="K1399" s="82" t="str">
        <f>_xlfn.IFNA(VLOOKUP(CLEAN(SUBSTITUTE(C1399," ","")),Ref_Factory!$A:$B,2,FALSE),CLEAN(SUBSTITUTE(C1399," ","")))</f>
        <v>GM1</v>
      </c>
      <c r="L1399" s="82" t="str">
        <f t="shared" si="382"/>
        <v>OCTOBER-1-GM1</v>
      </c>
      <c r="M1399" s="70">
        <f t="shared" si="383"/>
        <v>-0.15000428535679877</v>
      </c>
      <c r="N1399" s="70">
        <f t="shared" si="384"/>
        <v>-0.19723563272295686</v>
      </c>
      <c r="O1399" s="13">
        <f t="shared" si="385"/>
        <v>238448</v>
      </c>
      <c r="P1399" s="13">
        <f t="shared" si="386"/>
        <v>238967</v>
      </c>
      <c r="Q1399" s="13">
        <f t="shared" si="387"/>
        <v>236948</v>
      </c>
      <c r="R1399" s="33">
        <f t="shared" si="388"/>
        <v>-6.2906797289136174E-3</v>
      </c>
      <c r="S1399" s="33">
        <f t="shared" si="389"/>
        <v>-8.4488653245008427E-3</v>
      </c>
      <c r="T1399" t="str">
        <f t="shared" si="390"/>
        <v>OCTOBER-GM1</v>
      </c>
      <c r="U1399">
        <f t="shared" si="391"/>
        <v>160796</v>
      </c>
      <c r="V1399">
        <f t="shared" si="392"/>
        <v>160541</v>
      </c>
      <c r="W1399">
        <f t="shared" si="393"/>
        <v>158684</v>
      </c>
      <c r="X1399" s="33">
        <f t="shared" si="394"/>
        <v>-1.3134655090922709E-2</v>
      </c>
      <c r="Y1399" s="33">
        <f t="shared" si="395"/>
        <v>-1.1567138612566308E-2</v>
      </c>
    </row>
    <row r="1400" spans="1:25" x14ac:dyDescent="0.25">
      <c r="A1400" t="s">
        <v>44</v>
      </c>
      <c r="B1400" s="66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70">
        <f t="shared" si="380"/>
        <v>0</v>
      </c>
      <c r="J1400" s="70">
        <f t="shared" si="381"/>
        <v>0</v>
      </c>
      <c r="K1400" s="82" t="str">
        <f>_xlfn.IFNA(VLOOKUP(CLEAN(SUBSTITUTE(C1400," ","")),Ref_Factory!$A:$B,2,FALSE),CLEAN(SUBSTITUTE(C1400," ","")))</f>
        <v>GM1</v>
      </c>
      <c r="L1400" s="82" t="str">
        <f t="shared" si="382"/>
        <v>OCTOBER-1-GM1</v>
      </c>
      <c r="M1400" s="70">
        <f t="shared" si="383"/>
        <v>-0.15000428535679877</v>
      </c>
      <c r="N1400" s="70">
        <f t="shared" si="384"/>
        <v>-0.19723563272295686</v>
      </c>
      <c r="O1400" s="13">
        <f t="shared" si="385"/>
        <v>238448</v>
      </c>
      <c r="P1400" s="13">
        <f t="shared" si="386"/>
        <v>238967</v>
      </c>
      <c r="Q1400" s="13">
        <f t="shared" si="387"/>
        <v>236948</v>
      </c>
      <c r="R1400" s="33">
        <f t="shared" si="388"/>
        <v>-6.2906797289136174E-3</v>
      </c>
      <c r="S1400" s="33">
        <f t="shared" si="389"/>
        <v>-8.4488653245008427E-3</v>
      </c>
      <c r="T1400" t="str">
        <f t="shared" si="390"/>
        <v>OCTOBER-GM1</v>
      </c>
      <c r="U1400">
        <f t="shared" si="391"/>
        <v>160796</v>
      </c>
      <c r="V1400">
        <f t="shared" si="392"/>
        <v>160541</v>
      </c>
      <c r="W1400">
        <f t="shared" si="393"/>
        <v>158684</v>
      </c>
      <c r="X1400" s="33">
        <f t="shared" si="394"/>
        <v>-1.3134655090922709E-2</v>
      </c>
      <c r="Y1400" s="33">
        <f t="shared" si="395"/>
        <v>-1.1567138612566308E-2</v>
      </c>
    </row>
    <row r="1401" spans="1:25" x14ac:dyDescent="0.25">
      <c r="A1401" t="s">
        <v>44</v>
      </c>
      <c r="B1401" s="66">
        <v>1</v>
      </c>
      <c r="C1401" t="s">
        <v>70</v>
      </c>
      <c r="D1401" s="81">
        <v>1200</v>
      </c>
      <c r="E1401" s="81">
        <v>1261</v>
      </c>
      <c r="F1401" s="81">
        <v>1200</v>
      </c>
      <c r="G1401" s="13">
        <f t="shared" si="378"/>
        <v>-61</v>
      </c>
      <c r="H1401" s="13">
        <f t="shared" si="379"/>
        <v>0</v>
      </c>
      <c r="I1401" s="70">
        <f t="shared" si="380"/>
        <v>0</v>
      </c>
      <c r="J1401" s="70">
        <f t="shared" si="381"/>
        <v>-4.8374306106264919E-2</v>
      </c>
      <c r="K1401" s="82" t="str">
        <f>_xlfn.IFNA(VLOOKUP(CLEAN(SUBSTITUTE(C1401," ","")),Ref_Factory!$A:$B,2,FALSE),CLEAN(SUBSTITUTE(C1401," ","")))</f>
        <v>GM1</v>
      </c>
      <c r="L1401" s="82" t="str">
        <f t="shared" si="382"/>
        <v>OCTOBER-1-GM1</v>
      </c>
      <c r="M1401" s="70">
        <f t="shared" si="383"/>
        <v>-0.15000428535679877</v>
      </c>
      <c r="N1401" s="70">
        <f t="shared" si="384"/>
        <v>-0.19723563272295686</v>
      </c>
      <c r="O1401" s="13">
        <f t="shared" si="385"/>
        <v>238448</v>
      </c>
      <c r="P1401" s="13">
        <f t="shared" si="386"/>
        <v>238967</v>
      </c>
      <c r="Q1401" s="13">
        <f t="shared" si="387"/>
        <v>236948</v>
      </c>
      <c r="R1401" s="33">
        <f t="shared" si="388"/>
        <v>-6.2906797289136174E-3</v>
      </c>
      <c r="S1401" s="33">
        <f t="shared" si="389"/>
        <v>-8.4488653245008427E-3</v>
      </c>
      <c r="T1401" t="str">
        <f t="shared" si="390"/>
        <v>OCTOBER-GM1</v>
      </c>
      <c r="U1401">
        <f t="shared" si="391"/>
        <v>160796</v>
      </c>
      <c r="V1401">
        <f t="shared" si="392"/>
        <v>160541</v>
      </c>
      <c r="W1401">
        <f t="shared" si="393"/>
        <v>158684</v>
      </c>
      <c r="X1401" s="33">
        <f t="shared" si="394"/>
        <v>-1.3134655090922709E-2</v>
      </c>
      <c r="Y1401" s="33">
        <f t="shared" si="395"/>
        <v>-1.1567138612566308E-2</v>
      </c>
    </row>
    <row r="1402" spans="1:25" x14ac:dyDescent="0.25">
      <c r="A1402" t="s">
        <v>44</v>
      </c>
      <c r="B1402" s="66">
        <v>1</v>
      </c>
      <c r="C1402" t="s">
        <v>70</v>
      </c>
      <c r="D1402" s="81">
        <v>2510</v>
      </c>
      <c r="E1402" s="81">
        <v>2519</v>
      </c>
      <c r="F1402" s="81">
        <v>2510</v>
      </c>
      <c r="G1402" s="13">
        <f t="shared" si="378"/>
        <v>-9</v>
      </c>
      <c r="H1402" s="13">
        <f t="shared" si="379"/>
        <v>0</v>
      </c>
      <c r="I1402" s="70">
        <f t="shared" si="380"/>
        <v>0</v>
      </c>
      <c r="J1402" s="70">
        <f t="shared" si="381"/>
        <v>-3.5728463676062416E-3</v>
      </c>
      <c r="K1402" s="82" t="str">
        <f>_xlfn.IFNA(VLOOKUP(CLEAN(SUBSTITUTE(C1402," ","")),Ref_Factory!$A:$B,2,FALSE),CLEAN(SUBSTITUTE(C1402," ","")))</f>
        <v>GM1</v>
      </c>
      <c r="L1402" s="82" t="str">
        <f t="shared" si="382"/>
        <v>OCTOBER-1-GM1</v>
      </c>
      <c r="M1402" s="70">
        <f t="shared" si="383"/>
        <v>-0.15000428535679877</v>
      </c>
      <c r="N1402" s="70">
        <f t="shared" si="384"/>
        <v>-0.19723563272295686</v>
      </c>
      <c r="O1402" s="13">
        <f t="shared" si="385"/>
        <v>238448</v>
      </c>
      <c r="P1402" s="13">
        <f t="shared" si="386"/>
        <v>238967</v>
      </c>
      <c r="Q1402" s="13">
        <f t="shared" si="387"/>
        <v>236948</v>
      </c>
      <c r="R1402" s="33">
        <f t="shared" si="388"/>
        <v>-6.2906797289136174E-3</v>
      </c>
      <c r="S1402" s="33">
        <f t="shared" si="389"/>
        <v>-8.4488653245008427E-3</v>
      </c>
      <c r="T1402" t="str">
        <f t="shared" si="390"/>
        <v>OCTOBER-GM1</v>
      </c>
      <c r="U1402">
        <f t="shared" si="391"/>
        <v>160796</v>
      </c>
      <c r="V1402">
        <f t="shared" si="392"/>
        <v>160541</v>
      </c>
      <c r="W1402">
        <f t="shared" si="393"/>
        <v>158684</v>
      </c>
      <c r="X1402" s="33">
        <f t="shared" si="394"/>
        <v>-1.3134655090922709E-2</v>
      </c>
      <c r="Y1402" s="33">
        <f t="shared" si="395"/>
        <v>-1.1567138612566308E-2</v>
      </c>
    </row>
    <row r="1403" spans="1:25" x14ac:dyDescent="0.25">
      <c r="A1403" t="s">
        <v>44</v>
      </c>
      <c r="B1403" s="66">
        <v>1</v>
      </c>
      <c r="C1403" t="s">
        <v>70</v>
      </c>
      <c r="D1403" s="81">
        <v>10</v>
      </c>
      <c r="E1403" s="81">
        <v>10</v>
      </c>
      <c r="F1403" s="81">
        <v>10</v>
      </c>
      <c r="G1403" s="13">
        <f t="shared" si="378"/>
        <v>0</v>
      </c>
      <c r="H1403" s="13">
        <f t="shared" si="379"/>
        <v>0</v>
      </c>
      <c r="I1403" s="70">
        <f t="shared" si="380"/>
        <v>0</v>
      </c>
      <c r="J1403" s="70">
        <f t="shared" si="381"/>
        <v>0</v>
      </c>
      <c r="K1403" s="82" t="str">
        <f>_xlfn.IFNA(VLOOKUP(CLEAN(SUBSTITUTE(C1403," ","")),Ref_Factory!$A:$B,2,FALSE),CLEAN(SUBSTITUTE(C1403," ","")))</f>
        <v>GM1</v>
      </c>
      <c r="L1403" s="82" t="str">
        <f t="shared" si="382"/>
        <v>OCTOBER-1-GM1</v>
      </c>
      <c r="M1403" s="70">
        <f t="shared" si="383"/>
        <v>-0.15000428535679877</v>
      </c>
      <c r="N1403" s="70">
        <f t="shared" si="384"/>
        <v>-0.19723563272295686</v>
      </c>
      <c r="O1403" s="13">
        <f t="shared" si="385"/>
        <v>238448</v>
      </c>
      <c r="P1403" s="13">
        <f t="shared" si="386"/>
        <v>238967</v>
      </c>
      <c r="Q1403" s="13">
        <f t="shared" si="387"/>
        <v>236948</v>
      </c>
      <c r="R1403" s="33">
        <f t="shared" si="388"/>
        <v>-6.2906797289136174E-3</v>
      </c>
      <c r="S1403" s="33">
        <f t="shared" si="389"/>
        <v>-8.4488653245008427E-3</v>
      </c>
      <c r="T1403" t="str">
        <f t="shared" si="390"/>
        <v>OCTOBER-GM1</v>
      </c>
      <c r="U1403">
        <f t="shared" si="391"/>
        <v>160796</v>
      </c>
      <c r="V1403">
        <f t="shared" si="392"/>
        <v>160541</v>
      </c>
      <c r="W1403">
        <f t="shared" si="393"/>
        <v>158684</v>
      </c>
      <c r="X1403" s="33">
        <f t="shared" si="394"/>
        <v>-1.3134655090922709E-2</v>
      </c>
      <c r="Y1403" s="33">
        <f t="shared" si="395"/>
        <v>-1.1567138612566308E-2</v>
      </c>
    </row>
    <row r="1404" spans="1:25" x14ac:dyDescent="0.25">
      <c r="A1404" t="s">
        <v>44</v>
      </c>
      <c r="B1404" s="66">
        <v>1</v>
      </c>
      <c r="C1404" t="s">
        <v>70</v>
      </c>
      <c r="D1404" s="81">
        <v>190</v>
      </c>
      <c r="E1404" s="81">
        <v>190</v>
      </c>
      <c r="F1404" s="81">
        <v>190</v>
      </c>
      <c r="G1404" s="13">
        <f t="shared" si="378"/>
        <v>0</v>
      </c>
      <c r="H1404" s="13">
        <f t="shared" si="379"/>
        <v>0</v>
      </c>
      <c r="I1404" s="70">
        <f t="shared" si="380"/>
        <v>0</v>
      </c>
      <c r="J1404" s="70">
        <f t="shared" si="381"/>
        <v>0</v>
      </c>
      <c r="K1404" s="82" t="str">
        <f>_xlfn.IFNA(VLOOKUP(CLEAN(SUBSTITUTE(C1404," ","")),Ref_Factory!$A:$B,2,FALSE),CLEAN(SUBSTITUTE(C1404," ","")))</f>
        <v>GM1</v>
      </c>
      <c r="L1404" s="82" t="str">
        <f t="shared" si="382"/>
        <v>OCTOBER-1-GM1</v>
      </c>
      <c r="M1404" s="70">
        <f t="shared" si="383"/>
        <v>-0.15000428535679877</v>
      </c>
      <c r="N1404" s="70">
        <f t="shared" si="384"/>
        <v>-0.19723563272295686</v>
      </c>
      <c r="O1404" s="13">
        <f t="shared" si="385"/>
        <v>238448</v>
      </c>
      <c r="P1404" s="13">
        <f t="shared" si="386"/>
        <v>238967</v>
      </c>
      <c r="Q1404" s="13">
        <f t="shared" si="387"/>
        <v>236948</v>
      </c>
      <c r="R1404" s="33">
        <f t="shared" si="388"/>
        <v>-6.2906797289136174E-3</v>
      </c>
      <c r="S1404" s="33">
        <f t="shared" si="389"/>
        <v>-8.4488653245008427E-3</v>
      </c>
      <c r="T1404" t="str">
        <f t="shared" si="390"/>
        <v>OCTOBER-GM1</v>
      </c>
      <c r="U1404">
        <f t="shared" si="391"/>
        <v>160796</v>
      </c>
      <c r="V1404">
        <f t="shared" si="392"/>
        <v>160541</v>
      </c>
      <c r="W1404">
        <f t="shared" si="393"/>
        <v>158684</v>
      </c>
      <c r="X1404" s="33">
        <f t="shared" si="394"/>
        <v>-1.3134655090922709E-2</v>
      </c>
      <c r="Y1404" s="33">
        <f t="shared" si="395"/>
        <v>-1.1567138612566308E-2</v>
      </c>
    </row>
    <row r="1405" spans="1:25" x14ac:dyDescent="0.25">
      <c r="A1405" t="s">
        <v>44</v>
      </c>
      <c r="B1405" s="66">
        <v>1</v>
      </c>
      <c r="C1405" t="s">
        <v>70</v>
      </c>
      <c r="D1405" s="81">
        <v>200</v>
      </c>
      <c r="E1405" s="81">
        <v>201</v>
      </c>
      <c r="F1405" s="81">
        <v>200</v>
      </c>
      <c r="G1405" s="13">
        <f t="shared" si="378"/>
        <v>-1</v>
      </c>
      <c r="H1405" s="13">
        <f t="shared" si="379"/>
        <v>0</v>
      </c>
      <c r="I1405" s="70">
        <f t="shared" si="380"/>
        <v>0</v>
      </c>
      <c r="J1405" s="70">
        <f t="shared" si="381"/>
        <v>-4.9751243781094301E-3</v>
      </c>
      <c r="K1405" s="82" t="str">
        <f>_xlfn.IFNA(VLOOKUP(CLEAN(SUBSTITUTE(C1405," ","")),Ref_Factory!$A:$B,2,FALSE),CLEAN(SUBSTITUTE(C1405," ","")))</f>
        <v>GM1</v>
      </c>
      <c r="L1405" s="82" t="str">
        <f t="shared" si="382"/>
        <v>OCTOBER-1-GM1</v>
      </c>
      <c r="M1405" s="70">
        <f t="shared" si="383"/>
        <v>-0.15000428535679877</v>
      </c>
      <c r="N1405" s="70">
        <f t="shared" si="384"/>
        <v>-0.19723563272295686</v>
      </c>
      <c r="O1405" s="13">
        <f t="shared" si="385"/>
        <v>238448</v>
      </c>
      <c r="P1405" s="13">
        <f t="shared" si="386"/>
        <v>238967</v>
      </c>
      <c r="Q1405" s="13">
        <f t="shared" si="387"/>
        <v>236948</v>
      </c>
      <c r="R1405" s="33">
        <f t="shared" si="388"/>
        <v>-6.2906797289136174E-3</v>
      </c>
      <c r="S1405" s="33">
        <f t="shared" si="389"/>
        <v>-8.4488653245008427E-3</v>
      </c>
      <c r="T1405" t="str">
        <f t="shared" si="390"/>
        <v>OCTOBER-GM1</v>
      </c>
      <c r="U1405">
        <f t="shared" si="391"/>
        <v>160796</v>
      </c>
      <c r="V1405">
        <f t="shared" si="392"/>
        <v>160541</v>
      </c>
      <c r="W1405">
        <f t="shared" si="393"/>
        <v>158684</v>
      </c>
      <c r="X1405" s="33">
        <f t="shared" si="394"/>
        <v>-1.3134655090922709E-2</v>
      </c>
      <c r="Y1405" s="33">
        <f t="shared" si="395"/>
        <v>-1.1567138612566308E-2</v>
      </c>
    </row>
    <row r="1406" spans="1:25" x14ac:dyDescent="0.25">
      <c r="A1406" t="s">
        <v>44</v>
      </c>
      <c r="B1406" s="66">
        <v>1</v>
      </c>
      <c r="C1406" t="s">
        <v>72</v>
      </c>
      <c r="D1406" s="66">
        <v>30888</v>
      </c>
      <c r="E1406" s="68">
        <v>31186</v>
      </c>
      <c r="F1406" s="68">
        <v>31107</v>
      </c>
      <c r="G1406" s="13">
        <f t="shared" si="378"/>
        <v>-79</v>
      </c>
      <c r="H1406" s="13">
        <f t="shared" si="379"/>
        <v>219</v>
      </c>
      <c r="I1406" s="70">
        <f t="shared" si="380"/>
        <v>7.0901320901319842E-3</v>
      </c>
      <c r="J1406" s="70">
        <f t="shared" si="381"/>
        <v>-2.5331879689604042E-3</v>
      </c>
      <c r="K1406" s="82" t="str">
        <f>_xlfn.IFNA(VLOOKUP(CLEAN(SUBSTITUTE(C1406," ","")),Ref_Factory!$A:$B,2,FALSE),CLEAN(SUBSTITUTE(C1406," ","")))</f>
        <v>GM1</v>
      </c>
      <c r="L1406" s="82" t="str">
        <f t="shared" si="382"/>
        <v>OCTOBER-1-GM1</v>
      </c>
      <c r="M1406" s="70">
        <f t="shared" si="383"/>
        <v>-0.15000428535679877</v>
      </c>
      <c r="N1406" s="70">
        <f t="shared" si="384"/>
        <v>-0.19723563272295686</v>
      </c>
      <c r="O1406" s="13">
        <f t="shared" si="385"/>
        <v>238448</v>
      </c>
      <c r="P1406" s="13">
        <f t="shared" si="386"/>
        <v>238967</v>
      </c>
      <c r="Q1406" s="13">
        <f t="shared" si="387"/>
        <v>236948</v>
      </c>
      <c r="R1406" s="33">
        <f t="shared" si="388"/>
        <v>-6.2906797289136174E-3</v>
      </c>
      <c r="S1406" s="33">
        <f t="shared" si="389"/>
        <v>-8.4488653245008427E-3</v>
      </c>
      <c r="T1406" t="str">
        <f t="shared" si="390"/>
        <v>OCTOBER-GM1</v>
      </c>
      <c r="U1406">
        <f t="shared" si="391"/>
        <v>160796</v>
      </c>
      <c r="V1406">
        <f t="shared" si="392"/>
        <v>160541</v>
      </c>
      <c r="W1406">
        <f t="shared" si="393"/>
        <v>158684</v>
      </c>
      <c r="X1406" s="33">
        <f t="shared" si="394"/>
        <v>-1.3134655090922709E-2</v>
      </c>
      <c r="Y1406" s="33">
        <f t="shared" si="395"/>
        <v>-1.1567138612566308E-2</v>
      </c>
    </row>
    <row r="1407" spans="1:25" x14ac:dyDescent="0.25">
      <c r="A1407" t="s">
        <v>44</v>
      </c>
      <c r="B1407" s="66">
        <v>1</v>
      </c>
      <c r="C1407" t="s">
        <v>72</v>
      </c>
      <c r="D1407" s="66">
        <v>1080</v>
      </c>
      <c r="E1407" s="68">
        <v>1092</v>
      </c>
      <c r="F1407" s="68">
        <v>1095</v>
      </c>
      <c r="G1407" s="13">
        <f t="shared" si="378"/>
        <v>3</v>
      </c>
      <c r="H1407" s="13">
        <f t="shared" si="379"/>
        <v>15</v>
      </c>
      <c r="I1407" s="70">
        <f t="shared" si="380"/>
        <v>1.388888888888884E-2</v>
      </c>
      <c r="J1407" s="70">
        <f t="shared" si="381"/>
        <v>2.7472527472527375E-3</v>
      </c>
      <c r="K1407" s="82" t="str">
        <f>_xlfn.IFNA(VLOOKUP(CLEAN(SUBSTITUTE(C1407," ","")),Ref_Factory!$A:$B,2,FALSE),CLEAN(SUBSTITUTE(C1407," ","")))</f>
        <v>GM1</v>
      </c>
      <c r="L1407" s="82" t="str">
        <f t="shared" si="382"/>
        <v>OCTOBER-1-GM1</v>
      </c>
      <c r="M1407" s="70">
        <f t="shared" si="383"/>
        <v>-0.15000428535679877</v>
      </c>
      <c r="N1407" s="70">
        <f t="shared" si="384"/>
        <v>-0.19723563272295686</v>
      </c>
      <c r="O1407" s="13">
        <f t="shared" si="385"/>
        <v>238448</v>
      </c>
      <c r="P1407" s="13">
        <f t="shared" si="386"/>
        <v>238967</v>
      </c>
      <c r="Q1407" s="13">
        <f t="shared" si="387"/>
        <v>236948</v>
      </c>
      <c r="R1407" s="33">
        <f t="shared" si="388"/>
        <v>-6.2906797289136174E-3</v>
      </c>
      <c r="S1407" s="33">
        <f t="shared" si="389"/>
        <v>-8.4488653245008427E-3</v>
      </c>
      <c r="T1407" t="str">
        <f t="shared" si="390"/>
        <v>OCTOBER-GM1</v>
      </c>
      <c r="U1407">
        <f t="shared" si="391"/>
        <v>160796</v>
      </c>
      <c r="V1407">
        <f t="shared" si="392"/>
        <v>160541</v>
      </c>
      <c r="W1407">
        <f t="shared" si="393"/>
        <v>158684</v>
      </c>
      <c r="X1407" s="33">
        <f t="shared" si="394"/>
        <v>-1.3134655090922709E-2</v>
      </c>
      <c r="Y1407" s="33">
        <f t="shared" si="395"/>
        <v>-1.1567138612566308E-2</v>
      </c>
    </row>
    <row r="1408" spans="1:25" x14ac:dyDescent="0.25">
      <c r="A1408" t="s">
        <v>44</v>
      </c>
      <c r="B1408" s="66">
        <v>1</v>
      </c>
      <c r="C1408" t="s">
        <v>72</v>
      </c>
      <c r="D1408" s="66">
        <v>5616</v>
      </c>
      <c r="E1408" s="68">
        <v>5686</v>
      </c>
      <c r="F1408" s="68">
        <v>5673</v>
      </c>
      <c r="G1408" s="13">
        <f t="shared" si="378"/>
        <v>-13</v>
      </c>
      <c r="H1408" s="13">
        <f t="shared" si="379"/>
        <v>57</v>
      </c>
      <c r="I1408" s="70">
        <f t="shared" si="380"/>
        <v>1.0149572649572614E-2</v>
      </c>
      <c r="J1408" s="70">
        <f t="shared" si="381"/>
        <v>-2.2863172704888912E-3</v>
      </c>
      <c r="K1408" s="82" t="str">
        <f>_xlfn.IFNA(VLOOKUP(CLEAN(SUBSTITUTE(C1408," ","")),Ref_Factory!$A:$B,2,FALSE),CLEAN(SUBSTITUTE(C1408," ","")))</f>
        <v>GM1</v>
      </c>
      <c r="L1408" s="82" t="str">
        <f t="shared" si="382"/>
        <v>OCTOBER-1-GM1</v>
      </c>
      <c r="M1408" s="70">
        <f t="shared" si="383"/>
        <v>-0.15000428535679877</v>
      </c>
      <c r="N1408" s="70">
        <f t="shared" si="384"/>
        <v>-0.19723563272295686</v>
      </c>
      <c r="O1408" s="13">
        <f t="shared" si="385"/>
        <v>238448</v>
      </c>
      <c r="P1408" s="13">
        <f t="shared" si="386"/>
        <v>238967</v>
      </c>
      <c r="Q1408" s="13">
        <f t="shared" si="387"/>
        <v>236948</v>
      </c>
      <c r="R1408" s="33">
        <f t="shared" si="388"/>
        <v>-6.2906797289136174E-3</v>
      </c>
      <c r="S1408" s="33">
        <f t="shared" si="389"/>
        <v>-8.4488653245008427E-3</v>
      </c>
      <c r="T1408" t="str">
        <f t="shared" si="390"/>
        <v>OCTOBER-GM1</v>
      </c>
      <c r="U1408">
        <f t="shared" si="391"/>
        <v>160796</v>
      </c>
      <c r="V1408">
        <f t="shared" si="392"/>
        <v>160541</v>
      </c>
      <c r="W1408">
        <f t="shared" si="393"/>
        <v>158684</v>
      </c>
      <c r="X1408" s="33">
        <f t="shared" si="394"/>
        <v>-1.3134655090922709E-2</v>
      </c>
      <c r="Y1408" s="33">
        <f t="shared" si="395"/>
        <v>-1.1567138612566308E-2</v>
      </c>
    </row>
    <row r="1409" spans="1:25" x14ac:dyDescent="0.25">
      <c r="A1409" t="s">
        <v>44</v>
      </c>
      <c r="B1409" s="66">
        <v>1</v>
      </c>
      <c r="C1409" t="s">
        <v>72</v>
      </c>
      <c r="D1409" s="66">
        <v>42768</v>
      </c>
      <c r="E1409" s="68">
        <v>42772</v>
      </c>
      <c r="F1409" s="68">
        <v>42705</v>
      </c>
      <c r="G1409" s="13">
        <f t="shared" si="378"/>
        <v>-67</v>
      </c>
      <c r="H1409" s="13">
        <f t="shared" si="379"/>
        <v>-63</v>
      </c>
      <c r="I1409" s="70">
        <f t="shared" si="380"/>
        <v>-1.4730639730640149E-3</v>
      </c>
      <c r="J1409" s="70">
        <f t="shared" si="381"/>
        <v>-1.5664453380715981E-3</v>
      </c>
      <c r="K1409" s="82" t="str">
        <f>_xlfn.IFNA(VLOOKUP(CLEAN(SUBSTITUTE(C1409," ","")),Ref_Factory!$A:$B,2,FALSE),CLEAN(SUBSTITUTE(C1409," ","")))</f>
        <v>GM1</v>
      </c>
      <c r="L1409" s="82" t="str">
        <f t="shared" si="382"/>
        <v>OCTOBER-1-GM1</v>
      </c>
      <c r="M1409" s="70">
        <f t="shared" si="383"/>
        <v>-0.15000428535679877</v>
      </c>
      <c r="N1409" s="70">
        <f t="shared" si="384"/>
        <v>-0.19723563272295686</v>
      </c>
      <c r="O1409" s="13">
        <f t="shared" si="385"/>
        <v>238448</v>
      </c>
      <c r="P1409" s="13">
        <f t="shared" si="386"/>
        <v>238967</v>
      </c>
      <c r="Q1409" s="13">
        <f t="shared" si="387"/>
        <v>236948</v>
      </c>
      <c r="R1409" s="33">
        <f t="shared" si="388"/>
        <v>-6.2906797289136174E-3</v>
      </c>
      <c r="S1409" s="33">
        <f t="shared" si="389"/>
        <v>-8.4488653245008427E-3</v>
      </c>
      <c r="T1409" t="str">
        <f t="shared" si="390"/>
        <v>OCTOBER-GM1</v>
      </c>
      <c r="U1409">
        <f t="shared" si="391"/>
        <v>160796</v>
      </c>
      <c r="V1409">
        <f t="shared" si="392"/>
        <v>160541</v>
      </c>
      <c r="W1409">
        <f t="shared" si="393"/>
        <v>158684</v>
      </c>
      <c r="X1409" s="33">
        <f t="shared" si="394"/>
        <v>-1.3134655090922709E-2</v>
      </c>
      <c r="Y1409" s="33">
        <f t="shared" si="395"/>
        <v>-1.1567138612566308E-2</v>
      </c>
    </row>
    <row r="1410" spans="1:25" x14ac:dyDescent="0.25">
      <c r="A1410" t="s">
        <v>44</v>
      </c>
      <c r="B1410" s="66">
        <v>1</v>
      </c>
      <c r="C1410" t="s">
        <v>72</v>
      </c>
      <c r="D1410" s="66">
        <v>4320</v>
      </c>
      <c r="E1410" s="68">
        <v>4329</v>
      </c>
      <c r="F1410" s="68">
        <v>4320</v>
      </c>
      <c r="G1410" s="13">
        <f t="shared" ref="G1410:G1473" si="396">F1410-E1410</f>
        <v>-9</v>
      </c>
      <c r="H1410" s="13">
        <f t="shared" ref="H1410:H1420" si="397">F1410-D1410</f>
        <v>0</v>
      </c>
      <c r="I1410" s="70">
        <f t="shared" ref="I1410:I1420" si="398">F1410/D1410-1</f>
        <v>0</v>
      </c>
      <c r="J1410" s="70">
        <f t="shared" ref="J1410:J1420" si="399">F1410/E1410-1</f>
        <v>-2.0790020790020236E-3</v>
      </c>
      <c r="K1410" s="82" t="str">
        <f>_xlfn.IFNA(VLOOKUP(CLEAN(SUBSTITUTE(C1410," ","")),Ref_Factory!$A:$B,2,FALSE),CLEAN(SUBSTITUTE(C1410," ","")))</f>
        <v>GM1</v>
      </c>
      <c r="L1410" s="82" t="str">
        <f t="shared" ref="L1410:L1473" si="400">A1410&amp;"-"&amp;B1410&amp;"-"&amp;K1410</f>
        <v>OCTOBER-1-GM1</v>
      </c>
      <c r="M1410" s="70">
        <f t="shared" ref="M1410:M1473" si="401">SUMIF($L$2:$L$1420,L1410,$I$2:$I$1420)</f>
        <v>-0.15000428535679877</v>
      </c>
      <c r="N1410" s="70">
        <f t="shared" ref="N1410:N1420" si="402">SUMIF($L$2:$L$1420,L1410,$J$2:$J$1420)</f>
        <v>-0.19723563272295686</v>
      </c>
      <c r="O1410" s="13">
        <f t="shared" ref="O1410:O1420" si="403">SUMIF($A$2:$A$1420,A1410,$D$2:$D$1420)</f>
        <v>238448</v>
      </c>
      <c r="P1410" s="13">
        <f t="shared" ref="P1410:P1420" si="404">SUMIF($A$2:$A$1420,A1410,$E$2:$E$1420)</f>
        <v>238967</v>
      </c>
      <c r="Q1410" s="13">
        <f t="shared" ref="Q1410:Q1420" si="405">SUMIF($A$2:$A$1420,A1410,$F$2:$F$1420)</f>
        <v>236948</v>
      </c>
      <c r="R1410" s="33">
        <f t="shared" ref="R1410:R1473" si="406">Q1410/O1410-1</f>
        <v>-6.2906797289136174E-3</v>
      </c>
      <c r="S1410" s="33">
        <f t="shared" ref="S1410:S1420" si="407">Q1410/P1410-1</f>
        <v>-8.4488653245008427E-3</v>
      </c>
      <c r="T1410" t="str">
        <f t="shared" ref="T1410:T1420" si="408">A1410&amp;"-"&amp;K1410</f>
        <v>OCTOBER-GM1</v>
      </c>
      <c r="U1410">
        <f t="shared" ref="U1410:U1473" si="409">SUMIF($T$2:$T$1420,T1410,$D$2:$D$1420)</f>
        <v>160796</v>
      </c>
      <c r="V1410">
        <f t="shared" ref="V1410:V1420" si="410">SUMIF($T$2:$T$1420,T1410,$E$2:$E$1420)</f>
        <v>160541</v>
      </c>
      <c r="W1410">
        <f t="shared" ref="W1410:W1420" si="411">SUMIF($T$2:$T$1420,T1410,$F$2:$F$1420)</f>
        <v>158684</v>
      </c>
      <c r="X1410" s="33">
        <f t="shared" ref="X1410:X1473" si="412">W1410/U1410-1</f>
        <v>-1.3134655090922709E-2</v>
      </c>
      <c r="Y1410" s="33">
        <f t="shared" ref="Y1410:Y1420" si="413">W1410/V1410-1</f>
        <v>-1.1567138612566308E-2</v>
      </c>
    </row>
    <row r="1411" spans="1:25" x14ac:dyDescent="0.25">
      <c r="A1411" t="s">
        <v>44</v>
      </c>
      <c r="B1411" s="66">
        <v>1</v>
      </c>
      <c r="C1411" t="s">
        <v>72</v>
      </c>
      <c r="D1411" s="66">
        <v>25812</v>
      </c>
      <c r="E1411" s="68">
        <v>25822</v>
      </c>
      <c r="F1411" s="68">
        <v>25764</v>
      </c>
      <c r="G1411" s="13">
        <f t="shared" si="396"/>
        <v>-58</v>
      </c>
      <c r="H1411" s="13">
        <f t="shared" si="397"/>
        <v>-48</v>
      </c>
      <c r="I1411" s="70">
        <f t="shared" si="398"/>
        <v>-1.8596001859599864E-3</v>
      </c>
      <c r="J1411" s="70">
        <f t="shared" si="399"/>
        <v>-2.2461466966152699E-3</v>
      </c>
      <c r="K1411" s="82" t="str">
        <f>_xlfn.IFNA(VLOOKUP(CLEAN(SUBSTITUTE(C1411," ","")),Ref_Factory!$A:$B,2,FALSE),CLEAN(SUBSTITUTE(C1411," ","")))</f>
        <v>GM1</v>
      </c>
      <c r="L1411" s="82" t="str">
        <f t="shared" si="400"/>
        <v>OCTOBER-1-GM1</v>
      </c>
      <c r="M1411" s="70">
        <f t="shared" si="401"/>
        <v>-0.15000428535679877</v>
      </c>
      <c r="N1411" s="70">
        <f t="shared" si="402"/>
        <v>-0.19723563272295686</v>
      </c>
      <c r="O1411" s="13">
        <f t="shared" si="403"/>
        <v>238448</v>
      </c>
      <c r="P1411" s="13">
        <f t="shared" si="404"/>
        <v>238967</v>
      </c>
      <c r="Q1411" s="13">
        <f t="shared" si="405"/>
        <v>236948</v>
      </c>
      <c r="R1411" s="33">
        <f t="shared" si="406"/>
        <v>-6.2906797289136174E-3</v>
      </c>
      <c r="S1411" s="33">
        <f t="shared" si="407"/>
        <v>-8.4488653245008427E-3</v>
      </c>
      <c r="T1411" t="str">
        <f t="shared" si="408"/>
        <v>OCTOBER-GM1</v>
      </c>
      <c r="U1411">
        <f t="shared" si="409"/>
        <v>160796</v>
      </c>
      <c r="V1411">
        <f t="shared" si="410"/>
        <v>160541</v>
      </c>
      <c r="W1411">
        <f t="shared" si="411"/>
        <v>158684</v>
      </c>
      <c r="X1411" s="33">
        <f t="shared" si="412"/>
        <v>-1.3134655090922709E-2</v>
      </c>
      <c r="Y1411" s="33">
        <f t="shared" si="413"/>
        <v>-1.1567138612566308E-2</v>
      </c>
    </row>
    <row r="1412" spans="1:25" x14ac:dyDescent="0.25">
      <c r="A1412" t="s">
        <v>44</v>
      </c>
      <c r="B1412" s="66">
        <v>1</v>
      </c>
      <c r="C1412" t="s">
        <v>72</v>
      </c>
      <c r="D1412" s="66">
        <v>8964</v>
      </c>
      <c r="E1412" s="68">
        <v>8972</v>
      </c>
      <c r="F1412" s="68">
        <v>8886</v>
      </c>
      <c r="G1412" s="13">
        <f t="shared" si="396"/>
        <v>-86</v>
      </c>
      <c r="H1412" s="13">
        <f t="shared" si="397"/>
        <v>-78</v>
      </c>
      <c r="I1412" s="70">
        <f t="shared" si="398"/>
        <v>-8.7014725568942408E-3</v>
      </c>
      <c r="J1412" s="70">
        <f t="shared" si="399"/>
        <v>-9.5853767275969615E-3</v>
      </c>
      <c r="K1412" s="82" t="str">
        <f>_xlfn.IFNA(VLOOKUP(CLEAN(SUBSTITUTE(C1412," ","")),Ref_Factory!$A:$B,2,FALSE),CLEAN(SUBSTITUTE(C1412," ","")))</f>
        <v>GM1</v>
      </c>
      <c r="L1412" s="82" t="str">
        <f t="shared" si="400"/>
        <v>OCTOBER-1-GM1</v>
      </c>
      <c r="M1412" s="70">
        <f t="shared" si="401"/>
        <v>-0.15000428535679877</v>
      </c>
      <c r="N1412" s="70">
        <f t="shared" si="402"/>
        <v>-0.19723563272295686</v>
      </c>
      <c r="O1412" s="13">
        <f t="shared" si="403"/>
        <v>238448</v>
      </c>
      <c r="P1412" s="13">
        <f t="shared" si="404"/>
        <v>238967</v>
      </c>
      <c r="Q1412" s="13">
        <f t="shared" si="405"/>
        <v>236948</v>
      </c>
      <c r="R1412" s="33">
        <f t="shared" si="406"/>
        <v>-6.2906797289136174E-3</v>
      </c>
      <c r="S1412" s="33">
        <f t="shared" si="407"/>
        <v>-8.4488653245008427E-3</v>
      </c>
      <c r="T1412" t="str">
        <f t="shared" si="408"/>
        <v>OCTOBER-GM1</v>
      </c>
      <c r="U1412">
        <f t="shared" si="409"/>
        <v>160796</v>
      </c>
      <c r="V1412">
        <f t="shared" si="410"/>
        <v>160541</v>
      </c>
      <c r="W1412">
        <f t="shared" si="411"/>
        <v>158684</v>
      </c>
      <c r="X1412" s="33">
        <f t="shared" si="412"/>
        <v>-1.3134655090922709E-2</v>
      </c>
      <c r="Y1412" s="33">
        <f t="shared" si="413"/>
        <v>-1.1567138612566308E-2</v>
      </c>
    </row>
    <row r="1413" spans="1:25" x14ac:dyDescent="0.25">
      <c r="A1413" t="s">
        <v>44</v>
      </c>
      <c r="B1413" s="66">
        <v>1</v>
      </c>
      <c r="C1413" t="s">
        <v>72</v>
      </c>
      <c r="D1413" s="66">
        <v>540</v>
      </c>
      <c r="E1413" s="68">
        <v>541</v>
      </c>
      <c r="F1413" s="68">
        <v>540</v>
      </c>
      <c r="G1413" s="13">
        <f t="shared" si="396"/>
        <v>-1</v>
      </c>
      <c r="H1413" s="13">
        <f t="shared" si="397"/>
        <v>0</v>
      </c>
      <c r="I1413" s="70">
        <f t="shared" si="398"/>
        <v>0</v>
      </c>
      <c r="J1413" s="70">
        <f t="shared" si="399"/>
        <v>-1.848428835489857E-3</v>
      </c>
      <c r="K1413" s="82" t="str">
        <f>_xlfn.IFNA(VLOOKUP(CLEAN(SUBSTITUTE(C1413," ","")),Ref_Factory!$A:$B,2,FALSE),CLEAN(SUBSTITUTE(C1413," ","")))</f>
        <v>GM1</v>
      </c>
      <c r="L1413" s="82" t="str">
        <f t="shared" si="400"/>
        <v>OCTOBER-1-GM1</v>
      </c>
      <c r="M1413" s="70">
        <f t="shared" si="401"/>
        <v>-0.15000428535679877</v>
      </c>
      <c r="N1413" s="70">
        <f t="shared" si="402"/>
        <v>-0.19723563272295686</v>
      </c>
      <c r="O1413" s="13">
        <f t="shared" si="403"/>
        <v>238448</v>
      </c>
      <c r="P1413" s="13">
        <f t="shared" si="404"/>
        <v>238967</v>
      </c>
      <c r="Q1413" s="13">
        <f t="shared" si="405"/>
        <v>236948</v>
      </c>
      <c r="R1413" s="33">
        <f t="shared" si="406"/>
        <v>-6.2906797289136174E-3</v>
      </c>
      <c r="S1413" s="33">
        <f t="shared" si="407"/>
        <v>-8.4488653245008427E-3</v>
      </c>
      <c r="T1413" t="str">
        <f t="shared" si="408"/>
        <v>OCTOBER-GM1</v>
      </c>
      <c r="U1413">
        <f t="shared" si="409"/>
        <v>160796</v>
      </c>
      <c r="V1413">
        <f t="shared" si="410"/>
        <v>160541</v>
      </c>
      <c r="W1413">
        <f t="shared" si="411"/>
        <v>158684</v>
      </c>
      <c r="X1413" s="33">
        <f t="shared" si="412"/>
        <v>-1.3134655090922709E-2</v>
      </c>
      <c r="Y1413" s="33">
        <f t="shared" si="413"/>
        <v>-1.1567138612566308E-2</v>
      </c>
    </row>
    <row r="1414" spans="1:25" x14ac:dyDescent="0.25">
      <c r="A1414" t="s">
        <v>44</v>
      </c>
      <c r="B1414" s="66">
        <v>1</v>
      </c>
      <c r="C1414" t="s">
        <v>72</v>
      </c>
      <c r="D1414" s="66">
        <v>14580</v>
      </c>
      <c r="E1414" s="68">
        <v>14614</v>
      </c>
      <c r="F1414" s="68">
        <v>14580</v>
      </c>
      <c r="G1414" s="13">
        <f t="shared" si="396"/>
        <v>-34</v>
      </c>
      <c r="H1414" s="13">
        <f t="shared" si="397"/>
        <v>0</v>
      </c>
      <c r="I1414" s="70">
        <f t="shared" si="398"/>
        <v>0</v>
      </c>
      <c r="J1414" s="70">
        <f t="shared" si="399"/>
        <v>-2.3265361981661403E-3</v>
      </c>
      <c r="K1414" s="82" t="str">
        <f>_xlfn.IFNA(VLOOKUP(CLEAN(SUBSTITUTE(C1414," ","")),Ref_Factory!$A:$B,2,FALSE),CLEAN(SUBSTITUTE(C1414," ","")))</f>
        <v>GM1</v>
      </c>
      <c r="L1414" s="82" t="str">
        <f t="shared" si="400"/>
        <v>OCTOBER-1-GM1</v>
      </c>
      <c r="M1414" s="70">
        <f t="shared" si="401"/>
        <v>-0.15000428535679877</v>
      </c>
      <c r="N1414" s="70">
        <f t="shared" si="402"/>
        <v>-0.19723563272295686</v>
      </c>
      <c r="O1414" s="13">
        <f t="shared" si="403"/>
        <v>238448</v>
      </c>
      <c r="P1414" s="13">
        <f t="shared" si="404"/>
        <v>238967</v>
      </c>
      <c r="Q1414" s="13">
        <f t="shared" si="405"/>
        <v>236948</v>
      </c>
      <c r="R1414" s="33">
        <f t="shared" si="406"/>
        <v>-6.2906797289136174E-3</v>
      </c>
      <c r="S1414" s="33">
        <f t="shared" si="407"/>
        <v>-8.4488653245008427E-3</v>
      </c>
      <c r="T1414" t="str">
        <f t="shared" si="408"/>
        <v>OCTOBER-GM1</v>
      </c>
      <c r="U1414">
        <f t="shared" si="409"/>
        <v>160796</v>
      </c>
      <c r="V1414">
        <f t="shared" si="410"/>
        <v>160541</v>
      </c>
      <c r="W1414">
        <f t="shared" si="411"/>
        <v>158684</v>
      </c>
      <c r="X1414" s="33">
        <f t="shared" si="412"/>
        <v>-1.3134655090922709E-2</v>
      </c>
      <c r="Y1414" s="33">
        <f t="shared" si="413"/>
        <v>-1.1567138612566308E-2</v>
      </c>
    </row>
    <row r="1415" spans="1:25" x14ac:dyDescent="0.25">
      <c r="A1415" t="s">
        <v>44</v>
      </c>
      <c r="B1415" s="66">
        <v>1</v>
      </c>
      <c r="C1415" t="s">
        <v>72</v>
      </c>
      <c r="D1415" s="66">
        <v>4212</v>
      </c>
      <c r="E1415" s="68">
        <v>4207</v>
      </c>
      <c r="F1415" s="68">
        <v>4197</v>
      </c>
      <c r="G1415" s="13">
        <f t="shared" si="396"/>
        <v>-10</v>
      </c>
      <c r="H1415" s="13">
        <f t="shared" si="397"/>
        <v>-15</v>
      </c>
      <c r="I1415" s="70">
        <f t="shared" si="398"/>
        <v>-3.5612535612535856E-3</v>
      </c>
      <c r="J1415" s="70">
        <f t="shared" si="399"/>
        <v>-2.3769907297361836E-3</v>
      </c>
      <c r="K1415" s="82" t="str">
        <f>_xlfn.IFNA(VLOOKUP(CLEAN(SUBSTITUTE(C1415," ","")),Ref_Factory!$A:$B,2,FALSE),CLEAN(SUBSTITUTE(C1415," ","")))</f>
        <v>GM1</v>
      </c>
      <c r="L1415" s="82" t="str">
        <f t="shared" si="400"/>
        <v>OCTOBER-1-GM1</v>
      </c>
      <c r="M1415" s="70">
        <f t="shared" si="401"/>
        <v>-0.15000428535679877</v>
      </c>
      <c r="N1415" s="70">
        <f t="shared" si="402"/>
        <v>-0.19723563272295686</v>
      </c>
      <c r="O1415" s="13">
        <f t="shared" si="403"/>
        <v>238448</v>
      </c>
      <c r="P1415" s="13">
        <f t="shared" si="404"/>
        <v>238967</v>
      </c>
      <c r="Q1415" s="13">
        <f t="shared" si="405"/>
        <v>236948</v>
      </c>
      <c r="R1415" s="33">
        <f t="shared" si="406"/>
        <v>-6.2906797289136174E-3</v>
      </c>
      <c r="S1415" s="33">
        <f t="shared" si="407"/>
        <v>-8.4488653245008427E-3</v>
      </c>
      <c r="T1415" t="str">
        <f t="shared" si="408"/>
        <v>OCTOBER-GM1</v>
      </c>
      <c r="U1415">
        <f t="shared" si="409"/>
        <v>160796</v>
      </c>
      <c r="V1415">
        <f t="shared" si="410"/>
        <v>160541</v>
      </c>
      <c r="W1415">
        <f t="shared" si="411"/>
        <v>158684</v>
      </c>
      <c r="X1415" s="33">
        <f t="shared" si="412"/>
        <v>-1.3134655090922709E-2</v>
      </c>
      <c r="Y1415" s="33">
        <f t="shared" si="413"/>
        <v>-1.1567138612566308E-2</v>
      </c>
    </row>
    <row r="1416" spans="1:25" x14ac:dyDescent="0.25">
      <c r="A1416" t="s">
        <v>44</v>
      </c>
      <c r="B1416" s="66">
        <v>1</v>
      </c>
      <c r="C1416" t="s">
        <v>72</v>
      </c>
      <c r="D1416" s="66">
        <v>13284</v>
      </c>
      <c r="E1416" s="68">
        <v>12508</v>
      </c>
      <c r="F1416" s="68">
        <v>11085</v>
      </c>
      <c r="G1416" s="13">
        <f t="shared" si="396"/>
        <v>-1423</v>
      </c>
      <c r="H1416" s="13">
        <f t="shared" si="397"/>
        <v>-2199</v>
      </c>
      <c r="I1416" s="70">
        <f t="shared" si="398"/>
        <v>-0.16553748870822038</v>
      </c>
      <c r="J1416" s="70">
        <f t="shared" si="399"/>
        <v>-0.11376718899904059</v>
      </c>
      <c r="K1416" s="82" t="str">
        <f>_xlfn.IFNA(VLOOKUP(CLEAN(SUBSTITUTE(C1416," ","")),Ref_Factory!$A:$B,2,FALSE),CLEAN(SUBSTITUTE(C1416," ","")))</f>
        <v>GM1</v>
      </c>
      <c r="L1416" s="82" t="str">
        <f t="shared" si="400"/>
        <v>OCTOBER-1-GM1</v>
      </c>
      <c r="M1416" s="70">
        <f t="shared" si="401"/>
        <v>-0.15000428535679877</v>
      </c>
      <c r="N1416" s="70">
        <f t="shared" si="402"/>
        <v>-0.19723563272295686</v>
      </c>
      <c r="O1416" s="13">
        <f t="shared" si="403"/>
        <v>238448</v>
      </c>
      <c r="P1416" s="13">
        <f t="shared" si="404"/>
        <v>238967</v>
      </c>
      <c r="Q1416" s="13">
        <f t="shared" si="405"/>
        <v>236948</v>
      </c>
      <c r="R1416" s="33">
        <f t="shared" si="406"/>
        <v>-6.2906797289136174E-3</v>
      </c>
      <c r="S1416" s="33">
        <f t="shared" si="407"/>
        <v>-8.4488653245008427E-3</v>
      </c>
      <c r="T1416" t="str">
        <f t="shared" si="408"/>
        <v>OCTOBER-GM1</v>
      </c>
      <c r="U1416">
        <f t="shared" si="409"/>
        <v>160796</v>
      </c>
      <c r="V1416">
        <f t="shared" si="410"/>
        <v>160541</v>
      </c>
      <c r="W1416">
        <f t="shared" si="411"/>
        <v>158684</v>
      </c>
      <c r="X1416" s="33">
        <f t="shared" si="412"/>
        <v>-1.3134655090922709E-2</v>
      </c>
      <c r="Y1416" s="33">
        <f t="shared" si="413"/>
        <v>-1.1567138612566308E-2</v>
      </c>
    </row>
    <row r="1417" spans="1:25" x14ac:dyDescent="0.25">
      <c r="A1417" t="s">
        <v>44</v>
      </c>
      <c r="B1417" s="66">
        <v>1</v>
      </c>
      <c r="C1417" t="s">
        <v>72</v>
      </c>
      <c r="D1417" s="66">
        <v>3672</v>
      </c>
      <c r="E1417" s="68">
        <v>3681</v>
      </c>
      <c r="F1417" s="68">
        <v>3672</v>
      </c>
      <c r="G1417" s="13">
        <f t="shared" si="396"/>
        <v>-9</v>
      </c>
      <c r="H1417" s="13">
        <f t="shared" si="397"/>
        <v>0</v>
      </c>
      <c r="I1417" s="70">
        <f t="shared" si="398"/>
        <v>0</v>
      </c>
      <c r="J1417" s="70">
        <f t="shared" si="399"/>
        <v>-2.4449877750610804E-3</v>
      </c>
      <c r="K1417" s="82" t="str">
        <f>_xlfn.IFNA(VLOOKUP(CLEAN(SUBSTITUTE(C1417," ","")),Ref_Factory!$A:$B,2,FALSE),CLEAN(SUBSTITUTE(C1417," ","")))</f>
        <v>GM1</v>
      </c>
      <c r="L1417" s="82" t="str">
        <f t="shared" si="400"/>
        <v>OCTOBER-1-GM1</v>
      </c>
      <c r="M1417" s="70">
        <f t="shared" si="401"/>
        <v>-0.15000428535679877</v>
      </c>
      <c r="N1417" s="70">
        <f t="shared" si="402"/>
        <v>-0.19723563272295686</v>
      </c>
      <c r="O1417" s="13">
        <f t="shared" si="403"/>
        <v>238448</v>
      </c>
      <c r="P1417" s="13">
        <f t="shared" si="404"/>
        <v>238967</v>
      </c>
      <c r="Q1417" s="13">
        <f t="shared" si="405"/>
        <v>236948</v>
      </c>
      <c r="R1417" s="33">
        <f t="shared" si="406"/>
        <v>-6.2906797289136174E-3</v>
      </c>
      <c r="S1417" s="33">
        <f t="shared" si="407"/>
        <v>-8.4488653245008427E-3</v>
      </c>
      <c r="T1417" t="str">
        <f t="shared" si="408"/>
        <v>OCTOBER-GM1</v>
      </c>
      <c r="U1417">
        <f t="shared" si="409"/>
        <v>160796</v>
      </c>
      <c r="V1417">
        <f t="shared" si="410"/>
        <v>160541</v>
      </c>
      <c r="W1417">
        <f t="shared" si="411"/>
        <v>158684</v>
      </c>
      <c r="X1417" s="33">
        <f t="shared" si="412"/>
        <v>-1.3134655090922709E-2</v>
      </c>
      <c r="Y1417" s="33">
        <f t="shared" si="413"/>
        <v>-1.1567138612566308E-2</v>
      </c>
    </row>
    <row r="1418" spans="1:25" x14ac:dyDescent="0.25">
      <c r="A1418" t="s">
        <v>44</v>
      </c>
      <c r="B1418" s="66">
        <v>1</v>
      </c>
      <c r="C1418" t="s">
        <v>13</v>
      </c>
      <c r="D1418" s="68">
        <v>37368</v>
      </c>
      <c r="E1418" s="68">
        <v>37743</v>
      </c>
      <c r="F1418" s="68">
        <v>37656</v>
      </c>
      <c r="G1418" s="13">
        <f t="shared" si="396"/>
        <v>-87</v>
      </c>
      <c r="H1418" s="13">
        <f t="shared" si="397"/>
        <v>288</v>
      </c>
      <c r="I1418" s="70">
        <f t="shared" si="398"/>
        <v>7.7071290944124016E-3</v>
      </c>
      <c r="J1418" s="70">
        <f t="shared" si="399"/>
        <v>-2.3050631905253693E-3</v>
      </c>
      <c r="K1418" s="82" t="str">
        <f>_xlfn.IFNA(VLOOKUP(CLEAN(SUBSTITUTE(C1418," ","")),Ref_Factory!$A:$B,2,FALSE),CLEAN(SUBSTITUTE(C1418," ","")))</f>
        <v>KALIBENDA</v>
      </c>
      <c r="L1418" s="82" t="str">
        <f t="shared" si="400"/>
        <v>OCTOBER-1-KALIBENDA</v>
      </c>
      <c r="M1418" s="70">
        <f t="shared" si="401"/>
        <v>2.375036862770008E-2</v>
      </c>
      <c r="N1418" s="70">
        <f t="shared" si="402"/>
        <v>-5.9340178327900173E-3</v>
      </c>
      <c r="O1418" s="13">
        <f t="shared" si="403"/>
        <v>238448</v>
      </c>
      <c r="P1418" s="13">
        <f t="shared" si="404"/>
        <v>238967</v>
      </c>
      <c r="Q1418" s="13">
        <f t="shared" si="405"/>
        <v>236948</v>
      </c>
      <c r="R1418" s="33">
        <f t="shared" si="406"/>
        <v>-6.2906797289136174E-3</v>
      </c>
      <c r="S1418" s="33">
        <f t="shared" si="407"/>
        <v>-8.4488653245008427E-3</v>
      </c>
      <c r="T1418" t="str">
        <f t="shared" si="408"/>
        <v>OCTOBER-KALIBENDA</v>
      </c>
      <c r="U1418">
        <f t="shared" si="409"/>
        <v>77652</v>
      </c>
      <c r="V1418">
        <f t="shared" si="410"/>
        <v>78426</v>
      </c>
      <c r="W1418">
        <f t="shared" si="411"/>
        <v>78264</v>
      </c>
      <c r="X1418" s="33">
        <f t="shared" si="412"/>
        <v>7.8813166434863469E-3</v>
      </c>
      <c r="Y1418" s="33">
        <f t="shared" si="413"/>
        <v>-2.0656414964425052E-3</v>
      </c>
    </row>
    <row r="1419" spans="1:25" x14ac:dyDescent="0.25">
      <c r="A1419" t="s">
        <v>44</v>
      </c>
      <c r="B1419" s="66">
        <v>1</v>
      </c>
      <c r="C1419" t="s">
        <v>13</v>
      </c>
      <c r="D1419" s="68">
        <v>30132</v>
      </c>
      <c r="E1419" s="68">
        <v>30432</v>
      </c>
      <c r="F1419" s="68">
        <v>30375</v>
      </c>
      <c r="G1419" s="13">
        <f t="shared" si="396"/>
        <v>-57</v>
      </c>
      <c r="H1419" s="13">
        <f t="shared" si="397"/>
        <v>243</v>
      </c>
      <c r="I1419" s="70">
        <f t="shared" si="398"/>
        <v>8.0645161290322509E-3</v>
      </c>
      <c r="J1419" s="70">
        <f t="shared" si="399"/>
        <v>-1.8730283911672085E-3</v>
      </c>
      <c r="K1419" s="82" t="str">
        <f>_xlfn.IFNA(VLOOKUP(CLEAN(SUBSTITUTE(C1419," ","")),Ref_Factory!$A:$B,2,FALSE),CLEAN(SUBSTITUTE(C1419," ","")))</f>
        <v>KALIBENDA</v>
      </c>
      <c r="L1419" s="82" t="str">
        <f t="shared" si="400"/>
        <v>OCTOBER-1-KALIBENDA</v>
      </c>
      <c r="M1419" s="70">
        <f t="shared" si="401"/>
        <v>2.375036862770008E-2</v>
      </c>
      <c r="N1419" s="70">
        <f t="shared" si="402"/>
        <v>-5.9340178327900173E-3</v>
      </c>
      <c r="O1419" s="13">
        <f t="shared" si="403"/>
        <v>238448</v>
      </c>
      <c r="P1419" s="13">
        <f t="shared" si="404"/>
        <v>238967</v>
      </c>
      <c r="Q1419" s="13">
        <f t="shared" si="405"/>
        <v>236948</v>
      </c>
      <c r="R1419" s="33">
        <f t="shared" si="406"/>
        <v>-6.2906797289136174E-3</v>
      </c>
      <c r="S1419" s="33">
        <f t="shared" si="407"/>
        <v>-8.4488653245008427E-3</v>
      </c>
      <c r="T1419" t="str">
        <f t="shared" si="408"/>
        <v>OCTOBER-KALIBENDA</v>
      </c>
      <c r="U1419">
        <f t="shared" si="409"/>
        <v>77652</v>
      </c>
      <c r="V1419">
        <f t="shared" si="410"/>
        <v>78426</v>
      </c>
      <c r="W1419">
        <f t="shared" si="411"/>
        <v>78264</v>
      </c>
      <c r="X1419" s="33">
        <f t="shared" si="412"/>
        <v>7.8813166434863469E-3</v>
      </c>
      <c r="Y1419" s="33">
        <f t="shared" si="413"/>
        <v>-2.0656414964425052E-3</v>
      </c>
    </row>
    <row r="1420" spans="1:25" x14ac:dyDescent="0.25">
      <c r="A1420" t="s">
        <v>44</v>
      </c>
      <c r="B1420" s="66">
        <v>1</v>
      </c>
      <c r="C1420" t="s">
        <v>13</v>
      </c>
      <c r="D1420" s="68">
        <v>10152</v>
      </c>
      <c r="E1420" s="68">
        <v>10251</v>
      </c>
      <c r="F1420" s="68">
        <v>10233</v>
      </c>
      <c r="G1420" s="13">
        <f t="shared" si="396"/>
        <v>-18</v>
      </c>
      <c r="H1420" s="13">
        <f t="shared" si="397"/>
        <v>81</v>
      </c>
      <c r="I1420" s="70">
        <f t="shared" si="398"/>
        <v>7.9787234042554278E-3</v>
      </c>
      <c r="J1420" s="70">
        <f t="shared" si="399"/>
        <v>-1.7559262510974394E-3</v>
      </c>
      <c r="K1420" s="82" t="str">
        <f>_xlfn.IFNA(VLOOKUP(CLEAN(SUBSTITUTE(C1420," ","")),Ref_Factory!$A:$B,2,FALSE),CLEAN(SUBSTITUTE(C1420," ","")))</f>
        <v>KALIBENDA</v>
      </c>
      <c r="L1420" s="82" t="str">
        <f t="shared" si="400"/>
        <v>OCTOBER-1-KALIBENDA</v>
      </c>
      <c r="M1420" s="70">
        <f t="shared" si="401"/>
        <v>2.375036862770008E-2</v>
      </c>
      <c r="N1420" s="70">
        <f t="shared" si="402"/>
        <v>-5.9340178327900173E-3</v>
      </c>
      <c r="O1420" s="13">
        <f t="shared" si="403"/>
        <v>238448</v>
      </c>
      <c r="P1420" s="13">
        <f t="shared" si="404"/>
        <v>238967</v>
      </c>
      <c r="Q1420" s="13">
        <f t="shared" si="405"/>
        <v>236948</v>
      </c>
      <c r="R1420" s="33">
        <f t="shared" si="406"/>
        <v>-6.2906797289136174E-3</v>
      </c>
      <c r="S1420" s="33">
        <f t="shared" si="407"/>
        <v>-8.4488653245008427E-3</v>
      </c>
      <c r="T1420" t="str">
        <f t="shared" si="408"/>
        <v>OCTOBER-KALIBENDA</v>
      </c>
      <c r="U1420">
        <f t="shared" si="409"/>
        <v>77652</v>
      </c>
      <c r="V1420">
        <f t="shared" si="410"/>
        <v>78426</v>
      </c>
      <c r="W1420">
        <f t="shared" si="411"/>
        <v>78264</v>
      </c>
      <c r="X1420" s="33">
        <f t="shared" si="412"/>
        <v>7.8813166434863469E-3</v>
      </c>
      <c r="Y1420" s="33">
        <f t="shared" si="413"/>
        <v>-2.0656414964425052E-3</v>
      </c>
    </row>
  </sheetData>
  <autoFilter ref="A1:Y1420" xr:uid="{E7E8451C-B27B-4896-8AAB-A82AC0CE6A5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61.7109375" bestFit="1" customWidth="1"/>
    <col min="3" max="3" width="138.28515625" bestFit="1" customWidth="1"/>
    <col min="6" max="6" width="15.42578125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2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2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57F17-8958-427D-9403-A1CEB835BA75}">
  <sheetPr codeName="Sheet7"/>
  <dimension ref="A1:EC33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:A16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92" t="s">
        <v>56</v>
      </c>
      <c r="B2" s="90" t="s">
        <v>36</v>
      </c>
      <c r="C2" s="91"/>
      <c r="D2" s="91"/>
      <c r="E2" s="91"/>
      <c r="F2" s="91"/>
      <c r="G2" s="91"/>
      <c r="H2" s="91"/>
      <c r="I2" s="91"/>
      <c r="J2" s="91"/>
      <c r="K2" s="102"/>
      <c r="L2" s="21"/>
      <c r="M2" s="90" t="s">
        <v>34</v>
      </c>
      <c r="N2" s="91"/>
      <c r="O2" s="91"/>
      <c r="P2" s="91"/>
      <c r="Q2" s="91"/>
      <c r="R2" s="91"/>
      <c r="S2" s="91"/>
      <c r="T2" s="91"/>
      <c r="U2" s="91"/>
      <c r="V2" s="102"/>
      <c r="W2" s="21"/>
      <c r="X2" s="90" t="s">
        <v>37</v>
      </c>
      <c r="Y2" s="91"/>
      <c r="Z2" s="91"/>
      <c r="AA2" s="91"/>
      <c r="AB2" s="91"/>
      <c r="AC2" s="91"/>
      <c r="AD2" s="91"/>
      <c r="AE2" s="91"/>
      <c r="AF2" s="91"/>
      <c r="AG2" s="102"/>
      <c r="AH2" s="21"/>
      <c r="AI2" s="90" t="s">
        <v>38</v>
      </c>
      <c r="AJ2" s="91"/>
      <c r="AK2" s="91"/>
      <c r="AL2" s="91"/>
      <c r="AM2" s="91"/>
      <c r="AN2" s="91"/>
      <c r="AO2" s="91"/>
      <c r="AP2" s="91"/>
      <c r="AQ2" s="91"/>
      <c r="AR2" s="102"/>
      <c r="AS2" s="21"/>
      <c r="AT2" s="90" t="s">
        <v>39</v>
      </c>
      <c r="AU2" s="91"/>
      <c r="AV2" s="91"/>
      <c r="AW2" s="91"/>
      <c r="AX2" s="91"/>
      <c r="AY2" s="91"/>
      <c r="AZ2" s="91"/>
      <c r="BA2" s="91"/>
      <c r="BB2" s="91"/>
      <c r="BC2" s="102"/>
      <c r="BD2" s="21"/>
      <c r="BE2" s="90" t="s">
        <v>40</v>
      </c>
      <c r="BF2" s="91"/>
      <c r="BG2" s="91"/>
      <c r="BH2" s="91"/>
      <c r="BI2" s="91"/>
      <c r="BJ2" s="91"/>
      <c r="BK2" s="91"/>
      <c r="BL2" s="91"/>
      <c r="BM2" s="91"/>
      <c r="BN2" s="102"/>
      <c r="BO2" s="21"/>
      <c r="BP2" s="90" t="s">
        <v>41</v>
      </c>
      <c r="BQ2" s="91"/>
      <c r="BR2" s="91"/>
      <c r="BS2" s="91"/>
      <c r="BT2" s="91"/>
      <c r="BU2" s="91"/>
      <c r="BV2" s="91"/>
      <c r="BW2" s="91"/>
      <c r="BX2" s="91"/>
      <c r="BY2" s="102"/>
      <c r="BZ2" s="21"/>
      <c r="CA2" s="90" t="s">
        <v>42</v>
      </c>
      <c r="CB2" s="91"/>
      <c r="CC2" s="91"/>
      <c r="CD2" s="91"/>
      <c r="CE2" s="91"/>
      <c r="CF2" s="91"/>
      <c r="CG2" s="91"/>
      <c r="CH2" s="91"/>
      <c r="CI2" s="91"/>
      <c r="CJ2" s="102"/>
      <c r="CK2" s="21"/>
      <c r="CL2" s="90" t="s">
        <v>43</v>
      </c>
      <c r="CM2" s="91"/>
      <c r="CN2" s="91"/>
      <c r="CO2" s="91"/>
      <c r="CP2" s="91"/>
      <c r="CQ2" s="91"/>
      <c r="CR2" s="91"/>
      <c r="CS2" s="91"/>
      <c r="CT2" s="91"/>
      <c r="CU2" s="102"/>
      <c r="CV2" s="21"/>
      <c r="CW2" s="90" t="s">
        <v>44</v>
      </c>
      <c r="CX2" s="91"/>
      <c r="CY2" s="91"/>
      <c r="CZ2" s="91"/>
      <c r="DA2" s="91"/>
      <c r="DB2" s="91"/>
      <c r="DC2" s="91"/>
      <c r="DD2" s="91"/>
      <c r="DE2" s="91"/>
      <c r="DF2" s="102"/>
      <c r="DG2" s="21"/>
      <c r="DH2" s="90" t="s">
        <v>45</v>
      </c>
      <c r="DI2" s="91"/>
      <c r="DJ2" s="91"/>
      <c r="DK2" s="91"/>
      <c r="DL2" s="91"/>
      <c r="DM2" s="91"/>
      <c r="DN2" s="91"/>
      <c r="DO2" s="91"/>
      <c r="DP2" s="91"/>
      <c r="DQ2" s="102"/>
      <c r="DR2" s="21"/>
      <c r="DS2" s="90" t="s">
        <v>46</v>
      </c>
      <c r="DT2" s="91"/>
      <c r="DU2" s="91"/>
      <c r="DV2" s="91"/>
      <c r="DW2" s="91"/>
      <c r="DX2" s="91"/>
      <c r="DY2" s="91"/>
      <c r="DZ2" s="91"/>
      <c r="EA2" s="91"/>
      <c r="EB2" s="102"/>
      <c r="EC2" s="21"/>
    </row>
    <row r="3" spans="1:133" ht="15.75" x14ac:dyDescent="0.3">
      <c r="A3" s="92"/>
      <c r="B3" s="100" t="s">
        <v>23</v>
      </c>
      <c r="C3" s="100"/>
      <c r="D3" s="100"/>
      <c r="E3" s="100"/>
      <c r="F3" s="100"/>
      <c r="G3" s="101" t="s">
        <v>24</v>
      </c>
      <c r="H3" s="101"/>
      <c r="I3" s="101"/>
      <c r="J3" s="101"/>
      <c r="K3" s="101"/>
      <c r="L3" s="28"/>
      <c r="M3" s="100" t="s">
        <v>23</v>
      </c>
      <c r="N3" s="100"/>
      <c r="O3" s="100"/>
      <c r="P3" s="100"/>
      <c r="Q3" s="100"/>
      <c r="R3" s="101" t="s">
        <v>24</v>
      </c>
      <c r="S3" s="101"/>
      <c r="T3" s="101"/>
      <c r="U3" s="101"/>
      <c r="V3" s="101"/>
      <c r="W3" s="28"/>
      <c r="X3" s="100" t="s">
        <v>23</v>
      </c>
      <c r="Y3" s="100"/>
      <c r="Z3" s="100"/>
      <c r="AA3" s="100"/>
      <c r="AB3" s="100"/>
      <c r="AC3" s="101" t="s">
        <v>24</v>
      </c>
      <c r="AD3" s="101"/>
      <c r="AE3" s="101"/>
      <c r="AF3" s="101"/>
      <c r="AG3" s="101"/>
      <c r="AH3" s="28"/>
      <c r="AI3" s="100" t="s">
        <v>23</v>
      </c>
      <c r="AJ3" s="100"/>
      <c r="AK3" s="100"/>
      <c r="AL3" s="100"/>
      <c r="AM3" s="100"/>
      <c r="AN3" s="101" t="s">
        <v>24</v>
      </c>
      <c r="AO3" s="101"/>
      <c r="AP3" s="101"/>
      <c r="AQ3" s="101"/>
      <c r="AR3" s="101"/>
      <c r="AS3" s="28"/>
      <c r="AT3" s="100" t="s">
        <v>23</v>
      </c>
      <c r="AU3" s="100"/>
      <c r="AV3" s="100"/>
      <c r="AW3" s="100"/>
      <c r="AX3" s="100"/>
      <c r="AY3" s="101" t="s">
        <v>24</v>
      </c>
      <c r="AZ3" s="101"/>
      <c r="BA3" s="101"/>
      <c r="BB3" s="101"/>
      <c r="BC3" s="101"/>
      <c r="BD3" s="28"/>
      <c r="BE3" s="100" t="s">
        <v>23</v>
      </c>
      <c r="BF3" s="100"/>
      <c r="BG3" s="100"/>
      <c r="BH3" s="100"/>
      <c r="BI3" s="100"/>
      <c r="BJ3" s="101" t="s">
        <v>24</v>
      </c>
      <c r="BK3" s="101"/>
      <c r="BL3" s="101"/>
      <c r="BM3" s="101"/>
      <c r="BN3" s="101"/>
      <c r="BO3" s="28"/>
      <c r="BP3" s="100" t="s">
        <v>23</v>
      </c>
      <c r="BQ3" s="100"/>
      <c r="BR3" s="100"/>
      <c r="BS3" s="100"/>
      <c r="BT3" s="100"/>
      <c r="BU3" s="101" t="s">
        <v>24</v>
      </c>
      <c r="BV3" s="101"/>
      <c r="BW3" s="101"/>
      <c r="BX3" s="101"/>
      <c r="BY3" s="101"/>
      <c r="BZ3" s="28"/>
      <c r="CA3" s="100" t="s">
        <v>23</v>
      </c>
      <c r="CB3" s="100"/>
      <c r="CC3" s="100"/>
      <c r="CD3" s="100"/>
      <c r="CE3" s="100"/>
      <c r="CF3" s="101" t="s">
        <v>24</v>
      </c>
      <c r="CG3" s="101"/>
      <c r="CH3" s="101"/>
      <c r="CI3" s="101"/>
      <c r="CJ3" s="101"/>
      <c r="CK3" s="28"/>
      <c r="CL3" s="100" t="s">
        <v>23</v>
      </c>
      <c r="CM3" s="100"/>
      <c r="CN3" s="100"/>
      <c r="CO3" s="100"/>
      <c r="CP3" s="100"/>
      <c r="CQ3" s="101" t="s">
        <v>24</v>
      </c>
      <c r="CR3" s="101"/>
      <c r="CS3" s="101"/>
      <c r="CT3" s="101"/>
      <c r="CU3" s="101"/>
      <c r="CV3" s="28"/>
      <c r="CW3" s="100" t="s">
        <v>23</v>
      </c>
      <c r="CX3" s="100"/>
      <c r="CY3" s="100"/>
      <c r="CZ3" s="100"/>
      <c r="DA3" s="100"/>
      <c r="DB3" s="101" t="s">
        <v>24</v>
      </c>
      <c r="DC3" s="101"/>
      <c r="DD3" s="101"/>
      <c r="DE3" s="101"/>
      <c r="DF3" s="101"/>
      <c r="DG3" s="28"/>
      <c r="DH3" s="100" t="s">
        <v>23</v>
      </c>
      <c r="DI3" s="100"/>
      <c r="DJ3" s="100"/>
      <c r="DK3" s="100"/>
      <c r="DL3" s="100"/>
      <c r="DM3" s="101" t="s">
        <v>24</v>
      </c>
      <c r="DN3" s="101"/>
      <c r="DO3" s="101"/>
      <c r="DP3" s="101"/>
      <c r="DQ3" s="101"/>
      <c r="DR3" s="28"/>
      <c r="DS3" s="100" t="s">
        <v>23</v>
      </c>
      <c r="DT3" s="100"/>
      <c r="DU3" s="100"/>
      <c r="DV3" s="100"/>
      <c r="DW3" s="100"/>
      <c r="DX3" s="101" t="s">
        <v>24</v>
      </c>
      <c r="DY3" s="101"/>
      <c r="DZ3" s="101"/>
      <c r="EA3" s="101"/>
      <c r="EB3" s="101"/>
      <c r="EC3" s="28"/>
    </row>
    <row r="4" spans="1:133" s="54" customFormat="1" ht="15" x14ac:dyDescent="0.35">
      <c r="A4" s="103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1" t="s">
        <v>16</v>
      </c>
      <c r="B6" s="86">
        <f>IFERROR(VLOOKUP($B$2&amp;"-"&amp; RIGHT(B$4,1)&amp;"-"&amp;$A6,CC1_InputUser!$L:$N,2,FALSE),0)</f>
        <v>0</v>
      </c>
      <c r="C6" s="86">
        <f>IFERROR(VLOOKUP($B$2&amp;"-"&amp; RIGHT(C$4,1)&amp;"-"&amp;$A6,CC1_InputUser!$L:$N,2,FALSE),0)</f>
        <v>0</v>
      </c>
      <c r="D6" s="86">
        <f>IFERROR(VLOOKUP($B$2&amp;"-"&amp; RIGHT(D$4,1)&amp;"-"&amp;$A6,CC1_InputUser!$L:$N,2,FALSE),0)</f>
        <v>-8.2981238141079161E-2</v>
      </c>
      <c r="E6" s="86">
        <f>IFERROR(VLOOKUP($B$2&amp;"-"&amp; RIGHT(E$4,1)&amp;"-"&amp;$A6,CC1_InputUser!$L:$N,2,FALSE),0)</f>
        <v>0</v>
      </c>
      <c r="F6" s="86">
        <f>IFERROR(VLOOKUP($B$2&amp;"-"&amp; RIGHT(F$4,1)&amp;"-"&amp;$A6,CC1_InputUser!$L:$N,2,FALSE),0)</f>
        <v>0</v>
      </c>
      <c r="G6" s="86">
        <f>IFERROR(VLOOKUP($B$2&amp;"-"&amp; RIGHT(G$4,1)&amp;"-"&amp;$A6,CC1_InputUser!$L:$N,3,FALSE),0)</f>
        <v>0</v>
      </c>
      <c r="H6" s="86">
        <f>IFERROR(VLOOKUP($B$2&amp;"-"&amp; RIGHT(H$4,1)&amp;"-"&amp;$A6,CC1_InputUser!$L:$N,3,FALSE),0)</f>
        <v>0</v>
      </c>
      <c r="I6" s="86">
        <f>IFERROR(VLOOKUP($B$2&amp;"-"&amp; RIGHT(I$4,1)&amp;"-"&amp;$A6,CC1_InputUser!$L:$N,3,FALSE),0)</f>
        <v>-0.18982183352462934</v>
      </c>
      <c r="J6" s="86">
        <f>IFERROR(VLOOKUP($B$2&amp;"-"&amp; RIGHT(J$4,1)&amp;"-"&amp;$A6,CC1_InputUser!$L:$N,3,FALSE),0)</f>
        <v>0</v>
      </c>
      <c r="K6" s="86">
        <f>IFERROR(VLOOKUP($B$2&amp;"-"&amp; RIGHT(K$4,1)&amp;"-"&amp;$A6,CC1_InputUser!$L:$N,3,FALSE),0)</f>
        <v>0</v>
      </c>
      <c r="L6" s="87"/>
      <c r="M6" s="86">
        <f>IFERROR(VLOOKUP($M$2&amp;"-"&amp; RIGHT(M$4,1)&amp;"-"&amp;$A6,CC1_InputUser!$L:$N,2,FALSE),0)</f>
        <v>-7.0585494505494339E-2</v>
      </c>
      <c r="N6" s="86">
        <f>IFERROR(VLOOKUP($M$2&amp;"-"&amp; RIGHT(N$4,1)&amp;"-"&amp;$A6,CC1_InputUser!$L:$N,2,FALSE),0)</f>
        <v>0</v>
      </c>
      <c r="O6" s="86">
        <f>IFERROR(VLOOKUP($M$2&amp;"-"&amp; RIGHT(O$4,1)&amp;"-"&amp;$A6,CC1_InputUser!$L:$N,2,FALSE),0)</f>
        <v>-0.35146388528138528</v>
      </c>
      <c r="P6" s="86">
        <f>IFERROR(VLOOKUP($M$2&amp;"-"&amp; RIGHT(P$4,1)&amp;"-"&amp;$A6,CC1_InputUser!$L:$N,2,FALSE),0)</f>
        <v>0</v>
      </c>
      <c r="Q6" s="86">
        <f>IFERROR(VLOOKUP($M$2&amp;"-"&amp; RIGHT(Q$4,1)&amp;"-"&amp;$A6,CC1_InputUser!$L:$N,2,FALSE),0)</f>
        <v>0</v>
      </c>
      <c r="R6" s="86">
        <f>IFERROR(VLOOKUP($M$2&amp;"-"&amp; RIGHT(R$4,1)&amp;"-"&amp;$A6,CC1_InputUser!$L:$N,3,FALSE),0)</f>
        <v>-4.9518711539469518E-2</v>
      </c>
      <c r="S6" s="86">
        <f>IFERROR(VLOOKUP($M$2&amp;"-"&amp; RIGHT(S$4,1)&amp;"-"&amp;$A6,CC1_InputUser!$L:$N,3,FALSE),0)</f>
        <v>0</v>
      </c>
      <c r="T6" s="86">
        <f>IFERROR(VLOOKUP($M$2&amp;"-"&amp; RIGHT(T$4,1)&amp;"-"&amp;$A6,CC1_InputUser!$L:$N,3,FALSE),0)</f>
        <v>-0.70051199626505078</v>
      </c>
      <c r="U6" s="86">
        <f>IFERROR(VLOOKUP($M$2&amp;"-"&amp; RIGHT(U$4,1)&amp;"-"&amp;$A6,CC1_InputUser!$L:$N,3,FALSE),0)</f>
        <v>0</v>
      </c>
      <c r="V6" s="86">
        <f>IFERROR(VLOOKUP($M$2&amp;"-"&amp; RIGHT(V$4,1)&amp;"-"&amp;$A6,CC1_InputUser!$L:$N,3,FALSE),0)</f>
        <v>0</v>
      </c>
      <c r="W6" s="87"/>
      <c r="X6" s="86">
        <f>IFERROR(VLOOKUP($X$2&amp;"-"&amp; RIGHT(X$4,1)&amp;"-"&amp;$A6,CC1_InputUser!$L:$N,2,FALSE),0)</f>
        <v>0</v>
      </c>
      <c r="Y6" s="86">
        <f>IFERROR(VLOOKUP($X$2&amp;"-"&amp; RIGHT(Y$4,1)&amp;"-"&amp;$A6,CC1_InputUser!$L:$N,2,FALSE),0)</f>
        <v>0</v>
      </c>
      <c r="Z6" s="86">
        <f>IFERROR(VLOOKUP($X$2&amp;"-"&amp; RIGHT(Z$4,1)&amp;"-"&amp;$A6,CC1_InputUser!$L:$N,2,FALSE),0)</f>
        <v>8.1111111111111134E-2</v>
      </c>
      <c r="AA6" s="86">
        <f>IFERROR(VLOOKUP($X$2&amp;"-"&amp; RIGHT(AA$4,1)&amp;"-"&amp;$A6,CC1_InputUser!$L:$N,2,FALSE),0)</f>
        <v>0</v>
      </c>
      <c r="AB6" s="86">
        <f>IFERROR(VLOOKUP($X$2&amp;"-"&amp; RIGHT(AB$4,1)&amp;"-"&amp;$A6,CC1_InputUser!$L:$N,2,FALSE),0)</f>
        <v>0</v>
      </c>
      <c r="AC6" s="86">
        <f>IFERROR(VLOOKUP($X$2&amp;"-"&amp; RIGHT(AC$4,1)&amp;"-"&amp;$A6,CC1_InputUser!$L:$N,3,FALSE),0)</f>
        <v>-0.13232650125854006</v>
      </c>
      <c r="AD6" s="86">
        <f>IFERROR(VLOOKUP($X$2&amp;"-"&amp; RIGHT(AD$4,1)&amp;"-"&amp;$A6,CC1_InputUser!$L:$N,3,FALSE),0)</f>
        <v>0</v>
      </c>
      <c r="AE6" s="86">
        <f>IFERROR(VLOOKUP($X$2&amp;"-"&amp; RIGHT(AE$4,1)&amp;"-"&amp;$A6,CC1_InputUser!$L:$N,3,FALSE),0)</f>
        <v>-0.33685355111173731</v>
      </c>
      <c r="AF6" s="86">
        <f>IFERROR(VLOOKUP($X$2&amp;"-"&amp; RIGHT(AF$4,1)&amp;"-"&amp;$A6,CC1_InputUser!$L:$N,3,FALSE),0)</f>
        <v>0</v>
      </c>
      <c r="AG6" s="86">
        <f>IFERROR(VLOOKUP($X$2&amp;"-"&amp; RIGHT(AG$4,1)&amp;"-"&amp;$A6,CC1_InputUser!$L:$N,3,FALSE),0)</f>
        <v>0</v>
      </c>
      <c r="AH6" s="87"/>
      <c r="AI6" s="86">
        <f>IFERROR(VLOOKUP($AI$2&amp;"-"&amp; RIGHT(AI$4,1)&amp;"-"&amp;$A6,CC1_InputUser!$L:$N,2,FALSE),0)</f>
        <v>-1.790517241379308E-2</v>
      </c>
      <c r="AJ6" s="86">
        <f>IFERROR(VLOOKUP($AI$2&amp;"-"&amp; RIGHT(AJ$4,1)&amp;"-"&amp;$A6,CC1_InputUser!$L:$N,2,FALSE),0)</f>
        <v>0</v>
      </c>
      <c r="AK6" s="86">
        <f>IFERROR(VLOOKUP($AI$2&amp;"-"&amp; RIGHT(AK$4,1)&amp;"-"&amp;$A6,CC1_InputUser!$L:$N,2,FALSE),0)</f>
        <v>4.4999999999999929E-2</v>
      </c>
      <c r="AL6" s="86">
        <f>IFERROR(VLOOKUP($AI$2&amp;"-"&amp; RIGHT(AL$4,1)&amp;"-"&amp;$A6,CC1_InputUser!$L:$N,2,FALSE),0)</f>
        <v>0</v>
      </c>
      <c r="AM6" s="86">
        <f>IFERROR(VLOOKUP($AI$2&amp;"-"&amp; RIGHT(AM$4,1)&amp;"-"&amp;$A6,CC1_InputUser!$L:$N,2,FALSE),0)</f>
        <v>0</v>
      </c>
      <c r="AN6" s="86">
        <f>IFERROR(VLOOKUP($AI$2&amp;"-"&amp; RIGHT(AN$4,1)&amp;"-"&amp;$A6,CC1_InputUser!$L:$N,3,FALSE),0)</f>
        <v>-7.0858318226189043E-3</v>
      </c>
      <c r="AO6" s="86">
        <f>IFERROR(VLOOKUP($AI$2&amp;"-"&amp; RIGHT(AO$4,1)&amp;"-"&amp;$A6,CC1_InputUser!$L:$N,3,FALSE),0)</f>
        <v>0</v>
      </c>
      <c r="AP6" s="86">
        <f>IFERROR(VLOOKUP($AI$2&amp;"-"&amp; RIGHT(AP$4,1)&amp;"-"&amp;$A6,CC1_InputUser!$L:$N,3,FALSE),0)</f>
        <v>-0.18368749919827676</v>
      </c>
      <c r="AQ6" s="86">
        <f>IFERROR(VLOOKUP($AI$2&amp;"-"&amp; RIGHT(AQ$4,1)&amp;"-"&amp;$A6,CC1_InputUser!$L:$N,3,FALSE),0)</f>
        <v>0</v>
      </c>
      <c r="AR6" s="86">
        <f>IFERROR(VLOOKUP($AI$2&amp;"-"&amp; RIGHT(AR$4,1)&amp;"-"&amp;$A6,CC1_InputUser!$L:$N,3,FALSE),0)</f>
        <v>0</v>
      </c>
      <c r="AS6" s="86">
        <f>IFERROR(VLOOKUP($AI$2&amp;"-"&amp; RIGHT(AS$4,1)&amp;"-"&amp;$A6,CC1_InputUser!$L:$N,3,FALSE),0)</f>
        <v>0</v>
      </c>
      <c r="AT6" s="86">
        <f>IFERROR(VLOOKUP($AT$2&amp;"-"&amp; RIGHT(AT$4,1)&amp;"-"&amp;$A6,CC1_InputUser!$L:$N,2,FALSE),0)</f>
        <v>-0.31210089635026961</v>
      </c>
      <c r="AU6" s="86">
        <f>IFERROR(VLOOKUP($AT$2&amp;"-"&amp; RIGHT(AU$4,1)&amp;"-"&amp;$A6,CC1_InputUser!$L:$N,2,FALSE),0)</f>
        <v>-7.8750000000000098E-2</v>
      </c>
      <c r="AV6" s="86">
        <f>IFERROR(VLOOKUP($AT$2&amp;"-"&amp; RIGHT(AV$4,1)&amp;"-"&amp;$A6,CC1_InputUser!$L:$N,2,FALSE),0)</f>
        <v>-8.563456614509235E-2</v>
      </c>
      <c r="AW6" s="86">
        <f>IFERROR(VLOOKUP($AT$2&amp;"-"&amp; RIGHT(AW$4,1)&amp;"-"&amp;$A6,CC1_InputUser!$L:$N,2,FALSE),0)</f>
        <v>0</v>
      </c>
      <c r="AX6" s="86">
        <f>IFERROR(VLOOKUP($AT$2&amp;"-"&amp; RIGHT(AX$4,1)&amp;"-"&amp;$A6,CC1_InputUser!$L:$N,2,FALSE),0)</f>
        <v>-1.8333333333333313E-2</v>
      </c>
      <c r="AY6" s="86">
        <f>IFERROR(VLOOKUP($AT$2&amp;"-"&amp; RIGHT(AY$4,1)&amp;"-"&amp;$A6,CC1_InputUser!$L:$N,3,FALSE),0)</f>
        <v>-0.46664429335981128</v>
      </c>
      <c r="AZ6" s="86">
        <f>IFERROR(VLOOKUP($AT$2&amp;"-"&amp; RIGHT(AZ$4,1)&amp;"-"&amp;$A6,CC1_InputUser!$L:$N,3,FALSE),0)</f>
        <v>-0.13136602428300914</v>
      </c>
      <c r="BA6" s="86">
        <f>IFERROR(VLOOKUP($AT$2&amp;"-"&amp; RIGHT(BA$4,1)&amp;"-"&amp;$A6,CC1_InputUser!$L:$N,3,FALSE),0)</f>
        <v>-3.764011819759383E-2</v>
      </c>
      <c r="BB6" s="86">
        <f>IFERROR(VLOOKUP($AT$2&amp;"-"&amp; RIGHT(BB$4,1)&amp;"-"&amp;$A6,CC1_InputUser!$L:$N,3,FALSE),0)</f>
        <v>0</v>
      </c>
      <c r="BC6" s="86">
        <f>IFERROR(VLOOKUP($AT$2&amp;"-"&amp; RIGHT(BC$4,1)&amp;"-"&amp;$A6,CC1_InputUser!$L:$N,3,FALSE),0)</f>
        <v>-5.5815023612968084E-2</v>
      </c>
      <c r="BD6" s="87"/>
      <c r="BE6" s="86">
        <f>IFERROR(VLOOKUP($AT$2&amp;"-"&amp; RIGHT(BE$4,1)&amp;"-"&amp;$A6,CC1_InputUser!$L:$N,2,FALSE),0)</f>
        <v>-0.31210089635026961</v>
      </c>
      <c r="BF6" s="86">
        <f>IFERROR(VLOOKUP($AT$2&amp;"-"&amp; RIGHT(BF$4,1)&amp;"-"&amp;$A6,CC1_InputUser!$L:$N,2,FALSE),0)</f>
        <v>-7.8750000000000098E-2</v>
      </c>
      <c r="BG6" s="86">
        <f>IFERROR(VLOOKUP($AT$2&amp;"-"&amp; RIGHT(BG$4,1)&amp;"-"&amp;$A6,CC1_InputUser!$L:$N,2,FALSE),0)</f>
        <v>-8.563456614509235E-2</v>
      </c>
      <c r="BH6" s="86">
        <f>IFERROR(VLOOKUP($AT$2&amp;"-"&amp; RIGHT(BH$4,1)&amp;"-"&amp;$A6,CC1_InputUser!$L:$N,2,FALSE),0)</f>
        <v>0</v>
      </c>
      <c r="BI6" s="86">
        <f>IFERROR(VLOOKUP($AT$2&amp;"-"&amp; RIGHT(BI$4,1)&amp;"-"&amp;$A6,CC1_InputUser!$L:$N,2,FALSE),0)</f>
        <v>-1.8333333333333313E-2</v>
      </c>
      <c r="BJ6" s="86">
        <f>IFERROR(VLOOKUP($AT$2&amp;"-"&amp; RIGHT(BJ$4,1)&amp;"-"&amp;$A6,CC1_InputUser!$L:$N,3,FALSE),0)</f>
        <v>-0.46664429335981128</v>
      </c>
      <c r="BK6" s="86">
        <f>IFERROR(VLOOKUP($AT$2&amp;"-"&amp; RIGHT(BK$4,1)&amp;"-"&amp;$A6,CC1_InputUser!$L:$N,3,FALSE),0)</f>
        <v>-0.13136602428300914</v>
      </c>
      <c r="BL6" s="86">
        <f>IFERROR(VLOOKUP($AT$2&amp;"-"&amp; RIGHT(BL$4,1)&amp;"-"&amp;$A6,CC1_InputUser!$L:$N,3,FALSE),0)</f>
        <v>-3.764011819759383E-2</v>
      </c>
      <c r="BM6" s="86">
        <f>IFERROR(VLOOKUP($AT$2&amp;"-"&amp; RIGHT(BM$4,1)&amp;"-"&amp;$A6,CC1_InputUser!$L:$N,3,FALSE),0)</f>
        <v>0</v>
      </c>
      <c r="BN6" s="86">
        <f>IFERROR(VLOOKUP($AT$2&amp;"-"&amp; RIGHT(BN$4,1)&amp;"-"&amp;$A6,CC1_InputUser!$L:$N,3,FALSE),0)</f>
        <v>-5.5815023612968084E-2</v>
      </c>
      <c r="BO6" s="87"/>
      <c r="BP6" s="86">
        <f>IFERROR(VLOOKUP($BP$2&amp;"-"&amp; RIGHT(BP$4,1)&amp;"-"&amp;$A6,CC1_InputUser!$L:$N,2,FALSE),0)</f>
        <v>-0.20491666666666664</v>
      </c>
      <c r="BQ6" s="86">
        <f>IFERROR(VLOOKUP($BP$2&amp;"-"&amp; RIGHT(BQ$4,1)&amp;"-"&amp;$A6,CC1_InputUser!$L:$N,2,FALSE),0)</f>
        <v>-0.25791666666666679</v>
      </c>
      <c r="BR6" s="86">
        <f>IFERROR(VLOOKUP($BP$2&amp;"-"&amp; RIGHT(BR$4,1)&amp;"-"&amp;$A6,CC1_InputUser!$L:$N,2,FALSE),0)</f>
        <v>0</v>
      </c>
      <c r="BS6" s="86">
        <f>IFERROR(VLOOKUP($BP$2&amp;"-"&amp; RIGHT(BS$4,1)&amp;"-"&amp;$A6,CC1_InputUser!$L:$N,2,FALSE),0)</f>
        <v>0</v>
      </c>
      <c r="BT6" s="86">
        <f>IFERROR(VLOOKUP($BP$2&amp;"-"&amp; RIGHT(BT$4,1)&amp;"-"&amp;$A6,CC1_InputUser!$L:$N,2,FALSE),0)</f>
        <v>0</v>
      </c>
      <c r="BU6" s="86">
        <f>IFERROR(VLOOKUP($BP$2&amp;"-"&amp; RIGHT(BU$4,1)&amp;"-"&amp;$A6,CC1_InputUser!$L:$N,3,FALSE),0)</f>
        <v>-0.28027464194272256</v>
      </c>
      <c r="BV6" s="86">
        <f>IFERROR(VLOOKUP($BP$2&amp;"-"&amp; RIGHT(BV$4,1)&amp;"-"&amp;$A6,CC1_InputUser!$L:$N,3,FALSE),0)</f>
        <v>-0.25721674943839379</v>
      </c>
      <c r="BW6" s="86">
        <f>IFERROR(VLOOKUP($BP$2&amp;"-"&amp; RIGHT(BW$4,1)&amp;"-"&amp;$A6,CC1_InputUser!$L:$N,3,FALSE),0)</f>
        <v>0</v>
      </c>
      <c r="BX6" s="86">
        <f>IFERROR(VLOOKUP($BP$2&amp;"-"&amp; RIGHT(BX$4,1)&amp;"-"&amp;$A6,CC1_InputUser!$L:$N,3,FALSE),0)</f>
        <v>0</v>
      </c>
      <c r="BY6" s="86">
        <f>IFERROR(VLOOKUP($BP$2&amp;"-"&amp; RIGHT(BY$4,1)&amp;"-"&amp;$A6,CC1_InputUser!$L:$N,3,FALSE),0)</f>
        <v>0</v>
      </c>
      <c r="BZ6" s="87"/>
      <c r="CA6" s="86">
        <f>IFERROR(VLOOKUP($CA$2&amp;"-"&amp; RIGHT(CA$4,1)&amp;"-"&amp;$A6,CC1_InputUser!$L:$N,2,FALSE),0)</f>
        <v>0</v>
      </c>
      <c r="CB6" s="86">
        <f>IFERROR(VLOOKUP($CA$2&amp;"-"&amp; RIGHT(CB$4,1)&amp;"-"&amp;$A6,CC1_InputUser!$L:$N,2,FALSE),0)</f>
        <v>0</v>
      </c>
      <c r="CC6" s="86">
        <f>IFERROR(VLOOKUP($CA$2&amp;"-"&amp; RIGHT(CC$4,1)&amp;"-"&amp;$A6,CC1_InputUser!$L:$N,2,FALSE),0)</f>
        <v>0</v>
      </c>
      <c r="CD6" s="86">
        <f>IFERROR(VLOOKUP($CA$2&amp;"-"&amp; RIGHT(CD$4,1)&amp;"-"&amp;$A6,CC1_InputUser!$L:$N,2,FALSE),0)</f>
        <v>-0.22644386551451789</v>
      </c>
      <c r="CE6" s="86">
        <f>IFERROR(VLOOKUP($CA$2&amp;"-"&amp; RIGHT(CE$4,1)&amp;"-"&amp;$A6,CC1_InputUser!$L:$N,2,FALSE),0)</f>
        <v>0</v>
      </c>
      <c r="CF6" s="86">
        <f>IFERROR(VLOOKUP($CA$2&amp;"-"&amp; RIGHT(CF$4,1)&amp;"-"&amp;$A6,CC1_InputUser!$L:$N,3,FALSE),0)</f>
        <v>0</v>
      </c>
      <c r="CG6" s="86">
        <f>IFERROR(VLOOKUP($CA$2&amp;"-"&amp; RIGHT(CG$4,1)&amp;"-"&amp;$A6,CC1_InputUser!$L:$N,3,FALSE),0)</f>
        <v>0</v>
      </c>
      <c r="CH6" s="86">
        <f>IFERROR(VLOOKUP($CA$2&amp;"-"&amp; RIGHT(CH$4,1)&amp;"-"&amp;$A6,CC1_InputUser!$L:$N,3,FALSE),0)</f>
        <v>0</v>
      </c>
      <c r="CI6" s="86">
        <f>IFERROR(VLOOKUP($CA$2&amp;"-"&amp; RIGHT(CI$4,1)&amp;"-"&amp;$A6,CC1_InputUser!$L:$N,3,FALSE),0)</f>
        <v>-0.19119967570500929</v>
      </c>
      <c r="CJ6" s="86">
        <f>IFERROR(VLOOKUP($CA$2&amp;"-"&amp; RIGHT(CJ$4,1)&amp;"-"&amp;$A6,CC1_InputUser!$L:$N,3,FALSE),0)</f>
        <v>-2.9971130606516017E-2</v>
      </c>
      <c r="CK6" s="87"/>
      <c r="CL6" s="86">
        <f>IFERROR(VLOOKUP($CL$2&amp;"-"&amp; RIGHT(CL$4,1)&amp;"-"&amp;$A6,CC1_InputUser!$L:$N,2,FALSE),0)</f>
        <v>-8.9121887287024748E-3</v>
      </c>
      <c r="CM6" s="86">
        <f>IFERROR(VLOOKUP($CL$2&amp;"-"&amp; RIGHT(CM$4,1)&amp;"-"&amp;$A6,CC1_InputUser!$L:$N,2,FALSE),0)</f>
        <v>-0.38456521739130434</v>
      </c>
      <c r="CN6" s="86">
        <f>IFERROR(VLOOKUP($CL$2&amp;"-"&amp; RIGHT(CN$4,1)&amp;"-"&amp;$A6,CC1_InputUser!$L:$N,2,FALSE),0)</f>
        <v>0</v>
      </c>
      <c r="CO6" s="86">
        <f>IFERROR(VLOOKUP($CL$2&amp;"-"&amp; RIGHT(CO$4,1)&amp;"-"&amp;$A6,CC1_InputUser!$L:$N,2,FALSE),0)</f>
        <v>0</v>
      </c>
      <c r="CP6" s="86">
        <f>IFERROR(VLOOKUP($CL$2&amp;"-"&amp; RIGHT(CP$4,1)&amp;"-"&amp;$A6,CC1_InputUser!$L:$N,2,FALSE),0)</f>
        <v>0</v>
      </c>
      <c r="CQ6" s="86">
        <f>IFERROR(VLOOKUP($CL$2&amp;"-"&amp; RIGHT(CQ$4,1)&amp;"-"&amp;$A6,CC1_InputUser!$L:$N,3,FALSE),0)</f>
        <v>-9.3017162321499258E-3</v>
      </c>
      <c r="CR6" s="86">
        <f>IFERROR(VLOOKUP($CL$2&amp;"-"&amp; RIGHT(CR$4,1)&amp;"-"&amp;$A6,CC1_InputUser!$L:$N,3,FALSE),0)</f>
        <v>-0.38891247775485172</v>
      </c>
      <c r="CS6" s="86">
        <f>IFERROR(VLOOKUP($CL$2&amp;"-"&amp; RIGHT(CS$4,1)&amp;"-"&amp;$A6,CC1_InputUser!$L:$N,3,FALSE),0)</f>
        <v>0</v>
      </c>
      <c r="CT6" s="86">
        <f>IFERROR(VLOOKUP($CL$2&amp;"-"&amp; RIGHT(CT$4,1)&amp;"-"&amp;$A6,CC1_InputUser!$L:$N,3,FALSE),0)</f>
        <v>0</v>
      </c>
      <c r="CU6" s="86">
        <f>IFERROR(VLOOKUP($CL$2&amp;"-"&amp; RIGHT(CU$4,1)&amp;"-"&amp;$A6,CC1_InputUser!$L:$N,3,FALSE),0)</f>
        <v>0</v>
      </c>
      <c r="CV6" s="87"/>
      <c r="CW6" s="86">
        <f>IFERROR(VLOOKUP($CW$2&amp;"-"&amp; RIGHT(CW$4,1)&amp;"-"&amp;$A6,CC1_InputUser!$L:$N,2,FALSE),0)</f>
        <v>0</v>
      </c>
      <c r="CX6" s="86">
        <f>IFERROR(VLOOKUP($CW$2&amp;"-"&amp; RIGHT(CX$4,1)&amp;"-"&amp;$A6,CC1_InputUser!$L:$N,2,FALSE),0)</f>
        <v>0</v>
      </c>
      <c r="CY6" s="86">
        <f>IFERROR(VLOOKUP($CW$2&amp;"-"&amp; RIGHT(CY$4,1)&amp;"-"&amp;$A6,CC1_InputUser!$L:$N,2,FALSE),0)</f>
        <v>0</v>
      </c>
      <c r="CZ6" s="86">
        <f>IFERROR(VLOOKUP($CW$2&amp;"-"&amp; RIGHT(CZ$4,1)&amp;"-"&amp;$A6,CC1_InputUser!$L:$N,2,FALSE),0)</f>
        <v>0</v>
      </c>
      <c r="DA6" s="86">
        <f>IFERROR(VLOOKUP($CW$2&amp;"-"&amp; RIGHT(DA$4,1)&amp;"-"&amp;$A6,CC1_InputUser!$L:$N,2,FALSE),0)</f>
        <v>0</v>
      </c>
      <c r="DB6" s="86">
        <f>IFERROR(VLOOKUP($CW$2&amp;"-"&amp; RIGHT(DB$4,1)&amp;"-"&amp;$A6,CC1_InputUser!$L:$N,3,FALSE),0)</f>
        <v>0</v>
      </c>
      <c r="DC6" s="86">
        <f>IFERROR(VLOOKUP($CW$2&amp;"-"&amp; RIGHT(DC$4,1)&amp;"-"&amp;$A6,CC1_InputUser!$L:$N,3,FALSE),0)</f>
        <v>0</v>
      </c>
      <c r="DD6" s="86">
        <f>IFERROR(VLOOKUP($CW$2&amp;"-"&amp; RIGHT(DD$4,1)&amp;"-"&amp;$A6,CC1_InputUser!$L:$N,3,FALSE),0)</f>
        <v>0</v>
      </c>
      <c r="DE6" s="86">
        <f>IFERROR(VLOOKUP($CW$2&amp;"-"&amp; RIGHT(DE$4,1)&amp;"-"&amp;$A6,CC1_InputUser!$L:$N,3,FALSE),0)</f>
        <v>0</v>
      </c>
      <c r="DF6" s="86">
        <f>IFERROR(VLOOKUP($CW$2&amp;"-"&amp; RIGHT(DF$4,1)&amp;"-"&amp;$A6,CC1_InputUser!$L:$N,3,FALSE),0)</f>
        <v>0</v>
      </c>
      <c r="DG6" s="87"/>
      <c r="DH6" s="86">
        <f>IFERROR(VLOOKUP($DH$2&amp;"-"&amp; RIGHT(DH$4,1)&amp;"-"&amp;$A6,CC1_InputUser!$L:$N,2,FALSE),0)</f>
        <v>0</v>
      </c>
      <c r="DI6" s="86">
        <f>IFERROR(VLOOKUP($DH$2&amp;"-"&amp; RIGHT(DI$4,1)&amp;"-"&amp;$A6,CC1_InputUser!$L:$N,2,FALSE),0)</f>
        <v>0</v>
      </c>
      <c r="DJ6" s="86">
        <f>IFERROR(VLOOKUP($DH$2&amp;"-"&amp; RIGHT(DJ$4,1)&amp;"-"&amp;$A6,CC1_InputUser!$L:$N,2,FALSE),0)</f>
        <v>0</v>
      </c>
      <c r="DK6" s="86">
        <f>IFERROR(VLOOKUP($DH$2&amp;"-"&amp; RIGHT(DK$4,1)&amp;"-"&amp;$A6,CC1_InputUser!$L:$N,2,FALSE),0)</f>
        <v>0</v>
      </c>
      <c r="DL6" s="86">
        <f>IFERROR(VLOOKUP($DH$2&amp;"-"&amp; RIGHT(DL$4,1)&amp;"-"&amp;$A6,CC1_InputUser!$L:$N,2,FALSE),0)</f>
        <v>0</v>
      </c>
      <c r="DM6" s="86">
        <f>IFERROR(VLOOKUP($DH$2&amp;"-"&amp; RIGHT(DM$4,1)&amp;"-"&amp;$A6,CC1_InputUser!$L:$N,3,FALSE),0)</f>
        <v>0</v>
      </c>
      <c r="DN6" s="86">
        <f>IFERROR(VLOOKUP($DH$2&amp;"-"&amp; RIGHT(DN$4,1)&amp;"-"&amp;$A6,CC1_InputUser!$L:$N,3,FALSE),0)</f>
        <v>0</v>
      </c>
      <c r="DO6" s="86">
        <f>IFERROR(VLOOKUP($DH$2&amp;"-"&amp; RIGHT(DO$4,1)&amp;"-"&amp;$A6,CC1_InputUser!$L:$N,3,FALSE),0)</f>
        <v>0</v>
      </c>
      <c r="DP6" s="86">
        <f>IFERROR(VLOOKUP($DH$2&amp;"-"&amp; RIGHT(DP$4,1)&amp;"-"&amp;$A6,CC1_InputUser!$L:$N,3,FALSE),0)</f>
        <v>0</v>
      </c>
      <c r="DQ6" s="86">
        <f>IFERROR(VLOOKUP($DH$2&amp;"-"&amp; RIGHT(DQ$4,1)&amp;"-"&amp;$A6,CC1_InputUser!$L:$N,3,FALSE),0)</f>
        <v>0</v>
      </c>
      <c r="DR6" s="87"/>
      <c r="DS6" s="86">
        <f>IFERROR(VLOOKUP($DS$2&amp;"-"&amp; RIGHT(DS$4,1)&amp;"-"&amp;$A6,CC1_InputUser!$L:$N,2,FALSE),0)</f>
        <v>0</v>
      </c>
      <c r="DT6" s="86">
        <f>IFERROR(VLOOKUP($DS$2&amp;"-"&amp; RIGHT(DT$4,1)&amp;"-"&amp;$A6,CC1_InputUser!$L:$N,2,FALSE),0)</f>
        <v>0</v>
      </c>
      <c r="DU6" s="86">
        <f>IFERROR(VLOOKUP($DS$2&amp;"-"&amp; RIGHT(DU$4,1)&amp;"-"&amp;$A6,CC1_InputUser!$L:$N,2,FALSE),0)</f>
        <v>0</v>
      </c>
      <c r="DV6" s="86">
        <f>IFERROR(VLOOKUP($DS$2&amp;"-"&amp; RIGHT(DV$4,1)&amp;"-"&amp;$A6,CC1_InputUser!$L:$N,2,FALSE),0)</f>
        <v>0</v>
      </c>
      <c r="DW6" s="86">
        <f>IFERROR(VLOOKUP($DS$2&amp;"-"&amp; RIGHT(DW$4,1)&amp;"-"&amp;$A6,CC1_InputUser!$L:$N,2,FALSE),0)</f>
        <v>0</v>
      </c>
      <c r="DX6" s="86">
        <f>IFERROR(VLOOKUP($DS$2&amp;"-"&amp; RIGHT(DX$4,1)&amp;"-"&amp;$A6,CC1_InputUser!$L:$N,3,FALSE),0)</f>
        <v>0</v>
      </c>
      <c r="DY6" s="86">
        <f>IFERROR(VLOOKUP($DS$2&amp;"-"&amp; RIGHT(DY$4,1)&amp;"-"&amp;$A6,CC1_InputUser!$L:$N,3,FALSE),0)</f>
        <v>0</v>
      </c>
      <c r="DZ6" s="86">
        <f>IFERROR(VLOOKUP($DS$2&amp;"-"&amp; RIGHT(DZ$4,1)&amp;"-"&amp;$A6,CC1_InputUser!$L:$N,3,FALSE),0)</f>
        <v>0</v>
      </c>
      <c r="EA6" s="86">
        <f>IFERROR(VLOOKUP($DS$2&amp;"-"&amp; RIGHT(EA$4,1)&amp;"-"&amp;$A6,CC1_InputUser!$L:$N,3,FALSE),0)</f>
        <v>0</v>
      </c>
      <c r="EB6" s="86">
        <f>IFERROR(VLOOKUP($DS$2&amp;"-"&amp; RIGHT(EB$4,1)&amp;"-"&amp;$A6,CC1_InputUser!$L:$N,3,FALSE),0)</f>
        <v>0</v>
      </c>
      <c r="EC6" s="87"/>
    </row>
    <row r="7" spans="1:133" x14ac:dyDescent="0.3">
      <c r="A7" s="72" t="s">
        <v>12</v>
      </c>
      <c r="B7" s="88">
        <f>IFERROR(VLOOKUP($B$2&amp;"-"&amp; RIGHT(B$4,1)&amp;"-"&amp;$A7,CC1_InputUser!$L:$N,2,FALSE),0)</f>
        <v>0</v>
      </c>
      <c r="C7" s="88">
        <f>IFERROR(VLOOKUP($B$2&amp;"-"&amp; RIGHT(C$4,1)&amp;"-"&amp;$A7,CC1_InputUser!$L:$N,2,FALSE),0)</f>
        <v>0</v>
      </c>
      <c r="D7" s="88">
        <f>IFERROR(VLOOKUP($B$2&amp;"-"&amp; RIGHT(D$4,1)&amp;"-"&amp;$A7,CC1_InputUser!$L:$N,2,FALSE),0)</f>
        <v>0</v>
      </c>
      <c r="E7" s="88">
        <f>IFERROR(VLOOKUP($B$2&amp;"-"&amp; RIGHT(E$4,1)&amp;"-"&amp;$A7,CC1_InputUser!$L:$N,2,FALSE),0)</f>
        <v>0</v>
      </c>
      <c r="F7" s="88">
        <f>IFERROR(VLOOKUP($B$2&amp;"-"&amp; RIGHT(F$4,1)&amp;"-"&amp;$A7,CC1_InputUser!$L:$N,2,FALSE),0)</f>
        <v>0</v>
      </c>
      <c r="G7" s="88">
        <f>IFERROR(VLOOKUP($B$2&amp;"-"&amp; RIGHT(G$4,1)&amp;"-"&amp;$A7,CC1_InputUser!$L:$N,3,FALSE),0)</f>
        <v>0</v>
      </c>
      <c r="H7" s="88">
        <f>IFERROR(VLOOKUP($B$2&amp;"-"&amp; RIGHT(H$4,1)&amp;"-"&amp;$A7,CC1_InputUser!$L:$N,3,FALSE),0)</f>
        <v>0</v>
      </c>
      <c r="I7" s="88">
        <f>IFERROR(VLOOKUP($B$2&amp;"-"&amp; RIGHT(I$4,1)&amp;"-"&amp;$A7,CC1_InputUser!$L:$N,3,FALSE),0)</f>
        <v>0</v>
      </c>
      <c r="J7" s="88">
        <f>IFERROR(VLOOKUP($B$2&amp;"-"&amp; RIGHT(J$4,1)&amp;"-"&amp;$A7,CC1_InputUser!$L:$N,3,FALSE),0)</f>
        <v>0</v>
      </c>
      <c r="K7" s="88">
        <f>IFERROR(VLOOKUP($B$2&amp;"-"&amp; RIGHT(K$4,1)&amp;"-"&amp;$A7,CC1_InputUser!$L:$N,3,FALSE),0)</f>
        <v>0</v>
      </c>
      <c r="L7" s="89"/>
      <c r="M7" s="88">
        <f>IFERROR(VLOOKUP($M$2&amp;"-"&amp; RIGHT(M$4,1)&amp;"-"&amp;$A7,CC1_InputUser!$L:$N,2,FALSE),0)</f>
        <v>0</v>
      </c>
      <c r="N7" s="88">
        <f>IFERROR(VLOOKUP($M$2&amp;"-"&amp; RIGHT(N$4,1)&amp;"-"&amp;$A7,CC1_InputUser!$L:$N,2,FALSE),0)</f>
        <v>0</v>
      </c>
      <c r="O7" s="88">
        <f>IFERROR(VLOOKUP($M$2&amp;"-"&amp; RIGHT(O$4,1)&amp;"-"&amp;$A7,CC1_InputUser!$L:$N,2,FALSE),0)</f>
        <v>0</v>
      </c>
      <c r="P7" s="88">
        <f>IFERROR(VLOOKUP($M$2&amp;"-"&amp; RIGHT(P$4,1)&amp;"-"&amp;$A7,CC1_InputUser!$L:$N,2,FALSE),0)</f>
        <v>0</v>
      </c>
      <c r="Q7" s="88">
        <f>IFERROR(VLOOKUP($M$2&amp;"-"&amp; RIGHT(Q$4,1)&amp;"-"&amp;$A7,CC1_InputUser!$L:$N,2,FALSE),0)</f>
        <v>0</v>
      </c>
      <c r="R7" s="88">
        <f>IFERROR(VLOOKUP($M$2&amp;"-"&amp; RIGHT(R$4,1)&amp;"-"&amp;$A7,CC1_InputUser!$L:$N,3,FALSE),0)</f>
        <v>0</v>
      </c>
      <c r="S7" s="88">
        <f>IFERROR(VLOOKUP($M$2&amp;"-"&amp; RIGHT(S$4,1)&amp;"-"&amp;$A7,CC1_InputUser!$L:$N,3,FALSE),0)</f>
        <v>0</v>
      </c>
      <c r="T7" s="88">
        <f>IFERROR(VLOOKUP($M$2&amp;"-"&amp; RIGHT(T$4,1)&amp;"-"&amp;$A7,CC1_InputUser!$L:$N,3,FALSE),0)</f>
        <v>0</v>
      </c>
      <c r="U7" s="88">
        <f>IFERROR(VLOOKUP($M$2&amp;"-"&amp; RIGHT(U$4,1)&amp;"-"&amp;$A7,CC1_InputUser!$L:$N,3,FALSE),0)</f>
        <v>0</v>
      </c>
      <c r="V7" s="88">
        <f>IFERROR(VLOOKUP($M$2&amp;"-"&amp; RIGHT(V$4,1)&amp;"-"&amp;$A7,CC1_InputUser!$L:$N,3,FALSE),0)</f>
        <v>0</v>
      </c>
      <c r="W7" s="89"/>
      <c r="X7" s="88">
        <f>IFERROR(VLOOKUP($X$2&amp;"-"&amp; RIGHT(X$4,1)&amp;"-"&amp;$A7,CC1_InputUser!$L:$N,2,FALSE),0)</f>
        <v>0</v>
      </c>
      <c r="Y7" s="88">
        <f>IFERROR(VLOOKUP($X$2&amp;"-"&amp; RIGHT(Y$4,1)&amp;"-"&amp;$A7,CC1_InputUser!$L:$N,2,FALSE),0)</f>
        <v>0</v>
      </c>
      <c r="Z7" s="88">
        <f>IFERROR(VLOOKUP($X$2&amp;"-"&amp; RIGHT(Z$4,1)&amp;"-"&amp;$A7,CC1_InputUser!$L:$N,2,FALSE),0)</f>
        <v>0</v>
      </c>
      <c r="AA7" s="88">
        <f>IFERROR(VLOOKUP($X$2&amp;"-"&amp; RIGHT(AA$4,1)&amp;"-"&amp;$A7,CC1_InputUser!$L:$N,2,FALSE),0)</f>
        <v>0</v>
      </c>
      <c r="AB7" s="88">
        <f>IFERROR(VLOOKUP($X$2&amp;"-"&amp; RIGHT(AB$4,1)&amp;"-"&amp;$A7,CC1_InputUser!$L:$N,2,FALSE),0)</f>
        <v>0</v>
      </c>
      <c r="AC7" s="88">
        <f>IFERROR(VLOOKUP($X$2&amp;"-"&amp; RIGHT(AC$4,1)&amp;"-"&amp;$A7,CC1_InputUser!$L:$N,3,FALSE),0)</f>
        <v>0</v>
      </c>
      <c r="AD7" s="88">
        <f>IFERROR(VLOOKUP($X$2&amp;"-"&amp; RIGHT(AD$4,1)&amp;"-"&amp;$A7,CC1_InputUser!$L:$N,3,FALSE),0)</f>
        <v>0</v>
      </c>
      <c r="AE7" s="88">
        <f>IFERROR(VLOOKUP($X$2&amp;"-"&amp; RIGHT(AE$4,1)&amp;"-"&amp;$A7,CC1_InputUser!$L:$N,3,FALSE),0)</f>
        <v>0</v>
      </c>
      <c r="AF7" s="88">
        <f>IFERROR(VLOOKUP($X$2&amp;"-"&amp; RIGHT(AF$4,1)&amp;"-"&amp;$A7,CC1_InputUser!$L:$N,3,FALSE),0)</f>
        <v>0</v>
      </c>
      <c r="AG7" s="88">
        <f>IFERROR(VLOOKUP($X$2&amp;"-"&amp; RIGHT(AG$4,1)&amp;"-"&amp;$A7,CC1_InputUser!$L:$N,3,FALSE),0)</f>
        <v>0</v>
      </c>
      <c r="AH7" s="89"/>
      <c r="AI7" s="88">
        <f>IFERROR(VLOOKUP($AI$2&amp;"-"&amp; RIGHT(AI$4,1)&amp;"-"&amp;$A7,CC1_InputUser!$L:$N,2,FALSE),0)</f>
        <v>0</v>
      </c>
      <c r="AJ7" s="88">
        <f>IFERROR(VLOOKUP($AI$2&amp;"-"&amp; RIGHT(AJ$4,1)&amp;"-"&amp;$A7,CC1_InputUser!$L:$N,2,FALSE),0)</f>
        <v>0</v>
      </c>
      <c r="AK7" s="88">
        <f>IFERROR(VLOOKUP($AI$2&amp;"-"&amp; RIGHT(AK$4,1)&amp;"-"&amp;$A7,CC1_InputUser!$L:$N,2,FALSE),0)</f>
        <v>0</v>
      </c>
      <c r="AL7" s="88">
        <f>IFERROR(VLOOKUP($AI$2&amp;"-"&amp; RIGHT(AL$4,1)&amp;"-"&amp;$A7,CC1_InputUser!$L:$N,2,FALSE),0)</f>
        <v>0</v>
      </c>
      <c r="AM7" s="88">
        <f>IFERROR(VLOOKUP($AI$2&amp;"-"&amp; RIGHT(AM$4,1)&amp;"-"&amp;$A7,CC1_InputUser!$L:$N,2,FALSE),0)</f>
        <v>0</v>
      </c>
      <c r="AN7" s="88">
        <f>IFERROR(VLOOKUP($AI$2&amp;"-"&amp; RIGHT(AN$4,1)&amp;"-"&amp;$A7,CC1_InputUser!$L:$N,3,FALSE),0)</f>
        <v>0</v>
      </c>
      <c r="AO7" s="88">
        <f>IFERROR(VLOOKUP($AI$2&amp;"-"&amp; RIGHT(AO$4,1)&amp;"-"&amp;$A7,CC1_InputUser!$L:$N,3,FALSE),0)</f>
        <v>0</v>
      </c>
      <c r="AP7" s="88">
        <f>IFERROR(VLOOKUP($AI$2&amp;"-"&amp; RIGHT(AP$4,1)&amp;"-"&amp;$A7,CC1_InputUser!$L:$N,3,FALSE),0)</f>
        <v>0</v>
      </c>
      <c r="AQ7" s="88">
        <f>IFERROR(VLOOKUP($AI$2&amp;"-"&amp; RIGHT(AQ$4,1)&amp;"-"&amp;$A7,CC1_InputUser!$L:$N,3,FALSE),0)</f>
        <v>0</v>
      </c>
      <c r="AR7" s="88">
        <f>IFERROR(VLOOKUP($AI$2&amp;"-"&amp; RIGHT(AR$4,1)&amp;"-"&amp;$A7,CC1_InputUser!$L:$N,3,FALSE),0)</f>
        <v>0</v>
      </c>
      <c r="AS7" s="89"/>
      <c r="AT7" s="88">
        <f>IFERROR(VLOOKUP($AT$2&amp;"-"&amp; RIGHT(AT$4,1)&amp;"-"&amp;$A7,CC1_InputUser!$L:$N,2,FALSE),0)</f>
        <v>0</v>
      </c>
      <c r="AU7" s="88">
        <f>IFERROR(VLOOKUP($AT$2&amp;"-"&amp; RIGHT(AU$4,1)&amp;"-"&amp;$A7,CC1_InputUser!$L:$N,2,FALSE),0)</f>
        <v>0</v>
      </c>
      <c r="AV7" s="88">
        <f>IFERROR(VLOOKUP($AT$2&amp;"-"&amp; RIGHT(AV$4,1)&amp;"-"&amp;$A7,CC1_InputUser!$L:$N,2,FALSE),0)</f>
        <v>0</v>
      </c>
      <c r="AW7" s="88">
        <f>IFERROR(VLOOKUP($AT$2&amp;"-"&amp; RIGHT(AW$4,1)&amp;"-"&amp;$A7,CC1_InputUser!$L:$N,2,FALSE),0)</f>
        <v>0</v>
      </c>
      <c r="AX7" s="88">
        <f>IFERROR(VLOOKUP($AT$2&amp;"-"&amp; RIGHT(AX$4,1)&amp;"-"&amp;$A7,CC1_InputUser!$L:$N,2,FALSE),0)</f>
        <v>0</v>
      </c>
      <c r="AY7" s="88">
        <f>IFERROR(VLOOKUP($AT$2&amp;"-"&amp; RIGHT(AY$4,1)&amp;"-"&amp;$A7,CC1_InputUser!$L:$N,3,FALSE),0)</f>
        <v>0</v>
      </c>
      <c r="AZ7" s="88">
        <f>IFERROR(VLOOKUP($AT$2&amp;"-"&amp; RIGHT(AZ$4,1)&amp;"-"&amp;$A7,CC1_InputUser!$L:$N,3,FALSE),0)</f>
        <v>0</v>
      </c>
      <c r="BA7" s="88">
        <f>IFERROR(VLOOKUP($AT$2&amp;"-"&amp; RIGHT(BA$4,1)&amp;"-"&amp;$A7,CC1_InputUser!$L:$N,3,FALSE),0)</f>
        <v>0</v>
      </c>
      <c r="BB7" s="88">
        <f>IFERROR(VLOOKUP($AT$2&amp;"-"&amp; RIGHT(BB$4,1)&amp;"-"&amp;$A7,CC1_InputUser!$L:$N,3,FALSE),0)</f>
        <v>0</v>
      </c>
      <c r="BC7" s="88">
        <f>IFERROR(VLOOKUP($AT$2&amp;"-"&amp; RIGHT(BC$4,1)&amp;"-"&amp;$A7,CC1_InputUser!$L:$N,3,FALSE),0)</f>
        <v>0</v>
      </c>
      <c r="BD7" s="89"/>
      <c r="BE7" s="88">
        <f>IFERROR(VLOOKUP($AT$2&amp;"-"&amp; RIGHT(BE$4,1)&amp;"-"&amp;$A7,CC1_InputUser!$L:$N,2,FALSE),0)</f>
        <v>0</v>
      </c>
      <c r="BF7" s="88">
        <f>IFERROR(VLOOKUP($AT$2&amp;"-"&amp; RIGHT(BF$4,1)&amp;"-"&amp;$A7,CC1_InputUser!$L:$N,2,FALSE),0)</f>
        <v>0</v>
      </c>
      <c r="BG7" s="88">
        <f>IFERROR(VLOOKUP($AT$2&amp;"-"&amp; RIGHT(BG$4,1)&amp;"-"&amp;$A7,CC1_InputUser!$L:$N,2,FALSE),0)</f>
        <v>0</v>
      </c>
      <c r="BH7" s="88">
        <f>IFERROR(VLOOKUP($AT$2&amp;"-"&amp; RIGHT(BH$4,1)&amp;"-"&amp;$A7,CC1_InputUser!$L:$N,2,FALSE),0)</f>
        <v>0</v>
      </c>
      <c r="BI7" s="88">
        <f>IFERROR(VLOOKUP($AT$2&amp;"-"&amp; RIGHT(BI$4,1)&amp;"-"&amp;$A7,CC1_InputUser!$L:$N,2,FALSE),0)</f>
        <v>0</v>
      </c>
      <c r="BJ7" s="88">
        <f>IFERROR(VLOOKUP($AT$2&amp;"-"&amp; RIGHT(BJ$4,1)&amp;"-"&amp;$A7,CC1_InputUser!$L:$N,3,FALSE),0)</f>
        <v>0</v>
      </c>
      <c r="BK7" s="88">
        <f>IFERROR(VLOOKUP($AT$2&amp;"-"&amp; RIGHT(BK$4,1)&amp;"-"&amp;$A7,CC1_InputUser!$L:$N,3,FALSE),0)</f>
        <v>0</v>
      </c>
      <c r="BL7" s="88">
        <f>IFERROR(VLOOKUP($AT$2&amp;"-"&amp; RIGHT(BL$4,1)&amp;"-"&amp;$A7,CC1_InputUser!$L:$N,3,FALSE),0)</f>
        <v>0</v>
      </c>
      <c r="BM7" s="88">
        <f>IFERROR(VLOOKUP($AT$2&amp;"-"&amp; RIGHT(BM$4,1)&amp;"-"&amp;$A7,CC1_InputUser!$L:$N,3,FALSE),0)</f>
        <v>0</v>
      </c>
      <c r="BN7" s="88">
        <f>IFERROR(VLOOKUP($AT$2&amp;"-"&amp; RIGHT(BN$4,1)&amp;"-"&amp;$A7,CC1_InputUser!$L:$N,3,FALSE),0)</f>
        <v>0</v>
      </c>
      <c r="BO7" s="89"/>
      <c r="BP7" s="88">
        <f>IFERROR(VLOOKUP($BP$2&amp;"-"&amp; RIGHT(BP$4,1)&amp;"-"&amp;$A7,CC1_InputUser!$L:$N,2,FALSE),0)</f>
        <v>0</v>
      </c>
      <c r="BQ7" s="88">
        <f>IFERROR(VLOOKUP($BP$2&amp;"-"&amp; RIGHT(BQ$4,1)&amp;"-"&amp;$A7,CC1_InputUser!$L:$N,2,FALSE),0)</f>
        <v>0</v>
      </c>
      <c r="BR7" s="88">
        <f>IFERROR(VLOOKUP($BP$2&amp;"-"&amp; RIGHT(BR$4,1)&amp;"-"&amp;$A7,CC1_InputUser!$L:$N,2,FALSE),0)</f>
        <v>0</v>
      </c>
      <c r="BS7" s="88">
        <f>IFERROR(VLOOKUP($BP$2&amp;"-"&amp; RIGHT(BS$4,1)&amp;"-"&amp;$A7,CC1_InputUser!$L:$N,2,FALSE),0)</f>
        <v>0</v>
      </c>
      <c r="BT7" s="88">
        <f>IFERROR(VLOOKUP($BP$2&amp;"-"&amp; RIGHT(BT$4,1)&amp;"-"&amp;$A7,CC1_InputUser!$L:$N,2,FALSE),0)</f>
        <v>0</v>
      </c>
      <c r="BU7" s="88">
        <f>IFERROR(VLOOKUP($BP$2&amp;"-"&amp; RIGHT(BU$4,1)&amp;"-"&amp;$A7,CC1_InputUser!$L:$N,3,FALSE),0)</f>
        <v>0</v>
      </c>
      <c r="BV7" s="88">
        <f>IFERROR(VLOOKUP($BP$2&amp;"-"&amp; RIGHT(BV$4,1)&amp;"-"&amp;$A7,CC1_InputUser!$L:$N,3,FALSE),0)</f>
        <v>0</v>
      </c>
      <c r="BW7" s="88">
        <f>IFERROR(VLOOKUP($BP$2&amp;"-"&amp; RIGHT(BW$4,1)&amp;"-"&amp;$A7,CC1_InputUser!$L:$N,3,FALSE),0)</f>
        <v>0</v>
      </c>
      <c r="BX7" s="88">
        <f>IFERROR(VLOOKUP($BP$2&amp;"-"&amp; RIGHT(BX$4,1)&amp;"-"&amp;$A7,CC1_InputUser!$L:$N,3,FALSE),0)</f>
        <v>0</v>
      </c>
      <c r="BY7" s="88">
        <f>IFERROR(VLOOKUP($BP$2&amp;"-"&amp; RIGHT(BY$4,1)&amp;"-"&amp;$A7,CC1_InputUser!$L:$N,3,FALSE),0)</f>
        <v>0</v>
      </c>
      <c r="BZ7" s="89"/>
      <c r="CA7" s="88">
        <f>IFERROR(VLOOKUP($CA$2&amp;"-"&amp; RIGHT(CA$4,1)&amp;"-"&amp;$A7,CC1_InputUser!$L:$N,2,FALSE),0)</f>
        <v>0</v>
      </c>
      <c r="CB7" s="88">
        <f>IFERROR(VLOOKUP($CA$2&amp;"-"&amp; RIGHT(CB$4,1)&amp;"-"&amp;$A7,CC1_InputUser!$L:$N,2,FALSE),0)</f>
        <v>0</v>
      </c>
      <c r="CC7" s="88">
        <f>IFERROR(VLOOKUP($CA$2&amp;"-"&amp; RIGHT(CC$4,1)&amp;"-"&amp;$A7,CC1_InputUser!$L:$N,2,FALSE),0)</f>
        <v>0</v>
      </c>
      <c r="CD7" s="88">
        <f>IFERROR(VLOOKUP($CA$2&amp;"-"&amp; RIGHT(CD$4,1)&amp;"-"&amp;$A7,CC1_InputUser!$L:$N,2,FALSE),0)</f>
        <v>0</v>
      </c>
      <c r="CE7" s="88">
        <f>IFERROR(VLOOKUP($CA$2&amp;"-"&amp; RIGHT(CE$4,1)&amp;"-"&amp;$A7,CC1_InputUser!$L:$N,2,FALSE),0)</f>
        <v>0</v>
      </c>
      <c r="CF7" s="88">
        <f>IFERROR(VLOOKUP($CA$2&amp;"-"&amp; RIGHT(CF$4,1)&amp;"-"&amp;$A7,CC1_InputUser!$L:$N,3,FALSE),0)</f>
        <v>0</v>
      </c>
      <c r="CG7" s="88">
        <f>IFERROR(VLOOKUP($CA$2&amp;"-"&amp; RIGHT(CG$4,1)&amp;"-"&amp;$A7,CC1_InputUser!$L:$N,3,FALSE),0)</f>
        <v>0</v>
      </c>
      <c r="CH7" s="88">
        <f>IFERROR(VLOOKUP($CA$2&amp;"-"&amp; RIGHT(CH$4,1)&amp;"-"&amp;$A7,CC1_InputUser!$L:$N,3,FALSE),0)</f>
        <v>0</v>
      </c>
      <c r="CI7" s="88">
        <f>IFERROR(VLOOKUP($CA$2&amp;"-"&amp; RIGHT(CI$4,1)&amp;"-"&amp;$A7,CC1_InputUser!$L:$N,3,FALSE),0)</f>
        <v>0</v>
      </c>
      <c r="CJ7" s="88">
        <f>IFERROR(VLOOKUP($CA$2&amp;"-"&amp; RIGHT(CJ$4,1)&amp;"-"&amp;$A7,CC1_InputUser!$L:$N,3,FALSE),0)</f>
        <v>0</v>
      </c>
      <c r="CK7" s="89"/>
      <c r="CL7" s="88">
        <f>IFERROR(VLOOKUP($CL$2&amp;"-"&amp; RIGHT(CL$4,1)&amp;"-"&amp;$A7,CC1_InputUser!$L:$N,2,FALSE),0)</f>
        <v>0</v>
      </c>
      <c r="CM7" s="88">
        <f>IFERROR(VLOOKUP($CL$2&amp;"-"&amp; RIGHT(CM$4,1)&amp;"-"&amp;$A7,CC1_InputUser!$L:$N,2,FALSE),0)</f>
        <v>0</v>
      </c>
      <c r="CN7" s="88">
        <f>IFERROR(VLOOKUP($CL$2&amp;"-"&amp; RIGHT(CN$4,1)&amp;"-"&amp;$A7,CC1_InputUser!$L:$N,2,FALSE),0)</f>
        <v>0</v>
      </c>
      <c r="CO7" s="88">
        <f>IFERROR(VLOOKUP($CL$2&amp;"-"&amp; RIGHT(CO$4,1)&amp;"-"&amp;$A7,CC1_InputUser!$L:$N,2,FALSE),0)</f>
        <v>0</v>
      </c>
      <c r="CP7" s="88">
        <f>IFERROR(VLOOKUP($CL$2&amp;"-"&amp; RIGHT(CP$4,1)&amp;"-"&amp;$A7,CC1_InputUser!$L:$N,2,FALSE),0)</f>
        <v>0</v>
      </c>
      <c r="CQ7" s="88">
        <f>IFERROR(VLOOKUP($CL$2&amp;"-"&amp; RIGHT(CQ$4,1)&amp;"-"&amp;$A7,CC1_InputUser!$L:$N,3,FALSE),0)</f>
        <v>0</v>
      </c>
      <c r="CR7" s="88">
        <f>IFERROR(VLOOKUP($CL$2&amp;"-"&amp; RIGHT(CR$4,1)&amp;"-"&amp;$A7,CC1_InputUser!$L:$N,3,FALSE),0)</f>
        <v>0</v>
      </c>
      <c r="CS7" s="88">
        <f>IFERROR(VLOOKUP($CL$2&amp;"-"&amp; RIGHT(CS$4,1)&amp;"-"&amp;$A7,CC1_InputUser!$L:$N,3,FALSE),0)</f>
        <v>0</v>
      </c>
      <c r="CT7" s="88">
        <f>IFERROR(VLOOKUP($CL$2&amp;"-"&amp; RIGHT(CT$4,1)&amp;"-"&amp;$A7,CC1_InputUser!$L:$N,3,FALSE),0)</f>
        <v>0</v>
      </c>
      <c r="CU7" s="88">
        <f>IFERROR(VLOOKUP($CL$2&amp;"-"&amp; RIGHT(CU$4,1)&amp;"-"&amp;$A7,CC1_InputUser!$L:$N,3,FALSE),0)</f>
        <v>0</v>
      </c>
      <c r="CV7" s="89"/>
      <c r="CW7" s="88">
        <f>IFERROR(VLOOKUP($CW$2&amp;"-"&amp; RIGHT(CW$4,1)&amp;"-"&amp;$A7,CC1_InputUser!$L:$N,2,FALSE),0)</f>
        <v>0</v>
      </c>
      <c r="CX7" s="88">
        <f>IFERROR(VLOOKUP($CW$2&amp;"-"&amp; RIGHT(CX$4,1)&amp;"-"&amp;$A7,CC1_InputUser!$L:$N,2,FALSE),0)</f>
        <v>0</v>
      </c>
      <c r="CY7" s="88">
        <f>IFERROR(VLOOKUP($CW$2&amp;"-"&amp; RIGHT(CY$4,1)&amp;"-"&amp;$A7,CC1_InputUser!$L:$N,2,FALSE),0)</f>
        <v>0</v>
      </c>
      <c r="CZ7" s="88">
        <f>IFERROR(VLOOKUP($CW$2&amp;"-"&amp; RIGHT(CZ$4,1)&amp;"-"&amp;$A7,CC1_InputUser!$L:$N,2,FALSE),0)</f>
        <v>0</v>
      </c>
      <c r="DA7" s="88">
        <f>IFERROR(VLOOKUP($CW$2&amp;"-"&amp; RIGHT(DA$4,1)&amp;"-"&amp;$A7,CC1_InputUser!$L:$N,2,FALSE),0)</f>
        <v>0</v>
      </c>
      <c r="DB7" s="88">
        <f>IFERROR(VLOOKUP($CW$2&amp;"-"&amp; RIGHT(DB$4,1)&amp;"-"&amp;$A7,CC1_InputUser!$L:$N,3,FALSE),0)</f>
        <v>0</v>
      </c>
      <c r="DC7" s="88">
        <f>IFERROR(VLOOKUP($CW$2&amp;"-"&amp; RIGHT(DC$4,1)&amp;"-"&amp;$A7,CC1_InputUser!$L:$N,3,FALSE),0)</f>
        <v>0</v>
      </c>
      <c r="DD7" s="88">
        <f>IFERROR(VLOOKUP($CW$2&amp;"-"&amp; RIGHT(DD$4,1)&amp;"-"&amp;$A7,CC1_InputUser!$L:$N,3,FALSE),0)</f>
        <v>0</v>
      </c>
      <c r="DE7" s="88">
        <f>IFERROR(VLOOKUP($CW$2&amp;"-"&amp; RIGHT(DE$4,1)&amp;"-"&amp;$A7,CC1_InputUser!$L:$N,3,FALSE),0)</f>
        <v>0</v>
      </c>
      <c r="DF7" s="88">
        <f>IFERROR(VLOOKUP($CW$2&amp;"-"&amp; RIGHT(DF$4,1)&amp;"-"&amp;$A7,CC1_InputUser!$L:$N,3,FALSE),0)</f>
        <v>0</v>
      </c>
      <c r="DG7" s="89"/>
      <c r="DH7" s="88">
        <f>IFERROR(VLOOKUP($DH$2&amp;"-"&amp; RIGHT(DH$4,1)&amp;"-"&amp;$A7,CC1_InputUser!$L:$N,2,FALSE),0)</f>
        <v>0</v>
      </c>
      <c r="DI7" s="88">
        <f>IFERROR(VLOOKUP($DH$2&amp;"-"&amp; RIGHT(DI$4,1)&amp;"-"&amp;$A7,CC1_InputUser!$L:$N,2,FALSE),0)</f>
        <v>0</v>
      </c>
      <c r="DJ7" s="88">
        <f>IFERROR(VLOOKUP($DH$2&amp;"-"&amp; RIGHT(DJ$4,1)&amp;"-"&amp;$A7,CC1_InputUser!$L:$N,2,FALSE),0)</f>
        <v>0</v>
      </c>
      <c r="DK7" s="88">
        <f>IFERROR(VLOOKUP($DH$2&amp;"-"&amp; RIGHT(DK$4,1)&amp;"-"&amp;$A7,CC1_InputUser!$L:$N,2,FALSE),0)</f>
        <v>0</v>
      </c>
      <c r="DL7" s="88">
        <f>IFERROR(VLOOKUP($DH$2&amp;"-"&amp; RIGHT(DL$4,1)&amp;"-"&amp;$A7,CC1_InputUser!$L:$N,2,FALSE),0)</f>
        <v>0</v>
      </c>
      <c r="DM7" s="88">
        <f>IFERROR(VLOOKUP($DH$2&amp;"-"&amp; RIGHT(DM$4,1)&amp;"-"&amp;$A7,CC1_InputUser!$L:$N,3,FALSE),0)</f>
        <v>0</v>
      </c>
      <c r="DN7" s="88">
        <f>IFERROR(VLOOKUP($DH$2&amp;"-"&amp; RIGHT(DN$4,1)&amp;"-"&amp;$A7,CC1_InputUser!$L:$N,3,FALSE),0)</f>
        <v>0</v>
      </c>
      <c r="DO7" s="88">
        <f>IFERROR(VLOOKUP($DH$2&amp;"-"&amp; RIGHT(DO$4,1)&amp;"-"&amp;$A7,CC1_InputUser!$L:$N,3,FALSE),0)</f>
        <v>0</v>
      </c>
      <c r="DP7" s="88">
        <f>IFERROR(VLOOKUP($DH$2&amp;"-"&amp; RIGHT(DP$4,1)&amp;"-"&amp;$A7,CC1_InputUser!$L:$N,3,FALSE),0)</f>
        <v>0</v>
      </c>
      <c r="DQ7" s="88">
        <f>IFERROR(VLOOKUP($DH$2&amp;"-"&amp; RIGHT(DQ$4,1)&amp;"-"&amp;$A7,CC1_InputUser!$L:$N,3,FALSE),0)</f>
        <v>0</v>
      </c>
      <c r="DR7" s="89"/>
      <c r="DS7" s="88">
        <f>IFERROR(VLOOKUP($DS$2&amp;"-"&amp; RIGHT(DS$4,1)&amp;"-"&amp;$A7,CC1_InputUser!$L:$N,2,FALSE),0)</f>
        <v>0</v>
      </c>
      <c r="DT7" s="88">
        <f>IFERROR(VLOOKUP($DS$2&amp;"-"&amp; RIGHT(DT$4,1)&amp;"-"&amp;$A7,CC1_InputUser!$L:$N,2,FALSE),0)</f>
        <v>0</v>
      </c>
      <c r="DU7" s="88">
        <f>IFERROR(VLOOKUP($DS$2&amp;"-"&amp; RIGHT(DU$4,1)&amp;"-"&amp;$A7,CC1_InputUser!$L:$N,2,FALSE),0)</f>
        <v>0</v>
      </c>
      <c r="DV7" s="88">
        <f>IFERROR(VLOOKUP($DS$2&amp;"-"&amp; RIGHT(DV$4,1)&amp;"-"&amp;$A7,CC1_InputUser!$L:$N,2,FALSE),0)</f>
        <v>0</v>
      </c>
      <c r="DW7" s="88">
        <f>IFERROR(VLOOKUP($DS$2&amp;"-"&amp; RIGHT(DW$4,1)&amp;"-"&amp;$A7,CC1_InputUser!$L:$N,2,FALSE),0)</f>
        <v>0</v>
      </c>
      <c r="DX7" s="88">
        <f>IFERROR(VLOOKUP($DS$2&amp;"-"&amp; RIGHT(DX$4,1)&amp;"-"&amp;$A7,CC1_InputUser!$L:$N,3,FALSE),0)</f>
        <v>0</v>
      </c>
      <c r="DY7" s="88">
        <f>IFERROR(VLOOKUP($DS$2&amp;"-"&amp; RIGHT(DY$4,1)&amp;"-"&amp;$A7,CC1_InputUser!$L:$N,3,FALSE),0)</f>
        <v>0</v>
      </c>
      <c r="DZ7" s="88">
        <f>IFERROR(VLOOKUP($DS$2&amp;"-"&amp; RIGHT(DZ$4,1)&amp;"-"&amp;$A7,CC1_InputUser!$L:$N,3,FALSE),0)</f>
        <v>0</v>
      </c>
      <c r="EA7" s="88">
        <f>IFERROR(VLOOKUP($DS$2&amp;"-"&amp; RIGHT(EA$4,1)&amp;"-"&amp;$A7,CC1_InputUser!$L:$N,3,FALSE),0)</f>
        <v>0</v>
      </c>
      <c r="EB7" s="88">
        <f>IFERROR(VLOOKUP($DS$2&amp;"-"&amp; RIGHT(EB$4,1)&amp;"-"&amp;$A7,CC1_InputUser!$L:$N,3,FALSE),0)</f>
        <v>0</v>
      </c>
      <c r="EC7" s="89"/>
    </row>
    <row r="8" spans="1:133" x14ac:dyDescent="0.3">
      <c r="A8" s="71" t="s">
        <v>17</v>
      </c>
      <c r="B8" s="86">
        <f>IFERROR(VLOOKUP($B$2&amp;"-"&amp; RIGHT(B$4,1)&amp;"-"&amp;$A8,CC1_InputUser!$L:$N,2,FALSE),0)</f>
        <v>0</v>
      </c>
      <c r="C8" s="86">
        <f>IFERROR(VLOOKUP($B$2&amp;"-"&amp; RIGHT(C$4,1)&amp;"-"&amp;$A8,CC1_InputUser!$L:$N,2,FALSE),0)</f>
        <v>0</v>
      </c>
      <c r="D8" s="86">
        <f>IFERROR(VLOOKUP($B$2&amp;"-"&amp; RIGHT(D$4,1)&amp;"-"&amp;$A8,CC1_InputUser!$L:$N,2,FALSE),0)</f>
        <v>0</v>
      </c>
      <c r="E8" s="86">
        <f>IFERROR(VLOOKUP($B$2&amp;"-"&amp; RIGHT(E$4,1)&amp;"-"&amp;$A8,CC1_InputUser!$L:$N,2,FALSE),0)</f>
        <v>0</v>
      </c>
      <c r="F8" s="86">
        <f>IFERROR(VLOOKUP($B$2&amp;"-"&amp; RIGHT(F$4,1)&amp;"-"&amp;$A8,CC1_InputUser!$L:$N,2,FALSE),0)</f>
        <v>0</v>
      </c>
      <c r="G8" s="86">
        <f>IFERROR(VLOOKUP($B$2&amp;"-"&amp; RIGHT(G$4,1)&amp;"-"&amp;$A8,CC1_InputUser!$L:$N,3,FALSE),0)</f>
        <v>0</v>
      </c>
      <c r="H8" s="86">
        <f>IFERROR(VLOOKUP($B$2&amp;"-"&amp; RIGHT(H$4,1)&amp;"-"&amp;$A8,CC1_InputUser!$L:$N,3,FALSE),0)</f>
        <v>0</v>
      </c>
      <c r="I8" s="86">
        <f>IFERROR(VLOOKUP($B$2&amp;"-"&amp; RIGHT(I$4,1)&amp;"-"&amp;$A8,CC1_InputUser!$L:$N,3,FALSE),0)</f>
        <v>0</v>
      </c>
      <c r="J8" s="86">
        <f>IFERROR(VLOOKUP($B$2&amp;"-"&amp; RIGHT(J$4,1)&amp;"-"&amp;$A8,CC1_InputUser!$L:$N,3,FALSE),0)</f>
        <v>-2.2682987991527681E-2</v>
      </c>
      <c r="K8" s="86">
        <f>IFERROR(VLOOKUP($B$2&amp;"-"&amp; RIGHT(K$4,1)&amp;"-"&amp;$A8,CC1_InputUser!$L:$N,3,FALSE),0)</f>
        <v>0</v>
      </c>
      <c r="L8" s="87"/>
      <c r="M8" s="86">
        <f>IFERROR(VLOOKUP($M$2&amp;"-"&amp; RIGHT(M$4,1)&amp;"-"&amp;$A8,CC1_InputUser!$L:$N,2,FALSE),0)</f>
        <v>7.2847682119205892E-3</v>
      </c>
      <c r="N8" s="86">
        <f>IFERROR(VLOOKUP($M$2&amp;"-"&amp; RIGHT(N$4,1)&amp;"-"&amp;$A8,CC1_InputUser!$L:$N,2,FALSE),0)</f>
        <v>0</v>
      </c>
      <c r="O8" s="86">
        <f>IFERROR(VLOOKUP($M$2&amp;"-"&amp; RIGHT(O$4,1)&amp;"-"&amp;$A8,CC1_InputUser!$L:$N,2,FALSE),0)</f>
        <v>-8.0321285140561027E-4</v>
      </c>
      <c r="P8" s="86">
        <f>IFERROR(VLOOKUP($M$2&amp;"-"&amp; RIGHT(P$4,1)&amp;"-"&amp;$A8,CC1_InputUser!$L:$N,2,FALSE),0)</f>
        <v>0</v>
      </c>
      <c r="Q8" s="86">
        <f>IFERROR(VLOOKUP($M$2&amp;"-"&amp; RIGHT(Q$4,1)&amp;"-"&amp;$A8,CC1_InputUser!$L:$N,2,FALSE),0)</f>
        <v>0</v>
      </c>
      <c r="R8" s="86">
        <f>IFERROR(VLOOKUP($M$2&amp;"-"&amp; RIGHT(R$4,1)&amp;"-"&amp;$A8,CC1_InputUser!$L:$N,3,FALSE),0)</f>
        <v>-3.2765399737876288E-3</v>
      </c>
      <c r="S8" s="86">
        <f>IFERROR(VLOOKUP($M$2&amp;"-"&amp; RIGHT(S$4,1)&amp;"-"&amp;$A8,CC1_InputUser!$L:$N,3,FALSE),0)</f>
        <v>0</v>
      </c>
      <c r="T8" s="86">
        <f>IFERROR(VLOOKUP($M$2&amp;"-"&amp; RIGHT(T$4,1)&amp;"-"&amp;$A8,CC1_InputUser!$L:$N,3,FALSE),0)</f>
        <v>-1.6051364365970988E-3</v>
      </c>
      <c r="U8" s="86">
        <f>IFERROR(VLOOKUP($M$2&amp;"-"&amp; RIGHT(U$4,1)&amp;"-"&amp;$A8,CC1_InputUser!$L:$N,3,FALSE),0)</f>
        <v>0</v>
      </c>
      <c r="V8" s="86">
        <f>IFERROR(VLOOKUP($M$2&amp;"-"&amp; RIGHT(V$4,1)&amp;"-"&amp;$A8,CC1_InputUser!$L:$N,3,FALSE),0)</f>
        <v>0</v>
      </c>
      <c r="W8" s="87"/>
      <c r="X8" s="86">
        <f>IFERROR(VLOOKUP($X$2&amp;"-"&amp; RIGHT(X$4,1)&amp;"-"&amp;$A8,CC1_InputUser!$L:$N,2,FALSE),0)</f>
        <v>0</v>
      </c>
      <c r="Y8" s="86">
        <f>IFERROR(VLOOKUP($X$2&amp;"-"&amp; RIGHT(Y$4,1)&amp;"-"&amp;$A8,CC1_InputUser!$L:$N,2,FALSE),0)</f>
        <v>7.5043693009118062E-3</v>
      </c>
      <c r="Z8" s="86">
        <f>IFERROR(VLOOKUP($X$2&amp;"-"&amp; RIGHT(Z$4,1)&amp;"-"&amp;$A8,CC1_InputUser!$L:$N,2,FALSE),0)</f>
        <v>0</v>
      </c>
      <c r="AA8" s="86">
        <f>IFERROR(VLOOKUP($X$2&amp;"-"&amp; RIGHT(AA$4,1)&amp;"-"&amp;$A8,CC1_InputUser!$L:$N,2,FALSE),0)</f>
        <v>0</v>
      </c>
      <c r="AB8" s="86">
        <f>IFERROR(VLOOKUP($X$2&amp;"-"&amp; RIGHT(AB$4,1)&amp;"-"&amp;$A8,CC1_InputUser!$L:$N,2,FALSE),0)</f>
        <v>0</v>
      </c>
      <c r="AC8" s="86">
        <f>IFERROR(VLOOKUP($X$2&amp;"-"&amp; RIGHT(AC$4,1)&amp;"-"&amp;$A8,CC1_InputUser!$L:$N,3,FALSE),0)</f>
        <v>0</v>
      </c>
      <c r="AD8" s="86">
        <f>IFERROR(VLOOKUP($X$2&amp;"-"&amp; RIGHT(AD$4,1)&amp;"-"&amp;$A8,CC1_InputUser!$L:$N,3,FALSE),0)</f>
        <v>-1.5054477960195989E-2</v>
      </c>
      <c r="AE8" s="86">
        <f>IFERROR(VLOOKUP($X$2&amp;"-"&amp; RIGHT(AE$4,1)&amp;"-"&amp;$A8,CC1_InputUser!$L:$N,3,FALSE),0)</f>
        <v>0</v>
      </c>
      <c r="AF8" s="86">
        <f>IFERROR(VLOOKUP($X$2&amp;"-"&amp; RIGHT(AF$4,1)&amp;"-"&amp;$A8,CC1_InputUser!$L:$N,3,FALSE),0)</f>
        <v>0</v>
      </c>
      <c r="AG8" s="86">
        <f>IFERROR(VLOOKUP($X$2&amp;"-"&amp; RIGHT(AG$4,1)&amp;"-"&amp;$A8,CC1_InputUser!$L:$N,3,FALSE),0)</f>
        <v>0</v>
      </c>
      <c r="AH8" s="87"/>
      <c r="AI8" s="86">
        <f>IFERROR(VLOOKUP($AI$2&amp;"-"&amp; RIGHT(AI$4,1)&amp;"-"&amp;$A8,CC1_InputUser!$L:$N,2,FALSE),0)</f>
        <v>0</v>
      </c>
      <c r="AJ8" s="86">
        <f>IFERROR(VLOOKUP($AI$2&amp;"-"&amp; RIGHT(AJ$4,1)&amp;"-"&amp;$A8,CC1_InputUser!$L:$N,2,FALSE),0)</f>
        <v>0</v>
      </c>
      <c r="AK8" s="86">
        <f>IFERROR(VLOOKUP($AI$2&amp;"-"&amp; RIGHT(AK$4,1)&amp;"-"&amp;$A8,CC1_InputUser!$L:$N,2,FALSE),0)</f>
        <v>0</v>
      </c>
      <c r="AL8" s="86">
        <f>IFERROR(VLOOKUP($AI$2&amp;"-"&amp; RIGHT(AL$4,1)&amp;"-"&amp;$A8,CC1_InputUser!$L:$N,2,FALSE),0)</f>
        <v>0</v>
      </c>
      <c r="AM8" s="86">
        <f>IFERROR(VLOOKUP($AI$2&amp;"-"&amp; RIGHT(AM$4,1)&amp;"-"&amp;$A8,CC1_InputUser!$L:$N,2,FALSE),0)</f>
        <v>0</v>
      </c>
      <c r="AN8" s="86">
        <f>IFERROR(VLOOKUP($AI$2&amp;"-"&amp; RIGHT(AN$4,1)&amp;"-"&amp;$A8,CC1_InputUser!$L:$N,3,FALSE),0)</f>
        <v>0</v>
      </c>
      <c r="AO8" s="86">
        <f>IFERROR(VLOOKUP($AI$2&amp;"-"&amp; RIGHT(AO$4,1)&amp;"-"&amp;$A8,CC1_InputUser!$L:$N,3,FALSE),0)</f>
        <v>0</v>
      </c>
      <c r="AP8" s="86">
        <f>IFERROR(VLOOKUP($AI$2&amp;"-"&amp; RIGHT(AP$4,1)&amp;"-"&amp;$A8,CC1_InputUser!$L:$N,3,FALSE),0)</f>
        <v>0</v>
      </c>
      <c r="AQ8" s="86">
        <f>IFERROR(VLOOKUP($AI$2&amp;"-"&amp; RIGHT(AQ$4,1)&amp;"-"&amp;$A8,CC1_InputUser!$L:$N,3,FALSE),0)</f>
        <v>0</v>
      </c>
      <c r="AR8" s="86">
        <f>IFERROR(VLOOKUP($AI$2&amp;"-"&amp; RIGHT(AR$4,1)&amp;"-"&amp;$A8,CC1_InputUser!$L:$N,3,FALSE),0)</f>
        <v>0</v>
      </c>
      <c r="AS8" s="87"/>
      <c r="AT8" s="86">
        <f>IFERROR(VLOOKUP($AT$2&amp;"-"&amp; RIGHT(AT$4,1)&amp;"-"&amp;$A8,CC1_InputUser!$L:$N,2,FALSE),0)</f>
        <v>0</v>
      </c>
      <c r="AU8" s="86">
        <f>IFERROR(VLOOKUP($AT$2&amp;"-"&amp; RIGHT(AU$4,1)&amp;"-"&amp;$A8,CC1_InputUser!$L:$N,2,FALSE),0)</f>
        <v>0</v>
      </c>
      <c r="AV8" s="86">
        <f>IFERROR(VLOOKUP($AT$2&amp;"-"&amp; RIGHT(AV$4,1)&amp;"-"&amp;$A8,CC1_InputUser!$L:$N,2,FALSE),0)</f>
        <v>5.6046871107789942E-2</v>
      </c>
      <c r="AW8" s="86">
        <f>IFERROR(VLOOKUP($AT$2&amp;"-"&amp; RIGHT(AW$4,1)&amp;"-"&amp;$A8,CC1_InputUser!$L:$N,2,FALSE),0)</f>
        <v>0</v>
      </c>
      <c r="AX8" s="86">
        <f>IFERROR(VLOOKUP($AT$2&amp;"-"&amp; RIGHT(AX$4,1)&amp;"-"&amp;$A8,CC1_InputUser!$L:$N,2,FALSE),0)</f>
        <v>0</v>
      </c>
      <c r="AY8" s="86">
        <f>IFERROR(VLOOKUP($AT$2&amp;"-"&amp; RIGHT(AY$4,1)&amp;"-"&amp;$A8,CC1_InputUser!$L:$N,3,FALSE),0)</f>
        <v>0</v>
      </c>
      <c r="AZ8" s="86">
        <f>IFERROR(VLOOKUP($AT$2&amp;"-"&amp; RIGHT(AZ$4,1)&amp;"-"&amp;$A8,CC1_InputUser!$L:$N,3,FALSE),0)</f>
        <v>0</v>
      </c>
      <c r="BA8" s="86">
        <f>IFERROR(VLOOKUP($AT$2&amp;"-"&amp; RIGHT(BA$4,1)&amp;"-"&amp;$A8,CC1_InputUser!$L:$N,3,FALSE),0)</f>
        <v>-5.8445471799862925E-2</v>
      </c>
      <c r="BB8" s="86">
        <f>IFERROR(VLOOKUP($AT$2&amp;"-"&amp; RIGHT(BB$4,1)&amp;"-"&amp;$A8,CC1_InputUser!$L:$N,3,FALSE),0)</f>
        <v>0</v>
      </c>
      <c r="BC8" s="86">
        <f>IFERROR(VLOOKUP($AT$2&amp;"-"&amp; RIGHT(BC$4,1)&amp;"-"&amp;$A8,CC1_InputUser!$L:$N,3,FALSE),0)</f>
        <v>0</v>
      </c>
      <c r="BD8" s="87"/>
      <c r="BE8" s="86">
        <f>IFERROR(VLOOKUP($AT$2&amp;"-"&amp; RIGHT(BE$4,1)&amp;"-"&amp;$A8,CC1_InputUser!$L:$N,2,FALSE),0)</f>
        <v>0</v>
      </c>
      <c r="BF8" s="86">
        <f>IFERROR(VLOOKUP($AT$2&amp;"-"&amp; RIGHT(BF$4,1)&amp;"-"&amp;$A8,CC1_InputUser!$L:$N,2,FALSE),0)</f>
        <v>0</v>
      </c>
      <c r="BG8" s="86">
        <f>IFERROR(VLOOKUP($AT$2&amp;"-"&amp; RIGHT(BG$4,1)&amp;"-"&amp;$A8,CC1_InputUser!$L:$N,2,FALSE),0)</f>
        <v>5.6046871107789942E-2</v>
      </c>
      <c r="BH8" s="86">
        <f>IFERROR(VLOOKUP($AT$2&amp;"-"&amp; RIGHT(BH$4,1)&amp;"-"&amp;$A8,CC1_InputUser!$L:$N,2,FALSE),0)</f>
        <v>0</v>
      </c>
      <c r="BI8" s="86">
        <f>IFERROR(VLOOKUP($AT$2&amp;"-"&amp; RIGHT(BI$4,1)&amp;"-"&amp;$A8,CC1_InputUser!$L:$N,2,FALSE),0)</f>
        <v>0</v>
      </c>
      <c r="BJ8" s="86">
        <f>IFERROR(VLOOKUP($AT$2&amp;"-"&amp; RIGHT(BJ$4,1)&amp;"-"&amp;$A8,CC1_InputUser!$L:$N,3,FALSE),0)</f>
        <v>0</v>
      </c>
      <c r="BK8" s="86">
        <f>IFERROR(VLOOKUP($AT$2&amp;"-"&amp; RIGHT(BK$4,1)&amp;"-"&amp;$A8,CC1_InputUser!$L:$N,3,FALSE),0)</f>
        <v>0</v>
      </c>
      <c r="BL8" s="86">
        <f>IFERROR(VLOOKUP($AT$2&amp;"-"&amp; RIGHT(BL$4,1)&amp;"-"&amp;$A8,CC1_InputUser!$L:$N,3,FALSE),0)</f>
        <v>-5.8445471799862925E-2</v>
      </c>
      <c r="BM8" s="86">
        <f>IFERROR(VLOOKUP($AT$2&amp;"-"&amp; RIGHT(BM$4,1)&amp;"-"&amp;$A8,CC1_InputUser!$L:$N,3,FALSE),0)</f>
        <v>0</v>
      </c>
      <c r="BN8" s="86">
        <f>IFERROR(VLOOKUP($AT$2&amp;"-"&amp; RIGHT(BN$4,1)&amp;"-"&amp;$A8,CC1_InputUser!$L:$N,3,FALSE),0)</f>
        <v>0</v>
      </c>
      <c r="BO8" s="87"/>
      <c r="BP8" s="86">
        <f>IFERROR(VLOOKUP($BP$2&amp;"-"&amp; RIGHT(BP$4,1)&amp;"-"&amp;$A8,CC1_InputUser!$L:$N,2,FALSE),0)</f>
        <v>0</v>
      </c>
      <c r="BQ8" s="86">
        <f>IFERROR(VLOOKUP($BP$2&amp;"-"&amp; RIGHT(BQ$4,1)&amp;"-"&amp;$A8,CC1_InputUser!$L:$N,2,FALSE),0)</f>
        <v>0</v>
      </c>
      <c r="BR8" s="86">
        <f>IFERROR(VLOOKUP($BP$2&amp;"-"&amp; RIGHT(BR$4,1)&amp;"-"&amp;$A8,CC1_InputUser!$L:$N,2,FALSE),0)</f>
        <v>0</v>
      </c>
      <c r="BS8" s="86">
        <f>IFERROR(VLOOKUP($BP$2&amp;"-"&amp; RIGHT(BS$4,1)&amp;"-"&amp;$A8,CC1_InputUser!$L:$N,2,FALSE),0)</f>
        <v>0</v>
      </c>
      <c r="BT8" s="86">
        <f>IFERROR(VLOOKUP($BP$2&amp;"-"&amp; RIGHT(BT$4,1)&amp;"-"&amp;$A8,CC1_InputUser!$L:$N,2,FALSE),0)</f>
        <v>0</v>
      </c>
      <c r="BU8" s="86">
        <f>IFERROR(VLOOKUP($BP$2&amp;"-"&amp; RIGHT(BU$4,1)&amp;"-"&amp;$A8,CC1_InputUser!$L:$N,3,FALSE),0)</f>
        <v>0</v>
      </c>
      <c r="BV8" s="86">
        <f>IFERROR(VLOOKUP($BP$2&amp;"-"&amp; RIGHT(BV$4,1)&amp;"-"&amp;$A8,CC1_InputUser!$L:$N,3,FALSE),0)</f>
        <v>0</v>
      </c>
      <c r="BW8" s="86">
        <f>IFERROR(VLOOKUP($BP$2&amp;"-"&amp; RIGHT(BW$4,1)&amp;"-"&amp;$A8,CC1_InputUser!$L:$N,3,FALSE),0)</f>
        <v>0</v>
      </c>
      <c r="BX8" s="86">
        <f>IFERROR(VLOOKUP($BP$2&amp;"-"&amp; RIGHT(BX$4,1)&amp;"-"&amp;$A8,CC1_InputUser!$L:$N,3,FALSE),0)</f>
        <v>0</v>
      </c>
      <c r="BY8" s="86">
        <f>IFERROR(VLOOKUP($BP$2&amp;"-"&amp; RIGHT(BY$4,1)&amp;"-"&amp;$A8,CC1_InputUser!$L:$N,3,FALSE),0)</f>
        <v>0</v>
      </c>
      <c r="BZ8" s="87"/>
      <c r="CA8" s="86">
        <f>IFERROR(VLOOKUP($CA$2&amp;"-"&amp; RIGHT(CA$4,1)&amp;"-"&amp;$A8,CC1_InputUser!$L:$N,2,FALSE),0)</f>
        <v>0</v>
      </c>
      <c r="CB8" s="86">
        <f>IFERROR(VLOOKUP($CA$2&amp;"-"&amp; RIGHT(CB$4,1)&amp;"-"&amp;$A8,CC1_InputUser!$L:$N,2,FALSE),0)</f>
        <v>0</v>
      </c>
      <c r="CC8" s="86">
        <f>IFERROR(VLOOKUP($CA$2&amp;"-"&amp; RIGHT(CC$4,1)&amp;"-"&amp;$A8,CC1_InputUser!$L:$N,2,FALSE),0)</f>
        <v>0</v>
      </c>
      <c r="CD8" s="86">
        <f>IFERROR(VLOOKUP($CA$2&amp;"-"&amp; RIGHT(CD$4,1)&amp;"-"&amp;$A8,CC1_InputUser!$L:$N,2,FALSE),0)</f>
        <v>0</v>
      </c>
      <c r="CE8" s="86">
        <f>IFERROR(VLOOKUP($CA$2&amp;"-"&amp; RIGHT(CE$4,1)&amp;"-"&amp;$A8,CC1_InputUser!$L:$N,2,FALSE),0)</f>
        <v>0</v>
      </c>
      <c r="CF8" s="86">
        <f>IFERROR(VLOOKUP($CA$2&amp;"-"&amp; RIGHT(CF$4,1)&amp;"-"&amp;$A8,CC1_InputUser!$L:$N,3,FALSE),0)</f>
        <v>-0.10845587910335031</v>
      </c>
      <c r="CG8" s="86">
        <f>IFERROR(VLOOKUP($CA$2&amp;"-"&amp; RIGHT(CG$4,1)&amp;"-"&amp;$A8,CC1_InputUser!$L:$N,3,FALSE),0)</f>
        <v>0</v>
      </c>
      <c r="CH8" s="86">
        <f>IFERROR(VLOOKUP($CA$2&amp;"-"&amp; RIGHT(CH$4,1)&amp;"-"&amp;$A8,CC1_InputUser!$L:$N,3,FALSE),0)</f>
        <v>0</v>
      </c>
      <c r="CI8" s="86">
        <f>IFERROR(VLOOKUP($CA$2&amp;"-"&amp; RIGHT(CI$4,1)&amp;"-"&amp;$A8,CC1_InputUser!$L:$N,3,FALSE),0)</f>
        <v>0</v>
      </c>
      <c r="CJ8" s="86">
        <f>IFERROR(VLOOKUP($CA$2&amp;"-"&amp; RIGHT(CJ$4,1)&amp;"-"&amp;$A8,CC1_InputUser!$L:$N,3,FALSE),0)</f>
        <v>0</v>
      </c>
      <c r="CK8" s="87"/>
      <c r="CL8" s="86">
        <f>IFERROR(VLOOKUP($CL$2&amp;"-"&amp; RIGHT(CL$4,1)&amp;"-"&amp;$A8,CC1_InputUser!$L:$N,2,FALSE),0)</f>
        <v>0</v>
      </c>
      <c r="CM8" s="86">
        <f>IFERROR(VLOOKUP($CL$2&amp;"-"&amp; RIGHT(CM$4,1)&amp;"-"&amp;$A8,CC1_InputUser!$L:$N,2,FALSE),0)</f>
        <v>-9.902747416636215E-2</v>
      </c>
      <c r="CN8" s="86">
        <f>IFERROR(VLOOKUP($CL$2&amp;"-"&amp; RIGHT(CN$4,1)&amp;"-"&amp;$A8,CC1_InputUser!$L:$N,2,FALSE),0)</f>
        <v>0</v>
      </c>
      <c r="CO8" s="86">
        <f>IFERROR(VLOOKUP($CL$2&amp;"-"&amp; RIGHT(CO$4,1)&amp;"-"&amp;$A8,CC1_InputUser!$L:$N,2,FALSE),0)</f>
        <v>0</v>
      </c>
      <c r="CP8" s="86">
        <f>IFERROR(VLOOKUP($CL$2&amp;"-"&amp; RIGHT(CP$4,1)&amp;"-"&amp;$A8,CC1_InputUser!$L:$N,2,FALSE),0)</f>
        <v>0</v>
      </c>
      <c r="CQ8" s="86">
        <f>IFERROR(VLOOKUP($CL$2&amp;"-"&amp; RIGHT(CQ$4,1)&amp;"-"&amp;$A8,CC1_InputUser!$L:$N,3,FALSE),0)</f>
        <v>0</v>
      </c>
      <c r="CR8" s="86">
        <f>IFERROR(VLOOKUP($CL$2&amp;"-"&amp; RIGHT(CR$4,1)&amp;"-"&amp;$A8,CC1_InputUser!$L:$N,3,FALSE),0)</f>
        <v>-3.8753284204966376E-2</v>
      </c>
      <c r="CS8" s="86">
        <f>IFERROR(VLOOKUP($CL$2&amp;"-"&amp; RIGHT(CS$4,1)&amp;"-"&amp;$A8,CC1_InputUser!$L:$N,3,FALSE),0)</f>
        <v>-9.6977696439523142E-2</v>
      </c>
      <c r="CT8" s="86">
        <f>IFERROR(VLOOKUP($CL$2&amp;"-"&amp; RIGHT(CT$4,1)&amp;"-"&amp;$A8,CC1_InputUser!$L:$N,3,FALSE),0)</f>
        <v>0</v>
      </c>
      <c r="CU8" s="86">
        <f>IFERROR(VLOOKUP($CL$2&amp;"-"&amp; RIGHT(CU$4,1)&amp;"-"&amp;$A8,CC1_InputUser!$L:$N,3,FALSE),0)</f>
        <v>0</v>
      </c>
      <c r="CV8" s="87"/>
      <c r="CW8" s="86">
        <f>IFERROR(VLOOKUP($CW$2&amp;"-"&amp; RIGHT(CW$4,1)&amp;"-"&amp;$A8,CC1_InputUser!$L:$N,2,FALSE),0)</f>
        <v>0</v>
      </c>
      <c r="CX8" s="86">
        <f>IFERROR(VLOOKUP($CW$2&amp;"-"&amp; RIGHT(CX$4,1)&amp;"-"&amp;$A8,CC1_InputUser!$L:$N,2,FALSE),0)</f>
        <v>0</v>
      </c>
      <c r="CY8" s="86">
        <f>IFERROR(VLOOKUP($CW$2&amp;"-"&amp; RIGHT(CY$4,1)&amp;"-"&amp;$A8,CC1_InputUser!$L:$N,2,FALSE),0)</f>
        <v>0</v>
      </c>
      <c r="CZ8" s="86">
        <f>IFERROR(VLOOKUP($CW$2&amp;"-"&amp; RIGHT(CZ$4,1)&amp;"-"&amp;$A8,CC1_InputUser!$L:$N,2,FALSE),0)</f>
        <v>0</v>
      </c>
      <c r="DA8" s="86">
        <f>IFERROR(VLOOKUP($CW$2&amp;"-"&amp; RIGHT(DA$4,1)&amp;"-"&amp;$A8,CC1_InputUser!$L:$N,2,FALSE),0)</f>
        <v>0</v>
      </c>
      <c r="DB8" s="86">
        <f>IFERROR(VLOOKUP($CW$2&amp;"-"&amp; RIGHT(DB$4,1)&amp;"-"&amp;$A8,CC1_InputUser!$L:$N,3,FALSE),0)</f>
        <v>0</v>
      </c>
      <c r="DC8" s="86">
        <f>IFERROR(VLOOKUP($CW$2&amp;"-"&amp; RIGHT(DC$4,1)&amp;"-"&amp;$A8,CC1_InputUser!$L:$N,3,FALSE),0)</f>
        <v>0</v>
      </c>
      <c r="DD8" s="86">
        <f>IFERROR(VLOOKUP($CW$2&amp;"-"&amp; RIGHT(DD$4,1)&amp;"-"&amp;$A8,CC1_InputUser!$L:$N,3,FALSE),0)</f>
        <v>0</v>
      </c>
      <c r="DE8" s="86">
        <f>IFERROR(VLOOKUP($CW$2&amp;"-"&amp; RIGHT(DE$4,1)&amp;"-"&amp;$A8,CC1_InputUser!$L:$N,3,FALSE),0)</f>
        <v>0</v>
      </c>
      <c r="DF8" s="86">
        <f>IFERROR(VLOOKUP($CW$2&amp;"-"&amp; RIGHT(DF$4,1)&amp;"-"&amp;$A8,CC1_InputUser!$L:$N,3,FALSE),0)</f>
        <v>0</v>
      </c>
      <c r="DG8" s="87"/>
      <c r="DH8" s="86">
        <f>IFERROR(VLOOKUP($DH$2&amp;"-"&amp; RIGHT(DH$4,1)&amp;"-"&amp;$A8,CC1_InputUser!$L:$N,2,FALSE),0)</f>
        <v>0</v>
      </c>
      <c r="DI8" s="86">
        <f>IFERROR(VLOOKUP($DH$2&amp;"-"&amp; RIGHT(DI$4,1)&amp;"-"&amp;$A8,CC1_InputUser!$L:$N,2,FALSE),0)</f>
        <v>0</v>
      </c>
      <c r="DJ8" s="86">
        <f>IFERROR(VLOOKUP($DH$2&amp;"-"&amp; RIGHT(DJ$4,1)&amp;"-"&amp;$A8,CC1_InputUser!$L:$N,2,FALSE),0)</f>
        <v>0</v>
      </c>
      <c r="DK8" s="86">
        <f>IFERROR(VLOOKUP($DH$2&amp;"-"&amp; RIGHT(DK$4,1)&amp;"-"&amp;$A8,CC1_InputUser!$L:$N,2,FALSE),0)</f>
        <v>0</v>
      </c>
      <c r="DL8" s="86">
        <f>IFERROR(VLOOKUP($DH$2&amp;"-"&amp; RIGHT(DL$4,1)&amp;"-"&amp;$A8,CC1_InputUser!$L:$N,2,FALSE),0)</f>
        <v>0</v>
      </c>
      <c r="DM8" s="86">
        <f>IFERROR(VLOOKUP($DH$2&amp;"-"&amp; RIGHT(DM$4,1)&amp;"-"&amp;$A8,CC1_InputUser!$L:$N,3,FALSE),0)</f>
        <v>0</v>
      </c>
      <c r="DN8" s="86">
        <f>IFERROR(VLOOKUP($DH$2&amp;"-"&amp; RIGHT(DN$4,1)&amp;"-"&amp;$A8,CC1_InputUser!$L:$N,3,FALSE),0)</f>
        <v>0</v>
      </c>
      <c r="DO8" s="86">
        <f>IFERROR(VLOOKUP($DH$2&amp;"-"&amp; RIGHT(DO$4,1)&amp;"-"&amp;$A8,CC1_InputUser!$L:$N,3,FALSE),0)</f>
        <v>0</v>
      </c>
      <c r="DP8" s="86">
        <f>IFERROR(VLOOKUP($DH$2&amp;"-"&amp; RIGHT(DP$4,1)&amp;"-"&amp;$A8,CC1_InputUser!$L:$N,3,FALSE),0)</f>
        <v>0</v>
      </c>
      <c r="DQ8" s="86">
        <f>IFERROR(VLOOKUP($DH$2&amp;"-"&amp; RIGHT(DQ$4,1)&amp;"-"&amp;$A8,CC1_InputUser!$L:$N,3,FALSE),0)</f>
        <v>0</v>
      </c>
      <c r="DR8" s="87"/>
      <c r="DS8" s="86">
        <f>IFERROR(VLOOKUP($DS$2&amp;"-"&amp; RIGHT(DS$4,1)&amp;"-"&amp;$A8,CC1_InputUser!$L:$N,2,FALSE),0)</f>
        <v>0</v>
      </c>
      <c r="DT8" s="86">
        <f>IFERROR(VLOOKUP($DS$2&amp;"-"&amp; RIGHT(DT$4,1)&amp;"-"&amp;$A8,CC1_InputUser!$L:$N,2,FALSE),0)</f>
        <v>0</v>
      </c>
      <c r="DU8" s="86">
        <f>IFERROR(VLOOKUP($DS$2&amp;"-"&amp; RIGHT(DU$4,1)&amp;"-"&amp;$A8,CC1_InputUser!$L:$N,2,FALSE),0)</f>
        <v>0</v>
      </c>
      <c r="DV8" s="86">
        <f>IFERROR(VLOOKUP($DS$2&amp;"-"&amp; RIGHT(DV$4,1)&amp;"-"&amp;$A8,CC1_InputUser!$L:$N,2,FALSE),0)</f>
        <v>0</v>
      </c>
      <c r="DW8" s="86">
        <f>IFERROR(VLOOKUP($DS$2&amp;"-"&amp; RIGHT(DW$4,1)&amp;"-"&amp;$A8,CC1_InputUser!$L:$N,2,FALSE),0)</f>
        <v>0</v>
      </c>
      <c r="DX8" s="86">
        <f>IFERROR(VLOOKUP($DS$2&amp;"-"&amp; RIGHT(DX$4,1)&amp;"-"&amp;$A8,CC1_InputUser!$L:$N,3,FALSE),0)</f>
        <v>0</v>
      </c>
      <c r="DY8" s="86">
        <f>IFERROR(VLOOKUP($DS$2&amp;"-"&amp; RIGHT(DY$4,1)&amp;"-"&amp;$A8,CC1_InputUser!$L:$N,3,FALSE),0)</f>
        <v>0</v>
      </c>
      <c r="DZ8" s="86">
        <f>IFERROR(VLOOKUP($DS$2&amp;"-"&amp; RIGHT(DZ$4,1)&amp;"-"&amp;$A8,CC1_InputUser!$L:$N,3,FALSE),0)</f>
        <v>0</v>
      </c>
      <c r="EA8" s="86">
        <f>IFERROR(VLOOKUP($DS$2&amp;"-"&amp; RIGHT(EA$4,1)&amp;"-"&amp;$A8,CC1_InputUser!$L:$N,3,FALSE),0)</f>
        <v>0</v>
      </c>
      <c r="EB8" s="86">
        <f>IFERROR(VLOOKUP($DS$2&amp;"-"&amp; RIGHT(EB$4,1)&amp;"-"&amp;$A8,CC1_InputUser!$L:$N,3,FALSE),0)</f>
        <v>0</v>
      </c>
      <c r="EC8" s="87"/>
    </row>
    <row r="9" spans="1:133" x14ac:dyDescent="0.3">
      <c r="A9" s="72" t="s">
        <v>15</v>
      </c>
      <c r="B9" s="88">
        <f>IFERROR(VLOOKUP($B$2&amp;"-"&amp; RIGHT(B$4,1)&amp;"-"&amp;$A9,CC1_InputUser!$L:$N,2,FALSE),0)</f>
        <v>0</v>
      </c>
      <c r="C9" s="88">
        <f>IFERROR(VLOOKUP($B$2&amp;"-"&amp; RIGHT(C$4,1)&amp;"-"&amp;$A9,CC1_InputUser!$L:$N,2,FALSE),0)</f>
        <v>0</v>
      </c>
      <c r="D9" s="88">
        <f>IFERROR(VLOOKUP($B$2&amp;"-"&amp; RIGHT(D$4,1)&amp;"-"&amp;$A9,CC1_InputUser!$L:$N,2,FALSE),0)</f>
        <v>0</v>
      </c>
      <c r="E9" s="88">
        <f>IFERROR(VLOOKUP($B$2&amp;"-"&amp; RIGHT(E$4,1)&amp;"-"&amp;$A9,CC1_InputUser!$L:$N,2,FALSE),0)</f>
        <v>0</v>
      </c>
      <c r="F9" s="88">
        <f>IFERROR(VLOOKUP($B$2&amp;"-"&amp; RIGHT(F$4,1)&amp;"-"&amp;$A9,CC1_InputUser!$L:$N,2,FALSE),0)</f>
        <v>0</v>
      </c>
      <c r="G9" s="88">
        <f>IFERROR(VLOOKUP($B$2&amp;"-"&amp; RIGHT(G$4,1)&amp;"-"&amp;$A9,CC1_InputUser!$L:$N,3,FALSE),0)</f>
        <v>0</v>
      </c>
      <c r="H9" s="88">
        <f>IFERROR(VLOOKUP($B$2&amp;"-"&amp; RIGHT(H$4,1)&amp;"-"&amp;$A9,CC1_InputUser!$L:$N,3,FALSE),0)</f>
        <v>0</v>
      </c>
      <c r="I9" s="88">
        <f>IFERROR(VLOOKUP($B$2&amp;"-"&amp; RIGHT(I$4,1)&amp;"-"&amp;$A9,CC1_InputUser!$L:$N,3,FALSE),0)</f>
        <v>0</v>
      </c>
      <c r="J9" s="88">
        <f>IFERROR(VLOOKUP($B$2&amp;"-"&amp; RIGHT(J$4,1)&amp;"-"&amp;$A9,CC1_InputUser!$L:$N,3,FALSE),0)</f>
        <v>0</v>
      </c>
      <c r="K9" s="88">
        <f>IFERROR(VLOOKUP($B$2&amp;"-"&amp; RIGHT(K$4,1)&amp;"-"&amp;$A9,CC1_InputUser!$L:$N,3,FALSE),0)</f>
        <v>0</v>
      </c>
      <c r="L9" s="89"/>
      <c r="M9" s="88">
        <f>IFERROR(VLOOKUP($M$2&amp;"-"&amp; RIGHT(M$4,1)&amp;"-"&amp;$A9,CC1_InputUser!$L:$N,2,FALSE),0)</f>
        <v>0</v>
      </c>
      <c r="N9" s="88">
        <f>IFERROR(VLOOKUP($M$2&amp;"-"&amp; RIGHT(N$4,1)&amp;"-"&amp;$A9,CC1_InputUser!$L:$N,2,FALSE),0)</f>
        <v>0</v>
      </c>
      <c r="O9" s="88">
        <f>IFERROR(VLOOKUP($M$2&amp;"-"&amp; RIGHT(O$4,1)&amp;"-"&amp;$A9,CC1_InputUser!$L:$N,2,FALSE),0)</f>
        <v>0</v>
      </c>
      <c r="P9" s="88">
        <f>IFERROR(VLOOKUP($M$2&amp;"-"&amp; RIGHT(P$4,1)&amp;"-"&amp;$A9,CC1_InputUser!$L:$N,2,FALSE),0)</f>
        <v>5.300353356890497E-3</v>
      </c>
      <c r="Q9" s="88">
        <f>IFERROR(VLOOKUP($M$2&amp;"-"&amp; RIGHT(Q$4,1)&amp;"-"&amp;$A9,CC1_InputUser!$L:$N,2,FALSE),0)</f>
        <v>0</v>
      </c>
      <c r="R9" s="88">
        <f>IFERROR(VLOOKUP($M$2&amp;"-"&amp; RIGHT(R$4,1)&amp;"-"&amp;$A9,CC1_InputUser!$L:$N,3,FALSE),0)</f>
        <v>0</v>
      </c>
      <c r="S9" s="88">
        <f>IFERROR(VLOOKUP($M$2&amp;"-"&amp; RIGHT(S$4,1)&amp;"-"&amp;$A9,CC1_InputUser!$L:$N,3,FALSE),0)</f>
        <v>0</v>
      </c>
      <c r="T9" s="88">
        <f>IFERROR(VLOOKUP($M$2&amp;"-"&amp; RIGHT(T$4,1)&amp;"-"&amp;$A9,CC1_InputUser!$L:$N,3,FALSE),0)</f>
        <v>0</v>
      </c>
      <c r="U9" s="88">
        <f>IFERROR(VLOOKUP($M$2&amp;"-"&amp; RIGHT(U$4,1)&amp;"-"&amp;$A9,CC1_InputUser!$L:$N,3,FALSE),0)</f>
        <v>-3.0664395229982988E-2</v>
      </c>
      <c r="V9" s="88">
        <f>IFERROR(VLOOKUP($M$2&amp;"-"&amp; RIGHT(V$4,1)&amp;"-"&amp;$A9,CC1_InputUser!$L:$N,3,FALSE),0)</f>
        <v>0</v>
      </c>
      <c r="W9" s="89"/>
      <c r="X9" s="88">
        <f>IFERROR(VLOOKUP($X$2&amp;"-"&amp; RIGHT(X$4,1)&amp;"-"&amp;$A9,CC1_InputUser!$L:$N,2,FALSE),0)</f>
        <v>0</v>
      </c>
      <c r="Y9" s="88">
        <f>IFERROR(VLOOKUP($X$2&amp;"-"&amp; RIGHT(Y$4,1)&amp;"-"&amp;$A9,CC1_InputUser!$L:$N,2,FALSE),0)</f>
        <v>0</v>
      </c>
      <c r="Z9" s="88">
        <f>IFERROR(VLOOKUP($X$2&amp;"-"&amp; RIGHT(Z$4,1)&amp;"-"&amp;$A9,CC1_InputUser!$L:$N,2,FALSE),0)</f>
        <v>-3.4285714285714253E-2</v>
      </c>
      <c r="AA9" s="88">
        <f>IFERROR(VLOOKUP($X$2&amp;"-"&amp; RIGHT(AA$4,1)&amp;"-"&amp;$A9,CC1_InputUser!$L:$N,2,FALSE),0)</f>
        <v>0</v>
      </c>
      <c r="AB9" s="88">
        <f>IFERROR(VLOOKUP($X$2&amp;"-"&amp; RIGHT(AB$4,1)&amp;"-"&amp;$A9,CC1_InputUser!$L:$N,2,FALSE),0)</f>
        <v>0</v>
      </c>
      <c r="AC9" s="88">
        <f>IFERROR(VLOOKUP($X$2&amp;"-"&amp; RIGHT(AC$4,1)&amp;"-"&amp;$A9,CC1_InputUser!$L:$N,3,FALSE),0)</f>
        <v>0</v>
      </c>
      <c r="AD9" s="88">
        <f>IFERROR(VLOOKUP($X$2&amp;"-"&amp; RIGHT(AD$4,1)&amp;"-"&amp;$A9,CC1_InputUser!$L:$N,3,FALSE),0)</f>
        <v>0</v>
      </c>
      <c r="AE9" s="88">
        <f>IFERROR(VLOOKUP($X$2&amp;"-"&amp; RIGHT(AE$4,1)&amp;"-"&amp;$A9,CC1_InputUser!$L:$N,3,FALSE),0)</f>
        <v>-3.5388127853881235E-2</v>
      </c>
      <c r="AF9" s="88">
        <f>IFERROR(VLOOKUP($X$2&amp;"-"&amp; RIGHT(AF$4,1)&amp;"-"&amp;$A9,CC1_InputUser!$L:$N,3,FALSE),0)</f>
        <v>0</v>
      </c>
      <c r="AG9" s="88">
        <f>IFERROR(VLOOKUP($X$2&amp;"-"&amp; RIGHT(AG$4,1)&amp;"-"&amp;$A9,CC1_InputUser!$L:$N,3,FALSE),0)</f>
        <v>0</v>
      </c>
      <c r="AH9" s="89"/>
      <c r="AI9" s="88">
        <f>IFERROR(VLOOKUP($AI$2&amp;"-"&amp; RIGHT(AI$4,1)&amp;"-"&amp;$A9,CC1_InputUser!$L:$N,2,FALSE),0)</f>
        <v>0</v>
      </c>
      <c r="AJ9" s="88">
        <f>IFERROR(VLOOKUP($AI$2&amp;"-"&amp; RIGHT(AJ$4,1)&amp;"-"&amp;$A9,CC1_InputUser!$L:$N,2,FALSE),0)</f>
        <v>0</v>
      </c>
      <c r="AK9" s="88">
        <f>IFERROR(VLOOKUP($AI$2&amp;"-"&amp; RIGHT(AK$4,1)&amp;"-"&amp;$A9,CC1_InputUser!$L:$N,2,FALSE),0)</f>
        <v>0</v>
      </c>
      <c r="AL9" s="88">
        <f>IFERROR(VLOOKUP($AI$2&amp;"-"&amp; RIGHT(AL$4,1)&amp;"-"&amp;$A9,CC1_InputUser!$L:$N,2,FALSE),0)</f>
        <v>-0.3277355740222696</v>
      </c>
      <c r="AM9" s="88">
        <f>IFERROR(VLOOKUP($AI$2&amp;"-"&amp; RIGHT(AM$4,1)&amp;"-"&amp;$A9,CC1_InputUser!$L:$N,2,FALSE),0)</f>
        <v>0</v>
      </c>
      <c r="AN9" s="88">
        <f>IFERROR(VLOOKUP($AI$2&amp;"-"&amp; RIGHT(AN$4,1)&amp;"-"&amp;$A9,CC1_InputUser!$L:$N,3,FALSE),0)</f>
        <v>0</v>
      </c>
      <c r="AO9" s="88">
        <f>IFERROR(VLOOKUP($AI$2&amp;"-"&amp; RIGHT(AO$4,1)&amp;"-"&amp;$A9,CC1_InputUser!$L:$N,3,FALSE),0)</f>
        <v>0</v>
      </c>
      <c r="AP9" s="88">
        <f>IFERROR(VLOOKUP($AI$2&amp;"-"&amp; RIGHT(AP$4,1)&amp;"-"&amp;$A9,CC1_InputUser!$L:$N,3,FALSE),0)</f>
        <v>0</v>
      </c>
      <c r="AQ9" s="88">
        <f>IFERROR(VLOOKUP($AI$2&amp;"-"&amp; RIGHT(AQ$4,1)&amp;"-"&amp;$A9,CC1_InputUser!$L:$N,3,FALSE),0)</f>
        <v>-0.12081860138900591</v>
      </c>
      <c r="AR9" s="88">
        <f>IFERROR(VLOOKUP($AI$2&amp;"-"&amp; RIGHT(AR$4,1)&amp;"-"&amp;$A9,CC1_InputUser!$L:$N,3,FALSE),0)</f>
        <v>0</v>
      </c>
      <c r="AS9" s="89"/>
      <c r="AT9" s="88">
        <f>IFERROR(VLOOKUP($AT$2&amp;"-"&amp; RIGHT(AT$4,1)&amp;"-"&amp;$A9,CC1_InputUser!$L:$N,2,FALSE),0)</f>
        <v>0</v>
      </c>
      <c r="AU9" s="88">
        <f>IFERROR(VLOOKUP($AT$2&amp;"-"&amp; RIGHT(AU$4,1)&amp;"-"&amp;$A9,CC1_InputUser!$L:$N,2,FALSE),0)</f>
        <v>-8.1991372116977379E-2</v>
      </c>
      <c r="AV9" s="88">
        <f>IFERROR(VLOOKUP($AT$2&amp;"-"&amp; RIGHT(AV$4,1)&amp;"-"&amp;$A9,CC1_InputUser!$L:$N,2,FALSE),0)</f>
        <v>0</v>
      </c>
      <c r="AW9" s="88">
        <f>IFERROR(VLOOKUP($AT$2&amp;"-"&amp; RIGHT(AW$4,1)&amp;"-"&amp;$A9,CC1_InputUser!$L:$N,2,FALSE),0)</f>
        <v>0</v>
      </c>
      <c r="AX9" s="88">
        <f>IFERROR(VLOOKUP($AT$2&amp;"-"&amp; RIGHT(AX$4,1)&amp;"-"&amp;$A9,CC1_InputUser!$L:$N,2,FALSE),0)</f>
        <v>4.2083333333333472E-2</v>
      </c>
      <c r="AY9" s="88">
        <f>IFERROR(VLOOKUP($AT$2&amp;"-"&amp; RIGHT(AY$4,1)&amp;"-"&amp;$A9,CC1_InputUser!$L:$N,3,FALSE),0)</f>
        <v>0</v>
      </c>
      <c r="AZ9" s="88">
        <f>IFERROR(VLOOKUP($AT$2&amp;"-"&amp; RIGHT(AZ$4,1)&amp;"-"&amp;$A9,CC1_InputUser!$L:$N,3,FALSE),0)</f>
        <v>-6.4834537815328996E-2</v>
      </c>
      <c r="BA9" s="88">
        <f>IFERROR(VLOOKUP($AT$2&amp;"-"&amp; RIGHT(BA$4,1)&amp;"-"&amp;$A9,CC1_InputUser!$L:$N,3,FALSE),0)</f>
        <v>0</v>
      </c>
      <c r="BB9" s="88">
        <f>IFERROR(VLOOKUP($AT$2&amp;"-"&amp; RIGHT(BB$4,1)&amp;"-"&amp;$A9,CC1_InputUser!$L:$N,3,FALSE),0)</f>
        <v>0</v>
      </c>
      <c r="BC9" s="88">
        <f>IFERROR(VLOOKUP($AT$2&amp;"-"&amp; RIGHT(BC$4,1)&amp;"-"&amp;$A9,CC1_InputUser!$L:$N,3,FALSE),0)</f>
        <v>-3.4100826382452931E-2</v>
      </c>
      <c r="BD9" s="89"/>
      <c r="BE9" s="88">
        <f>IFERROR(VLOOKUP($AT$2&amp;"-"&amp; RIGHT(BE$4,1)&amp;"-"&amp;$A9,CC1_InputUser!$L:$N,2,FALSE),0)</f>
        <v>0</v>
      </c>
      <c r="BF9" s="88">
        <f>IFERROR(VLOOKUP($AT$2&amp;"-"&amp; RIGHT(BF$4,1)&amp;"-"&amp;$A9,CC1_InputUser!$L:$N,2,FALSE),0)</f>
        <v>-8.1991372116977379E-2</v>
      </c>
      <c r="BG9" s="88">
        <f>IFERROR(VLOOKUP($AT$2&amp;"-"&amp; RIGHT(BG$4,1)&amp;"-"&amp;$A9,CC1_InputUser!$L:$N,2,FALSE),0)</f>
        <v>0</v>
      </c>
      <c r="BH9" s="88">
        <f>IFERROR(VLOOKUP($AT$2&amp;"-"&amp; RIGHT(BH$4,1)&amp;"-"&amp;$A9,CC1_InputUser!$L:$N,2,FALSE),0)</f>
        <v>0</v>
      </c>
      <c r="BI9" s="88">
        <f>IFERROR(VLOOKUP($AT$2&amp;"-"&amp; RIGHT(BI$4,1)&amp;"-"&amp;$A9,CC1_InputUser!$L:$N,2,FALSE),0)</f>
        <v>4.2083333333333472E-2</v>
      </c>
      <c r="BJ9" s="88">
        <f>IFERROR(VLOOKUP($AT$2&amp;"-"&amp; RIGHT(BJ$4,1)&amp;"-"&amp;$A9,CC1_InputUser!$L:$N,3,FALSE),0)</f>
        <v>0</v>
      </c>
      <c r="BK9" s="88">
        <f>IFERROR(VLOOKUP($AT$2&amp;"-"&amp; RIGHT(BK$4,1)&amp;"-"&amp;$A9,CC1_InputUser!$L:$N,3,FALSE),0)</f>
        <v>-6.4834537815328996E-2</v>
      </c>
      <c r="BL9" s="88">
        <f>IFERROR(VLOOKUP($AT$2&amp;"-"&amp; RIGHT(BL$4,1)&amp;"-"&amp;$A9,CC1_InputUser!$L:$N,3,FALSE),0)</f>
        <v>0</v>
      </c>
      <c r="BM9" s="88">
        <f>IFERROR(VLOOKUP($AT$2&amp;"-"&amp; RIGHT(BM$4,1)&amp;"-"&amp;$A9,CC1_InputUser!$L:$N,3,FALSE),0)</f>
        <v>0</v>
      </c>
      <c r="BN9" s="88">
        <f>IFERROR(VLOOKUP($AT$2&amp;"-"&amp; RIGHT(BN$4,1)&amp;"-"&amp;$A9,CC1_InputUser!$L:$N,3,FALSE),0)</f>
        <v>-3.4100826382452931E-2</v>
      </c>
      <c r="BO9" s="89"/>
      <c r="BP9" s="88">
        <f>IFERROR(VLOOKUP($BP$2&amp;"-"&amp; RIGHT(BP$4,1)&amp;"-"&amp;$A9,CC1_InputUser!$L:$N,2,FALSE),0)</f>
        <v>0</v>
      </c>
      <c r="BQ9" s="88">
        <f>IFERROR(VLOOKUP($BP$2&amp;"-"&amp; RIGHT(BQ$4,1)&amp;"-"&amp;$A9,CC1_InputUser!$L:$N,2,FALSE),0)</f>
        <v>-1.8584703359542543E-2</v>
      </c>
      <c r="BR9" s="88">
        <f>IFERROR(VLOOKUP($BP$2&amp;"-"&amp; RIGHT(BR$4,1)&amp;"-"&amp;$A9,CC1_InputUser!$L:$N,2,FALSE),0)</f>
        <v>-1.1494252873563204E-2</v>
      </c>
      <c r="BS9" s="88">
        <f>IFERROR(VLOOKUP($BP$2&amp;"-"&amp; RIGHT(BS$4,1)&amp;"-"&amp;$A9,CC1_InputUser!$L:$N,2,FALSE),0)</f>
        <v>0</v>
      </c>
      <c r="BT9" s="88">
        <f>IFERROR(VLOOKUP($BP$2&amp;"-"&amp; RIGHT(BT$4,1)&amp;"-"&amp;$A9,CC1_InputUser!$L:$N,2,FALSE),0)</f>
        <v>0</v>
      </c>
      <c r="BU9" s="88">
        <f>IFERROR(VLOOKUP($BP$2&amp;"-"&amp; RIGHT(BU$4,1)&amp;"-"&amp;$A9,CC1_InputUser!$L:$N,3,FALSE),0)</f>
        <v>0</v>
      </c>
      <c r="BV9" s="88">
        <f>IFERROR(VLOOKUP($BP$2&amp;"-"&amp; RIGHT(BV$4,1)&amp;"-"&amp;$A9,CC1_InputUser!$L:$N,3,FALSE),0)</f>
        <v>-3.9053751399776071E-2</v>
      </c>
      <c r="BW9" s="88">
        <f>IFERROR(VLOOKUP($BP$2&amp;"-"&amp; RIGHT(BW$4,1)&amp;"-"&amp;$A9,CC1_InputUser!$L:$N,3,FALSE),0)</f>
        <v>-1.1494252873563204E-2</v>
      </c>
      <c r="BX9" s="88">
        <f>IFERROR(VLOOKUP($BP$2&amp;"-"&amp; RIGHT(BX$4,1)&amp;"-"&amp;$A9,CC1_InputUser!$L:$N,3,FALSE),0)</f>
        <v>0</v>
      </c>
      <c r="BY9" s="88">
        <f>IFERROR(VLOOKUP($BP$2&amp;"-"&amp; RIGHT(BY$4,1)&amp;"-"&amp;$A9,CC1_InputUser!$L:$N,3,FALSE),0)</f>
        <v>0</v>
      </c>
      <c r="BZ9" s="89"/>
      <c r="CA9" s="88">
        <f>IFERROR(VLOOKUP($CA$2&amp;"-"&amp; RIGHT(CA$4,1)&amp;"-"&amp;$A9,CC1_InputUser!$L:$N,2,FALSE),0)</f>
        <v>-2.0958083832335328E-2</v>
      </c>
      <c r="CB9" s="88">
        <f>IFERROR(VLOOKUP($CA$2&amp;"-"&amp; RIGHT(CB$4,1)&amp;"-"&amp;$A9,CC1_InputUser!$L:$N,2,FALSE),0)</f>
        <v>7.25559268331466E-3</v>
      </c>
      <c r="CC9" s="88">
        <f>IFERROR(VLOOKUP($CA$2&amp;"-"&amp; RIGHT(CC$4,1)&amp;"-"&amp;$A9,CC1_InputUser!$L:$N,2,FALSE),0)</f>
        <v>0</v>
      </c>
      <c r="CD9" s="88">
        <f>IFERROR(VLOOKUP($CA$2&amp;"-"&amp; RIGHT(CD$4,1)&amp;"-"&amp;$A9,CC1_InputUser!$L:$N,2,FALSE),0)</f>
        <v>5.0581689428419452E-4</v>
      </c>
      <c r="CE9" s="88">
        <f>IFERROR(VLOOKUP($CA$2&amp;"-"&amp; RIGHT(CE$4,1)&amp;"-"&amp;$A9,CC1_InputUser!$L:$N,2,FALSE),0)</f>
        <v>0</v>
      </c>
      <c r="CF9" s="88">
        <f>IFERROR(VLOOKUP($CA$2&amp;"-"&amp; RIGHT(CF$4,1)&amp;"-"&amp;$A9,CC1_InputUser!$L:$N,3,FALSE),0)</f>
        <v>-2.0958083832335328E-2</v>
      </c>
      <c r="CG9" s="88">
        <f>IFERROR(VLOOKUP($CA$2&amp;"-"&amp; RIGHT(CG$4,1)&amp;"-"&amp;$A9,CC1_InputUser!$L:$N,3,FALSE),0)</f>
        <v>-1.0204081632653073E-2</v>
      </c>
      <c r="CH9" s="88">
        <f>IFERROR(VLOOKUP($CA$2&amp;"-"&amp; RIGHT(CH$4,1)&amp;"-"&amp;$A9,CC1_InputUser!$L:$N,3,FALSE),0)</f>
        <v>0</v>
      </c>
      <c r="CI9" s="88">
        <f>IFERROR(VLOOKUP($CA$2&amp;"-"&amp; RIGHT(CI$4,1)&amp;"-"&amp;$A9,CC1_InputUser!$L:$N,3,FALSE),0)</f>
        <v>-2.5214321734745582E-3</v>
      </c>
      <c r="CJ9" s="88">
        <f>IFERROR(VLOOKUP($CA$2&amp;"-"&amp; RIGHT(CJ$4,1)&amp;"-"&amp;$A9,CC1_InputUser!$L:$N,3,FALSE),0)</f>
        <v>-4.4291621551884042E-2</v>
      </c>
      <c r="CK9" s="89"/>
      <c r="CL9" s="88">
        <f>IFERROR(VLOOKUP($CL$2&amp;"-"&amp; RIGHT(CL$4,1)&amp;"-"&amp;$A9,CC1_InputUser!$L:$N,2,FALSE),0)</f>
        <v>3.7832379224227886E-2</v>
      </c>
      <c r="CM9" s="88">
        <f>IFERROR(VLOOKUP($CL$2&amp;"-"&amp; RIGHT(CM$4,1)&amp;"-"&amp;$A9,CC1_InputUser!$L:$N,2,FALSE),0)</f>
        <v>0</v>
      </c>
      <c r="CN9" s="88">
        <f>IFERROR(VLOOKUP($CL$2&amp;"-"&amp; RIGHT(CN$4,1)&amp;"-"&amp;$A9,CC1_InputUser!$L:$N,2,FALSE),0)</f>
        <v>0</v>
      </c>
      <c r="CO9" s="88">
        <f>IFERROR(VLOOKUP($CL$2&amp;"-"&amp; RIGHT(CO$4,1)&amp;"-"&amp;$A9,CC1_InputUser!$L:$N,2,FALSE),0)</f>
        <v>0</v>
      </c>
      <c r="CP9" s="88">
        <f>IFERROR(VLOOKUP($CL$2&amp;"-"&amp; RIGHT(CP$4,1)&amp;"-"&amp;$A9,CC1_InputUser!$L:$N,2,FALSE),0)</f>
        <v>0</v>
      </c>
      <c r="CQ9" s="88">
        <f>IFERROR(VLOOKUP($CL$2&amp;"-"&amp; RIGHT(CQ$4,1)&amp;"-"&amp;$A9,CC1_InputUser!$L:$N,3,FALSE),0)</f>
        <v>-0.13083774433361517</v>
      </c>
      <c r="CR9" s="88">
        <f>IFERROR(VLOOKUP($CL$2&amp;"-"&amp; RIGHT(CR$4,1)&amp;"-"&amp;$A9,CC1_InputUser!$L:$N,3,FALSE),0)</f>
        <v>0</v>
      </c>
      <c r="CS9" s="88">
        <f>IFERROR(VLOOKUP($CL$2&amp;"-"&amp; RIGHT(CS$4,1)&amp;"-"&amp;$A9,CC1_InputUser!$L:$N,3,FALSE),0)</f>
        <v>0</v>
      </c>
      <c r="CT9" s="88">
        <f>IFERROR(VLOOKUP($CL$2&amp;"-"&amp; RIGHT(CT$4,1)&amp;"-"&amp;$A9,CC1_InputUser!$L:$N,3,FALSE),0)</f>
        <v>0</v>
      </c>
      <c r="CU9" s="88">
        <f>IFERROR(VLOOKUP($CL$2&amp;"-"&amp; RIGHT(CU$4,1)&amp;"-"&amp;$A9,CC1_InputUser!$L:$N,3,FALSE),0)</f>
        <v>0</v>
      </c>
      <c r="CV9" s="89"/>
      <c r="CW9" s="88">
        <f>IFERROR(VLOOKUP($CW$2&amp;"-"&amp; RIGHT(CW$4,1)&amp;"-"&amp;$A9,CC1_InputUser!$L:$N,2,FALSE),0)</f>
        <v>0</v>
      </c>
      <c r="CX9" s="88">
        <f>IFERROR(VLOOKUP($CW$2&amp;"-"&amp; RIGHT(CX$4,1)&amp;"-"&amp;$A9,CC1_InputUser!$L:$N,2,FALSE),0)</f>
        <v>0</v>
      </c>
      <c r="CY9" s="88">
        <f>IFERROR(VLOOKUP($CW$2&amp;"-"&amp; RIGHT(CY$4,1)&amp;"-"&amp;$A9,CC1_InputUser!$L:$N,2,FALSE),0)</f>
        <v>0</v>
      </c>
      <c r="CZ9" s="88">
        <f>IFERROR(VLOOKUP($CW$2&amp;"-"&amp; RIGHT(CZ$4,1)&amp;"-"&amp;$A9,CC1_InputUser!$L:$N,2,FALSE),0)</f>
        <v>0</v>
      </c>
      <c r="DA9" s="88">
        <f>IFERROR(VLOOKUP($CW$2&amp;"-"&amp; RIGHT(DA$4,1)&amp;"-"&amp;$A9,CC1_InputUser!$L:$N,2,FALSE),0)</f>
        <v>0</v>
      </c>
      <c r="DB9" s="88">
        <f>IFERROR(VLOOKUP($CW$2&amp;"-"&amp; RIGHT(DB$4,1)&amp;"-"&amp;$A9,CC1_InputUser!$L:$N,3,FALSE),0)</f>
        <v>0</v>
      </c>
      <c r="DC9" s="88">
        <f>IFERROR(VLOOKUP($CW$2&amp;"-"&amp; RIGHT(DC$4,1)&amp;"-"&amp;$A9,CC1_InputUser!$L:$N,3,FALSE),0)</f>
        <v>0</v>
      </c>
      <c r="DD9" s="88">
        <f>IFERROR(VLOOKUP($CW$2&amp;"-"&amp; RIGHT(DD$4,1)&amp;"-"&amp;$A9,CC1_InputUser!$L:$N,3,FALSE),0)</f>
        <v>0</v>
      </c>
      <c r="DE9" s="88">
        <f>IFERROR(VLOOKUP($CW$2&amp;"-"&amp; RIGHT(DE$4,1)&amp;"-"&amp;$A9,CC1_InputUser!$L:$N,3,FALSE),0)</f>
        <v>0</v>
      </c>
      <c r="DF9" s="88">
        <f>IFERROR(VLOOKUP($CW$2&amp;"-"&amp; RIGHT(DF$4,1)&amp;"-"&amp;$A9,CC1_InputUser!$L:$N,3,FALSE),0)</f>
        <v>0</v>
      </c>
      <c r="DG9" s="89"/>
      <c r="DH9" s="88">
        <f>IFERROR(VLOOKUP($DH$2&amp;"-"&amp; RIGHT(DH$4,1)&amp;"-"&amp;$A9,CC1_InputUser!$L:$N,2,FALSE),0)</f>
        <v>0</v>
      </c>
      <c r="DI9" s="88">
        <f>IFERROR(VLOOKUP($DH$2&amp;"-"&amp; RIGHT(DI$4,1)&amp;"-"&amp;$A9,CC1_InputUser!$L:$N,2,FALSE),0)</f>
        <v>0</v>
      </c>
      <c r="DJ9" s="88">
        <f>IFERROR(VLOOKUP($DH$2&amp;"-"&amp; RIGHT(DJ$4,1)&amp;"-"&amp;$A9,CC1_InputUser!$L:$N,2,FALSE),0)</f>
        <v>0</v>
      </c>
      <c r="DK9" s="88">
        <f>IFERROR(VLOOKUP($DH$2&amp;"-"&amp; RIGHT(DK$4,1)&amp;"-"&amp;$A9,CC1_InputUser!$L:$N,2,FALSE),0)</f>
        <v>0</v>
      </c>
      <c r="DL9" s="88">
        <f>IFERROR(VLOOKUP($DH$2&amp;"-"&amp; RIGHT(DL$4,1)&amp;"-"&amp;$A9,CC1_InputUser!$L:$N,2,FALSE),0)</f>
        <v>0</v>
      </c>
      <c r="DM9" s="88">
        <f>IFERROR(VLOOKUP($DH$2&amp;"-"&amp; RIGHT(DM$4,1)&amp;"-"&amp;$A9,CC1_InputUser!$L:$N,3,FALSE),0)</f>
        <v>0</v>
      </c>
      <c r="DN9" s="88">
        <f>IFERROR(VLOOKUP($DH$2&amp;"-"&amp; RIGHT(DN$4,1)&amp;"-"&amp;$A9,CC1_InputUser!$L:$N,3,FALSE),0)</f>
        <v>0</v>
      </c>
      <c r="DO9" s="88">
        <f>IFERROR(VLOOKUP($DH$2&amp;"-"&amp; RIGHT(DO$4,1)&amp;"-"&amp;$A9,CC1_InputUser!$L:$N,3,FALSE),0)</f>
        <v>0</v>
      </c>
      <c r="DP9" s="88">
        <f>IFERROR(VLOOKUP($DH$2&amp;"-"&amp; RIGHT(DP$4,1)&amp;"-"&amp;$A9,CC1_InputUser!$L:$N,3,FALSE),0)</f>
        <v>0</v>
      </c>
      <c r="DQ9" s="88">
        <f>IFERROR(VLOOKUP($DH$2&amp;"-"&amp; RIGHT(DQ$4,1)&amp;"-"&amp;$A9,CC1_InputUser!$L:$N,3,FALSE),0)</f>
        <v>0</v>
      </c>
      <c r="DR9" s="89"/>
      <c r="DS9" s="88">
        <f>IFERROR(VLOOKUP($DS$2&amp;"-"&amp; RIGHT(DS$4,1)&amp;"-"&amp;$A9,CC1_InputUser!$L:$N,2,FALSE),0)</f>
        <v>0</v>
      </c>
      <c r="DT9" s="88">
        <f>IFERROR(VLOOKUP($DS$2&amp;"-"&amp; RIGHT(DT$4,1)&amp;"-"&amp;$A9,CC1_InputUser!$L:$N,2,FALSE),0)</f>
        <v>0</v>
      </c>
      <c r="DU9" s="88">
        <f>IFERROR(VLOOKUP($DS$2&amp;"-"&amp; RIGHT(DU$4,1)&amp;"-"&amp;$A9,CC1_InputUser!$L:$N,2,FALSE),0)</f>
        <v>0</v>
      </c>
      <c r="DV9" s="88">
        <f>IFERROR(VLOOKUP($DS$2&amp;"-"&amp; RIGHT(DV$4,1)&amp;"-"&amp;$A9,CC1_InputUser!$L:$N,2,FALSE),0)</f>
        <v>0</v>
      </c>
      <c r="DW9" s="88">
        <f>IFERROR(VLOOKUP($DS$2&amp;"-"&amp; RIGHT(DW$4,1)&amp;"-"&amp;$A9,CC1_InputUser!$L:$N,2,FALSE),0)</f>
        <v>0</v>
      </c>
      <c r="DX9" s="88">
        <f>IFERROR(VLOOKUP($DS$2&amp;"-"&amp; RIGHT(DX$4,1)&amp;"-"&amp;$A9,CC1_InputUser!$L:$N,3,FALSE),0)</f>
        <v>0</v>
      </c>
      <c r="DY9" s="88">
        <f>IFERROR(VLOOKUP($DS$2&amp;"-"&amp; RIGHT(DY$4,1)&amp;"-"&amp;$A9,CC1_InputUser!$L:$N,3,FALSE),0)</f>
        <v>0</v>
      </c>
      <c r="DZ9" s="88">
        <f>IFERROR(VLOOKUP($DS$2&amp;"-"&amp; RIGHT(DZ$4,1)&amp;"-"&amp;$A9,CC1_InputUser!$L:$N,3,FALSE),0)</f>
        <v>0</v>
      </c>
      <c r="EA9" s="88">
        <f>IFERROR(VLOOKUP($DS$2&amp;"-"&amp; RIGHT(EA$4,1)&amp;"-"&amp;$A9,CC1_InputUser!$L:$N,3,FALSE),0)</f>
        <v>0</v>
      </c>
      <c r="EB9" s="88">
        <f>IFERROR(VLOOKUP($DS$2&amp;"-"&amp; RIGHT(EB$4,1)&amp;"-"&amp;$A9,CC1_InputUser!$L:$N,3,FALSE),0)</f>
        <v>0</v>
      </c>
      <c r="EC9" s="89"/>
    </row>
    <row r="10" spans="1:133" x14ac:dyDescent="0.3">
      <c r="A10" s="71" t="s">
        <v>68</v>
      </c>
      <c r="B10" s="86">
        <f>IFERROR(VLOOKUP($B$2&amp;"-"&amp; RIGHT(B$4,1)&amp;"-"&amp;$A10,CC1_InputUser!$L:$N,2,FALSE),0)</f>
        <v>0</v>
      </c>
      <c r="C10" s="86">
        <f>IFERROR(VLOOKUP($B$2&amp;"-"&amp; RIGHT(C$4,1)&amp;"-"&amp;$A10,CC1_InputUser!$L:$N,2,FALSE),0)</f>
        <v>0</v>
      </c>
      <c r="D10" s="86">
        <f>IFERROR(VLOOKUP($B$2&amp;"-"&amp; RIGHT(D$4,1)&amp;"-"&amp;$A10,CC1_InputUser!$L:$N,2,FALSE),0)</f>
        <v>0</v>
      </c>
      <c r="E10" s="86">
        <f>IFERROR(VLOOKUP($B$2&amp;"-"&amp; RIGHT(E$4,1)&amp;"-"&amp;$A10,CC1_InputUser!$L:$N,2,FALSE),0)</f>
        <v>0</v>
      </c>
      <c r="F10" s="86">
        <f>IFERROR(VLOOKUP($B$2&amp;"-"&amp; RIGHT(F$4,1)&amp;"-"&amp;$A10,CC1_InputUser!$L:$N,2,FALSE),0)</f>
        <v>0</v>
      </c>
      <c r="G10" s="86">
        <f>IFERROR(VLOOKUP($B$2&amp;"-"&amp; RIGHT(G$4,1)&amp;"-"&amp;$A10,CC1_InputUser!$L:$N,3,FALSE),0)</f>
        <v>0</v>
      </c>
      <c r="H10" s="86">
        <f>IFERROR(VLOOKUP($B$2&amp;"-"&amp; RIGHT(H$4,1)&amp;"-"&amp;$A10,CC1_InputUser!$L:$N,3,FALSE),0)</f>
        <v>0</v>
      </c>
      <c r="I10" s="86">
        <f>IFERROR(VLOOKUP($B$2&amp;"-"&amp; RIGHT(I$4,1)&amp;"-"&amp;$A10,CC1_InputUser!$L:$N,3,FALSE),0)</f>
        <v>0</v>
      </c>
      <c r="J10" s="86">
        <f>IFERROR(VLOOKUP($B$2&amp;"-"&amp; RIGHT(J$4,1)&amp;"-"&amp;$A10,CC1_InputUser!$L:$N,3,FALSE),0)</f>
        <v>0</v>
      </c>
      <c r="K10" s="86">
        <f>IFERROR(VLOOKUP($B$2&amp;"-"&amp; RIGHT(K$4,1)&amp;"-"&amp;$A10,CC1_InputUser!$L:$N,3,FALSE),0)</f>
        <v>0</v>
      </c>
      <c r="L10" s="87"/>
      <c r="M10" s="86">
        <f>IFERROR(VLOOKUP($M$2&amp;"-"&amp; RIGHT(M$4,1)&amp;"-"&amp;$A10,CC1_InputUser!$L:$N,2,FALSE),0)</f>
        <v>0</v>
      </c>
      <c r="N10" s="86">
        <f>IFERROR(VLOOKUP($M$2&amp;"-"&amp; RIGHT(N$4,1)&amp;"-"&amp;$A10,CC1_InputUser!$L:$N,2,FALSE),0)</f>
        <v>0</v>
      </c>
      <c r="O10" s="86">
        <f>IFERROR(VLOOKUP($M$2&amp;"-"&amp; RIGHT(O$4,1)&amp;"-"&amp;$A10,CC1_InputUser!$L:$N,2,FALSE),0)</f>
        <v>0</v>
      </c>
      <c r="P10" s="86">
        <f>IFERROR(VLOOKUP($M$2&amp;"-"&amp; RIGHT(P$4,1)&amp;"-"&amp;$A10,CC1_InputUser!$L:$N,2,FALSE),0)</f>
        <v>0</v>
      </c>
      <c r="Q10" s="86">
        <f>IFERROR(VLOOKUP($M$2&amp;"-"&amp; RIGHT(Q$4,1)&amp;"-"&amp;$A10,CC1_InputUser!$L:$N,2,FALSE),0)</f>
        <v>0</v>
      </c>
      <c r="R10" s="86">
        <f>IFERROR(VLOOKUP($M$2&amp;"-"&amp; RIGHT(R$4,1)&amp;"-"&amp;$A10,CC1_InputUser!$L:$N,3,FALSE),0)</f>
        <v>0</v>
      </c>
      <c r="S10" s="86">
        <f>IFERROR(VLOOKUP($M$2&amp;"-"&amp; RIGHT(S$4,1)&amp;"-"&amp;$A10,CC1_InputUser!$L:$N,3,FALSE),0)</f>
        <v>0</v>
      </c>
      <c r="T10" s="86">
        <f>IFERROR(VLOOKUP($M$2&amp;"-"&amp; RIGHT(T$4,1)&amp;"-"&amp;$A10,CC1_InputUser!$L:$N,3,FALSE),0)</f>
        <v>0</v>
      </c>
      <c r="U10" s="86">
        <f>IFERROR(VLOOKUP($M$2&amp;"-"&amp; RIGHT(U$4,1)&amp;"-"&amp;$A10,CC1_InputUser!$L:$N,3,FALSE),0)</f>
        <v>0</v>
      </c>
      <c r="V10" s="86">
        <f>IFERROR(VLOOKUP($M$2&amp;"-"&amp; RIGHT(V$4,1)&amp;"-"&amp;$A10,CC1_InputUser!$L:$N,3,FALSE),0)</f>
        <v>0</v>
      </c>
      <c r="W10" s="87"/>
      <c r="X10" s="86">
        <f>IFERROR(VLOOKUP($X$2&amp;"-"&amp; RIGHT(X$4,1)&amp;"-"&amp;$A10,CC1_InputUser!$L:$N,2,FALSE),0)</f>
        <v>0</v>
      </c>
      <c r="Y10" s="86">
        <f>IFERROR(VLOOKUP($X$2&amp;"-"&amp; RIGHT(Y$4,1)&amp;"-"&amp;$A10,CC1_InputUser!$L:$N,2,FALSE),0)</f>
        <v>0</v>
      </c>
      <c r="Z10" s="86">
        <f>IFERROR(VLOOKUP($X$2&amp;"-"&amp; RIGHT(Z$4,1)&amp;"-"&amp;$A10,CC1_InputUser!$L:$N,2,FALSE),0)</f>
        <v>0</v>
      </c>
      <c r="AA10" s="86">
        <f>IFERROR(VLOOKUP($X$2&amp;"-"&amp; RIGHT(AA$4,1)&amp;"-"&amp;$A10,CC1_InputUser!$L:$N,2,FALSE),0)</f>
        <v>0</v>
      </c>
      <c r="AB10" s="86">
        <f>IFERROR(VLOOKUP($X$2&amp;"-"&amp; RIGHT(AB$4,1)&amp;"-"&amp;$A10,CC1_InputUser!$L:$N,2,FALSE),0)</f>
        <v>0</v>
      </c>
      <c r="AC10" s="86">
        <f>IFERROR(VLOOKUP($X$2&amp;"-"&amp; RIGHT(AC$4,1)&amp;"-"&amp;$A10,CC1_InputUser!$L:$N,3,FALSE),0)</f>
        <v>0</v>
      </c>
      <c r="AD10" s="86">
        <f>IFERROR(VLOOKUP($X$2&amp;"-"&amp; RIGHT(AD$4,1)&amp;"-"&amp;$A10,CC1_InputUser!$L:$N,3,FALSE),0)</f>
        <v>0</v>
      </c>
      <c r="AE10" s="86">
        <f>IFERROR(VLOOKUP($X$2&amp;"-"&amp; RIGHT(AE$4,1)&amp;"-"&amp;$A10,CC1_InputUser!$L:$N,3,FALSE),0)</f>
        <v>0</v>
      </c>
      <c r="AF10" s="86">
        <f>IFERROR(VLOOKUP($X$2&amp;"-"&amp; RIGHT(AF$4,1)&amp;"-"&amp;$A10,CC1_InputUser!$L:$N,3,FALSE),0)</f>
        <v>0</v>
      </c>
      <c r="AG10" s="86">
        <f>IFERROR(VLOOKUP($X$2&amp;"-"&amp; RIGHT(AG$4,1)&amp;"-"&amp;$A10,CC1_InputUser!$L:$N,3,FALSE),0)</f>
        <v>0</v>
      </c>
      <c r="AH10" s="87"/>
      <c r="AI10" s="86">
        <f>IFERROR(VLOOKUP($AI$2&amp;"-"&amp; RIGHT(AI$4,1)&amp;"-"&amp;$A10,CC1_InputUser!$L:$N,2,FALSE),0)</f>
        <v>0</v>
      </c>
      <c r="AJ10" s="86">
        <f>IFERROR(VLOOKUP($AI$2&amp;"-"&amp; RIGHT(AJ$4,1)&amp;"-"&amp;$A10,CC1_InputUser!$L:$N,2,FALSE),0)</f>
        <v>0</v>
      </c>
      <c r="AK10" s="86">
        <f>IFERROR(VLOOKUP($AI$2&amp;"-"&amp; RIGHT(AK$4,1)&amp;"-"&amp;$A10,CC1_InputUser!$L:$N,2,FALSE),0)</f>
        <v>0</v>
      </c>
      <c r="AL10" s="86">
        <f>IFERROR(VLOOKUP($AI$2&amp;"-"&amp; RIGHT(AL$4,1)&amp;"-"&amp;$A10,CC1_InputUser!$L:$N,2,FALSE),0)</f>
        <v>0</v>
      </c>
      <c r="AM10" s="86">
        <f>IFERROR(VLOOKUP($AI$2&amp;"-"&amp; RIGHT(AM$4,1)&amp;"-"&amp;$A10,CC1_InputUser!$L:$N,2,FALSE),0)</f>
        <v>0</v>
      </c>
      <c r="AN10" s="86">
        <f>IFERROR(VLOOKUP($AI$2&amp;"-"&amp; RIGHT(AN$4,1)&amp;"-"&amp;$A10,CC1_InputUser!$L:$N,3,FALSE),0)</f>
        <v>0</v>
      </c>
      <c r="AO10" s="86">
        <f>IFERROR(VLOOKUP($AI$2&amp;"-"&amp; RIGHT(AO$4,1)&amp;"-"&amp;$A10,CC1_InputUser!$L:$N,3,FALSE),0)</f>
        <v>0</v>
      </c>
      <c r="AP10" s="86">
        <f>IFERROR(VLOOKUP($AI$2&amp;"-"&amp; RIGHT(AP$4,1)&amp;"-"&amp;$A10,CC1_InputUser!$L:$N,3,FALSE),0)</f>
        <v>0</v>
      </c>
      <c r="AQ10" s="86">
        <f>IFERROR(VLOOKUP($AI$2&amp;"-"&amp; RIGHT(AQ$4,1)&amp;"-"&amp;$A10,CC1_InputUser!$L:$N,3,FALSE),0)</f>
        <v>0</v>
      </c>
      <c r="AR10" s="86">
        <f>IFERROR(VLOOKUP($AI$2&amp;"-"&amp; RIGHT(AR$4,1)&amp;"-"&amp;$A10,CC1_InputUser!$L:$N,3,FALSE),0)</f>
        <v>0</v>
      </c>
      <c r="AS10" s="87"/>
      <c r="AT10" s="86">
        <f>IFERROR(VLOOKUP($AT$2&amp;"-"&amp; RIGHT(AT$4,1)&amp;"-"&amp;$A10,CC1_InputUser!$L:$N,2,FALSE),0)</f>
        <v>0</v>
      </c>
      <c r="AU10" s="86">
        <f>IFERROR(VLOOKUP($AT$2&amp;"-"&amp; RIGHT(AU$4,1)&amp;"-"&amp;$A10,CC1_InputUser!$L:$N,2,FALSE),0)</f>
        <v>0</v>
      </c>
      <c r="AV10" s="86">
        <f>IFERROR(VLOOKUP($AT$2&amp;"-"&amp; RIGHT(AV$4,1)&amp;"-"&amp;$A10,CC1_InputUser!$L:$N,2,FALSE),0)</f>
        <v>0</v>
      </c>
      <c r="AW10" s="86">
        <f>IFERROR(VLOOKUP($AT$2&amp;"-"&amp; RIGHT(AW$4,1)&amp;"-"&amp;$A10,CC1_InputUser!$L:$N,2,FALSE),0)</f>
        <v>-0.14083333333333337</v>
      </c>
      <c r="AX10" s="86">
        <f>IFERROR(VLOOKUP($AT$2&amp;"-"&amp; RIGHT(AX$4,1)&amp;"-"&amp;$A10,CC1_InputUser!$L:$N,2,FALSE),0)</f>
        <v>0</v>
      </c>
      <c r="AY10" s="86">
        <f>IFERROR(VLOOKUP($AT$2&amp;"-"&amp; RIGHT(AY$4,1)&amp;"-"&amp;$A10,CC1_InputUser!$L:$N,3,FALSE),0)</f>
        <v>0</v>
      </c>
      <c r="AZ10" s="86">
        <f>IFERROR(VLOOKUP($AT$2&amp;"-"&amp; RIGHT(AZ$4,1)&amp;"-"&amp;$A10,CC1_InputUser!$L:$N,3,FALSE),0)</f>
        <v>0</v>
      </c>
      <c r="BA10" s="86">
        <f>IFERROR(VLOOKUP($AT$2&amp;"-"&amp; RIGHT(BA$4,1)&amp;"-"&amp;$A10,CC1_InputUser!$L:$N,3,FALSE),0)</f>
        <v>0</v>
      </c>
      <c r="BB10" s="86">
        <f>IFERROR(VLOOKUP($AT$2&amp;"-"&amp; RIGHT(BB$4,1)&amp;"-"&amp;$A10,CC1_InputUser!$L:$N,3,FALSE),0)</f>
        <v>-0.14716887417218549</v>
      </c>
      <c r="BC10" s="86">
        <f>IFERROR(VLOOKUP($AT$2&amp;"-"&amp; RIGHT(BC$4,1)&amp;"-"&amp;$A10,CC1_InputUser!$L:$N,3,FALSE),0)</f>
        <v>0</v>
      </c>
      <c r="BD10" s="87"/>
      <c r="BE10" s="86">
        <f>IFERROR(VLOOKUP($AT$2&amp;"-"&amp; RIGHT(BE$4,1)&amp;"-"&amp;$A10,CC1_InputUser!$L:$N,2,FALSE),0)</f>
        <v>0</v>
      </c>
      <c r="BF10" s="86">
        <f>IFERROR(VLOOKUP($AT$2&amp;"-"&amp; RIGHT(BF$4,1)&amp;"-"&amp;$A10,CC1_InputUser!$L:$N,2,FALSE),0)</f>
        <v>0</v>
      </c>
      <c r="BG10" s="86">
        <f>IFERROR(VLOOKUP($AT$2&amp;"-"&amp; RIGHT(BG$4,1)&amp;"-"&amp;$A10,CC1_InputUser!$L:$N,2,FALSE),0)</f>
        <v>0</v>
      </c>
      <c r="BH10" s="86">
        <f>IFERROR(VLOOKUP($AT$2&amp;"-"&amp; RIGHT(BH$4,1)&amp;"-"&amp;$A10,CC1_InputUser!$L:$N,2,FALSE),0)</f>
        <v>-0.14083333333333337</v>
      </c>
      <c r="BI10" s="86">
        <f>IFERROR(VLOOKUP($AT$2&amp;"-"&amp; RIGHT(BI$4,1)&amp;"-"&amp;$A10,CC1_InputUser!$L:$N,2,FALSE),0)</f>
        <v>0</v>
      </c>
      <c r="BJ10" s="86">
        <f>IFERROR(VLOOKUP($AT$2&amp;"-"&amp; RIGHT(BJ$4,1)&amp;"-"&amp;$A10,CC1_InputUser!$L:$N,3,FALSE),0)</f>
        <v>0</v>
      </c>
      <c r="BK10" s="86">
        <f>IFERROR(VLOOKUP($AT$2&amp;"-"&amp; RIGHT(BK$4,1)&amp;"-"&amp;$A10,CC1_InputUser!$L:$N,3,FALSE),0)</f>
        <v>0</v>
      </c>
      <c r="BL10" s="86">
        <f>IFERROR(VLOOKUP($AT$2&amp;"-"&amp; RIGHT(BL$4,1)&amp;"-"&amp;$A10,CC1_InputUser!$L:$N,3,FALSE),0)</f>
        <v>0</v>
      </c>
      <c r="BM10" s="86">
        <f>IFERROR(VLOOKUP($AT$2&amp;"-"&amp; RIGHT(BM$4,1)&amp;"-"&amp;$A10,CC1_InputUser!$L:$N,3,FALSE),0)</f>
        <v>-0.14716887417218549</v>
      </c>
      <c r="BN10" s="86">
        <f>IFERROR(VLOOKUP($AT$2&amp;"-"&amp; RIGHT(BN$4,1)&amp;"-"&amp;$A10,CC1_InputUser!$L:$N,3,FALSE),0)</f>
        <v>0</v>
      </c>
      <c r="BO10" s="87"/>
      <c r="BP10" s="86">
        <f>IFERROR(VLOOKUP($BP$2&amp;"-"&amp; RIGHT(BP$4,1)&amp;"-"&amp;$A10,CC1_InputUser!$L:$N,2,FALSE),0)</f>
        <v>0</v>
      </c>
      <c r="BQ10" s="86">
        <f>IFERROR(VLOOKUP($BP$2&amp;"-"&amp; RIGHT(BQ$4,1)&amp;"-"&amp;$A10,CC1_InputUser!$L:$N,2,FALSE),0)</f>
        <v>0</v>
      </c>
      <c r="BR10" s="86">
        <f>IFERROR(VLOOKUP($BP$2&amp;"-"&amp; RIGHT(BR$4,1)&amp;"-"&amp;$A10,CC1_InputUser!$L:$N,2,FALSE),0)</f>
        <v>0</v>
      </c>
      <c r="BS10" s="86">
        <f>IFERROR(VLOOKUP($BP$2&amp;"-"&amp; RIGHT(BS$4,1)&amp;"-"&amp;$A10,CC1_InputUser!$L:$N,2,FALSE),0)</f>
        <v>0</v>
      </c>
      <c r="BT10" s="86">
        <f>IFERROR(VLOOKUP($BP$2&amp;"-"&amp; RIGHT(BT$4,1)&amp;"-"&amp;$A10,CC1_InputUser!$L:$N,2,FALSE),0)</f>
        <v>0</v>
      </c>
      <c r="BU10" s="86">
        <f>IFERROR(VLOOKUP($BP$2&amp;"-"&amp; RIGHT(BU$4,1)&amp;"-"&amp;$A10,CC1_InputUser!$L:$N,3,FALSE),0)</f>
        <v>0</v>
      </c>
      <c r="BV10" s="86">
        <f>IFERROR(VLOOKUP($BP$2&amp;"-"&amp; RIGHT(BV$4,1)&amp;"-"&amp;$A10,CC1_InputUser!$L:$N,3,FALSE),0)</f>
        <v>0</v>
      </c>
      <c r="BW10" s="86">
        <f>IFERROR(VLOOKUP($BP$2&amp;"-"&amp; RIGHT(BW$4,1)&amp;"-"&amp;$A10,CC1_InputUser!$L:$N,3,FALSE),0)</f>
        <v>0</v>
      </c>
      <c r="BX10" s="86">
        <f>IFERROR(VLOOKUP($BP$2&amp;"-"&amp; RIGHT(BX$4,1)&amp;"-"&amp;$A10,CC1_InputUser!$L:$N,3,FALSE),0)</f>
        <v>0</v>
      </c>
      <c r="BY10" s="86">
        <f>IFERROR(VLOOKUP($BP$2&amp;"-"&amp; RIGHT(BY$4,1)&amp;"-"&amp;$A10,CC1_InputUser!$L:$N,3,FALSE),0)</f>
        <v>0</v>
      </c>
      <c r="BZ10" s="87"/>
      <c r="CA10" s="86">
        <f>IFERROR(VLOOKUP($CA$2&amp;"-"&amp; RIGHT(CA$4,1)&amp;"-"&amp;$A10,CC1_InputUser!$L:$N,2,FALSE),0)</f>
        <v>-1.2974051896207595E-2</v>
      </c>
      <c r="CB10" s="86">
        <f>IFERROR(VLOOKUP($CA$2&amp;"-"&amp; RIGHT(CB$4,1)&amp;"-"&amp;$A10,CC1_InputUser!$L:$N,2,FALSE),0)</f>
        <v>0</v>
      </c>
      <c r="CC10" s="86">
        <f>IFERROR(VLOOKUP($CA$2&amp;"-"&amp; RIGHT(CC$4,1)&amp;"-"&amp;$A10,CC1_InputUser!$L:$N,2,FALSE),0)</f>
        <v>0</v>
      </c>
      <c r="CD10" s="86">
        <f>IFERROR(VLOOKUP($CA$2&amp;"-"&amp; RIGHT(CD$4,1)&amp;"-"&amp;$A10,CC1_InputUser!$L:$N,2,FALSE),0)</f>
        <v>0</v>
      </c>
      <c r="CE10" s="86">
        <f>IFERROR(VLOOKUP($CA$2&amp;"-"&amp; RIGHT(CE$4,1)&amp;"-"&amp;$A10,CC1_InputUser!$L:$N,2,FALSE),0)</f>
        <v>0</v>
      </c>
      <c r="CF10" s="86">
        <f>IFERROR(VLOOKUP($CA$2&amp;"-"&amp; RIGHT(CF$4,1)&amp;"-"&amp;$A10,CC1_InputUser!$L:$N,3,FALSE),0)</f>
        <v>-1.2974051896207595E-2</v>
      </c>
      <c r="CG10" s="86">
        <f>IFERROR(VLOOKUP($CA$2&amp;"-"&amp; RIGHT(CG$4,1)&amp;"-"&amp;$A10,CC1_InputUser!$L:$N,3,FALSE),0)</f>
        <v>0</v>
      </c>
      <c r="CH10" s="86">
        <f>IFERROR(VLOOKUP($CA$2&amp;"-"&amp; RIGHT(CH$4,1)&amp;"-"&amp;$A10,CC1_InputUser!$L:$N,3,FALSE),0)</f>
        <v>0</v>
      </c>
      <c r="CI10" s="86">
        <f>IFERROR(VLOOKUP($CA$2&amp;"-"&amp; RIGHT(CI$4,1)&amp;"-"&amp;$A10,CC1_InputUser!$L:$N,3,FALSE),0)</f>
        <v>0</v>
      </c>
      <c r="CJ10" s="86">
        <f>IFERROR(VLOOKUP($CA$2&amp;"-"&amp; RIGHT(CJ$4,1)&amp;"-"&amp;$A10,CC1_InputUser!$L:$N,3,FALSE),0)</f>
        <v>0</v>
      </c>
      <c r="CK10" s="87"/>
      <c r="CL10" s="86">
        <f>IFERROR(VLOOKUP($CL$2&amp;"-"&amp; RIGHT(CL$4,1)&amp;"-"&amp;$A10,CC1_InputUser!$L:$N,2,FALSE),0)</f>
        <v>0</v>
      </c>
      <c r="CM10" s="86">
        <f>IFERROR(VLOOKUP($CL$2&amp;"-"&amp; RIGHT(CM$4,1)&amp;"-"&amp;$A10,CC1_InputUser!$L:$N,2,FALSE),0)</f>
        <v>0</v>
      </c>
      <c r="CN10" s="86">
        <f>IFERROR(VLOOKUP($CL$2&amp;"-"&amp; RIGHT(CN$4,1)&amp;"-"&amp;$A10,CC1_InputUser!$L:$N,2,FALSE),0)</f>
        <v>0</v>
      </c>
      <c r="CO10" s="86">
        <f>IFERROR(VLOOKUP($CL$2&amp;"-"&amp; RIGHT(CO$4,1)&amp;"-"&amp;$A10,CC1_InputUser!$L:$N,2,FALSE),0)</f>
        <v>0</v>
      </c>
      <c r="CP10" s="86">
        <f>IFERROR(VLOOKUP($CL$2&amp;"-"&amp; RIGHT(CP$4,1)&amp;"-"&amp;$A10,CC1_InputUser!$L:$N,2,FALSE),0)</f>
        <v>0</v>
      </c>
      <c r="CQ10" s="86">
        <f>IFERROR(VLOOKUP($CL$2&amp;"-"&amp; RIGHT(CQ$4,1)&amp;"-"&amp;$A10,CC1_InputUser!$L:$N,3,FALSE),0)</f>
        <v>0</v>
      </c>
      <c r="CR10" s="86">
        <f>IFERROR(VLOOKUP($CL$2&amp;"-"&amp; RIGHT(CR$4,1)&amp;"-"&amp;$A10,CC1_InputUser!$L:$N,3,FALSE),0)</f>
        <v>0</v>
      </c>
      <c r="CS10" s="86">
        <f>IFERROR(VLOOKUP($CL$2&amp;"-"&amp; RIGHT(CS$4,1)&amp;"-"&amp;$A10,CC1_InputUser!$L:$N,3,FALSE),0)</f>
        <v>0</v>
      </c>
      <c r="CT10" s="86">
        <f>IFERROR(VLOOKUP($CL$2&amp;"-"&amp; RIGHT(CT$4,1)&amp;"-"&amp;$A10,CC1_InputUser!$L:$N,3,FALSE),0)</f>
        <v>0</v>
      </c>
      <c r="CU10" s="86">
        <f>IFERROR(VLOOKUP($CL$2&amp;"-"&amp; RIGHT(CU$4,1)&amp;"-"&amp;$A10,CC1_InputUser!$L:$N,3,FALSE),0)</f>
        <v>0</v>
      </c>
      <c r="CV10" s="87"/>
      <c r="CW10" s="86">
        <f>IFERROR(VLOOKUP($CW$2&amp;"-"&amp; RIGHT(CW$4,1)&amp;"-"&amp;$A10,CC1_InputUser!$L:$N,2,FALSE),0)</f>
        <v>0</v>
      </c>
      <c r="CX10" s="86">
        <f>IFERROR(VLOOKUP($CW$2&amp;"-"&amp; RIGHT(CX$4,1)&amp;"-"&amp;$A10,CC1_InputUser!$L:$N,2,FALSE),0)</f>
        <v>0</v>
      </c>
      <c r="CY10" s="86">
        <f>IFERROR(VLOOKUP($CW$2&amp;"-"&amp; RIGHT(CY$4,1)&amp;"-"&amp;$A10,CC1_InputUser!$L:$N,2,FALSE),0)</f>
        <v>0</v>
      </c>
      <c r="CZ10" s="86">
        <f>IFERROR(VLOOKUP($CW$2&amp;"-"&amp; RIGHT(CZ$4,1)&amp;"-"&amp;$A10,CC1_InputUser!$L:$N,2,FALSE),0)</f>
        <v>0</v>
      </c>
      <c r="DA10" s="86">
        <f>IFERROR(VLOOKUP($CW$2&amp;"-"&amp; RIGHT(DA$4,1)&amp;"-"&amp;$A10,CC1_InputUser!$L:$N,2,FALSE),0)</f>
        <v>0</v>
      </c>
      <c r="DB10" s="86">
        <f>IFERROR(VLOOKUP($CW$2&amp;"-"&amp; RIGHT(DB$4,1)&amp;"-"&amp;$A10,CC1_InputUser!$L:$N,3,FALSE),0)</f>
        <v>0</v>
      </c>
      <c r="DC10" s="86">
        <f>IFERROR(VLOOKUP($CW$2&amp;"-"&amp; RIGHT(DC$4,1)&amp;"-"&amp;$A10,CC1_InputUser!$L:$N,3,FALSE),0)</f>
        <v>0</v>
      </c>
      <c r="DD10" s="86">
        <f>IFERROR(VLOOKUP($CW$2&amp;"-"&amp; RIGHT(DD$4,1)&amp;"-"&amp;$A10,CC1_InputUser!$L:$N,3,FALSE),0)</f>
        <v>0</v>
      </c>
      <c r="DE10" s="86">
        <f>IFERROR(VLOOKUP($CW$2&amp;"-"&amp; RIGHT(DE$4,1)&amp;"-"&amp;$A10,CC1_InputUser!$L:$N,3,FALSE),0)</f>
        <v>0</v>
      </c>
      <c r="DF10" s="86">
        <f>IFERROR(VLOOKUP($CW$2&amp;"-"&amp; RIGHT(DF$4,1)&amp;"-"&amp;$A10,CC1_InputUser!$L:$N,3,FALSE),0)</f>
        <v>0</v>
      </c>
      <c r="DG10" s="87"/>
      <c r="DH10" s="86">
        <f>IFERROR(VLOOKUP($DH$2&amp;"-"&amp; RIGHT(DH$4,1)&amp;"-"&amp;$A10,CC1_InputUser!$L:$N,2,FALSE),0)</f>
        <v>0</v>
      </c>
      <c r="DI10" s="86">
        <f>IFERROR(VLOOKUP($DH$2&amp;"-"&amp; RIGHT(DI$4,1)&amp;"-"&amp;$A10,CC1_InputUser!$L:$N,2,FALSE),0)</f>
        <v>0</v>
      </c>
      <c r="DJ10" s="86">
        <f>IFERROR(VLOOKUP($DH$2&amp;"-"&amp; RIGHT(DJ$4,1)&amp;"-"&amp;$A10,CC1_InputUser!$L:$N,2,FALSE),0)</f>
        <v>0</v>
      </c>
      <c r="DK10" s="86">
        <f>IFERROR(VLOOKUP($DH$2&amp;"-"&amp; RIGHT(DK$4,1)&amp;"-"&amp;$A10,CC1_InputUser!$L:$N,2,FALSE),0)</f>
        <v>0</v>
      </c>
      <c r="DL10" s="86">
        <f>IFERROR(VLOOKUP($DH$2&amp;"-"&amp; RIGHT(DL$4,1)&amp;"-"&amp;$A10,CC1_InputUser!$L:$N,2,FALSE),0)</f>
        <v>0</v>
      </c>
      <c r="DM10" s="86">
        <f>IFERROR(VLOOKUP($DH$2&amp;"-"&amp; RIGHT(DM$4,1)&amp;"-"&amp;$A10,CC1_InputUser!$L:$N,3,FALSE),0)</f>
        <v>0</v>
      </c>
      <c r="DN10" s="86">
        <f>IFERROR(VLOOKUP($DH$2&amp;"-"&amp; RIGHT(DN$4,1)&amp;"-"&amp;$A10,CC1_InputUser!$L:$N,3,FALSE),0)</f>
        <v>0</v>
      </c>
      <c r="DO10" s="86">
        <f>IFERROR(VLOOKUP($DH$2&amp;"-"&amp; RIGHT(DO$4,1)&amp;"-"&amp;$A10,CC1_InputUser!$L:$N,3,FALSE),0)</f>
        <v>0</v>
      </c>
      <c r="DP10" s="86">
        <f>IFERROR(VLOOKUP($DH$2&amp;"-"&amp; RIGHT(DP$4,1)&amp;"-"&amp;$A10,CC1_InputUser!$L:$N,3,FALSE),0)</f>
        <v>0</v>
      </c>
      <c r="DQ10" s="86">
        <f>IFERROR(VLOOKUP($DH$2&amp;"-"&amp; RIGHT(DQ$4,1)&amp;"-"&amp;$A10,CC1_InputUser!$L:$N,3,FALSE),0)</f>
        <v>0</v>
      </c>
      <c r="DR10" s="87"/>
      <c r="DS10" s="86">
        <f>IFERROR(VLOOKUP($DS$2&amp;"-"&amp; RIGHT(DS$4,1)&amp;"-"&amp;$A10,CC1_InputUser!$L:$N,2,FALSE),0)</f>
        <v>0</v>
      </c>
      <c r="DT10" s="86">
        <f>IFERROR(VLOOKUP($DS$2&amp;"-"&amp; RIGHT(DT$4,1)&amp;"-"&amp;$A10,CC1_InputUser!$L:$N,2,FALSE),0)</f>
        <v>0</v>
      </c>
      <c r="DU10" s="86">
        <f>IFERROR(VLOOKUP($DS$2&amp;"-"&amp; RIGHT(DU$4,1)&amp;"-"&amp;$A10,CC1_InputUser!$L:$N,2,FALSE),0)</f>
        <v>0</v>
      </c>
      <c r="DV10" s="86">
        <f>IFERROR(VLOOKUP($DS$2&amp;"-"&amp; RIGHT(DV$4,1)&amp;"-"&amp;$A10,CC1_InputUser!$L:$N,2,FALSE),0)</f>
        <v>0</v>
      </c>
      <c r="DW10" s="86">
        <f>IFERROR(VLOOKUP($DS$2&amp;"-"&amp; RIGHT(DW$4,1)&amp;"-"&amp;$A10,CC1_InputUser!$L:$N,2,FALSE),0)</f>
        <v>0</v>
      </c>
      <c r="DX10" s="86">
        <f>IFERROR(VLOOKUP($DS$2&amp;"-"&amp; RIGHT(DX$4,1)&amp;"-"&amp;$A10,CC1_InputUser!$L:$N,3,FALSE),0)</f>
        <v>0</v>
      </c>
      <c r="DY10" s="86">
        <f>IFERROR(VLOOKUP($DS$2&amp;"-"&amp; RIGHT(DY$4,1)&amp;"-"&amp;$A10,CC1_InputUser!$L:$N,3,FALSE),0)</f>
        <v>0</v>
      </c>
      <c r="DZ10" s="86">
        <f>IFERROR(VLOOKUP($DS$2&amp;"-"&amp; RIGHT(DZ$4,1)&amp;"-"&amp;$A10,CC1_InputUser!$L:$N,3,FALSE),0)</f>
        <v>0</v>
      </c>
      <c r="EA10" s="86">
        <f>IFERROR(VLOOKUP($DS$2&amp;"-"&amp; RIGHT(EA$4,1)&amp;"-"&amp;$A10,CC1_InputUser!$L:$N,3,FALSE),0)</f>
        <v>0</v>
      </c>
      <c r="EB10" s="86">
        <f>IFERROR(VLOOKUP($DS$2&amp;"-"&amp; RIGHT(EB$4,1)&amp;"-"&amp;$A10,CC1_InputUser!$L:$N,3,FALSE),0)</f>
        <v>0</v>
      </c>
      <c r="EC10" s="87"/>
    </row>
    <row r="11" spans="1:133" x14ac:dyDescent="0.3">
      <c r="A11" s="72" t="s">
        <v>27</v>
      </c>
      <c r="B11" s="88">
        <f>IFERROR(VLOOKUP($B$2&amp;"-"&amp; RIGHT(B$4,1)&amp;"-"&amp;$A11,CC1_InputUser!$L:$N,2,FALSE),0)</f>
        <v>0</v>
      </c>
      <c r="C11" s="88">
        <f>IFERROR(VLOOKUP($B$2&amp;"-"&amp; RIGHT(C$4,1)&amp;"-"&amp;$A11,CC1_InputUser!$L:$N,2,FALSE),0)</f>
        <v>0</v>
      </c>
      <c r="D11" s="88">
        <f>IFERROR(VLOOKUP($B$2&amp;"-"&amp; RIGHT(D$4,1)&amp;"-"&amp;$A11,CC1_InputUser!$L:$N,2,FALSE),0)</f>
        <v>-1.1549999999999949E-2</v>
      </c>
      <c r="E11" s="88">
        <f>IFERROR(VLOOKUP($B$2&amp;"-"&amp; RIGHT(E$4,1)&amp;"-"&amp;$A11,CC1_InputUser!$L:$N,2,FALSE),0)</f>
        <v>0</v>
      </c>
      <c r="F11" s="88">
        <f>IFERROR(VLOOKUP($B$2&amp;"-"&amp; RIGHT(F$4,1)&amp;"-"&amp;$A11,CC1_InputUser!$L:$N,2,FALSE),0)</f>
        <v>0</v>
      </c>
      <c r="G11" s="88">
        <f>IFERROR(VLOOKUP($B$2&amp;"-"&amp; RIGHT(G$4,1)&amp;"-"&amp;$A11,CC1_InputUser!$L:$N,3,FALSE),0)</f>
        <v>-0.15254237288135597</v>
      </c>
      <c r="H11" s="88">
        <f>IFERROR(VLOOKUP($B$2&amp;"-"&amp; RIGHT(H$4,1)&amp;"-"&amp;$A11,CC1_InputUser!$L:$N,3,FALSE),0)</f>
        <v>-1.5735641227380026E-2</v>
      </c>
      <c r="I11" s="88">
        <f>IFERROR(VLOOKUP($B$2&amp;"-"&amp; RIGHT(I$4,1)&amp;"-"&amp;$A11,CC1_InputUser!$L:$N,3,FALSE),0)</f>
        <v>-1.1549999999999949E-2</v>
      </c>
      <c r="J11" s="88">
        <f>IFERROR(VLOOKUP($B$2&amp;"-"&amp; RIGHT(J$4,1)&amp;"-"&amp;$A11,CC1_InputUser!$L:$N,3,FALSE),0)</f>
        <v>-9.9769248285264012E-2</v>
      </c>
      <c r="K11" s="88">
        <f>IFERROR(VLOOKUP($B$2&amp;"-"&amp; RIGHT(K$4,1)&amp;"-"&amp;$A11,CC1_InputUser!$L:$N,3,FALSE),0)</f>
        <v>0</v>
      </c>
      <c r="L11" s="89"/>
      <c r="M11" s="88">
        <f>IFERROR(VLOOKUP($M$2&amp;"-"&amp; RIGHT(M$4,1)&amp;"-"&amp;$A11,CC1_InputUser!$L:$N,2,FALSE),0)</f>
        <v>0</v>
      </c>
      <c r="N11" s="88">
        <f>IFERROR(VLOOKUP($M$2&amp;"-"&amp; RIGHT(N$4,1)&amp;"-"&amp;$A11,CC1_InputUser!$L:$N,2,FALSE),0)</f>
        <v>0</v>
      </c>
      <c r="O11" s="88">
        <f>IFERROR(VLOOKUP($M$2&amp;"-"&amp; RIGHT(O$4,1)&amp;"-"&amp;$A11,CC1_InputUser!$L:$N,2,FALSE),0)</f>
        <v>5.8636363636364042E-3</v>
      </c>
      <c r="P11" s="88">
        <f>IFERROR(VLOOKUP($M$2&amp;"-"&amp; RIGHT(P$4,1)&amp;"-"&amp;$A11,CC1_InputUser!$L:$N,2,FALSE),0)</f>
        <v>0</v>
      </c>
      <c r="Q11" s="88">
        <f>IFERROR(VLOOKUP($M$2&amp;"-"&amp; RIGHT(Q$4,1)&amp;"-"&amp;$A11,CC1_InputUser!$L:$N,2,FALSE),0)</f>
        <v>0</v>
      </c>
      <c r="R11" s="88">
        <f>IFERROR(VLOOKUP($M$2&amp;"-"&amp; RIGHT(R$4,1)&amp;"-"&amp;$A11,CC1_InputUser!$L:$N,3,FALSE),0)</f>
        <v>0</v>
      </c>
      <c r="S11" s="88">
        <f>IFERROR(VLOOKUP($M$2&amp;"-"&amp; RIGHT(S$4,1)&amp;"-"&amp;$A11,CC1_InputUser!$L:$N,3,FALSE),0)</f>
        <v>-0.3276877271831673</v>
      </c>
      <c r="T11" s="88">
        <f>IFERROR(VLOOKUP($M$2&amp;"-"&amp; RIGHT(T$4,1)&amp;"-"&amp;$A11,CC1_InputUser!$L:$N,3,FALSE),0)</f>
        <v>-1.3727325400008872E-2</v>
      </c>
      <c r="U11" s="88">
        <f>IFERROR(VLOOKUP($M$2&amp;"-"&amp; RIGHT(U$4,1)&amp;"-"&amp;$A11,CC1_InputUser!$L:$N,3,FALSE),0)</f>
        <v>0</v>
      </c>
      <c r="V11" s="88">
        <f>IFERROR(VLOOKUP($M$2&amp;"-"&amp; RIGHT(V$4,1)&amp;"-"&amp;$A11,CC1_InputUser!$L:$N,3,FALSE),0)</f>
        <v>0</v>
      </c>
      <c r="W11" s="89"/>
      <c r="X11" s="88">
        <f>IFERROR(VLOOKUP($X$2&amp;"-"&amp; RIGHT(X$4,1)&amp;"-"&amp;$A11,CC1_InputUser!$L:$N,2,FALSE),0)</f>
        <v>0</v>
      </c>
      <c r="Y11" s="88">
        <f>IFERROR(VLOOKUP($X$2&amp;"-"&amp; RIGHT(Y$4,1)&amp;"-"&amp;$A11,CC1_InputUser!$L:$N,2,FALSE),0)</f>
        <v>0</v>
      </c>
      <c r="Z11" s="88">
        <f>IFERROR(VLOOKUP($X$2&amp;"-"&amp; RIGHT(Z$4,1)&amp;"-"&amp;$A11,CC1_InputUser!$L:$N,2,FALSE),0)</f>
        <v>0</v>
      </c>
      <c r="AA11" s="88">
        <f>IFERROR(VLOOKUP($X$2&amp;"-"&amp; RIGHT(AA$4,1)&amp;"-"&amp;$A11,CC1_InputUser!$L:$N,2,FALSE),0)</f>
        <v>0</v>
      </c>
      <c r="AB11" s="88">
        <f>IFERROR(VLOOKUP($X$2&amp;"-"&amp; RIGHT(AB$4,1)&amp;"-"&amp;$A11,CC1_InputUser!$L:$N,2,FALSE),0)</f>
        <v>0</v>
      </c>
      <c r="AC11" s="88">
        <f>IFERROR(VLOOKUP($X$2&amp;"-"&amp; RIGHT(AC$4,1)&amp;"-"&amp;$A11,CC1_InputUser!$L:$N,3,FALSE),0)</f>
        <v>0</v>
      </c>
      <c r="AD11" s="88">
        <f>IFERROR(VLOOKUP($X$2&amp;"-"&amp; RIGHT(AD$4,1)&amp;"-"&amp;$A11,CC1_InputUser!$L:$N,3,FALSE),0)</f>
        <v>-2.5682810696923131E-3</v>
      </c>
      <c r="AE11" s="88">
        <f>IFERROR(VLOOKUP($X$2&amp;"-"&amp; RIGHT(AE$4,1)&amp;"-"&amp;$A11,CC1_InputUser!$L:$N,3,FALSE),0)</f>
        <v>-8.6035026722397046E-2</v>
      </c>
      <c r="AF11" s="88">
        <f>IFERROR(VLOOKUP($X$2&amp;"-"&amp; RIGHT(AF$4,1)&amp;"-"&amp;$A11,CC1_InputUser!$L:$N,3,FALSE),0)</f>
        <v>0</v>
      </c>
      <c r="AG11" s="88">
        <f>IFERROR(VLOOKUP($X$2&amp;"-"&amp; RIGHT(AG$4,1)&amp;"-"&amp;$A11,CC1_InputUser!$L:$N,3,FALSE),0)</f>
        <v>0</v>
      </c>
      <c r="AH11" s="89"/>
      <c r="AI11" s="88">
        <f>IFERROR(VLOOKUP($AI$2&amp;"-"&amp; RIGHT(AI$4,1)&amp;"-"&amp;$A11,CC1_InputUser!$L:$N,2,FALSE),0)</f>
        <v>-7.8988941548230329E-5</v>
      </c>
      <c r="AJ11" s="88">
        <f>IFERROR(VLOOKUP($AI$2&amp;"-"&amp; RIGHT(AJ$4,1)&amp;"-"&amp;$A11,CC1_InputUser!$L:$N,2,FALSE),0)</f>
        <v>0</v>
      </c>
      <c r="AK11" s="88">
        <f>IFERROR(VLOOKUP($AI$2&amp;"-"&amp; RIGHT(AK$4,1)&amp;"-"&amp;$A11,CC1_InputUser!$L:$N,2,FALSE),0)</f>
        <v>0</v>
      </c>
      <c r="AL11" s="88">
        <f>IFERROR(VLOOKUP($AI$2&amp;"-"&amp; RIGHT(AL$4,1)&amp;"-"&amp;$A11,CC1_InputUser!$L:$N,2,FALSE),0)</f>
        <v>1.9333333333333425E-2</v>
      </c>
      <c r="AM11" s="88">
        <f>IFERROR(VLOOKUP($AI$2&amp;"-"&amp; RIGHT(AM$4,1)&amp;"-"&amp;$A11,CC1_InputUser!$L:$N,2,FALSE),0)</f>
        <v>0</v>
      </c>
      <c r="AN11" s="88">
        <f>IFERROR(VLOOKUP($AI$2&amp;"-"&amp; RIGHT(AN$4,1)&amp;"-"&amp;$A11,CC1_InputUser!$L:$N,3,FALSE),0)</f>
        <v>-2.2561882392183596E-2</v>
      </c>
      <c r="AO11" s="88">
        <f>IFERROR(VLOOKUP($AI$2&amp;"-"&amp; RIGHT(AO$4,1)&amp;"-"&amp;$A11,CC1_InputUser!$L:$N,3,FALSE),0)</f>
        <v>0</v>
      </c>
      <c r="AP11" s="88">
        <f>IFERROR(VLOOKUP($AI$2&amp;"-"&amp; RIGHT(AP$4,1)&amp;"-"&amp;$A11,CC1_InputUser!$L:$N,3,FALSE),0)</f>
        <v>0</v>
      </c>
      <c r="AQ11" s="88">
        <f>IFERROR(VLOOKUP($AI$2&amp;"-"&amp; RIGHT(AQ$4,1)&amp;"-"&amp;$A11,CC1_InputUser!$L:$N,3,FALSE),0)</f>
        <v>-0.44956760889206604</v>
      </c>
      <c r="AR11" s="88">
        <f>IFERROR(VLOOKUP($AI$2&amp;"-"&amp; RIGHT(AR$4,1)&amp;"-"&amp;$A11,CC1_InputUser!$L:$N,3,FALSE),0)</f>
        <v>0</v>
      </c>
      <c r="AS11" s="89"/>
      <c r="AT11" s="88">
        <f>IFERROR(VLOOKUP($AT$2&amp;"-"&amp; RIGHT(AT$4,1)&amp;"-"&amp;$A11,CC1_InputUser!$L:$N,2,FALSE),0)</f>
        <v>0</v>
      </c>
      <c r="AU11" s="88">
        <f>IFERROR(VLOOKUP($AT$2&amp;"-"&amp; RIGHT(AU$4,1)&amp;"-"&amp;$A11,CC1_InputUser!$L:$N,2,FALSE),0)</f>
        <v>0</v>
      </c>
      <c r="AV11" s="88">
        <f>IFERROR(VLOOKUP($AT$2&amp;"-"&amp; RIGHT(AV$4,1)&amp;"-"&amp;$A11,CC1_InputUser!$L:$N,2,FALSE),0)</f>
        <v>0</v>
      </c>
      <c r="AW11" s="88">
        <f>IFERROR(VLOOKUP($AT$2&amp;"-"&amp; RIGHT(AW$4,1)&amp;"-"&amp;$A11,CC1_InputUser!$L:$N,2,FALSE),0)</f>
        <v>-6.7936863166420891E-2</v>
      </c>
      <c r="AX11" s="88">
        <f>IFERROR(VLOOKUP($AT$2&amp;"-"&amp; RIGHT(AX$4,1)&amp;"-"&amp;$A11,CC1_InputUser!$L:$N,2,FALSE),0)</f>
        <v>0</v>
      </c>
      <c r="AY11" s="88">
        <f>IFERROR(VLOOKUP($AT$2&amp;"-"&amp; RIGHT(AY$4,1)&amp;"-"&amp;$A11,CC1_InputUser!$L:$N,3,FALSE),0)</f>
        <v>-0.11913189747708564</v>
      </c>
      <c r="AZ11" s="88">
        <f>IFERROR(VLOOKUP($AT$2&amp;"-"&amp; RIGHT(AZ$4,1)&amp;"-"&amp;$A11,CC1_InputUser!$L:$N,3,FALSE),0)</f>
        <v>-0.1201308984760866</v>
      </c>
      <c r="BA11" s="88">
        <f>IFERROR(VLOOKUP($AT$2&amp;"-"&amp; RIGHT(BA$4,1)&amp;"-"&amp;$A11,CC1_InputUser!$L:$N,3,FALSE),0)</f>
        <v>-2.1207177814029365E-2</v>
      </c>
      <c r="BB11" s="88">
        <f>IFERROR(VLOOKUP($AT$2&amp;"-"&amp; RIGHT(BB$4,1)&amp;"-"&amp;$A11,CC1_InputUser!$L:$N,3,FALSE),0)</f>
        <v>-0.23138630900304247</v>
      </c>
      <c r="BC11" s="88">
        <f>IFERROR(VLOOKUP($AT$2&amp;"-"&amp; RIGHT(BC$4,1)&amp;"-"&amp;$A11,CC1_InputUser!$L:$N,3,FALSE),0)</f>
        <v>-3.0044852616673223E-2</v>
      </c>
      <c r="BD11" s="89"/>
      <c r="BE11" s="88">
        <f>IFERROR(VLOOKUP($AT$2&amp;"-"&amp; RIGHT(BE$4,1)&amp;"-"&amp;$A11,CC1_InputUser!$L:$N,2,FALSE),0)</f>
        <v>0</v>
      </c>
      <c r="BF11" s="88">
        <f>IFERROR(VLOOKUP($AT$2&amp;"-"&amp; RIGHT(BF$4,1)&amp;"-"&amp;$A11,CC1_InputUser!$L:$N,2,FALSE),0)</f>
        <v>0</v>
      </c>
      <c r="BG11" s="88">
        <f>IFERROR(VLOOKUP($AT$2&amp;"-"&amp; RIGHT(BG$4,1)&amp;"-"&amp;$A11,CC1_InputUser!$L:$N,2,FALSE),0)</f>
        <v>0</v>
      </c>
      <c r="BH11" s="88">
        <f>IFERROR(VLOOKUP($AT$2&amp;"-"&amp; RIGHT(BH$4,1)&amp;"-"&amp;$A11,CC1_InputUser!$L:$N,2,FALSE),0)</f>
        <v>-6.7936863166420891E-2</v>
      </c>
      <c r="BI11" s="88">
        <f>IFERROR(VLOOKUP($AT$2&amp;"-"&amp; RIGHT(BI$4,1)&amp;"-"&amp;$A11,CC1_InputUser!$L:$N,2,FALSE),0)</f>
        <v>0</v>
      </c>
      <c r="BJ11" s="88">
        <f>IFERROR(VLOOKUP($AT$2&amp;"-"&amp; RIGHT(BJ$4,1)&amp;"-"&amp;$A11,CC1_InputUser!$L:$N,3,FALSE),0)</f>
        <v>-0.11913189747708564</v>
      </c>
      <c r="BK11" s="88">
        <f>IFERROR(VLOOKUP($AT$2&amp;"-"&amp; RIGHT(BK$4,1)&amp;"-"&amp;$A11,CC1_InputUser!$L:$N,3,FALSE),0)</f>
        <v>-0.1201308984760866</v>
      </c>
      <c r="BL11" s="88">
        <f>IFERROR(VLOOKUP($AT$2&amp;"-"&amp; RIGHT(BL$4,1)&amp;"-"&amp;$A11,CC1_InputUser!$L:$N,3,FALSE),0)</f>
        <v>-2.1207177814029365E-2</v>
      </c>
      <c r="BM11" s="88">
        <f>IFERROR(VLOOKUP($AT$2&amp;"-"&amp; RIGHT(BM$4,1)&amp;"-"&amp;$A11,CC1_InputUser!$L:$N,3,FALSE),0)</f>
        <v>-0.23138630900304247</v>
      </c>
      <c r="BN11" s="88">
        <f>IFERROR(VLOOKUP($AT$2&amp;"-"&amp; RIGHT(BN$4,1)&amp;"-"&amp;$A11,CC1_InputUser!$L:$N,3,FALSE),0)</f>
        <v>-3.0044852616673223E-2</v>
      </c>
      <c r="BO11" s="89"/>
      <c r="BP11" s="88">
        <f>IFERROR(VLOOKUP($BP$2&amp;"-"&amp; RIGHT(BP$4,1)&amp;"-"&amp;$A11,CC1_InputUser!$L:$N,2,FALSE),0)</f>
        <v>0</v>
      </c>
      <c r="BQ11" s="88">
        <f>IFERROR(VLOOKUP($BP$2&amp;"-"&amp; RIGHT(BQ$4,1)&amp;"-"&amp;$A11,CC1_InputUser!$L:$N,2,FALSE),0)</f>
        <v>0</v>
      </c>
      <c r="BR11" s="88">
        <f>IFERROR(VLOOKUP($BP$2&amp;"-"&amp; RIGHT(BR$4,1)&amp;"-"&amp;$A11,CC1_InputUser!$L:$N,2,FALSE),0)</f>
        <v>0</v>
      </c>
      <c r="BS11" s="88">
        <f>IFERROR(VLOOKUP($BP$2&amp;"-"&amp; RIGHT(BS$4,1)&amp;"-"&amp;$A11,CC1_InputUser!$L:$N,2,FALSE),0)</f>
        <v>0</v>
      </c>
      <c r="BT11" s="88">
        <f>IFERROR(VLOOKUP($BP$2&amp;"-"&amp; RIGHT(BT$4,1)&amp;"-"&amp;$A11,CC1_InputUser!$L:$N,2,FALSE),0)</f>
        <v>0</v>
      </c>
      <c r="BU11" s="88">
        <f>IFERROR(VLOOKUP($BP$2&amp;"-"&amp; RIGHT(BU$4,1)&amp;"-"&amp;$A11,CC1_InputUser!$L:$N,3,FALSE),0)</f>
        <v>-0.3426865724985968</v>
      </c>
      <c r="BV11" s="88">
        <f>IFERROR(VLOOKUP($BP$2&amp;"-"&amp; RIGHT(BV$4,1)&amp;"-"&amp;$A11,CC1_InputUser!$L:$N,3,FALSE),0)</f>
        <v>0</v>
      </c>
      <c r="BW11" s="88">
        <f>IFERROR(VLOOKUP($BP$2&amp;"-"&amp; RIGHT(BW$4,1)&amp;"-"&amp;$A11,CC1_InputUser!$L:$N,3,FALSE),0)</f>
        <v>0</v>
      </c>
      <c r="BX11" s="88">
        <f>IFERROR(VLOOKUP($BP$2&amp;"-"&amp; RIGHT(BX$4,1)&amp;"-"&amp;$A11,CC1_InputUser!$L:$N,3,FALSE),0)</f>
        <v>0</v>
      </c>
      <c r="BY11" s="88">
        <f>IFERROR(VLOOKUP($BP$2&amp;"-"&amp; RIGHT(BY$4,1)&amp;"-"&amp;$A11,CC1_InputUser!$L:$N,3,FALSE),0)</f>
        <v>0</v>
      </c>
      <c r="BZ11" s="89"/>
      <c r="CA11" s="88">
        <f>IFERROR(VLOOKUP($CA$2&amp;"-"&amp; RIGHT(CA$4,1)&amp;"-"&amp;$A11,CC1_InputUser!$L:$N,2,FALSE),0)</f>
        <v>0</v>
      </c>
      <c r="CB11" s="88">
        <f>IFERROR(VLOOKUP($CA$2&amp;"-"&amp; RIGHT(CB$4,1)&amp;"-"&amp;$A11,CC1_InputUser!$L:$N,2,FALSE),0)</f>
        <v>0</v>
      </c>
      <c r="CC11" s="88">
        <f>IFERROR(VLOOKUP($CA$2&amp;"-"&amp; RIGHT(CC$4,1)&amp;"-"&amp;$A11,CC1_InputUser!$L:$N,2,FALSE),0)</f>
        <v>0</v>
      </c>
      <c r="CD11" s="88">
        <f>IFERROR(VLOOKUP($CA$2&amp;"-"&amp; RIGHT(CD$4,1)&amp;"-"&amp;$A11,CC1_InputUser!$L:$N,2,FALSE),0)</f>
        <v>-4.4444444444444731E-3</v>
      </c>
      <c r="CE11" s="88">
        <f>IFERROR(VLOOKUP($CA$2&amp;"-"&amp; RIGHT(CE$4,1)&amp;"-"&amp;$A11,CC1_InputUser!$L:$N,2,FALSE),0)</f>
        <v>0</v>
      </c>
      <c r="CF11" s="88">
        <f>IFERROR(VLOOKUP($CA$2&amp;"-"&amp; RIGHT(CF$4,1)&amp;"-"&amp;$A11,CC1_InputUser!$L:$N,3,FALSE),0)</f>
        <v>-0.37224215738628508</v>
      </c>
      <c r="CG11" s="88">
        <f>IFERROR(VLOOKUP($CA$2&amp;"-"&amp; RIGHT(CG$4,1)&amp;"-"&amp;$A11,CC1_InputUser!$L:$N,3,FALSE),0)</f>
        <v>0</v>
      </c>
      <c r="CH11" s="88">
        <f>IFERROR(VLOOKUP($CA$2&amp;"-"&amp; RIGHT(CH$4,1)&amp;"-"&amp;$A11,CC1_InputUser!$L:$N,3,FALSE),0)</f>
        <v>0</v>
      </c>
      <c r="CI11" s="88">
        <f>IFERROR(VLOOKUP($CA$2&amp;"-"&amp; RIGHT(CI$4,1)&amp;"-"&amp;$A11,CC1_InputUser!$L:$N,3,FALSE),0)</f>
        <v>-0.27294412212135821</v>
      </c>
      <c r="CJ11" s="88">
        <f>IFERROR(VLOOKUP($CA$2&amp;"-"&amp; RIGHT(CJ$4,1)&amp;"-"&amp;$A11,CC1_InputUser!$L:$N,3,FALSE),0)</f>
        <v>0</v>
      </c>
      <c r="CK11" s="89"/>
      <c r="CL11" s="88">
        <f>IFERROR(VLOOKUP($CL$2&amp;"-"&amp; RIGHT(CL$4,1)&amp;"-"&amp;$A11,CC1_InputUser!$L:$N,2,FALSE),0)</f>
        <v>0</v>
      </c>
      <c r="CM11" s="88">
        <f>IFERROR(VLOOKUP($CL$2&amp;"-"&amp; RIGHT(CM$4,1)&amp;"-"&amp;$A11,CC1_InputUser!$L:$N,2,FALSE),0)</f>
        <v>-7.4259792964828875E-2</v>
      </c>
      <c r="CN11" s="88">
        <f>IFERROR(VLOOKUP($CL$2&amp;"-"&amp; RIGHT(CN$4,1)&amp;"-"&amp;$A11,CC1_InputUser!$L:$N,2,FALSE),0)</f>
        <v>0</v>
      </c>
      <c r="CO11" s="88">
        <f>IFERROR(VLOOKUP($CL$2&amp;"-"&amp; RIGHT(CO$4,1)&amp;"-"&amp;$A11,CC1_InputUser!$L:$N,2,FALSE),0)</f>
        <v>0</v>
      </c>
      <c r="CP11" s="88">
        <f>IFERROR(VLOOKUP($CL$2&amp;"-"&amp; RIGHT(CP$4,1)&amp;"-"&amp;$A11,CC1_InputUser!$L:$N,2,FALSE),0)</f>
        <v>0</v>
      </c>
      <c r="CQ11" s="88">
        <f>IFERROR(VLOOKUP($CL$2&amp;"-"&amp; RIGHT(CQ$4,1)&amp;"-"&amp;$A11,CC1_InputUser!$L:$N,3,FALSE),0)</f>
        <v>0</v>
      </c>
      <c r="CR11" s="88">
        <f>IFERROR(VLOOKUP($CL$2&amp;"-"&amp; RIGHT(CR$4,1)&amp;"-"&amp;$A11,CC1_InputUser!$L:$N,3,FALSE),0)</f>
        <v>-1.0242250242250228E-2</v>
      </c>
      <c r="CS11" s="88">
        <f>IFERROR(VLOOKUP($CL$2&amp;"-"&amp; RIGHT(CS$4,1)&amp;"-"&amp;$A11,CC1_InputUser!$L:$N,3,FALSE),0)</f>
        <v>-0.30901869970783358</v>
      </c>
      <c r="CT11" s="88">
        <f>IFERROR(VLOOKUP($CL$2&amp;"-"&amp; RIGHT(CT$4,1)&amp;"-"&amp;$A11,CC1_InputUser!$L:$N,3,FALSE),0)</f>
        <v>0</v>
      </c>
      <c r="CU11" s="88">
        <f>IFERROR(VLOOKUP($CL$2&amp;"-"&amp; RIGHT(CU$4,1)&amp;"-"&amp;$A11,CC1_InputUser!$L:$N,3,FALSE),0)</f>
        <v>0</v>
      </c>
      <c r="CV11" s="89"/>
      <c r="CW11" s="88">
        <f>IFERROR(VLOOKUP($CW$2&amp;"-"&amp; RIGHT(CW$4,1)&amp;"-"&amp;$A11,CC1_InputUser!$L:$N,2,FALSE),0)</f>
        <v>0</v>
      </c>
      <c r="CX11" s="88">
        <f>IFERROR(VLOOKUP($CW$2&amp;"-"&amp; RIGHT(CX$4,1)&amp;"-"&amp;$A11,CC1_InputUser!$L:$N,2,FALSE),0)</f>
        <v>0</v>
      </c>
      <c r="CY11" s="88">
        <f>IFERROR(VLOOKUP($CW$2&amp;"-"&amp; RIGHT(CY$4,1)&amp;"-"&amp;$A11,CC1_InputUser!$L:$N,2,FALSE),0)</f>
        <v>0</v>
      </c>
      <c r="CZ11" s="88">
        <f>IFERROR(VLOOKUP($CW$2&amp;"-"&amp; RIGHT(CZ$4,1)&amp;"-"&amp;$A11,CC1_InputUser!$L:$N,2,FALSE),0)</f>
        <v>0</v>
      </c>
      <c r="DA11" s="88">
        <f>IFERROR(VLOOKUP($CW$2&amp;"-"&amp; RIGHT(DA$4,1)&amp;"-"&amp;$A11,CC1_InputUser!$L:$N,2,FALSE),0)</f>
        <v>0</v>
      </c>
      <c r="DB11" s="88">
        <f>IFERROR(VLOOKUP($CW$2&amp;"-"&amp; RIGHT(DB$4,1)&amp;"-"&amp;$A11,CC1_InputUser!$L:$N,3,FALSE),0)</f>
        <v>0</v>
      </c>
      <c r="DC11" s="88">
        <f>IFERROR(VLOOKUP($CW$2&amp;"-"&amp; RIGHT(DC$4,1)&amp;"-"&amp;$A11,CC1_InputUser!$L:$N,3,FALSE),0)</f>
        <v>0</v>
      </c>
      <c r="DD11" s="88">
        <f>IFERROR(VLOOKUP($CW$2&amp;"-"&amp; RIGHT(DD$4,1)&amp;"-"&amp;$A11,CC1_InputUser!$L:$N,3,FALSE),0)</f>
        <v>0</v>
      </c>
      <c r="DE11" s="88">
        <f>IFERROR(VLOOKUP($CW$2&amp;"-"&amp; RIGHT(DE$4,1)&amp;"-"&amp;$A11,CC1_InputUser!$L:$N,3,FALSE),0)</f>
        <v>0</v>
      </c>
      <c r="DF11" s="88">
        <f>IFERROR(VLOOKUP($CW$2&amp;"-"&amp; RIGHT(DF$4,1)&amp;"-"&amp;$A11,CC1_InputUser!$L:$N,3,FALSE),0)</f>
        <v>0</v>
      </c>
      <c r="DG11" s="89"/>
      <c r="DH11" s="88">
        <f>IFERROR(VLOOKUP($DH$2&amp;"-"&amp; RIGHT(DH$4,1)&amp;"-"&amp;$A11,CC1_InputUser!$L:$N,2,FALSE),0)</f>
        <v>0</v>
      </c>
      <c r="DI11" s="88">
        <f>IFERROR(VLOOKUP($DH$2&amp;"-"&amp; RIGHT(DI$4,1)&amp;"-"&amp;$A11,CC1_InputUser!$L:$N,2,FALSE),0)</f>
        <v>0</v>
      </c>
      <c r="DJ11" s="88">
        <f>IFERROR(VLOOKUP($DH$2&amp;"-"&amp; RIGHT(DJ$4,1)&amp;"-"&amp;$A11,CC1_InputUser!$L:$N,2,FALSE),0)</f>
        <v>0</v>
      </c>
      <c r="DK11" s="88">
        <f>IFERROR(VLOOKUP($DH$2&amp;"-"&amp; RIGHT(DK$4,1)&amp;"-"&amp;$A11,CC1_InputUser!$L:$N,2,FALSE),0)</f>
        <v>0</v>
      </c>
      <c r="DL11" s="88">
        <f>IFERROR(VLOOKUP($DH$2&amp;"-"&amp; RIGHT(DL$4,1)&amp;"-"&amp;$A11,CC1_InputUser!$L:$N,2,FALSE),0)</f>
        <v>0</v>
      </c>
      <c r="DM11" s="88">
        <f>IFERROR(VLOOKUP($DH$2&amp;"-"&amp; RIGHT(DM$4,1)&amp;"-"&amp;$A11,CC1_InputUser!$L:$N,3,FALSE),0)</f>
        <v>0</v>
      </c>
      <c r="DN11" s="88">
        <f>IFERROR(VLOOKUP($DH$2&amp;"-"&amp; RIGHT(DN$4,1)&amp;"-"&amp;$A11,CC1_InputUser!$L:$N,3,FALSE),0)</f>
        <v>0</v>
      </c>
      <c r="DO11" s="88">
        <f>IFERROR(VLOOKUP($DH$2&amp;"-"&amp; RIGHT(DO$4,1)&amp;"-"&amp;$A11,CC1_InputUser!$L:$N,3,FALSE),0)</f>
        <v>0</v>
      </c>
      <c r="DP11" s="88">
        <f>IFERROR(VLOOKUP($DH$2&amp;"-"&amp; RIGHT(DP$4,1)&amp;"-"&amp;$A11,CC1_InputUser!$L:$N,3,FALSE),0)</f>
        <v>0</v>
      </c>
      <c r="DQ11" s="88">
        <f>IFERROR(VLOOKUP($DH$2&amp;"-"&amp; RIGHT(DQ$4,1)&amp;"-"&amp;$A11,CC1_InputUser!$L:$N,3,FALSE),0)</f>
        <v>0</v>
      </c>
      <c r="DR11" s="89"/>
      <c r="DS11" s="88">
        <f>IFERROR(VLOOKUP($DS$2&amp;"-"&amp; RIGHT(DS$4,1)&amp;"-"&amp;$A11,CC1_InputUser!$L:$N,2,FALSE),0)</f>
        <v>0</v>
      </c>
      <c r="DT11" s="88">
        <f>IFERROR(VLOOKUP($DS$2&amp;"-"&amp; RIGHT(DT$4,1)&amp;"-"&amp;$A11,CC1_InputUser!$L:$N,2,FALSE),0)</f>
        <v>0</v>
      </c>
      <c r="DU11" s="88">
        <f>IFERROR(VLOOKUP($DS$2&amp;"-"&amp; RIGHT(DU$4,1)&amp;"-"&amp;$A11,CC1_InputUser!$L:$N,2,FALSE),0)</f>
        <v>0</v>
      </c>
      <c r="DV11" s="88">
        <f>IFERROR(VLOOKUP($DS$2&amp;"-"&amp; RIGHT(DV$4,1)&amp;"-"&amp;$A11,CC1_InputUser!$L:$N,2,FALSE),0)</f>
        <v>0</v>
      </c>
      <c r="DW11" s="88">
        <f>IFERROR(VLOOKUP($DS$2&amp;"-"&amp; RIGHT(DW$4,1)&amp;"-"&amp;$A11,CC1_InputUser!$L:$N,2,FALSE),0)</f>
        <v>0</v>
      </c>
      <c r="DX11" s="88">
        <f>IFERROR(VLOOKUP($DS$2&amp;"-"&amp; RIGHT(DX$4,1)&amp;"-"&amp;$A11,CC1_InputUser!$L:$N,3,FALSE),0)</f>
        <v>0</v>
      </c>
      <c r="DY11" s="88">
        <f>IFERROR(VLOOKUP($DS$2&amp;"-"&amp; RIGHT(DY$4,1)&amp;"-"&amp;$A11,CC1_InputUser!$L:$N,3,FALSE),0)</f>
        <v>0</v>
      </c>
      <c r="DZ11" s="88">
        <f>IFERROR(VLOOKUP($DS$2&amp;"-"&amp; RIGHT(DZ$4,1)&amp;"-"&amp;$A11,CC1_InputUser!$L:$N,3,FALSE),0)</f>
        <v>0</v>
      </c>
      <c r="EA11" s="88">
        <f>IFERROR(VLOOKUP($DS$2&amp;"-"&amp; RIGHT(EA$4,1)&amp;"-"&amp;$A11,CC1_InputUser!$L:$N,3,FALSE),0)</f>
        <v>0</v>
      </c>
      <c r="EB11" s="88">
        <f>IFERROR(VLOOKUP($DS$2&amp;"-"&amp; RIGHT(EB$4,1)&amp;"-"&amp;$A11,CC1_InputUser!$L:$N,3,FALSE),0)</f>
        <v>0</v>
      </c>
      <c r="EC11" s="89"/>
    </row>
    <row r="12" spans="1:133" x14ac:dyDescent="0.3">
      <c r="A12" s="71" t="s">
        <v>73</v>
      </c>
      <c r="B12" s="86">
        <f>IFERROR(VLOOKUP($B$2&amp;"-"&amp; RIGHT(B$4,1)&amp;"-"&amp;$A12,CC1_InputUser!$L:$N,2,FALSE),0)</f>
        <v>0</v>
      </c>
      <c r="C12" s="86">
        <f>IFERROR(VLOOKUP($B$2&amp;"-"&amp; RIGHT(C$4,1)&amp;"-"&amp;$A12,CC1_InputUser!$L:$N,2,FALSE),0)</f>
        <v>0</v>
      </c>
      <c r="D12" s="86">
        <f>IFERROR(VLOOKUP($B$2&amp;"-"&amp; RIGHT(D$4,1)&amp;"-"&amp;$A12,CC1_InputUser!$L:$N,2,FALSE),0)</f>
        <v>2.6122148638704878E-2</v>
      </c>
      <c r="E12" s="86">
        <f>IFERROR(VLOOKUP($B$2&amp;"-"&amp; RIGHT(E$4,1)&amp;"-"&amp;$A12,CC1_InputUser!$L:$N,2,FALSE),0)</f>
        <v>2.1179757343550598E-2</v>
      </c>
      <c r="F12" s="86">
        <f>IFERROR(VLOOKUP($B$2&amp;"-"&amp; RIGHT(F$4,1)&amp;"-"&amp;$A12,CC1_InputUser!$L:$N,2,FALSE),0)</f>
        <v>0</v>
      </c>
      <c r="G12" s="86">
        <f>IFERROR(VLOOKUP($B$2&amp;"-"&amp; RIGHT(G$4,1)&amp;"-"&amp;$A12,CC1_InputUser!$L:$N,3,FALSE),0)</f>
        <v>-2.3404899125306966E-2</v>
      </c>
      <c r="H12" s="86">
        <f>IFERROR(VLOOKUP($B$2&amp;"-"&amp; RIGHT(H$4,1)&amp;"-"&amp;$A12,CC1_InputUser!$L:$N,3,FALSE),0)</f>
        <v>-5.0067658998646847E-2</v>
      </c>
      <c r="I12" s="86">
        <f>IFERROR(VLOOKUP($B$2&amp;"-"&amp; RIGHT(I$4,1)&amp;"-"&amp;$A12,CC1_InputUser!$L:$N,3,FALSE),0)</f>
        <v>-3.9285714285713924E-3</v>
      </c>
      <c r="J12" s="86">
        <f>IFERROR(VLOOKUP($B$2&amp;"-"&amp; RIGHT(J$4,1)&amp;"-"&amp;$A12,CC1_InputUser!$L:$N,3,FALSE),0)</f>
        <v>-0.12498091425365476</v>
      </c>
      <c r="K12" s="86">
        <f>IFERROR(VLOOKUP($B$2&amp;"-"&amp; RIGHT(K$4,1)&amp;"-"&amp;$A12,CC1_InputUser!$L:$N,3,FALSE),0)</f>
        <v>0</v>
      </c>
      <c r="L12" s="87"/>
      <c r="M12" s="86">
        <f>IFERROR(VLOOKUP($M$2&amp;"-"&amp; RIGHT(M$4,1)&amp;"-"&amp;$A12,CC1_InputUser!$L:$N,2,FALSE),0)</f>
        <v>0</v>
      </c>
      <c r="N12" s="86">
        <f>IFERROR(VLOOKUP($M$2&amp;"-"&amp; RIGHT(N$4,1)&amp;"-"&amp;$A12,CC1_InputUser!$L:$N,2,FALSE),0)</f>
        <v>-1.4115067350108701E-2</v>
      </c>
      <c r="O12" s="86">
        <f>IFERROR(VLOOKUP($M$2&amp;"-"&amp; RIGHT(O$4,1)&amp;"-"&amp;$A12,CC1_InputUser!$L:$N,2,FALSE),0)</f>
        <v>0</v>
      </c>
      <c r="P12" s="86">
        <f>IFERROR(VLOOKUP($M$2&amp;"-"&amp; RIGHT(P$4,1)&amp;"-"&amp;$A12,CC1_InputUser!$L:$N,2,FALSE),0)</f>
        <v>7.1294967851639246E-2</v>
      </c>
      <c r="Q12" s="86">
        <f>IFERROR(VLOOKUP($M$2&amp;"-"&amp; RIGHT(Q$4,1)&amp;"-"&amp;$A12,CC1_InputUser!$L:$N,2,FALSE),0)</f>
        <v>8.0072463768115831E-2</v>
      </c>
      <c r="R12" s="86">
        <f>IFERROR(VLOOKUP($M$2&amp;"-"&amp; RIGHT(R$4,1)&amp;"-"&amp;$A12,CC1_InputUser!$L:$N,3,FALSE),0)</f>
        <v>-5.2356020942407877E-3</v>
      </c>
      <c r="S12" s="86">
        <f>IFERROR(VLOOKUP($M$2&amp;"-"&amp; RIGHT(S$4,1)&amp;"-"&amp;$A12,CC1_InputUser!$L:$N,3,FALSE),0)</f>
        <v>-0.41646017702597238</v>
      </c>
      <c r="T12" s="86">
        <f>IFERROR(VLOOKUP($M$2&amp;"-"&amp; RIGHT(T$4,1)&amp;"-"&amp;$A12,CC1_InputUser!$L:$N,3,FALSE),0)</f>
        <v>0</v>
      </c>
      <c r="U12" s="86">
        <f>IFERROR(VLOOKUP($M$2&amp;"-"&amp; RIGHT(U$4,1)&amp;"-"&amp;$A12,CC1_InputUser!$L:$N,3,FALSE),0)</f>
        <v>-0.1191098043784754</v>
      </c>
      <c r="V12" s="86">
        <f>IFERROR(VLOOKUP($M$2&amp;"-"&amp; RIGHT(V$4,1)&amp;"-"&amp;$A12,CC1_InputUser!$L:$N,3,FALSE),0)</f>
        <v>-3.8194481553288084E-2</v>
      </c>
      <c r="W12" s="87"/>
      <c r="X12" s="86">
        <f>IFERROR(VLOOKUP($X$2&amp;"-"&amp; RIGHT(X$4,1)&amp;"-"&amp;$A12,CC1_InputUser!$L:$N,2,FALSE),0)</f>
        <v>0</v>
      </c>
      <c r="Y12" s="86">
        <f>IFERROR(VLOOKUP($X$2&amp;"-"&amp; RIGHT(Y$4,1)&amp;"-"&amp;$A12,CC1_InputUser!$L:$N,2,FALSE),0)</f>
        <v>3.2675223122901942E-2</v>
      </c>
      <c r="Z12" s="86">
        <f>IFERROR(VLOOKUP($X$2&amp;"-"&amp; RIGHT(Z$4,1)&amp;"-"&amp;$A12,CC1_InputUser!$L:$N,2,FALSE),0)</f>
        <v>0.17958272815298937</v>
      </c>
      <c r="AA12" s="86">
        <f>IFERROR(VLOOKUP($X$2&amp;"-"&amp; RIGHT(AA$4,1)&amp;"-"&amp;$A12,CC1_InputUser!$L:$N,2,FALSE),0)</f>
        <v>3.8020544270544354E-2</v>
      </c>
      <c r="AB12" s="86">
        <f>IFERROR(VLOOKUP($X$2&amp;"-"&amp; RIGHT(AB$4,1)&amp;"-"&amp;$A12,CC1_InputUser!$L:$N,2,FALSE),0)</f>
        <v>0</v>
      </c>
      <c r="AC12" s="86">
        <f>IFERROR(VLOOKUP($X$2&amp;"-"&amp; RIGHT(AC$4,1)&amp;"-"&amp;$A12,CC1_InputUser!$L:$N,3,FALSE),0)</f>
        <v>0</v>
      </c>
      <c r="AD12" s="86">
        <f>IFERROR(VLOOKUP($X$2&amp;"-"&amp; RIGHT(AD$4,1)&amp;"-"&amp;$A12,CC1_InputUser!$L:$N,3,FALSE),0)</f>
        <v>-6.036770334376873E-2</v>
      </c>
      <c r="AE12" s="86">
        <f>IFERROR(VLOOKUP($X$2&amp;"-"&amp; RIGHT(AE$4,1)&amp;"-"&amp;$A12,CC1_InputUser!$L:$N,3,FALSE),0)</f>
        <v>-0.24564253954437187</v>
      </c>
      <c r="AF12" s="86">
        <f>IFERROR(VLOOKUP($X$2&amp;"-"&amp; RIGHT(AF$4,1)&amp;"-"&amp;$A12,CC1_InputUser!$L:$N,3,FALSE),0)</f>
        <v>-2.0428856122061356E-2</v>
      </c>
      <c r="AG12" s="86">
        <f>IFERROR(VLOOKUP($X$2&amp;"-"&amp; RIGHT(AG$4,1)&amp;"-"&amp;$A12,CC1_InputUser!$L:$N,3,FALSE),0)</f>
        <v>0</v>
      </c>
      <c r="AH12" s="87"/>
      <c r="AI12" s="86">
        <f>IFERROR(VLOOKUP($AI$2&amp;"-"&amp; RIGHT(AI$4,1)&amp;"-"&amp;$A12,CC1_InputUser!$L:$N,2,FALSE),0)</f>
        <v>5.7323408126441766E-4</v>
      </c>
      <c r="AJ12" s="86">
        <f>IFERROR(VLOOKUP($AI$2&amp;"-"&amp; RIGHT(AJ$4,1)&amp;"-"&amp;$A12,CC1_InputUser!$L:$N,2,FALSE),0)</f>
        <v>0</v>
      </c>
      <c r="AK12" s="86">
        <f>IFERROR(VLOOKUP($AI$2&amp;"-"&amp; RIGHT(AK$4,1)&amp;"-"&amp;$A12,CC1_InputUser!$L:$N,2,FALSE),0)</f>
        <v>-6.7708333333333259E-2</v>
      </c>
      <c r="AL12" s="86">
        <f>IFERROR(VLOOKUP($AI$2&amp;"-"&amp; RIGHT(AL$4,1)&amp;"-"&amp;$A12,CC1_InputUser!$L:$N,2,FALSE),0)</f>
        <v>0.16366357477662208</v>
      </c>
      <c r="AM12" s="86">
        <f>IFERROR(VLOOKUP($AI$2&amp;"-"&amp; RIGHT(AM$4,1)&amp;"-"&amp;$A12,CC1_InputUser!$L:$N,2,FALSE),0)</f>
        <v>0</v>
      </c>
      <c r="AN12" s="86">
        <f>IFERROR(VLOOKUP($AI$2&amp;"-"&amp; RIGHT(AN$4,1)&amp;"-"&amp;$A12,CC1_InputUser!$L:$N,3,FALSE),0)</f>
        <v>-0.25477806202107722</v>
      </c>
      <c r="AO12" s="86">
        <f>IFERROR(VLOOKUP($AI$2&amp;"-"&amp; RIGHT(AO$4,1)&amp;"-"&amp;$A12,CC1_InputUser!$L:$N,3,FALSE),0)</f>
        <v>0</v>
      </c>
      <c r="AP12" s="86">
        <f>IFERROR(VLOOKUP($AI$2&amp;"-"&amp; RIGHT(AP$4,1)&amp;"-"&amp;$A12,CC1_InputUser!$L:$N,3,FALSE),0)</f>
        <v>-9.520287702745367E-2</v>
      </c>
      <c r="AQ12" s="86">
        <f>IFERROR(VLOOKUP($AI$2&amp;"-"&amp; RIGHT(AQ$4,1)&amp;"-"&amp;$A12,CC1_InputUser!$L:$N,3,FALSE),0)</f>
        <v>-8.1632289970909322E-2</v>
      </c>
      <c r="AR12" s="86">
        <f>IFERROR(VLOOKUP($AI$2&amp;"-"&amp; RIGHT(AR$4,1)&amp;"-"&amp;$A12,CC1_InputUser!$L:$N,3,FALSE),0)</f>
        <v>0</v>
      </c>
      <c r="AS12" s="87"/>
      <c r="AT12" s="86">
        <f>IFERROR(VLOOKUP($AT$2&amp;"-"&amp; RIGHT(AT$4,1)&amp;"-"&amp;$A12,CC1_InputUser!$L:$N,2,FALSE),0)</f>
        <v>9.8783591837961593E-2</v>
      </c>
      <c r="AU12" s="86">
        <f>IFERROR(VLOOKUP($AT$2&amp;"-"&amp; RIGHT(AU$4,1)&amp;"-"&amp;$A12,CC1_InputUser!$L:$N,2,FALSE),0)</f>
        <v>0</v>
      </c>
      <c r="AV12" s="86">
        <f>IFERROR(VLOOKUP($AT$2&amp;"-"&amp; RIGHT(AV$4,1)&amp;"-"&amp;$A12,CC1_InputUser!$L:$N,2,FALSE),0)</f>
        <v>7.8439133262782068E-2</v>
      </c>
      <c r="AW12" s="86">
        <f>IFERROR(VLOOKUP($AT$2&amp;"-"&amp; RIGHT(AW$4,1)&amp;"-"&amp;$A12,CC1_InputUser!$L:$N,2,FALSE),0)</f>
        <v>0</v>
      </c>
      <c r="AX12" s="86">
        <f>IFERROR(VLOOKUP($AT$2&amp;"-"&amp; RIGHT(AX$4,1)&amp;"-"&amp;$A12,CC1_InputUser!$L:$N,2,FALSE),0)</f>
        <v>0.15843480634501828</v>
      </c>
      <c r="AY12" s="86">
        <f>IFERROR(VLOOKUP($AT$2&amp;"-"&amp; RIGHT(AY$4,1)&amp;"-"&amp;$A12,CC1_InputUser!$L:$N,3,FALSE),0)</f>
        <v>-6.54499055084522E-2</v>
      </c>
      <c r="AZ12" s="86">
        <f>IFERROR(VLOOKUP($AT$2&amp;"-"&amp; RIGHT(AZ$4,1)&amp;"-"&amp;$A12,CC1_InputUser!$L:$N,3,FALSE),0)</f>
        <v>0</v>
      </c>
      <c r="BA12" s="86">
        <f>IFERROR(VLOOKUP($AT$2&amp;"-"&amp; RIGHT(BA$4,1)&amp;"-"&amp;$A12,CC1_InputUser!$L:$N,3,FALSE),0)</f>
        <v>-0.15723744536218287</v>
      </c>
      <c r="BB12" s="86">
        <f>IFERROR(VLOOKUP($AT$2&amp;"-"&amp; RIGHT(BB$4,1)&amp;"-"&amp;$A12,CC1_InputUser!$L:$N,3,FALSE),0)</f>
        <v>0</v>
      </c>
      <c r="BC12" s="86">
        <f>IFERROR(VLOOKUP($AT$2&amp;"-"&amp; RIGHT(BC$4,1)&amp;"-"&amp;$A12,CC1_InputUser!$L:$N,3,FALSE),0)</f>
        <v>-7.8928658970187637E-2</v>
      </c>
      <c r="BD12" s="87"/>
      <c r="BE12" s="86">
        <f>IFERROR(VLOOKUP($AT$2&amp;"-"&amp; RIGHT(BE$4,1)&amp;"-"&amp;$A12,CC1_InputUser!$L:$N,2,FALSE),0)</f>
        <v>9.8783591837961593E-2</v>
      </c>
      <c r="BF12" s="86">
        <f>IFERROR(VLOOKUP($AT$2&amp;"-"&amp; RIGHT(BF$4,1)&amp;"-"&amp;$A12,CC1_InputUser!$L:$N,2,FALSE),0)</f>
        <v>0</v>
      </c>
      <c r="BG12" s="86">
        <f>IFERROR(VLOOKUP($AT$2&amp;"-"&amp; RIGHT(BG$4,1)&amp;"-"&amp;$A12,CC1_InputUser!$L:$N,2,FALSE),0)</f>
        <v>7.8439133262782068E-2</v>
      </c>
      <c r="BH12" s="86">
        <f>IFERROR(VLOOKUP($AT$2&amp;"-"&amp; RIGHT(BH$4,1)&amp;"-"&amp;$A12,CC1_InputUser!$L:$N,2,FALSE),0)</f>
        <v>0</v>
      </c>
      <c r="BI12" s="86">
        <f>IFERROR(VLOOKUP($AT$2&amp;"-"&amp; RIGHT(BI$4,1)&amp;"-"&amp;$A12,CC1_InputUser!$L:$N,2,FALSE),0)</f>
        <v>0.15843480634501828</v>
      </c>
      <c r="BJ12" s="86">
        <f>IFERROR(VLOOKUP($AT$2&amp;"-"&amp; RIGHT(BJ$4,1)&amp;"-"&amp;$A12,CC1_InputUser!$L:$N,3,FALSE),0)</f>
        <v>-6.54499055084522E-2</v>
      </c>
      <c r="BK12" s="86">
        <f>IFERROR(VLOOKUP($AT$2&amp;"-"&amp; RIGHT(BK$4,1)&amp;"-"&amp;$A12,CC1_InputUser!$L:$N,3,FALSE),0)</f>
        <v>0</v>
      </c>
      <c r="BL12" s="86">
        <f>IFERROR(VLOOKUP($AT$2&amp;"-"&amp; RIGHT(BL$4,1)&amp;"-"&amp;$A12,CC1_InputUser!$L:$N,3,FALSE),0)</f>
        <v>-0.15723744536218287</v>
      </c>
      <c r="BM12" s="86">
        <f>IFERROR(VLOOKUP($AT$2&amp;"-"&amp; RIGHT(BM$4,1)&amp;"-"&amp;$A12,CC1_InputUser!$L:$N,3,FALSE),0)</f>
        <v>0</v>
      </c>
      <c r="BN12" s="86">
        <f>IFERROR(VLOOKUP($AT$2&amp;"-"&amp; RIGHT(BN$4,1)&amp;"-"&amp;$A12,CC1_InputUser!$L:$N,3,FALSE),0)</f>
        <v>-7.8928658970187637E-2</v>
      </c>
      <c r="BO12" s="87"/>
      <c r="BP12" s="86">
        <f>IFERROR(VLOOKUP($BP$2&amp;"-"&amp; RIGHT(BP$4,1)&amp;"-"&amp;$A12,CC1_InputUser!$L:$N,2,FALSE),0)</f>
        <v>-0.26058357970999091</v>
      </c>
      <c r="BQ12" s="86">
        <f>IFERROR(VLOOKUP($BP$2&amp;"-"&amp; RIGHT(BQ$4,1)&amp;"-"&amp;$A12,CC1_InputUser!$L:$N,2,FALSE),0)</f>
        <v>-0.5384998016377488</v>
      </c>
      <c r="BR12" s="86">
        <f>IFERROR(VLOOKUP($BP$2&amp;"-"&amp; RIGHT(BR$4,1)&amp;"-"&amp;$A12,CC1_InputUser!$L:$N,2,FALSE),0)</f>
        <v>-2.6506024096385583E-2</v>
      </c>
      <c r="BS12" s="86">
        <f>IFERROR(VLOOKUP($BP$2&amp;"-"&amp; RIGHT(BS$4,1)&amp;"-"&amp;$A12,CC1_InputUser!$L:$N,2,FALSE),0)</f>
        <v>0</v>
      </c>
      <c r="BT12" s="86">
        <f>IFERROR(VLOOKUP($BP$2&amp;"-"&amp; RIGHT(BT$4,1)&amp;"-"&amp;$A12,CC1_InputUser!$L:$N,2,FALSE),0)</f>
        <v>0</v>
      </c>
      <c r="BU12" s="86">
        <f>IFERROR(VLOOKUP($BP$2&amp;"-"&amp; RIGHT(BU$4,1)&amp;"-"&amp;$A12,CC1_InputUser!$L:$N,3,FALSE),0)</f>
        <v>-0.28514631014536751</v>
      </c>
      <c r="BV12" s="86">
        <f>IFERROR(VLOOKUP($BP$2&amp;"-"&amp; RIGHT(BV$4,1)&amp;"-"&amp;$A12,CC1_InputUser!$L:$N,3,FALSE),0)</f>
        <v>-0.5334436682982403</v>
      </c>
      <c r="BW12" s="86">
        <f>IFERROR(VLOOKUP($BP$2&amp;"-"&amp; RIGHT(BW$4,1)&amp;"-"&amp;$A12,CC1_InputUser!$L:$N,3,FALSE),0)</f>
        <v>-4.8776884114051233E-2</v>
      </c>
      <c r="BX12" s="86">
        <f>IFERROR(VLOOKUP($BP$2&amp;"-"&amp; RIGHT(BX$4,1)&amp;"-"&amp;$A12,CC1_InputUser!$L:$N,3,FALSE),0)</f>
        <v>0</v>
      </c>
      <c r="BY12" s="86">
        <f>IFERROR(VLOOKUP($BP$2&amp;"-"&amp; RIGHT(BY$4,1)&amp;"-"&amp;$A12,CC1_InputUser!$L:$N,3,FALSE),0)</f>
        <v>0</v>
      </c>
      <c r="BZ12" s="87"/>
      <c r="CA12" s="86">
        <f>IFERROR(VLOOKUP($CA$2&amp;"-"&amp; RIGHT(CA$4,1)&amp;"-"&amp;$A12,CC1_InputUser!$L:$N,2,FALSE),0)</f>
        <v>2.9741522144454247E-2</v>
      </c>
      <c r="CB12" s="86">
        <f>IFERROR(VLOOKUP($CA$2&amp;"-"&amp; RIGHT(CB$4,1)&amp;"-"&amp;$A12,CC1_InputUser!$L:$N,2,FALSE),0)</f>
        <v>5.9468283582089443E-2</v>
      </c>
      <c r="CC12" s="86">
        <f>IFERROR(VLOOKUP($CA$2&amp;"-"&amp; RIGHT(CC$4,1)&amp;"-"&amp;$A12,CC1_InputUser!$L:$N,2,FALSE),0)</f>
        <v>0</v>
      </c>
      <c r="CD12" s="86">
        <f>IFERROR(VLOOKUP($CA$2&amp;"-"&amp; RIGHT(CD$4,1)&amp;"-"&amp;$A12,CC1_InputUser!$L:$N,2,FALSE),0)</f>
        <v>0</v>
      </c>
      <c r="CE12" s="86">
        <f>IFERROR(VLOOKUP($CA$2&amp;"-"&amp; RIGHT(CE$4,1)&amp;"-"&amp;$A12,CC1_InputUser!$L:$N,2,FALSE),0)</f>
        <v>-1.3473053892215536E-2</v>
      </c>
      <c r="CF12" s="86">
        <f>IFERROR(VLOOKUP($CA$2&amp;"-"&amp; RIGHT(CF$4,1)&amp;"-"&amp;$A12,CC1_InputUser!$L:$N,3,FALSE),0)</f>
        <v>-0.37103680377746906</v>
      </c>
      <c r="CG12" s="86">
        <f>IFERROR(VLOOKUP($CA$2&amp;"-"&amp; RIGHT(CG$4,1)&amp;"-"&amp;$A12,CC1_InputUser!$L:$N,3,FALSE),0)</f>
        <v>-4.1004774633363383E-2</v>
      </c>
      <c r="CH12" s="86">
        <f>IFERROR(VLOOKUP($CA$2&amp;"-"&amp; RIGHT(CH$4,1)&amp;"-"&amp;$A12,CC1_InputUser!$L:$N,3,FALSE),0)</f>
        <v>-1.4890300498255127E-2</v>
      </c>
      <c r="CI12" s="86">
        <f>IFERROR(VLOOKUP($CA$2&amp;"-"&amp; RIGHT(CI$4,1)&amp;"-"&amp;$A12,CC1_InputUser!$L:$N,3,FALSE),0)</f>
        <v>0</v>
      </c>
      <c r="CJ12" s="86">
        <f>IFERROR(VLOOKUP($CA$2&amp;"-"&amp; RIGHT(CJ$4,1)&amp;"-"&amp;$A12,CC1_InputUser!$L:$N,3,FALSE),0)</f>
        <v>-8.9996124085899298E-2</v>
      </c>
      <c r="CK12" s="87"/>
      <c r="CL12" s="86">
        <f>IFERROR(VLOOKUP($CL$2&amp;"-"&amp; RIGHT(CL$4,1)&amp;"-"&amp;$A12,CC1_InputUser!$L:$N,2,FALSE),0)</f>
        <v>6.6154263326694274E-3</v>
      </c>
      <c r="CM12" s="86">
        <f>IFERROR(VLOOKUP($CL$2&amp;"-"&amp; RIGHT(CM$4,1)&amp;"-"&amp;$A12,CC1_InputUser!$L:$N,2,FALSE),0)</f>
        <v>0.35477726989864</v>
      </c>
      <c r="CN12" s="86">
        <f>IFERROR(VLOOKUP($CL$2&amp;"-"&amp; RIGHT(CN$4,1)&amp;"-"&amp;$A12,CC1_InputUser!$L:$N,2,FALSE),0)</f>
        <v>6.3974413889878456E-2</v>
      </c>
      <c r="CO12" s="86">
        <f>IFERROR(VLOOKUP($CL$2&amp;"-"&amp; RIGHT(CO$4,1)&amp;"-"&amp;$A12,CC1_InputUser!$L:$N,2,FALSE),0)</f>
        <v>9.791142526959018E-2</v>
      </c>
      <c r="CP12" s="86">
        <f>IFERROR(VLOOKUP($CL$2&amp;"-"&amp; RIGHT(CP$4,1)&amp;"-"&amp;$A12,CC1_InputUser!$L:$N,2,FALSE),0)</f>
        <v>0</v>
      </c>
      <c r="CQ12" s="86">
        <f>IFERROR(VLOOKUP($CL$2&amp;"-"&amp; RIGHT(CQ$4,1)&amp;"-"&amp;$A12,CC1_InputUser!$L:$N,3,FALSE),0)</f>
        <v>-2.1010032449772287E-2</v>
      </c>
      <c r="CR12" s="86">
        <f>IFERROR(VLOOKUP($CL$2&amp;"-"&amp; RIGHT(CR$4,1)&amp;"-"&amp;$A12,CC1_InputUser!$L:$N,3,FALSE),0)</f>
        <v>-9.7358030367351467E-2</v>
      </c>
      <c r="CS12" s="86">
        <f>IFERROR(VLOOKUP($CL$2&amp;"-"&amp; RIGHT(CS$4,1)&amp;"-"&amp;$A12,CC1_InputUser!$L:$N,3,FALSE),0)</f>
        <v>-7.0649928764268122E-2</v>
      </c>
      <c r="CT12" s="86">
        <f>IFERROR(VLOOKUP($CL$2&amp;"-"&amp; RIGHT(CT$4,1)&amp;"-"&amp;$A12,CC1_InputUser!$L:$N,3,FALSE),0)</f>
        <v>0.30173994788528791</v>
      </c>
      <c r="CU12" s="86">
        <f>IFERROR(VLOOKUP($CL$2&amp;"-"&amp; RIGHT(CU$4,1)&amp;"-"&amp;$A12,CC1_InputUser!$L:$N,3,FALSE),0)</f>
        <v>0</v>
      </c>
      <c r="CV12" s="87"/>
      <c r="CW12" s="86">
        <f>IFERROR(VLOOKUP($CW$2&amp;"-"&amp; RIGHT(CW$4,1)&amp;"-"&amp;$A12,CC1_InputUser!$L:$N,2,FALSE),0)</f>
        <v>-0.15000428535679877</v>
      </c>
      <c r="CX12" s="86">
        <f>IFERROR(VLOOKUP($CW$2&amp;"-"&amp; RIGHT(CX$4,1)&amp;"-"&amp;$A12,CC1_InputUser!$L:$N,2,FALSE),0)</f>
        <v>0</v>
      </c>
      <c r="CY12" s="86">
        <f>IFERROR(VLOOKUP($CW$2&amp;"-"&amp; RIGHT(CY$4,1)&amp;"-"&amp;$A12,CC1_InputUser!$L:$N,2,FALSE),0)</f>
        <v>0</v>
      </c>
      <c r="CZ12" s="86">
        <f>IFERROR(VLOOKUP($CW$2&amp;"-"&amp; RIGHT(CZ$4,1)&amp;"-"&amp;$A12,CC1_InputUser!$L:$N,2,FALSE),0)</f>
        <v>0</v>
      </c>
      <c r="DA12" s="86">
        <f>IFERROR(VLOOKUP($CW$2&amp;"-"&amp; RIGHT(DA$4,1)&amp;"-"&amp;$A12,CC1_InputUser!$L:$N,2,FALSE),0)</f>
        <v>0</v>
      </c>
      <c r="DB12" s="86">
        <f>IFERROR(VLOOKUP($CW$2&amp;"-"&amp; RIGHT(DB$4,1)&amp;"-"&amp;$A12,CC1_InputUser!$L:$N,3,FALSE),0)</f>
        <v>-0.19723563272295686</v>
      </c>
      <c r="DC12" s="86">
        <f>IFERROR(VLOOKUP($CW$2&amp;"-"&amp; RIGHT(DC$4,1)&amp;"-"&amp;$A12,CC1_InputUser!$L:$N,3,FALSE),0)</f>
        <v>0</v>
      </c>
      <c r="DD12" s="86">
        <f>IFERROR(VLOOKUP($CW$2&amp;"-"&amp; RIGHT(DD$4,1)&amp;"-"&amp;$A12,CC1_InputUser!$L:$N,3,FALSE),0)</f>
        <v>0</v>
      </c>
      <c r="DE12" s="86">
        <f>IFERROR(VLOOKUP($CW$2&amp;"-"&amp; RIGHT(DE$4,1)&amp;"-"&amp;$A12,CC1_InputUser!$L:$N,3,FALSE),0)</f>
        <v>0</v>
      </c>
      <c r="DF12" s="86">
        <f>IFERROR(VLOOKUP($CW$2&amp;"-"&amp; RIGHT(DF$4,1)&amp;"-"&amp;$A12,CC1_InputUser!$L:$N,3,FALSE),0)</f>
        <v>0</v>
      </c>
      <c r="DG12" s="87"/>
      <c r="DH12" s="86">
        <f>IFERROR(VLOOKUP($DH$2&amp;"-"&amp; RIGHT(DH$4,1)&amp;"-"&amp;$A12,CC1_InputUser!$L:$N,2,FALSE),0)</f>
        <v>0</v>
      </c>
      <c r="DI12" s="86">
        <f>IFERROR(VLOOKUP($DH$2&amp;"-"&amp; RIGHT(DI$4,1)&amp;"-"&amp;$A12,CC1_InputUser!$L:$N,2,FALSE),0)</f>
        <v>0</v>
      </c>
      <c r="DJ12" s="86">
        <f>IFERROR(VLOOKUP($DH$2&amp;"-"&amp; RIGHT(DJ$4,1)&amp;"-"&amp;$A12,CC1_InputUser!$L:$N,2,FALSE),0)</f>
        <v>0</v>
      </c>
      <c r="DK12" s="86">
        <f>IFERROR(VLOOKUP($DH$2&amp;"-"&amp; RIGHT(DK$4,1)&amp;"-"&amp;$A12,CC1_InputUser!$L:$N,2,FALSE),0)</f>
        <v>0</v>
      </c>
      <c r="DL12" s="86">
        <f>IFERROR(VLOOKUP($DH$2&amp;"-"&amp; RIGHT(DL$4,1)&amp;"-"&amp;$A12,CC1_InputUser!$L:$N,2,FALSE),0)</f>
        <v>0</v>
      </c>
      <c r="DM12" s="86">
        <f>IFERROR(VLOOKUP($DH$2&amp;"-"&amp; RIGHT(DM$4,1)&amp;"-"&amp;$A12,CC1_InputUser!$L:$N,3,FALSE),0)</f>
        <v>0</v>
      </c>
      <c r="DN12" s="86">
        <f>IFERROR(VLOOKUP($DH$2&amp;"-"&amp; RIGHT(DN$4,1)&amp;"-"&amp;$A12,CC1_InputUser!$L:$N,3,FALSE),0)</f>
        <v>0</v>
      </c>
      <c r="DO12" s="86">
        <f>IFERROR(VLOOKUP($DH$2&amp;"-"&amp; RIGHT(DO$4,1)&amp;"-"&amp;$A12,CC1_InputUser!$L:$N,3,FALSE),0)</f>
        <v>0</v>
      </c>
      <c r="DP12" s="86">
        <f>IFERROR(VLOOKUP($DH$2&amp;"-"&amp; RIGHT(DP$4,1)&amp;"-"&amp;$A12,CC1_InputUser!$L:$N,3,FALSE),0)</f>
        <v>0</v>
      </c>
      <c r="DQ12" s="86">
        <f>IFERROR(VLOOKUP($DH$2&amp;"-"&amp; RIGHT(DQ$4,1)&amp;"-"&amp;$A12,CC1_InputUser!$L:$N,3,FALSE),0)</f>
        <v>0</v>
      </c>
      <c r="DR12" s="87"/>
      <c r="DS12" s="86">
        <f>IFERROR(VLOOKUP($DS$2&amp;"-"&amp; RIGHT(DS$4,1)&amp;"-"&amp;$A12,CC1_InputUser!$L:$N,2,FALSE),0)</f>
        <v>0</v>
      </c>
      <c r="DT12" s="86">
        <f>IFERROR(VLOOKUP($DS$2&amp;"-"&amp; RIGHT(DT$4,1)&amp;"-"&amp;$A12,CC1_InputUser!$L:$N,2,FALSE),0)</f>
        <v>0</v>
      </c>
      <c r="DU12" s="86">
        <f>IFERROR(VLOOKUP($DS$2&amp;"-"&amp; RIGHT(DU$4,1)&amp;"-"&amp;$A12,CC1_InputUser!$L:$N,2,FALSE),0)</f>
        <v>0</v>
      </c>
      <c r="DV12" s="86">
        <f>IFERROR(VLOOKUP($DS$2&amp;"-"&amp; RIGHT(DV$4,1)&amp;"-"&amp;$A12,CC1_InputUser!$L:$N,2,FALSE),0)</f>
        <v>0</v>
      </c>
      <c r="DW12" s="86">
        <f>IFERROR(VLOOKUP($DS$2&amp;"-"&amp; RIGHT(DW$4,1)&amp;"-"&amp;$A12,CC1_InputUser!$L:$N,2,FALSE),0)</f>
        <v>0</v>
      </c>
      <c r="DX12" s="86">
        <f>IFERROR(VLOOKUP($DS$2&amp;"-"&amp; RIGHT(DX$4,1)&amp;"-"&amp;$A12,CC1_InputUser!$L:$N,3,FALSE),0)</f>
        <v>0</v>
      </c>
      <c r="DY12" s="86">
        <f>IFERROR(VLOOKUP($DS$2&amp;"-"&amp; RIGHT(DY$4,1)&amp;"-"&amp;$A12,CC1_InputUser!$L:$N,3,FALSE),0)</f>
        <v>0</v>
      </c>
      <c r="DZ12" s="86">
        <f>IFERROR(VLOOKUP($DS$2&amp;"-"&amp; RIGHT(DZ$4,1)&amp;"-"&amp;$A12,CC1_InputUser!$L:$N,3,FALSE),0)</f>
        <v>0</v>
      </c>
      <c r="EA12" s="86">
        <f>IFERROR(VLOOKUP($DS$2&amp;"-"&amp; RIGHT(EA$4,1)&amp;"-"&amp;$A12,CC1_InputUser!$L:$N,3,FALSE),0)</f>
        <v>0</v>
      </c>
      <c r="EB12" s="86">
        <f>IFERROR(VLOOKUP($DS$2&amp;"-"&amp; RIGHT(EB$4,1)&amp;"-"&amp;$A12,CC1_InputUser!$L:$N,3,FALSE),0)</f>
        <v>0</v>
      </c>
      <c r="EC12" s="87"/>
    </row>
    <row r="13" spans="1:133" x14ac:dyDescent="0.3">
      <c r="A13" s="72" t="s">
        <v>28</v>
      </c>
      <c r="B13" s="88">
        <f>IFERROR(VLOOKUP($B$2&amp;"-"&amp; RIGHT(B$4,1)&amp;"-"&amp;$A13,CC1_InputUser!$L:$N,2,FALSE),0)</f>
        <v>0</v>
      </c>
      <c r="C13" s="88">
        <f>IFERROR(VLOOKUP($B$2&amp;"-"&amp; RIGHT(C$4,1)&amp;"-"&amp;$A13,CC1_InputUser!$L:$N,2,FALSE),0)</f>
        <v>0</v>
      </c>
      <c r="D13" s="88">
        <f>IFERROR(VLOOKUP($B$2&amp;"-"&amp; RIGHT(D$4,1)&amp;"-"&amp;$A13,CC1_InputUser!$L:$N,2,FALSE),0)</f>
        <v>0.10707603294098766</v>
      </c>
      <c r="E13" s="88">
        <f>IFERROR(VLOOKUP($B$2&amp;"-"&amp; RIGHT(E$4,1)&amp;"-"&amp;$A13,CC1_InputUser!$L:$N,2,FALSE),0)</f>
        <v>0.1179952108944553</v>
      </c>
      <c r="F13" s="88">
        <f>IFERROR(VLOOKUP($B$2&amp;"-"&amp; RIGHT(F$4,1)&amp;"-"&amp;$A13,CC1_InputUser!$L:$N,2,FALSE),0)</f>
        <v>0</v>
      </c>
      <c r="G13" s="88">
        <f>IFERROR(VLOOKUP($B$2&amp;"-"&amp; RIGHT(G$4,1)&amp;"-"&amp;$A13,CC1_InputUser!$L:$N,3,FALSE),0)</f>
        <v>0</v>
      </c>
      <c r="H13" s="88">
        <f>IFERROR(VLOOKUP($B$2&amp;"-"&amp; RIGHT(H$4,1)&amp;"-"&amp;$A13,CC1_InputUser!$L:$N,3,FALSE),0)</f>
        <v>0</v>
      </c>
      <c r="I13" s="88">
        <f>IFERROR(VLOOKUP($B$2&amp;"-"&amp; RIGHT(I$4,1)&amp;"-"&amp;$A13,CC1_InputUser!$L:$N,3,FALSE),0)</f>
        <v>-0.17452148718482641</v>
      </c>
      <c r="J13" s="88">
        <f>IFERROR(VLOOKUP($B$2&amp;"-"&amp; RIGHT(J$4,1)&amp;"-"&amp;$A13,CC1_InputUser!$L:$N,3,FALSE),0)</f>
        <v>-0.12896181080747948</v>
      </c>
      <c r="K13" s="88">
        <f>IFERROR(VLOOKUP($B$2&amp;"-"&amp; RIGHT(K$4,1)&amp;"-"&amp;$A13,CC1_InputUser!$L:$N,3,FALSE),0)</f>
        <v>0</v>
      </c>
      <c r="L13" s="89"/>
      <c r="M13" s="88">
        <f>IFERROR(VLOOKUP($M$2&amp;"-"&amp; RIGHT(M$4,1)&amp;"-"&amp;$A13,CC1_InputUser!$L:$N,2,FALSE),0)</f>
        <v>0</v>
      </c>
      <c r="N13" s="88">
        <f>IFERROR(VLOOKUP($M$2&amp;"-"&amp; RIGHT(N$4,1)&amp;"-"&amp;$A13,CC1_InputUser!$L:$N,2,FALSE),0)</f>
        <v>0.33919502201993978</v>
      </c>
      <c r="O13" s="88">
        <f>IFERROR(VLOOKUP($M$2&amp;"-"&amp; RIGHT(O$4,1)&amp;"-"&amp;$A13,CC1_InputUser!$L:$N,2,FALSE),0)</f>
        <v>0</v>
      </c>
      <c r="P13" s="88">
        <f>IFERROR(VLOOKUP($M$2&amp;"-"&amp; RIGHT(P$4,1)&amp;"-"&amp;$A13,CC1_InputUser!$L:$N,2,FALSE),0)</f>
        <v>0.41376803845423793</v>
      </c>
      <c r="Q13" s="88">
        <f>IFERROR(VLOOKUP($M$2&amp;"-"&amp; RIGHT(Q$4,1)&amp;"-"&amp;$A13,CC1_InputUser!$L:$N,2,FALSE),0)</f>
        <v>5.7912949800109192E-2</v>
      </c>
      <c r="R13" s="88">
        <f>IFERROR(VLOOKUP($M$2&amp;"-"&amp; RIGHT(R$4,1)&amp;"-"&amp;$A13,CC1_InputUser!$L:$N,3,FALSE),0)</f>
        <v>0</v>
      </c>
      <c r="S13" s="88">
        <f>IFERROR(VLOOKUP($M$2&amp;"-"&amp; RIGHT(S$4,1)&amp;"-"&amp;$A13,CC1_InputUser!$L:$N,3,FALSE),0)</f>
        <v>-0.41437684178720191</v>
      </c>
      <c r="T13" s="88">
        <f>IFERROR(VLOOKUP($M$2&amp;"-"&amp; RIGHT(T$4,1)&amp;"-"&amp;$A13,CC1_InputUser!$L:$N,3,FALSE),0)</f>
        <v>0</v>
      </c>
      <c r="U13" s="88">
        <f>IFERROR(VLOOKUP($M$2&amp;"-"&amp; RIGHT(U$4,1)&amp;"-"&amp;$A13,CC1_InputUser!$L:$N,3,FALSE),0)</f>
        <v>-0.18461597979036748</v>
      </c>
      <c r="V13" s="88">
        <f>IFERROR(VLOOKUP($M$2&amp;"-"&amp; RIGHT(V$4,1)&amp;"-"&amp;$A13,CC1_InputUser!$L:$N,3,FALSE),0)</f>
        <v>-0.28024167602584682</v>
      </c>
      <c r="W13" s="89"/>
      <c r="X13" s="88">
        <f>IFERROR(VLOOKUP($X$2&amp;"-"&amp; RIGHT(X$4,1)&amp;"-"&amp;$A13,CC1_InputUser!$L:$N,2,FALSE),0)</f>
        <v>0</v>
      </c>
      <c r="Y13" s="88">
        <f>IFERROR(VLOOKUP($X$2&amp;"-"&amp; RIGHT(Y$4,1)&amp;"-"&amp;$A13,CC1_InputUser!$L:$N,2,FALSE),0)</f>
        <v>-5.7396850524646048E-2</v>
      </c>
      <c r="Z13" s="88">
        <f>IFERROR(VLOOKUP($X$2&amp;"-"&amp; RIGHT(Z$4,1)&amp;"-"&amp;$A13,CC1_InputUser!$L:$N,2,FALSE),0)</f>
        <v>0.19126240920819415</v>
      </c>
      <c r="AA13" s="88">
        <f>IFERROR(VLOOKUP($X$2&amp;"-"&amp; RIGHT(AA$4,1)&amp;"-"&amp;$A13,CC1_InputUser!$L:$N,2,FALSE),0)</f>
        <v>0</v>
      </c>
      <c r="AB13" s="88">
        <f>IFERROR(VLOOKUP($X$2&amp;"-"&amp; RIGHT(AB$4,1)&amp;"-"&amp;$A13,CC1_InputUser!$L:$N,2,FALSE),0)</f>
        <v>0</v>
      </c>
      <c r="AC13" s="88">
        <f>IFERROR(VLOOKUP($X$2&amp;"-"&amp; RIGHT(AC$4,1)&amp;"-"&amp;$A13,CC1_InputUser!$L:$N,3,FALSE),0)</f>
        <v>0</v>
      </c>
      <c r="AD13" s="88">
        <f>IFERROR(VLOOKUP($X$2&amp;"-"&amp; RIGHT(AD$4,1)&amp;"-"&amp;$A13,CC1_InputUser!$L:$N,3,FALSE),0)</f>
        <v>-0.24934962923312798</v>
      </c>
      <c r="AE13" s="88">
        <f>IFERROR(VLOOKUP($X$2&amp;"-"&amp; RIGHT(AE$4,1)&amp;"-"&amp;$A13,CC1_InputUser!$L:$N,3,FALSE),0)</f>
        <v>-0.43512856298155855</v>
      </c>
      <c r="AF13" s="88">
        <f>IFERROR(VLOOKUP($X$2&amp;"-"&amp; RIGHT(AF$4,1)&amp;"-"&amp;$A13,CC1_InputUser!$L:$N,3,FALSE),0)</f>
        <v>0</v>
      </c>
      <c r="AG13" s="88">
        <f>IFERROR(VLOOKUP($X$2&amp;"-"&amp; RIGHT(AG$4,1)&amp;"-"&amp;$A13,CC1_InputUser!$L:$N,3,FALSE),0)</f>
        <v>0</v>
      </c>
      <c r="AH13" s="89"/>
      <c r="AI13" s="88">
        <f>IFERROR(VLOOKUP($AI$2&amp;"-"&amp; RIGHT(AI$4,1)&amp;"-"&amp;$A13,CC1_InputUser!$L:$N,2,FALSE),0)</f>
        <v>0.18219947353420785</v>
      </c>
      <c r="AJ13" s="88">
        <f>IFERROR(VLOOKUP($AI$2&amp;"-"&amp; RIGHT(AJ$4,1)&amp;"-"&amp;$A13,CC1_InputUser!$L:$N,2,FALSE),0)</f>
        <v>0</v>
      </c>
      <c r="AK13" s="88">
        <f>IFERROR(VLOOKUP($AI$2&amp;"-"&amp; RIGHT(AK$4,1)&amp;"-"&amp;$A13,CC1_InputUser!$L:$N,2,FALSE),0)</f>
        <v>0</v>
      </c>
      <c r="AL13" s="88">
        <f>IFERROR(VLOOKUP($AI$2&amp;"-"&amp; RIGHT(AL$4,1)&amp;"-"&amp;$A13,CC1_InputUser!$L:$N,2,FALSE),0)</f>
        <v>0.40587633359271624</v>
      </c>
      <c r="AM13" s="88">
        <f>IFERROR(VLOOKUP($AI$2&amp;"-"&amp; RIGHT(AM$4,1)&amp;"-"&amp;$A13,CC1_InputUser!$L:$N,2,FALSE),0)</f>
        <v>0</v>
      </c>
      <c r="AN13" s="88">
        <f>IFERROR(VLOOKUP($AI$2&amp;"-"&amp; RIGHT(AN$4,1)&amp;"-"&amp;$A13,CC1_InputUser!$L:$N,3,FALSE),0)</f>
        <v>-8.611411523119672E-2</v>
      </c>
      <c r="AO13" s="88">
        <f>IFERROR(VLOOKUP($AI$2&amp;"-"&amp; RIGHT(AO$4,1)&amp;"-"&amp;$A13,CC1_InputUser!$L:$N,3,FALSE),0)</f>
        <v>0</v>
      </c>
      <c r="AP13" s="88">
        <f>IFERROR(VLOOKUP($AI$2&amp;"-"&amp; RIGHT(AP$4,1)&amp;"-"&amp;$A13,CC1_InputUser!$L:$N,3,FALSE),0)</f>
        <v>0</v>
      </c>
      <c r="AQ13" s="88">
        <f>IFERROR(VLOOKUP($AI$2&amp;"-"&amp; RIGHT(AQ$4,1)&amp;"-"&amp;$A13,CC1_InputUser!$L:$N,3,FALSE),0)</f>
        <v>-0.10240353423334314</v>
      </c>
      <c r="AR13" s="88">
        <f>IFERROR(VLOOKUP($AI$2&amp;"-"&amp; RIGHT(AR$4,1)&amp;"-"&amp;$A13,CC1_InputUser!$L:$N,3,FALSE),0)</f>
        <v>0</v>
      </c>
      <c r="AS13" s="89"/>
      <c r="AT13" s="88">
        <f>IFERROR(VLOOKUP($AT$2&amp;"-"&amp; RIGHT(AT$4,1)&amp;"-"&amp;$A13,CC1_InputUser!$L:$N,2,FALSE),0)</f>
        <v>0.19515119033396189</v>
      </c>
      <c r="AU13" s="88">
        <f>IFERROR(VLOOKUP($AT$2&amp;"-"&amp; RIGHT(AU$4,1)&amp;"-"&amp;$A13,CC1_InputUser!$L:$N,2,FALSE),0)</f>
        <v>2.2422158475839504E-2</v>
      </c>
      <c r="AV13" s="88">
        <f>IFERROR(VLOOKUP($AT$2&amp;"-"&amp; RIGHT(AV$4,1)&amp;"-"&amp;$A13,CC1_InputUser!$L:$N,2,FALSE),0)</f>
        <v>8.9343120561025668E-2</v>
      </c>
      <c r="AW13" s="88">
        <f>IFERROR(VLOOKUP($AT$2&amp;"-"&amp; RIGHT(AW$4,1)&amp;"-"&amp;$A13,CC1_InputUser!$L:$N,2,FALSE),0)</f>
        <v>0</v>
      </c>
      <c r="AX13" s="88">
        <f>IFERROR(VLOOKUP($AT$2&amp;"-"&amp; RIGHT(AX$4,1)&amp;"-"&amp;$A13,CC1_InputUser!$L:$N,2,FALSE),0)</f>
        <v>0.32341279227578323</v>
      </c>
      <c r="AY13" s="88">
        <f>IFERROR(VLOOKUP($AT$2&amp;"-"&amp; RIGHT(AY$4,1)&amp;"-"&amp;$A13,CC1_InputUser!$L:$N,3,FALSE),0)</f>
        <v>-0.20010286795406895</v>
      </c>
      <c r="AZ13" s="88">
        <f>IFERROR(VLOOKUP($AT$2&amp;"-"&amp; RIGHT(AZ$4,1)&amp;"-"&amp;$A13,CC1_InputUser!$L:$N,3,FALSE),0)</f>
        <v>-4.9459864549572852E-2</v>
      </c>
      <c r="BA13" s="88">
        <f>IFERROR(VLOOKUP($AT$2&amp;"-"&amp; RIGHT(BA$4,1)&amp;"-"&amp;$A13,CC1_InputUser!$L:$N,3,FALSE),0)</f>
        <v>-2.1534157302172341E-2</v>
      </c>
      <c r="BB13" s="88">
        <f>IFERROR(VLOOKUP($AT$2&amp;"-"&amp; RIGHT(BB$4,1)&amp;"-"&amp;$A13,CC1_InputUser!$L:$N,3,FALSE),0)</f>
        <v>0</v>
      </c>
      <c r="BC13" s="88">
        <f>IFERROR(VLOOKUP($AT$2&amp;"-"&amp; RIGHT(BC$4,1)&amp;"-"&amp;$A13,CC1_InputUser!$L:$N,3,FALSE),0)</f>
        <v>-0.22913844509815406</v>
      </c>
      <c r="BD13" s="89"/>
      <c r="BE13" s="88">
        <f>IFERROR(VLOOKUP($AT$2&amp;"-"&amp; RIGHT(BE$4,1)&amp;"-"&amp;$A13,CC1_InputUser!$L:$N,2,FALSE),0)</f>
        <v>0.19515119033396189</v>
      </c>
      <c r="BF13" s="88">
        <f>IFERROR(VLOOKUP($AT$2&amp;"-"&amp; RIGHT(BF$4,1)&amp;"-"&amp;$A13,CC1_InputUser!$L:$N,2,FALSE),0)</f>
        <v>2.2422158475839504E-2</v>
      </c>
      <c r="BG13" s="88">
        <f>IFERROR(VLOOKUP($AT$2&amp;"-"&amp; RIGHT(BG$4,1)&amp;"-"&amp;$A13,CC1_InputUser!$L:$N,2,FALSE),0)</f>
        <v>8.9343120561025668E-2</v>
      </c>
      <c r="BH13" s="88">
        <f>IFERROR(VLOOKUP($AT$2&amp;"-"&amp; RIGHT(BH$4,1)&amp;"-"&amp;$A13,CC1_InputUser!$L:$N,2,FALSE),0)</f>
        <v>0</v>
      </c>
      <c r="BI13" s="88">
        <f>IFERROR(VLOOKUP($AT$2&amp;"-"&amp; RIGHT(BI$4,1)&amp;"-"&amp;$A13,CC1_InputUser!$L:$N,2,FALSE),0)</f>
        <v>0.32341279227578323</v>
      </c>
      <c r="BJ13" s="88">
        <f>IFERROR(VLOOKUP($AT$2&amp;"-"&amp; RIGHT(BJ$4,1)&amp;"-"&amp;$A13,CC1_InputUser!$L:$N,3,FALSE),0)</f>
        <v>-0.20010286795406895</v>
      </c>
      <c r="BK13" s="88">
        <f>IFERROR(VLOOKUP($AT$2&amp;"-"&amp; RIGHT(BK$4,1)&amp;"-"&amp;$A13,CC1_InputUser!$L:$N,3,FALSE),0)</f>
        <v>-4.9459864549572852E-2</v>
      </c>
      <c r="BL13" s="88">
        <f>IFERROR(VLOOKUP($AT$2&amp;"-"&amp; RIGHT(BL$4,1)&amp;"-"&amp;$A13,CC1_InputUser!$L:$N,3,FALSE),0)</f>
        <v>-2.1534157302172341E-2</v>
      </c>
      <c r="BM13" s="88">
        <f>IFERROR(VLOOKUP($AT$2&amp;"-"&amp; RIGHT(BM$4,1)&amp;"-"&amp;$A13,CC1_InputUser!$L:$N,3,FALSE),0)</f>
        <v>0</v>
      </c>
      <c r="BN13" s="88">
        <f>IFERROR(VLOOKUP($AT$2&amp;"-"&amp; RIGHT(BN$4,1)&amp;"-"&amp;$A13,CC1_InputUser!$L:$N,3,FALSE),0)</f>
        <v>-0.22913844509815406</v>
      </c>
      <c r="BO13" s="89"/>
      <c r="BP13" s="88">
        <f>IFERROR(VLOOKUP($BP$2&amp;"-"&amp; RIGHT(BP$4,1)&amp;"-"&amp;$A13,CC1_InputUser!$L:$N,2,FALSE),0)</f>
        <v>-0.14422769021747106</v>
      </c>
      <c r="BQ13" s="88">
        <f>IFERROR(VLOOKUP($BP$2&amp;"-"&amp; RIGHT(BQ$4,1)&amp;"-"&amp;$A13,CC1_InputUser!$L:$N,2,FALSE),0)</f>
        <v>-0.16023365441103821</v>
      </c>
      <c r="BR13" s="88">
        <f>IFERROR(VLOOKUP($BP$2&amp;"-"&amp; RIGHT(BR$4,1)&amp;"-"&amp;$A13,CC1_InputUser!$L:$N,2,FALSE),0)</f>
        <v>0</v>
      </c>
      <c r="BS13" s="88">
        <f>IFERROR(VLOOKUP($BP$2&amp;"-"&amp; RIGHT(BS$4,1)&amp;"-"&amp;$A13,CC1_InputUser!$L:$N,2,FALSE),0)</f>
        <v>0</v>
      </c>
      <c r="BT13" s="88">
        <f>IFERROR(VLOOKUP($BP$2&amp;"-"&amp; RIGHT(BT$4,1)&amp;"-"&amp;$A13,CC1_InputUser!$L:$N,2,FALSE),0)</f>
        <v>0</v>
      </c>
      <c r="BU13" s="88">
        <f>IFERROR(VLOOKUP($BP$2&amp;"-"&amp; RIGHT(BU$4,1)&amp;"-"&amp;$A13,CC1_InputUser!$L:$N,3,FALSE),0)</f>
        <v>-0.16167000248519425</v>
      </c>
      <c r="BV13" s="88">
        <f>IFERROR(VLOOKUP($BP$2&amp;"-"&amp; RIGHT(BV$4,1)&amp;"-"&amp;$A13,CC1_InputUser!$L:$N,3,FALSE),0)</f>
        <v>-8.6969151276770185E-2</v>
      </c>
      <c r="BW13" s="88">
        <f>IFERROR(VLOOKUP($BP$2&amp;"-"&amp; RIGHT(BW$4,1)&amp;"-"&amp;$A13,CC1_InputUser!$L:$N,3,FALSE),0)</f>
        <v>0</v>
      </c>
      <c r="BX13" s="88">
        <f>IFERROR(VLOOKUP($BP$2&amp;"-"&amp; RIGHT(BX$4,1)&amp;"-"&amp;$A13,CC1_InputUser!$L:$N,3,FALSE),0)</f>
        <v>0</v>
      </c>
      <c r="BY13" s="88">
        <f>IFERROR(VLOOKUP($BP$2&amp;"-"&amp; RIGHT(BY$4,1)&amp;"-"&amp;$A13,CC1_InputUser!$L:$N,3,FALSE),0)</f>
        <v>0</v>
      </c>
      <c r="BZ13" s="89"/>
      <c r="CA13" s="88">
        <f>IFERROR(VLOOKUP($CA$2&amp;"-"&amp; RIGHT(CA$4,1)&amp;"-"&amp;$A13,CC1_InputUser!$L:$N,2,FALSE),0)</f>
        <v>6.6251503360073682E-2</v>
      </c>
      <c r="CB13" s="88">
        <f>IFERROR(VLOOKUP($CA$2&amp;"-"&amp; RIGHT(CB$4,1)&amp;"-"&amp;$A13,CC1_InputUser!$L:$N,2,FALSE),0)</f>
        <v>0.30575230063556891</v>
      </c>
      <c r="CC13" s="88">
        <f>IFERROR(VLOOKUP($CA$2&amp;"-"&amp; RIGHT(CC$4,1)&amp;"-"&amp;$A13,CC1_InputUser!$L:$N,2,FALSE),0)</f>
        <v>7.4626865671634235E-4</v>
      </c>
      <c r="CD13" s="88">
        <f>IFERROR(VLOOKUP($CA$2&amp;"-"&amp; RIGHT(CD$4,1)&amp;"-"&amp;$A13,CC1_InputUser!$L:$N,2,FALSE),0)</f>
        <v>0</v>
      </c>
      <c r="CE13" s="88">
        <f>IFERROR(VLOOKUP($CA$2&amp;"-"&amp; RIGHT(CE$4,1)&amp;"-"&amp;$A13,CC1_InputUser!$L:$N,2,FALSE),0)</f>
        <v>0.42100071685859808</v>
      </c>
      <c r="CF13" s="88">
        <f>IFERROR(VLOOKUP($CA$2&amp;"-"&amp; RIGHT(CF$4,1)&amp;"-"&amp;$A13,CC1_InputUser!$L:$N,3,FALSE),0)</f>
        <v>-0.19341123951991168</v>
      </c>
      <c r="CG13" s="88">
        <f>IFERROR(VLOOKUP($CA$2&amp;"-"&amp; RIGHT(CG$4,1)&amp;"-"&amp;$A13,CC1_InputUser!$L:$N,3,FALSE),0)</f>
        <v>-8.5986339054255012E-2</v>
      </c>
      <c r="CH13" s="88">
        <f>IFERROR(VLOOKUP($CA$2&amp;"-"&amp; RIGHT(CH$4,1)&amp;"-"&amp;$A13,CC1_InputUser!$L:$N,3,FALSE),0)</f>
        <v>-8.2447682699682279E-3</v>
      </c>
      <c r="CI13" s="88">
        <f>IFERROR(VLOOKUP($CA$2&amp;"-"&amp; RIGHT(CI$4,1)&amp;"-"&amp;$A13,CC1_InputUser!$L:$N,3,FALSE),0)</f>
        <v>0</v>
      </c>
      <c r="CJ13" s="88">
        <f>IFERROR(VLOOKUP($CA$2&amp;"-"&amp; RIGHT(CJ$4,1)&amp;"-"&amp;$A13,CC1_InputUser!$L:$N,3,FALSE),0)</f>
        <v>-8.6402803887488666E-2</v>
      </c>
      <c r="CK13" s="89"/>
      <c r="CL13" s="88">
        <f>IFERROR(VLOOKUP($CL$2&amp;"-"&amp; RIGHT(CL$4,1)&amp;"-"&amp;$A13,CC1_InputUser!$L:$N,2,FALSE),0)</f>
        <v>-1.587457080265442E-2</v>
      </c>
      <c r="CM13" s="88">
        <f>IFERROR(VLOOKUP($CL$2&amp;"-"&amp; RIGHT(CM$4,1)&amp;"-"&amp;$A13,CC1_InputUser!$L:$N,2,FALSE),0)</f>
        <v>0</v>
      </c>
      <c r="CN13" s="88">
        <f>IFERROR(VLOOKUP($CL$2&amp;"-"&amp; RIGHT(CN$4,1)&amp;"-"&amp;$A13,CC1_InputUser!$L:$N,2,FALSE),0)</f>
        <v>0</v>
      </c>
      <c r="CO13" s="88">
        <f>IFERROR(VLOOKUP($CL$2&amp;"-"&amp; RIGHT(CO$4,1)&amp;"-"&amp;$A13,CC1_InputUser!$L:$N,2,FALSE),0)</f>
        <v>0</v>
      </c>
      <c r="CP13" s="88">
        <f>IFERROR(VLOOKUP($CL$2&amp;"-"&amp; RIGHT(CP$4,1)&amp;"-"&amp;$A13,CC1_InputUser!$L:$N,2,FALSE),0)</f>
        <v>0</v>
      </c>
      <c r="CQ13" s="88">
        <f>IFERROR(VLOOKUP($CL$2&amp;"-"&amp; RIGHT(CQ$4,1)&amp;"-"&amp;$A13,CC1_InputUser!$L:$N,3,FALSE),0)</f>
        <v>-1.6513255718329845E-2</v>
      </c>
      <c r="CR13" s="88">
        <f>IFERROR(VLOOKUP($CL$2&amp;"-"&amp; RIGHT(CR$4,1)&amp;"-"&amp;$A13,CC1_InputUser!$L:$N,3,FALSE),0)</f>
        <v>0</v>
      </c>
      <c r="CS13" s="88">
        <f>IFERROR(VLOOKUP($CL$2&amp;"-"&amp; RIGHT(CS$4,1)&amp;"-"&amp;$A13,CC1_InputUser!$L:$N,3,FALSE),0)</f>
        <v>0</v>
      </c>
      <c r="CT13" s="88">
        <f>IFERROR(VLOOKUP($CL$2&amp;"-"&amp; RIGHT(CT$4,1)&amp;"-"&amp;$A13,CC1_InputUser!$L:$N,3,FALSE),0)</f>
        <v>0</v>
      </c>
      <c r="CU13" s="88">
        <f>IFERROR(VLOOKUP($CL$2&amp;"-"&amp; RIGHT(CU$4,1)&amp;"-"&amp;$A13,CC1_InputUser!$L:$N,3,FALSE),0)</f>
        <v>0</v>
      </c>
      <c r="CV13" s="89"/>
      <c r="CW13" s="88">
        <f>IFERROR(VLOOKUP($CW$2&amp;"-"&amp; RIGHT(CW$4,1)&amp;"-"&amp;$A13,CC1_InputUser!$L:$N,2,FALSE),0)</f>
        <v>0</v>
      </c>
      <c r="CX13" s="88">
        <f>IFERROR(VLOOKUP($CW$2&amp;"-"&amp; RIGHT(CX$4,1)&amp;"-"&amp;$A13,CC1_InputUser!$L:$N,2,FALSE),0)</f>
        <v>0</v>
      </c>
      <c r="CY13" s="88">
        <f>IFERROR(VLOOKUP($CW$2&amp;"-"&amp; RIGHT(CY$4,1)&amp;"-"&amp;$A13,CC1_InputUser!$L:$N,2,FALSE),0)</f>
        <v>0</v>
      </c>
      <c r="CZ13" s="88">
        <f>IFERROR(VLOOKUP($CW$2&amp;"-"&amp; RIGHT(CZ$4,1)&amp;"-"&amp;$A13,CC1_InputUser!$L:$N,2,FALSE),0)</f>
        <v>0</v>
      </c>
      <c r="DA13" s="88">
        <f>IFERROR(VLOOKUP($CW$2&amp;"-"&amp; RIGHT(DA$4,1)&amp;"-"&amp;$A13,CC1_InputUser!$L:$N,2,FALSE),0)</f>
        <v>0</v>
      </c>
      <c r="DB13" s="88">
        <f>IFERROR(VLOOKUP($CW$2&amp;"-"&amp; RIGHT(DB$4,1)&amp;"-"&amp;$A13,CC1_InputUser!$L:$N,3,FALSE),0)</f>
        <v>0</v>
      </c>
      <c r="DC13" s="88">
        <f>IFERROR(VLOOKUP($CW$2&amp;"-"&amp; RIGHT(DC$4,1)&amp;"-"&amp;$A13,CC1_InputUser!$L:$N,3,FALSE),0)</f>
        <v>0</v>
      </c>
      <c r="DD13" s="88">
        <f>IFERROR(VLOOKUP($CW$2&amp;"-"&amp; RIGHT(DD$4,1)&amp;"-"&amp;$A13,CC1_InputUser!$L:$N,3,FALSE),0)</f>
        <v>0</v>
      </c>
      <c r="DE13" s="88">
        <f>IFERROR(VLOOKUP($CW$2&amp;"-"&amp; RIGHT(DE$4,1)&amp;"-"&amp;$A13,CC1_InputUser!$L:$N,3,FALSE),0)</f>
        <v>0</v>
      </c>
      <c r="DF13" s="88">
        <f>IFERROR(VLOOKUP($CW$2&amp;"-"&amp; RIGHT(DF$4,1)&amp;"-"&amp;$A13,CC1_InputUser!$L:$N,3,FALSE),0)</f>
        <v>0</v>
      </c>
      <c r="DG13" s="89"/>
      <c r="DH13" s="88">
        <f>IFERROR(VLOOKUP($DH$2&amp;"-"&amp; RIGHT(DH$4,1)&amp;"-"&amp;$A13,CC1_InputUser!$L:$N,2,FALSE),0)</f>
        <v>0</v>
      </c>
      <c r="DI13" s="88">
        <f>IFERROR(VLOOKUP($DH$2&amp;"-"&amp; RIGHT(DI$4,1)&amp;"-"&amp;$A13,CC1_InputUser!$L:$N,2,FALSE),0)</f>
        <v>0</v>
      </c>
      <c r="DJ13" s="88">
        <f>IFERROR(VLOOKUP($DH$2&amp;"-"&amp; RIGHT(DJ$4,1)&amp;"-"&amp;$A13,CC1_InputUser!$L:$N,2,FALSE),0)</f>
        <v>0</v>
      </c>
      <c r="DK13" s="88">
        <f>IFERROR(VLOOKUP($DH$2&amp;"-"&amp; RIGHT(DK$4,1)&amp;"-"&amp;$A13,CC1_InputUser!$L:$N,2,FALSE),0)</f>
        <v>0</v>
      </c>
      <c r="DL13" s="88">
        <f>IFERROR(VLOOKUP($DH$2&amp;"-"&amp; RIGHT(DL$4,1)&amp;"-"&amp;$A13,CC1_InputUser!$L:$N,2,FALSE),0)</f>
        <v>0</v>
      </c>
      <c r="DM13" s="88">
        <f>IFERROR(VLOOKUP($DH$2&amp;"-"&amp; RIGHT(DM$4,1)&amp;"-"&amp;$A13,CC1_InputUser!$L:$N,3,FALSE),0)</f>
        <v>0</v>
      </c>
      <c r="DN13" s="88">
        <f>IFERROR(VLOOKUP($DH$2&amp;"-"&amp; RIGHT(DN$4,1)&amp;"-"&amp;$A13,CC1_InputUser!$L:$N,3,FALSE),0)</f>
        <v>0</v>
      </c>
      <c r="DO13" s="88">
        <f>IFERROR(VLOOKUP($DH$2&amp;"-"&amp; RIGHT(DO$4,1)&amp;"-"&amp;$A13,CC1_InputUser!$L:$N,3,FALSE),0)</f>
        <v>0</v>
      </c>
      <c r="DP13" s="88">
        <f>IFERROR(VLOOKUP($DH$2&amp;"-"&amp; RIGHT(DP$4,1)&amp;"-"&amp;$A13,CC1_InputUser!$L:$N,3,FALSE),0)</f>
        <v>0</v>
      </c>
      <c r="DQ13" s="88">
        <f>IFERROR(VLOOKUP($DH$2&amp;"-"&amp; RIGHT(DQ$4,1)&amp;"-"&amp;$A13,CC1_InputUser!$L:$N,3,FALSE),0)</f>
        <v>0</v>
      </c>
      <c r="DR13" s="89"/>
      <c r="DS13" s="88">
        <f>IFERROR(VLOOKUP($DS$2&amp;"-"&amp; RIGHT(DS$4,1)&amp;"-"&amp;$A13,CC1_InputUser!$L:$N,2,FALSE),0)</f>
        <v>0</v>
      </c>
      <c r="DT13" s="88">
        <f>IFERROR(VLOOKUP($DS$2&amp;"-"&amp; RIGHT(DT$4,1)&amp;"-"&amp;$A13,CC1_InputUser!$L:$N,2,FALSE),0)</f>
        <v>0</v>
      </c>
      <c r="DU13" s="88">
        <f>IFERROR(VLOOKUP($DS$2&amp;"-"&amp; RIGHT(DU$4,1)&amp;"-"&amp;$A13,CC1_InputUser!$L:$N,2,FALSE),0)</f>
        <v>0</v>
      </c>
      <c r="DV13" s="88">
        <f>IFERROR(VLOOKUP($DS$2&amp;"-"&amp; RIGHT(DV$4,1)&amp;"-"&amp;$A13,CC1_InputUser!$L:$N,2,FALSE),0)</f>
        <v>0</v>
      </c>
      <c r="DW13" s="88">
        <f>IFERROR(VLOOKUP($DS$2&amp;"-"&amp; RIGHT(DW$4,1)&amp;"-"&amp;$A13,CC1_InputUser!$L:$N,2,FALSE),0)</f>
        <v>0</v>
      </c>
      <c r="DX13" s="88">
        <f>IFERROR(VLOOKUP($DS$2&amp;"-"&amp; RIGHT(DX$4,1)&amp;"-"&amp;$A13,CC1_InputUser!$L:$N,3,FALSE),0)</f>
        <v>0</v>
      </c>
      <c r="DY13" s="88">
        <f>IFERROR(VLOOKUP($DS$2&amp;"-"&amp; RIGHT(DY$4,1)&amp;"-"&amp;$A13,CC1_InputUser!$L:$N,3,FALSE),0)</f>
        <v>0</v>
      </c>
      <c r="DZ13" s="88">
        <f>IFERROR(VLOOKUP($DS$2&amp;"-"&amp; RIGHT(DZ$4,1)&amp;"-"&amp;$A13,CC1_InputUser!$L:$N,3,FALSE),0)</f>
        <v>0</v>
      </c>
      <c r="EA13" s="88">
        <f>IFERROR(VLOOKUP($DS$2&amp;"-"&amp; RIGHT(EA$4,1)&amp;"-"&amp;$A13,CC1_InputUser!$L:$N,3,FALSE),0)</f>
        <v>0</v>
      </c>
      <c r="EB13" s="88">
        <f>IFERROR(VLOOKUP($DS$2&amp;"-"&amp; RIGHT(EB$4,1)&amp;"-"&amp;$A13,CC1_InputUser!$L:$N,3,FALSE),0)</f>
        <v>0</v>
      </c>
      <c r="EC13" s="89"/>
    </row>
    <row r="14" spans="1:133" x14ac:dyDescent="0.3">
      <c r="A14" s="71" t="s">
        <v>13</v>
      </c>
      <c r="B14" s="86">
        <f>IFERROR(VLOOKUP($B$2&amp;"-"&amp; RIGHT(B$4,1)&amp;"-"&amp;$A14,CC1_InputUser!$L:$N,2,FALSE),0)</f>
        <v>0</v>
      </c>
      <c r="C14" s="86">
        <f>IFERROR(VLOOKUP($B$2&amp;"-"&amp; RIGHT(C$4,1)&amp;"-"&amp;$A14,CC1_InputUser!$L:$N,2,FALSE),0)</f>
        <v>0</v>
      </c>
      <c r="D14" s="86">
        <f>IFERROR(VLOOKUP($B$2&amp;"-"&amp; RIGHT(D$4,1)&amp;"-"&amp;$A14,CC1_InputUser!$L:$N,2,FALSE),0)</f>
        <v>0.17226860165633451</v>
      </c>
      <c r="E14" s="86">
        <f>IFERROR(VLOOKUP($B$2&amp;"-"&amp; RIGHT(E$4,1)&amp;"-"&amp;$A14,CC1_InputUser!$L:$N,2,FALSE),0)</f>
        <v>0.17649768968488622</v>
      </c>
      <c r="F14" s="86">
        <f>IFERROR(VLOOKUP($B$2&amp;"-"&amp; RIGHT(F$4,1)&amp;"-"&amp;$A14,CC1_InputUser!$L:$N,2,FALSE),0)</f>
        <v>0</v>
      </c>
      <c r="G14" s="86">
        <f>IFERROR(VLOOKUP($B$2&amp;"-"&amp; RIGHT(G$4,1)&amp;"-"&amp;$A14,CC1_InputUser!$L:$N,3,FALSE),0)</f>
        <v>0</v>
      </c>
      <c r="H14" s="86">
        <f>IFERROR(VLOOKUP($B$2&amp;"-"&amp; RIGHT(H$4,1)&amp;"-"&amp;$A14,CC1_InputUser!$L:$N,3,FALSE),0)</f>
        <v>0</v>
      </c>
      <c r="I14" s="86">
        <f>IFERROR(VLOOKUP($B$2&amp;"-"&amp; RIGHT(I$4,1)&amp;"-"&amp;$A14,CC1_InputUser!$L:$N,3,FALSE),0)</f>
        <v>-2.5217485958028196E-2</v>
      </c>
      <c r="J14" s="86">
        <f>IFERROR(VLOOKUP($B$2&amp;"-"&amp; RIGHT(J$4,1)&amp;"-"&amp;$A14,CC1_InputUser!$L:$N,3,FALSE),0)</f>
        <v>-2.3863565157408617E-2</v>
      </c>
      <c r="K14" s="86">
        <f>IFERROR(VLOOKUP($B$2&amp;"-"&amp; RIGHT(K$4,1)&amp;"-"&amp;$A14,CC1_InputUser!$L:$N,3,FALSE),0)</f>
        <v>0</v>
      </c>
      <c r="L14" s="87"/>
      <c r="M14" s="86">
        <f>IFERROR(VLOOKUP($M$2&amp;"-"&amp; RIGHT(M$4,1)&amp;"-"&amp;$A14,CC1_InputUser!$L:$N,2,FALSE),0)</f>
        <v>0</v>
      </c>
      <c r="N14" s="86">
        <f>IFERROR(VLOOKUP($M$2&amp;"-"&amp; RIGHT(N$4,1)&amp;"-"&amp;$A14,CC1_InputUser!$L:$N,2,FALSE),0)</f>
        <v>0.1429043110769348</v>
      </c>
      <c r="O14" s="86">
        <f>IFERROR(VLOOKUP($M$2&amp;"-"&amp; RIGHT(O$4,1)&amp;"-"&amp;$A14,CC1_InputUser!$L:$N,2,FALSE),0)</f>
        <v>0</v>
      </c>
      <c r="P14" s="86">
        <f>IFERROR(VLOOKUP($M$2&amp;"-"&amp; RIGHT(P$4,1)&amp;"-"&amp;$A14,CC1_InputUser!$L:$N,2,FALSE),0)</f>
        <v>4.8499126148802585E-2</v>
      </c>
      <c r="Q14" s="86">
        <f>IFERROR(VLOOKUP($M$2&amp;"-"&amp; RIGHT(Q$4,1)&amp;"-"&amp;$A14,CC1_InputUser!$L:$N,2,FALSE),0)</f>
        <v>0.11709997449956644</v>
      </c>
      <c r="R14" s="86">
        <f>IFERROR(VLOOKUP($M$2&amp;"-"&amp; RIGHT(R$4,1)&amp;"-"&amp;$A14,CC1_InputUser!$L:$N,3,FALSE),0)</f>
        <v>0</v>
      </c>
      <c r="S14" s="86">
        <f>IFERROR(VLOOKUP($M$2&amp;"-"&amp; RIGHT(S$4,1)&amp;"-"&amp;$A14,CC1_InputUser!$L:$N,3,FALSE),0)</f>
        <v>-1.9401885427859478E-2</v>
      </c>
      <c r="T14" s="86">
        <f>IFERROR(VLOOKUP($M$2&amp;"-"&amp; RIGHT(T$4,1)&amp;"-"&amp;$A14,CC1_InputUser!$L:$N,3,FALSE),0)</f>
        <v>0</v>
      </c>
      <c r="U14" s="86">
        <f>IFERROR(VLOOKUP($M$2&amp;"-"&amp; RIGHT(U$4,1)&amp;"-"&amp;$A14,CC1_InputUser!$L:$N,3,FALSE),0)</f>
        <v>-1.5004528949160156E-2</v>
      </c>
      <c r="V14" s="86">
        <f>IFERROR(VLOOKUP($M$2&amp;"-"&amp; RIGHT(V$4,1)&amp;"-"&amp;$A14,CC1_InputUser!$L:$N,3,FALSE),0)</f>
        <v>-1.1587744693673074E-2</v>
      </c>
      <c r="W14" s="87"/>
      <c r="X14" s="86">
        <f>IFERROR(VLOOKUP($X$2&amp;"-"&amp; RIGHT(X$4,1)&amp;"-"&amp;$A14,CC1_InputUser!$L:$N,2,FALSE),0)</f>
        <v>0</v>
      </c>
      <c r="Y14" s="86">
        <f>IFERROR(VLOOKUP($X$2&amp;"-"&amp; RIGHT(Y$4,1)&amp;"-"&amp;$A14,CC1_InputUser!$L:$N,2,FALSE),0)</f>
        <v>7.0328502472241095E-2</v>
      </c>
      <c r="Z14" s="86">
        <f>IFERROR(VLOOKUP($X$2&amp;"-"&amp; RIGHT(Z$4,1)&amp;"-"&amp;$A14,CC1_InputUser!$L:$N,2,FALSE),0)</f>
        <v>1.6377649325626242E-2</v>
      </c>
      <c r="AA14" s="86">
        <f>IFERROR(VLOOKUP($X$2&amp;"-"&amp; RIGHT(AA$4,1)&amp;"-"&amp;$A14,CC1_InputUser!$L:$N,2,FALSE),0)</f>
        <v>0</v>
      </c>
      <c r="AB14" s="86">
        <f>IFERROR(VLOOKUP($X$2&amp;"-"&amp; RIGHT(AB$4,1)&amp;"-"&amp;$A14,CC1_InputUser!$L:$N,2,FALSE),0)</f>
        <v>0</v>
      </c>
      <c r="AC14" s="86">
        <f>IFERROR(VLOOKUP($X$2&amp;"-"&amp; RIGHT(AC$4,1)&amp;"-"&amp;$A14,CC1_InputUser!$L:$N,3,FALSE),0)</f>
        <v>0</v>
      </c>
      <c r="AD14" s="86">
        <f>IFERROR(VLOOKUP($X$2&amp;"-"&amp; RIGHT(AD$4,1)&amp;"-"&amp;$A14,CC1_InputUser!$L:$N,3,FALSE),0)</f>
        <v>-1.017306685052799E-2</v>
      </c>
      <c r="AE14" s="86">
        <f>IFERROR(VLOOKUP($X$2&amp;"-"&amp; RIGHT(AE$4,1)&amp;"-"&amp;$A14,CC1_InputUser!$L:$N,3,FALSE),0)</f>
        <v>-3.5680554098016515E-3</v>
      </c>
      <c r="AF14" s="86">
        <f>IFERROR(VLOOKUP($X$2&amp;"-"&amp; RIGHT(AF$4,1)&amp;"-"&amp;$A14,CC1_InputUser!$L:$N,3,FALSE),0)</f>
        <v>0</v>
      </c>
      <c r="AG14" s="86">
        <f>IFERROR(VLOOKUP($X$2&amp;"-"&amp; RIGHT(AG$4,1)&amp;"-"&amp;$A14,CC1_InputUser!$L:$N,3,FALSE),0)</f>
        <v>0</v>
      </c>
      <c r="AH14" s="87"/>
      <c r="AI14" s="86">
        <f>IFERROR(VLOOKUP($AI$2&amp;"-"&amp; RIGHT(AI$4,1)&amp;"-"&amp;$A14,CC1_InputUser!$L:$N,2,FALSE),0)</f>
        <v>2.3794767576752363E-2</v>
      </c>
      <c r="AJ14" s="86">
        <f>IFERROR(VLOOKUP($AI$2&amp;"-"&amp; RIGHT(AJ$4,1)&amp;"-"&amp;$A14,CC1_InputUser!$L:$N,2,FALSE),0)</f>
        <v>0</v>
      </c>
      <c r="AK14" s="86">
        <f>IFERROR(VLOOKUP($AI$2&amp;"-"&amp; RIGHT(AK$4,1)&amp;"-"&amp;$A14,CC1_InputUser!$L:$N,2,FALSE),0)</f>
        <v>0</v>
      </c>
      <c r="AL14" s="86">
        <f>IFERROR(VLOOKUP($AI$2&amp;"-"&amp; RIGHT(AL$4,1)&amp;"-"&amp;$A14,CC1_InputUser!$L:$N,2,FALSE),0)</f>
        <v>1.8041160176029081E-2</v>
      </c>
      <c r="AM14" s="86">
        <f>IFERROR(VLOOKUP($AI$2&amp;"-"&amp; RIGHT(AM$4,1)&amp;"-"&amp;$A14,CC1_InputUser!$L:$N,2,FALSE),0)</f>
        <v>0</v>
      </c>
      <c r="AN14" s="86">
        <f>IFERROR(VLOOKUP($AI$2&amp;"-"&amp; RIGHT(AN$4,1)&amp;"-"&amp;$A14,CC1_InputUser!$L:$N,3,FALSE),0)</f>
        <v>-2.1270148692208446E-2</v>
      </c>
      <c r="AO14" s="86">
        <f>IFERROR(VLOOKUP($AI$2&amp;"-"&amp; RIGHT(AO$4,1)&amp;"-"&amp;$A14,CC1_InputUser!$L:$N,3,FALSE),0)</f>
        <v>0</v>
      </c>
      <c r="AP14" s="86">
        <f>IFERROR(VLOOKUP($AI$2&amp;"-"&amp; RIGHT(AP$4,1)&amp;"-"&amp;$A14,CC1_InputUser!$L:$N,3,FALSE),0)</f>
        <v>0</v>
      </c>
      <c r="AQ14" s="86">
        <f>IFERROR(VLOOKUP($AI$2&amp;"-"&amp; RIGHT(AQ$4,1)&amp;"-"&amp;$A14,CC1_InputUser!$L:$N,3,FALSE),0)</f>
        <v>-8.4661867608917252E-3</v>
      </c>
      <c r="AR14" s="86">
        <f>IFERROR(VLOOKUP($AI$2&amp;"-"&amp; RIGHT(AR$4,1)&amp;"-"&amp;$A14,CC1_InputUser!$L:$N,3,FALSE),0)</f>
        <v>0</v>
      </c>
      <c r="AS14" s="87"/>
      <c r="AT14" s="86">
        <f>IFERROR(VLOOKUP($AT$2&amp;"-"&amp; RIGHT(AT$4,1)&amp;"-"&amp;$A14,CC1_InputUser!$L:$N,2,FALSE),0)</f>
        <v>3.6443609295569779E-2</v>
      </c>
      <c r="AU14" s="86">
        <f>IFERROR(VLOOKUP($AT$2&amp;"-"&amp; RIGHT(AU$4,1)&amp;"-"&amp;$A14,CC1_InputUser!$L:$N,2,FALSE),0)</f>
        <v>0</v>
      </c>
      <c r="AV14" s="86">
        <f>IFERROR(VLOOKUP($AT$2&amp;"-"&amp; RIGHT(AV$4,1)&amp;"-"&amp;$A14,CC1_InputUser!$L:$N,2,FALSE),0)</f>
        <v>2.5429352068696343E-2</v>
      </c>
      <c r="AW14" s="86">
        <f>IFERROR(VLOOKUP($AT$2&amp;"-"&amp; RIGHT(AW$4,1)&amp;"-"&amp;$A14,CC1_InputUser!$L:$N,2,FALSE),0)</f>
        <v>0</v>
      </c>
      <c r="AX14" s="86">
        <f>IFERROR(VLOOKUP($AT$2&amp;"-"&amp; RIGHT(AX$4,1)&amp;"-"&amp;$A14,CC1_InputUser!$L:$N,2,FALSE),0)</f>
        <v>7.2541838839677575E-2</v>
      </c>
      <c r="AY14" s="86">
        <f>IFERROR(VLOOKUP($AT$2&amp;"-"&amp; RIGHT(AY$4,1)&amp;"-"&amp;$A14,CC1_InputUser!$L:$N,3,FALSE),0)</f>
        <v>-5.0445864500788806E-3</v>
      </c>
      <c r="AZ14" s="86">
        <f>IFERROR(VLOOKUP($AT$2&amp;"-"&amp; RIGHT(AZ$4,1)&amp;"-"&amp;$A14,CC1_InputUser!$L:$N,3,FALSE),0)</f>
        <v>0</v>
      </c>
      <c r="BA14" s="86">
        <f>IFERROR(VLOOKUP($AT$2&amp;"-"&amp; RIGHT(BA$4,1)&amp;"-"&amp;$A14,CC1_InputUser!$L:$N,3,FALSE),0)</f>
        <v>-4.5736078113655099E-3</v>
      </c>
      <c r="BB14" s="86">
        <f>IFERROR(VLOOKUP($AT$2&amp;"-"&amp; RIGHT(BB$4,1)&amp;"-"&amp;$A14,CC1_InputUser!$L:$N,3,FALSE),0)</f>
        <v>0</v>
      </c>
      <c r="BC14" s="86">
        <f>IFERROR(VLOOKUP($AT$2&amp;"-"&amp; RIGHT(BC$4,1)&amp;"-"&amp;$A14,CC1_InputUser!$L:$N,3,FALSE),0)</f>
        <v>-6.4716742824510454E-2</v>
      </c>
      <c r="BD14" s="87"/>
      <c r="BE14" s="86">
        <f>IFERROR(VLOOKUP($AT$2&amp;"-"&amp; RIGHT(BE$4,1)&amp;"-"&amp;$A14,CC1_InputUser!$L:$N,2,FALSE),0)</f>
        <v>3.6443609295569779E-2</v>
      </c>
      <c r="BF14" s="86">
        <f>IFERROR(VLOOKUP($AT$2&amp;"-"&amp; RIGHT(BF$4,1)&amp;"-"&amp;$A14,CC1_InputUser!$L:$N,2,FALSE),0)</f>
        <v>0</v>
      </c>
      <c r="BG14" s="86">
        <f>IFERROR(VLOOKUP($AT$2&amp;"-"&amp; RIGHT(BG$4,1)&amp;"-"&amp;$A14,CC1_InputUser!$L:$N,2,FALSE),0)</f>
        <v>2.5429352068696343E-2</v>
      </c>
      <c r="BH14" s="86">
        <f>IFERROR(VLOOKUP($AT$2&amp;"-"&amp; RIGHT(BH$4,1)&amp;"-"&amp;$A14,CC1_InputUser!$L:$N,2,FALSE),0)</f>
        <v>0</v>
      </c>
      <c r="BI14" s="86">
        <f>IFERROR(VLOOKUP($AT$2&amp;"-"&amp; RIGHT(BI$4,1)&amp;"-"&amp;$A14,CC1_InputUser!$L:$N,2,FALSE),0)</f>
        <v>7.2541838839677575E-2</v>
      </c>
      <c r="BJ14" s="86">
        <f>IFERROR(VLOOKUP($AT$2&amp;"-"&amp; RIGHT(BJ$4,1)&amp;"-"&amp;$A14,CC1_InputUser!$L:$N,3,FALSE),0)</f>
        <v>-5.0445864500788806E-3</v>
      </c>
      <c r="BK14" s="86">
        <f>IFERROR(VLOOKUP($AT$2&amp;"-"&amp; RIGHT(BK$4,1)&amp;"-"&amp;$A14,CC1_InputUser!$L:$N,3,FALSE),0)</f>
        <v>0</v>
      </c>
      <c r="BL14" s="86">
        <f>IFERROR(VLOOKUP($AT$2&amp;"-"&amp; RIGHT(BL$4,1)&amp;"-"&amp;$A14,CC1_InputUser!$L:$N,3,FALSE),0)</f>
        <v>-4.5736078113655099E-3</v>
      </c>
      <c r="BM14" s="86">
        <f>IFERROR(VLOOKUP($AT$2&amp;"-"&amp; RIGHT(BM$4,1)&amp;"-"&amp;$A14,CC1_InputUser!$L:$N,3,FALSE),0)</f>
        <v>0</v>
      </c>
      <c r="BN14" s="86">
        <f>IFERROR(VLOOKUP($AT$2&amp;"-"&amp; RIGHT(BN$4,1)&amp;"-"&amp;$A14,CC1_InputUser!$L:$N,3,FALSE),0)</f>
        <v>-6.4716742824510454E-2</v>
      </c>
      <c r="BO14" s="87"/>
      <c r="BP14" s="86">
        <f>IFERROR(VLOOKUP($BP$2&amp;"-"&amp; RIGHT(BP$4,1)&amp;"-"&amp;$A14,CC1_InputUser!$L:$N,2,FALSE),0)</f>
        <v>9.6060638558504996E-3</v>
      </c>
      <c r="BQ14" s="86">
        <f>IFERROR(VLOOKUP($BP$2&amp;"-"&amp; RIGHT(BQ$4,1)&amp;"-"&amp;$A14,CC1_InputUser!$L:$N,2,FALSE),0)</f>
        <v>-4.8049799647486791E-2</v>
      </c>
      <c r="BR14" s="86">
        <f>IFERROR(VLOOKUP($BP$2&amp;"-"&amp; RIGHT(BR$4,1)&amp;"-"&amp;$A14,CC1_InputUser!$L:$N,2,FALSE),0)</f>
        <v>0</v>
      </c>
      <c r="BS14" s="86">
        <f>IFERROR(VLOOKUP($BP$2&amp;"-"&amp; RIGHT(BS$4,1)&amp;"-"&amp;$A14,CC1_InputUser!$L:$N,2,FALSE),0)</f>
        <v>0</v>
      </c>
      <c r="BT14" s="86">
        <f>IFERROR(VLOOKUP($BP$2&amp;"-"&amp; RIGHT(BT$4,1)&amp;"-"&amp;$A14,CC1_InputUser!$L:$N,2,FALSE),0)</f>
        <v>0</v>
      </c>
      <c r="BU14" s="86">
        <f>IFERROR(VLOOKUP($BP$2&amp;"-"&amp; RIGHT(BU$4,1)&amp;"-"&amp;$A14,CC1_InputUser!$L:$N,3,FALSE),0)</f>
        <v>-3.1928806774205953E-2</v>
      </c>
      <c r="BV14" s="86">
        <f>IFERROR(VLOOKUP($BP$2&amp;"-"&amp; RIGHT(BV$4,1)&amp;"-"&amp;$A14,CC1_InputUser!$L:$N,3,FALSE),0)</f>
        <v>-5.8572649666014942E-2</v>
      </c>
      <c r="BW14" s="86">
        <f>IFERROR(VLOOKUP($BP$2&amp;"-"&amp; RIGHT(BW$4,1)&amp;"-"&amp;$A14,CC1_InputUser!$L:$N,3,FALSE),0)</f>
        <v>0</v>
      </c>
      <c r="BX14" s="86">
        <f>IFERROR(VLOOKUP($BP$2&amp;"-"&amp; RIGHT(BX$4,1)&amp;"-"&amp;$A14,CC1_InputUser!$L:$N,3,FALSE),0)</f>
        <v>0</v>
      </c>
      <c r="BY14" s="86">
        <f>IFERROR(VLOOKUP($BP$2&amp;"-"&amp; RIGHT(BY$4,1)&amp;"-"&amp;$A14,CC1_InputUser!$L:$N,3,FALSE),0)</f>
        <v>0</v>
      </c>
      <c r="BZ14" s="87"/>
      <c r="CA14" s="86">
        <f>IFERROR(VLOOKUP($CA$2&amp;"-"&amp; RIGHT(CA$4,1)&amp;"-"&amp;$A14,CC1_InputUser!$L:$N,2,FALSE),0)</f>
        <v>3.3017302164049855E-2</v>
      </c>
      <c r="CB14" s="86">
        <f>IFERROR(VLOOKUP($CA$2&amp;"-"&amp; RIGHT(CB$4,1)&amp;"-"&amp;$A14,CC1_InputUser!$L:$N,2,FALSE),0)</f>
        <v>8.6111379593768578E-2</v>
      </c>
      <c r="CC14" s="86">
        <f>IFERROR(VLOOKUP($CA$2&amp;"-"&amp; RIGHT(CC$4,1)&amp;"-"&amp;$A14,CC1_InputUser!$L:$N,2,FALSE),0)</f>
        <v>0</v>
      </c>
      <c r="CD14" s="86">
        <f>IFERROR(VLOOKUP($CA$2&amp;"-"&amp; RIGHT(CD$4,1)&amp;"-"&amp;$A14,CC1_InputUser!$L:$N,2,FALSE),0)</f>
        <v>0</v>
      </c>
      <c r="CE14" s="86">
        <f>IFERROR(VLOOKUP($CA$2&amp;"-"&amp; RIGHT(CE$4,1)&amp;"-"&amp;$A14,CC1_InputUser!$L:$N,2,FALSE),0)</f>
        <v>0.13216021118030252</v>
      </c>
      <c r="CF14" s="86">
        <f>IFERROR(VLOOKUP($CA$2&amp;"-"&amp; RIGHT(CF$4,1)&amp;"-"&amp;$A14,CC1_InputUser!$L:$N,3,FALSE),0)</f>
        <v>-7.3472587058744931E-3</v>
      </c>
      <c r="CG14" s="86">
        <f>IFERROR(VLOOKUP($CA$2&amp;"-"&amp; RIGHT(CG$4,1)&amp;"-"&amp;$A14,CC1_InputUser!$L:$N,3,FALSE),0)</f>
        <v>-1.5008195517944412E-2</v>
      </c>
      <c r="CH14" s="86">
        <f>IFERROR(VLOOKUP($CA$2&amp;"-"&amp; RIGHT(CH$4,1)&amp;"-"&amp;$A14,CC1_InputUser!$L:$N,3,FALSE),0)</f>
        <v>0</v>
      </c>
      <c r="CI14" s="86">
        <f>IFERROR(VLOOKUP($CA$2&amp;"-"&amp; RIGHT(CI$4,1)&amp;"-"&amp;$A14,CC1_InputUser!$L:$N,3,FALSE),0)</f>
        <v>0</v>
      </c>
      <c r="CJ14" s="86">
        <f>IFERROR(VLOOKUP($CA$2&amp;"-"&amp; RIGHT(CJ$4,1)&amp;"-"&amp;$A14,CC1_InputUser!$L:$N,3,FALSE),0)</f>
        <v>-1.9637953916919026E-2</v>
      </c>
      <c r="CK14" s="87"/>
      <c r="CL14" s="86">
        <f>IFERROR(VLOOKUP($CL$2&amp;"-"&amp; RIGHT(CL$4,1)&amp;"-"&amp;$A14,CC1_InputUser!$L:$N,2,FALSE),0)</f>
        <v>9.1046160983530022E-3</v>
      </c>
      <c r="CM14" s="86">
        <f>IFERROR(VLOOKUP($CL$2&amp;"-"&amp; RIGHT(CM$4,1)&amp;"-"&amp;$A14,CC1_InputUser!$L:$N,2,FALSE),0)</f>
        <v>1.6778503038170633E-2</v>
      </c>
      <c r="CN14" s="86">
        <f>IFERROR(VLOOKUP($CL$2&amp;"-"&amp; RIGHT(CN$4,1)&amp;"-"&amp;$A14,CC1_InputUser!$L:$N,2,FALSE),0)</f>
        <v>0</v>
      </c>
      <c r="CO14" s="86">
        <f>IFERROR(VLOOKUP($CL$2&amp;"-"&amp; RIGHT(CO$4,1)&amp;"-"&amp;$A14,CC1_InputUser!$L:$N,2,FALSE),0)</f>
        <v>6.7267532284110976E-3</v>
      </c>
      <c r="CP14" s="86">
        <f>IFERROR(VLOOKUP($CL$2&amp;"-"&amp; RIGHT(CP$4,1)&amp;"-"&amp;$A14,CC1_InputUser!$L:$N,2,FALSE),0)</f>
        <v>0</v>
      </c>
      <c r="CQ14" s="86">
        <f>IFERROR(VLOOKUP($CL$2&amp;"-"&amp; RIGHT(CQ$4,1)&amp;"-"&amp;$A14,CC1_InputUser!$L:$N,3,FALSE),0)</f>
        <v>-9.1864270540276127E-4</v>
      </c>
      <c r="CR14" s="86">
        <f>IFERROR(VLOOKUP($CL$2&amp;"-"&amp; RIGHT(CR$4,1)&amp;"-"&amp;$A14,CC1_InputUser!$L:$N,3,FALSE),0)</f>
        <v>-3.2867980633444205E-3</v>
      </c>
      <c r="CS14" s="86">
        <f>IFERROR(VLOOKUP($CL$2&amp;"-"&amp; RIGHT(CS$4,1)&amp;"-"&amp;$A14,CC1_InputUser!$L:$N,3,FALSE),0)</f>
        <v>0</v>
      </c>
      <c r="CT14" s="86">
        <f>IFERROR(VLOOKUP($CL$2&amp;"-"&amp; RIGHT(CT$4,1)&amp;"-"&amp;$A14,CC1_InputUser!$L:$N,3,FALSE),0)</f>
        <v>-3.2652255314110645E-3</v>
      </c>
      <c r="CU14" s="86">
        <f>IFERROR(VLOOKUP($CL$2&amp;"-"&amp; RIGHT(CU$4,1)&amp;"-"&amp;$A14,CC1_InputUser!$L:$N,3,FALSE),0)</f>
        <v>0</v>
      </c>
      <c r="CV14" s="87"/>
      <c r="CW14" s="86">
        <f>IFERROR(VLOOKUP($CW$2&amp;"-"&amp; RIGHT(CW$4,1)&amp;"-"&amp;$A14,CC1_InputUser!$L:$N,2,FALSE),0)</f>
        <v>2.375036862770008E-2</v>
      </c>
      <c r="CX14" s="86">
        <f>IFERROR(VLOOKUP($CW$2&amp;"-"&amp; RIGHT(CX$4,1)&amp;"-"&amp;$A14,CC1_InputUser!$L:$N,2,FALSE),0)</f>
        <v>0</v>
      </c>
      <c r="CY14" s="86">
        <f>IFERROR(VLOOKUP($CW$2&amp;"-"&amp; RIGHT(CY$4,1)&amp;"-"&amp;$A14,CC1_InputUser!$L:$N,2,FALSE),0)</f>
        <v>0</v>
      </c>
      <c r="CZ14" s="86">
        <f>IFERROR(VLOOKUP($CW$2&amp;"-"&amp; RIGHT(CZ$4,1)&amp;"-"&amp;$A14,CC1_InputUser!$L:$N,2,FALSE),0)</f>
        <v>0</v>
      </c>
      <c r="DA14" s="86">
        <f>IFERROR(VLOOKUP($CW$2&amp;"-"&amp; RIGHT(DA$4,1)&amp;"-"&amp;$A14,CC1_InputUser!$L:$N,2,FALSE),0)</f>
        <v>0</v>
      </c>
      <c r="DB14" s="86">
        <f>IFERROR(VLOOKUP($CW$2&amp;"-"&amp; RIGHT(DB$4,1)&amp;"-"&amp;$A14,CC1_InputUser!$L:$N,3,FALSE),0)</f>
        <v>-5.9340178327900173E-3</v>
      </c>
      <c r="DC14" s="86">
        <f>IFERROR(VLOOKUP($CW$2&amp;"-"&amp; RIGHT(DC$4,1)&amp;"-"&amp;$A14,CC1_InputUser!$L:$N,3,FALSE),0)</f>
        <v>0</v>
      </c>
      <c r="DD14" s="86">
        <f>IFERROR(VLOOKUP($CW$2&amp;"-"&amp; RIGHT(DD$4,1)&amp;"-"&amp;$A14,CC1_InputUser!$L:$N,3,FALSE),0)</f>
        <v>0</v>
      </c>
      <c r="DE14" s="86">
        <f>IFERROR(VLOOKUP($CW$2&amp;"-"&amp; RIGHT(DE$4,1)&amp;"-"&amp;$A14,CC1_InputUser!$L:$N,3,FALSE),0)</f>
        <v>0</v>
      </c>
      <c r="DF14" s="86">
        <f>IFERROR(VLOOKUP($CW$2&amp;"-"&amp; RIGHT(DF$4,1)&amp;"-"&amp;$A14,CC1_InputUser!$L:$N,3,FALSE),0)</f>
        <v>0</v>
      </c>
      <c r="DG14" s="87"/>
      <c r="DH14" s="86">
        <f>IFERROR(VLOOKUP($DH$2&amp;"-"&amp; RIGHT(DH$4,1)&amp;"-"&amp;$A14,CC1_InputUser!$L:$N,2,FALSE),0)</f>
        <v>0</v>
      </c>
      <c r="DI14" s="86">
        <f>IFERROR(VLOOKUP($DH$2&amp;"-"&amp; RIGHT(DI$4,1)&amp;"-"&amp;$A14,CC1_InputUser!$L:$N,2,FALSE),0)</f>
        <v>0</v>
      </c>
      <c r="DJ14" s="86">
        <f>IFERROR(VLOOKUP($DH$2&amp;"-"&amp; RIGHT(DJ$4,1)&amp;"-"&amp;$A14,CC1_InputUser!$L:$N,2,FALSE),0)</f>
        <v>0</v>
      </c>
      <c r="DK14" s="86">
        <f>IFERROR(VLOOKUP($DH$2&amp;"-"&amp; RIGHT(DK$4,1)&amp;"-"&amp;$A14,CC1_InputUser!$L:$N,2,FALSE),0)</f>
        <v>0</v>
      </c>
      <c r="DL14" s="86">
        <f>IFERROR(VLOOKUP($DH$2&amp;"-"&amp; RIGHT(DL$4,1)&amp;"-"&amp;$A14,CC1_InputUser!$L:$N,2,FALSE),0)</f>
        <v>0</v>
      </c>
      <c r="DM14" s="86">
        <f>IFERROR(VLOOKUP($DH$2&amp;"-"&amp; RIGHT(DM$4,1)&amp;"-"&amp;$A14,CC1_InputUser!$L:$N,3,FALSE),0)</f>
        <v>0</v>
      </c>
      <c r="DN14" s="86">
        <f>IFERROR(VLOOKUP($DH$2&amp;"-"&amp; RIGHT(DN$4,1)&amp;"-"&amp;$A14,CC1_InputUser!$L:$N,3,FALSE),0)</f>
        <v>0</v>
      </c>
      <c r="DO14" s="86">
        <f>IFERROR(VLOOKUP($DH$2&amp;"-"&amp; RIGHT(DO$4,1)&amp;"-"&amp;$A14,CC1_InputUser!$L:$N,3,FALSE),0)</f>
        <v>0</v>
      </c>
      <c r="DP14" s="86">
        <f>IFERROR(VLOOKUP($DH$2&amp;"-"&amp; RIGHT(DP$4,1)&amp;"-"&amp;$A14,CC1_InputUser!$L:$N,3,FALSE),0)</f>
        <v>0</v>
      </c>
      <c r="DQ14" s="86">
        <f>IFERROR(VLOOKUP($DH$2&amp;"-"&amp; RIGHT(DQ$4,1)&amp;"-"&amp;$A14,CC1_InputUser!$L:$N,3,FALSE),0)</f>
        <v>0</v>
      </c>
      <c r="DR14" s="87"/>
      <c r="DS14" s="86">
        <f>IFERROR(VLOOKUP($DS$2&amp;"-"&amp; RIGHT(DS$4,1)&amp;"-"&amp;$A14,CC1_InputUser!$L:$N,2,FALSE),0)</f>
        <v>0</v>
      </c>
      <c r="DT14" s="86">
        <f>IFERROR(VLOOKUP($DS$2&amp;"-"&amp; RIGHT(DT$4,1)&amp;"-"&amp;$A14,CC1_InputUser!$L:$N,2,FALSE),0)</f>
        <v>0</v>
      </c>
      <c r="DU14" s="86">
        <f>IFERROR(VLOOKUP($DS$2&amp;"-"&amp; RIGHT(DU$4,1)&amp;"-"&amp;$A14,CC1_InputUser!$L:$N,2,FALSE),0)</f>
        <v>0</v>
      </c>
      <c r="DV14" s="86">
        <f>IFERROR(VLOOKUP($DS$2&amp;"-"&amp; RIGHT(DV$4,1)&amp;"-"&amp;$A14,CC1_InputUser!$L:$N,2,FALSE),0)</f>
        <v>0</v>
      </c>
      <c r="DW14" s="86">
        <f>IFERROR(VLOOKUP($DS$2&amp;"-"&amp; RIGHT(DW$4,1)&amp;"-"&amp;$A14,CC1_InputUser!$L:$N,2,FALSE),0)</f>
        <v>0</v>
      </c>
      <c r="DX14" s="86">
        <f>IFERROR(VLOOKUP($DS$2&amp;"-"&amp; RIGHT(DX$4,1)&amp;"-"&amp;$A14,CC1_InputUser!$L:$N,3,FALSE),0)</f>
        <v>0</v>
      </c>
      <c r="DY14" s="86">
        <f>IFERROR(VLOOKUP($DS$2&amp;"-"&amp; RIGHT(DY$4,1)&amp;"-"&amp;$A14,CC1_InputUser!$L:$N,3,FALSE),0)</f>
        <v>0</v>
      </c>
      <c r="DZ14" s="86">
        <f>IFERROR(VLOOKUP($DS$2&amp;"-"&amp; RIGHT(DZ$4,1)&amp;"-"&amp;$A14,CC1_InputUser!$L:$N,3,FALSE),0)</f>
        <v>0</v>
      </c>
      <c r="EA14" s="86">
        <f>IFERROR(VLOOKUP($DS$2&amp;"-"&amp; RIGHT(EA$4,1)&amp;"-"&amp;$A14,CC1_InputUser!$L:$N,3,FALSE),0)</f>
        <v>0</v>
      </c>
      <c r="EB14" s="86">
        <f>IFERROR(VLOOKUP($DS$2&amp;"-"&amp; RIGHT(EB$4,1)&amp;"-"&amp;$A14,CC1_InputUser!$L:$N,3,FALSE),0)</f>
        <v>0</v>
      </c>
      <c r="EC14" s="87"/>
    </row>
    <row r="15" spans="1:133" x14ac:dyDescent="0.3">
      <c r="A15" s="72" t="s">
        <v>71</v>
      </c>
      <c r="B15" s="88">
        <f>IFERROR(VLOOKUP($B$2&amp;"-"&amp; RIGHT(B$4,1)&amp;"-"&amp;$A15,CC1_InputUser!$L:$N,2,FALSE),0)</f>
        <v>0</v>
      </c>
      <c r="C15" s="88">
        <f>IFERROR(VLOOKUP($B$2&amp;"-"&amp; RIGHT(C$4,1)&amp;"-"&amp;$A15,CC1_InputUser!$L:$N,2,FALSE),0)</f>
        <v>0</v>
      </c>
      <c r="D15" s="88">
        <f>IFERROR(VLOOKUP($B$2&amp;"-"&amp; RIGHT(D$4,1)&amp;"-"&amp;$A15,CC1_InputUser!$L:$N,2,FALSE),0)</f>
        <v>0</v>
      </c>
      <c r="E15" s="88">
        <f>IFERROR(VLOOKUP($B$2&amp;"-"&amp; RIGHT(E$4,1)&amp;"-"&amp;$A15,CC1_InputUser!$L:$N,2,FALSE),0)</f>
        <v>0</v>
      </c>
      <c r="F15" s="88">
        <f>IFERROR(VLOOKUP($B$2&amp;"-"&amp; RIGHT(F$4,1)&amp;"-"&amp;$A15,CC1_InputUser!$L:$N,2,FALSE),0)</f>
        <v>0</v>
      </c>
      <c r="G15" s="88">
        <f>IFERROR(VLOOKUP($B$2&amp;"-"&amp; RIGHT(G$4,1)&amp;"-"&amp;$A15,CC1_InputUser!$L:$N,3,FALSE),0)</f>
        <v>0</v>
      </c>
      <c r="H15" s="88">
        <f>IFERROR(VLOOKUP($B$2&amp;"-"&amp; RIGHT(H$4,1)&amp;"-"&amp;$A15,CC1_InputUser!$L:$N,3,FALSE),0)</f>
        <v>0</v>
      </c>
      <c r="I15" s="88">
        <f>IFERROR(VLOOKUP($B$2&amp;"-"&amp; RIGHT(I$4,1)&amp;"-"&amp;$A15,CC1_InputUser!$L:$N,3,FALSE),0)</f>
        <v>0</v>
      </c>
      <c r="J15" s="88">
        <f>IFERROR(VLOOKUP($B$2&amp;"-"&amp; RIGHT(J$4,1)&amp;"-"&amp;$A15,CC1_InputUser!$L:$N,3,FALSE),0)</f>
        <v>0</v>
      </c>
      <c r="K15" s="88">
        <f>IFERROR(VLOOKUP($B$2&amp;"-"&amp; RIGHT(K$4,1)&amp;"-"&amp;$A15,CC1_InputUser!$L:$N,3,FALSE),0)</f>
        <v>0</v>
      </c>
      <c r="L15" s="89"/>
      <c r="M15" s="88">
        <f>IFERROR(VLOOKUP($M$2&amp;"-"&amp; RIGHT(M$4,1)&amp;"-"&amp;$A15,CC1_InputUser!$L:$N,2,FALSE),0)</f>
        <v>0</v>
      </c>
      <c r="N15" s="88">
        <f>IFERROR(VLOOKUP($M$2&amp;"-"&amp; RIGHT(N$4,1)&amp;"-"&amp;$A15,CC1_InputUser!$L:$N,2,FALSE),0)</f>
        <v>0</v>
      </c>
      <c r="O15" s="88">
        <f>IFERROR(VLOOKUP($M$2&amp;"-"&amp; RIGHT(O$4,1)&amp;"-"&amp;$A15,CC1_InputUser!$L:$N,2,FALSE),0)</f>
        <v>0</v>
      </c>
      <c r="P15" s="88">
        <f>IFERROR(VLOOKUP($M$2&amp;"-"&amp; RIGHT(P$4,1)&amp;"-"&amp;$A15,CC1_InputUser!$L:$N,2,FALSE),0)</f>
        <v>0</v>
      </c>
      <c r="Q15" s="88">
        <f>IFERROR(VLOOKUP($M$2&amp;"-"&amp; RIGHT(Q$4,1)&amp;"-"&amp;$A15,CC1_InputUser!$L:$N,2,FALSE),0)</f>
        <v>0</v>
      </c>
      <c r="R15" s="88">
        <f>IFERROR(VLOOKUP($M$2&amp;"-"&amp; RIGHT(R$4,1)&amp;"-"&amp;$A15,CC1_InputUser!$L:$N,3,FALSE),0)</f>
        <v>0</v>
      </c>
      <c r="S15" s="88">
        <f>IFERROR(VLOOKUP($M$2&amp;"-"&amp; RIGHT(S$4,1)&amp;"-"&amp;$A15,CC1_InputUser!$L:$N,3,FALSE),0)</f>
        <v>0</v>
      </c>
      <c r="T15" s="88">
        <f>IFERROR(VLOOKUP($M$2&amp;"-"&amp; RIGHT(T$4,1)&amp;"-"&amp;$A15,CC1_InputUser!$L:$N,3,FALSE),0)</f>
        <v>0</v>
      </c>
      <c r="U15" s="88">
        <f>IFERROR(VLOOKUP($M$2&amp;"-"&amp; RIGHT(U$4,1)&amp;"-"&amp;$A15,CC1_InputUser!$L:$N,3,FALSE),0)</f>
        <v>0</v>
      </c>
      <c r="V15" s="88">
        <f>IFERROR(VLOOKUP($M$2&amp;"-"&amp; RIGHT(V$4,1)&amp;"-"&amp;$A15,CC1_InputUser!$L:$N,3,FALSE),0)</f>
        <v>0</v>
      </c>
      <c r="W15" s="89"/>
      <c r="X15" s="88">
        <f>IFERROR(VLOOKUP($X$2&amp;"-"&amp; RIGHT(X$4,1)&amp;"-"&amp;$A15,CC1_InputUser!$L:$N,2,FALSE),0)</f>
        <v>0</v>
      </c>
      <c r="Y15" s="88">
        <f>IFERROR(VLOOKUP($X$2&amp;"-"&amp; RIGHT(Y$4,1)&amp;"-"&amp;$A15,CC1_InputUser!$L:$N,2,FALSE),0)</f>
        <v>0</v>
      </c>
      <c r="Z15" s="88">
        <f>IFERROR(VLOOKUP($X$2&amp;"-"&amp; RIGHT(Z$4,1)&amp;"-"&amp;$A15,CC1_InputUser!$L:$N,2,FALSE),0)</f>
        <v>0</v>
      </c>
      <c r="AA15" s="88">
        <f>IFERROR(VLOOKUP($X$2&amp;"-"&amp; RIGHT(AA$4,1)&amp;"-"&amp;$A15,CC1_InputUser!$L:$N,2,FALSE),0)</f>
        <v>0</v>
      </c>
      <c r="AB15" s="88">
        <f>IFERROR(VLOOKUP($X$2&amp;"-"&amp; RIGHT(AB$4,1)&amp;"-"&amp;$A15,CC1_InputUser!$L:$N,2,FALSE),0)</f>
        <v>0</v>
      </c>
      <c r="AC15" s="88">
        <f>IFERROR(VLOOKUP($X$2&amp;"-"&amp; RIGHT(AC$4,1)&amp;"-"&amp;$A15,CC1_InputUser!$L:$N,3,FALSE),0)</f>
        <v>0</v>
      </c>
      <c r="AD15" s="88">
        <f>IFERROR(VLOOKUP($X$2&amp;"-"&amp; RIGHT(AD$4,1)&amp;"-"&amp;$A15,CC1_InputUser!$L:$N,3,FALSE),0)</f>
        <v>0</v>
      </c>
      <c r="AE15" s="88">
        <f>IFERROR(VLOOKUP($X$2&amp;"-"&amp; RIGHT(AE$4,1)&amp;"-"&amp;$A15,CC1_InputUser!$L:$N,3,FALSE),0)</f>
        <v>0</v>
      </c>
      <c r="AF15" s="88">
        <f>IFERROR(VLOOKUP($X$2&amp;"-"&amp; RIGHT(AF$4,1)&amp;"-"&amp;$A15,CC1_InputUser!$L:$N,3,FALSE),0)</f>
        <v>0</v>
      </c>
      <c r="AG15" s="88">
        <f>IFERROR(VLOOKUP($X$2&amp;"-"&amp; RIGHT(AG$4,1)&amp;"-"&amp;$A15,CC1_InputUser!$L:$N,3,FALSE),0)</f>
        <v>0</v>
      </c>
      <c r="AH15" s="89"/>
      <c r="AI15" s="88">
        <f>IFERROR(VLOOKUP($AI$2&amp;"-"&amp; RIGHT(AI$4,1)&amp;"-"&amp;$A15,CC1_InputUser!$L:$N,2,FALSE),0)</f>
        <v>0</v>
      </c>
      <c r="AJ15" s="88">
        <f>IFERROR(VLOOKUP($AI$2&amp;"-"&amp; RIGHT(AJ$4,1)&amp;"-"&amp;$A15,CC1_InputUser!$L:$N,2,FALSE),0)</f>
        <v>0</v>
      </c>
      <c r="AK15" s="88">
        <f>IFERROR(VLOOKUP($AI$2&amp;"-"&amp; RIGHT(AK$4,1)&amp;"-"&amp;$A15,CC1_InputUser!$L:$N,2,FALSE),0)</f>
        <v>0</v>
      </c>
      <c r="AL15" s="88">
        <f>IFERROR(VLOOKUP($AI$2&amp;"-"&amp; RIGHT(AL$4,1)&amp;"-"&amp;$A15,CC1_InputUser!$L:$N,2,FALSE),0)</f>
        <v>0</v>
      </c>
      <c r="AM15" s="88">
        <f>IFERROR(VLOOKUP($AI$2&amp;"-"&amp; RIGHT(AM$4,1)&amp;"-"&amp;$A15,CC1_InputUser!$L:$N,2,FALSE),0)</f>
        <v>0</v>
      </c>
      <c r="AN15" s="88">
        <f>IFERROR(VLOOKUP($AI$2&amp;"-"&amp; RIGHT(AN$4,1)&amp;"-"&amp;$A15,CC1_InputUser!$L:$N,3,FALSE),0)</f>
        <v>0</v>
      </c>
      <c r="AO15" s="88">
        <f>IFERROR(VLOOKUP($AI$2&amp;"-"&amp; RIGHT(AO$4,1)&amp;"-"&amp;$A15,CC1_InputUser!$L:$N,3,FALSE),0)</f>
        <v>0</v>
      </c>
      <c r="AP15" s="88">
        <f>IFERROR(VLOOKUP($AI$2&amp;"-"&amp; RIGHT(AP$4,1)&amp;"-"&amp;$A15,CC1_InputUser!$L:$N,3,FALSE),0)</f>
        <v>0</v>
      </c>
      <c r="AQ15" s="88">
        <f>IFERROR(VLOOKUP($AI$2&amp;"-"&amp; RIGHT(AQ$4,1)&amp;"-"&amp;$A15,CC1_InputUser!$L:$N,3,FALSE),0)</f>
        <v>0</v>
      </c>
      <c r="AR15" s="88">
        <f>IFERROR(VLOOKUP($AI$2&amp;"-"&amp; RIGHT(AR$4,1)&amp;"-"&amp;$A15,CC1_InputUser!$L:$N,3,FALSE),0)</f>
        <v>0</v>
      </c>
      <c r="AS15" s="89"/>
      <c r="AT15" s="88">
        <f>IFERROR(VLOOKUP($AT$2&amp;"-"&amp; RIGHT(AT$4,1)&amp;"-"&amp;$A15,CC1_InputUser!$L:$N,2,FALSE),0)</f>
        <v>0</v>
      </c>
      <c r="AU15" s="88">
        <f>IFERROR(VLOOKUP($AT$2&amp;"-"&amp; RIGHT(AU$4,1)&amp;"-"&amp;$A15,CC1_InputUser!$L:$N,2,FALSE),0)</f>
        <v>0</v>
      </c>
      <c r="AV15" s="88">
        <f>IFERROR(VLOOKUP($AT$2&amp;"-"&amp; RIGHT(AV$4,1)&amp;"-"&amp;$A15,CC1_InputUser!$L:$N,2,FALSE),0)</f>
        <v>0</v>
      </c>
      <c r="AW15" s="88">
        <f>IFERROR(VLOOKUP($AT$2&amp;"-"&amp; RIGHT(AW$4,1)&amp;"-"&amp;$A15,CC1_InputUser!$L:$N,2,FALSE),0)</f>
        <v>0</v>
      </c>
      <c r="AX15" s="88">
        <f>IFERROR(VLOOKUP($AT$2&amp;"-"&amp; RIGHT(AX$4,1)&amp;"-"&amp;$A15,CC1_InputUser!$L:$N,2,FALSE),0)</f>
        <v>0</v>
      </c>
      <c r="AY15" s="88">
        <f>IFERROR(VLOOKUP($AT$2&amp;"-"&amp; RIGHT(AY$4,1)&amp;"-"&amp;$A15,CC1_InputUser!$L:$N,3,FALSE),0)</f>
        <v>0</v>
      </c>
      <c r="AZ15" s="88">
        <f>IFERROR(VLOOKUP($AT$2&amp;"-"&amp; RIGHT(AZ$4,1)&amp;"-"&amp;$A15,CC1_InputUser!$L:$N,3,FALSE),0)</f>
        <v>0</v>
      </c>
      <c r="BA15" s="88">
        <f>IFERROR(VLOOKUP($AT$2&amp;"-"&amp; RIGHT(BA$4,1)&amp;"-"&amp;$A15,CC1_InputUser!$L:$N,3,FALSE),0)</f>
        <v>0</v>
      </c>
      <c r="BB15" s="88">
        <f>IFERROR(VLOOKUP($AT$2&amp;"-"&amp; RIGHT(BB$4,1)&amp;"-"&amp;$A15,CC1_InputUser!$L:$N,3,FALSE),0)</f>
        <v>0</v>
      </c>
      <c r="BC15" s="88">
        <f>IFERROR(VLOOKUP($AT$2&amp;"-"&amp; RIGHT(BC$4,1)&amp;"-"&amp;$A15,CC1_InputUser!$L:$N,3,FALSE),0)</f>
        <v>0</v>
      </c>
      <c r="BD15" s="89"/>
      <c r="BE15" s="88">
        <f>IFERROR(VLOOKUP($AT$2&amp;"-"&amp; RIGHT(BE$4,1)&amp;"-"&amp;$A15,CC1_InputUser!$L:$N,2,FALSE),0)</f>
        <v>0</v>
      </c>
      <c r="BF15" s="88">
        <f>IFERROR(VLOOKUP($AT$2&amp;"-"&amp; RIGHT(BF$4,1)&amp;"-"&amp;$A15,CC1_InputUser!$L:$N,2,FALSE),0)</f>
        <v>0</v>
      </c>
      <c r="BG15" s="88">
        <f>IFERROR(VLOOKUP($AT$2&amp;"-"&amp; RIGHT(BG$4,1)&amp;"-"&amp;$A15,CC1_InputUser!$L:$N,2,FALSE),0)</f>
        <v>0</v>
      </c>
      <c r="BH15" s="88">
        <f>IFERROR(VLOOKUP($AT$2&amp;"-"&amp; RIGHT(BH$4,1)&amp;"-"&amp;$A15,CC1_InputUser!$L:$N,2,FALSE),0)</f>
        <v>0</v>
      </c>
      <c r="BI15" s="88">
        <f>IFERROR(VLOOKUP($AT$2&amp;"-"&amp; RIGHT(BI$4,1)&amp;"-"&amp;$A15,CC1_InputUser!$L:$N,2,FALSE),0)</f>
        <v>0</v>
      </c>
      <c r="BJ15" s="88">
        <f>IFERROR(VLOOKUP($AT$2&amp;"-"&amp; RIGHT(BJ$4,1)&amp;"-"&amp;$A15,CC1_InputUser!$L:$N,3,FALSE),0)</f>
        <v>0</v>
      </c>
      <c r="BK15" s="88">
        <f>IFERROR(VLOOKUP($AT$2&amp;"-"&amp; RIGHT(BK$4,1)&amp;"-"&amp;$A15,CC1_InputUser!$L:$N,3,FALSE),0)</f>
        <v>0</v>
      </c>
      <c r="BL15" s="88">
        <f>IFERROR(VLOOKUP($AT$2&amp;"-"&amp; RIGHT(BL$4,1)&amp;"-"&amp;$A15,CC1_InputUser!$L:$N,3,FALSE),0)</f>
        <v>0</v>
      </c>
      <c r="BM15" s="88">
        <f>IFERROR(VLOOKUP($AT$2&amp;"-"&amp; RIGHT(BM$4,1)&amp;"-"&amp;$A15,CC1_InputUser!$L:$N,3,FALSE),0)</f>
        <v>0</v>
      </c>
      <c r="BN15" s="88">
        <f>IFERROR(VLOOKUP($AT$2&amp;"-"&amp; RIGHT(BN$4,1)&amp;"-"&amp;$A15,CC1_InputUser!$L:$N,3,FALSE),0)</f>
        <v>0</v>
      </c>
      <c r="BO15" s="89"/>
      <c r="BP15" s="88">
        <f>IFERROR(VLOOKUP($BP$2&amp;"-"&amp; RIGHT(BP$4,1)&amp;"-"&amp;$A15,CC1_InputUser!$L:$N,2,FALSE),0)</f>
        <v>0</v>
      </c>
      <c r="BQ15" s="88">
        <f>IFERROR(VLOOKUP($BP$2&amp;"-"&amp; RIGHT(BQ$4,1)&amp;"-"&amp;$A15,CC1_InputUser!$L:$N,2,FALSE),0)</f>
        <v>0</v>
      </c>
      <c r="BR15" s="88">
        <f>IFERROR(VLOOKUP($BP$2&amp;"-"&amp; RIGHT(BR$4,1)&amp;"-"&amp;$A15,CC1_InputUser!$L:$N,2,FALSE),0)</f>
        <v>0</v>
      </c>
      <c r="BS15" s="88">
        <f>IFERROR(VLOOKUP($BP$2&amp;"-"&amp; RIGHT(BS$4,1)&amp;"-"&amp;$A15,CC1_InputUser!$L:$N,2,FALSE),0)</f>
        <v>0</v>
      </c>
      <c r="BT15" s="88">
        <f>IFERROR(VLOOKUP($BP$2&amp;"-"&amp; RIGHT(BT$4,1)&amp;"-"&amp;$A15,CC1_InputUser!$L:$N,2,FALSE),0)</f>
        <v>0</v>
      </c>
      <c r="BU15" s="88">
        <f>IFERROR(VLOOKUP($BP$2&amp;"-"&amp; RIGHT(BU$4,1)&amp;"-"&amp;$A15,CC1_InputUser!$L:$N,3,FALSE),0)</f>
        <v>0</v>
      </c>
      <c r="BV15" s="88">
        <f>IFERROR(VLOOKUP($BP$2&amp;"-"&amp; RIGHT(BV$4,1)&amp;"-"&amp;$A15,CC1_InputUser!$L:$N,3,FALSE),0)</f>
        <v>0</v>
      </c>
      <c r="BW15" s="88">
        <f>IFERROR(VLOOKUP($BP$2&amp;"-"&amp; RIGHT(BW$4,1)&amp;"-"&amp;$A15,CC1_InputUser!$L:$N,3,FALSE),0)</f>
        <v>0</v>
      </c>
      <c r="BX15" s="88">
        <f>IFERROR(VLOOKUP($BP$2&amp;"-"&amp; RIGHT(BX$4,1)&amp;"-"&amp;$A15,CC1_InputUser!$L:$N,3,FALSE),0)</f>
        <v>0</v>
      </c>
      <c r="BY15" s="88">
        <f>IFERROR(VLOOKUP($BP$2&amp;"-"&amp; RIGHT(BY$4,1)&amp;"-"&amp;$A15,CC1_InputUser!$L:$N,3,FALSE),0)</f>
        <v>0</v>
      </c>
      <c r="BZ15" s="89"/>
      <c r="CA15" s="88">
        <f>IFERROR(VLOOKUP($CA$2&amp;"-"&amp; RIGHT(CA$4,1)&amp;"-"&amp;$A15,CC1_InputUser!$L:$N,2,FALSE),0)</f>
        <v>0</v>
      </c>
      <c r="CB15" s="88">
        <f>IFERROR(VLOOKUP($CA$2&amp;"-"&amp; RIGHT(CB$4,1)&amp;"-"&amp;$A15,CC1_InputUser!$L:$N,2,FALSE),0)</f>
        <v>0</v>
      </c>
      <c r="CC15" s="88">
        <f>IFERROR(VLOOKUP($CA$2&amp;"-"&amp; RIGHT(CC$4,1)&amp;"-"&amp;$A15,CC1_InputUser!$L:$N,2,FALSE),0)</f>
        <v>0</v>
      </c>
      <c r="CD15" s="88">
        <f>IFERROR(VLOOKUP($CA$2&amp;"-"&amp; RIGHT(CD$4,1)&amp;"-"&amp;$A15,CC1_InputUser!$L:$N,2,FALSE),0)</f>
        <v>0</v>
      </c>
      <c r="CE15" s="88">
        <f>IFERROR(VLOOKUP($CA$2&amp;"-"&amp; RIGHT(CE$4,1)&amp;"-"&amp;$A15,CC1_InputUser!$L:$N,2,FALSE),0)</f>
        <v>0</v>
      </c>
      <c r="CF15" s="88">
        <f>IFERROR(VLOOKUP($CA$2&amp;"-"&amp; RIGHT(CF$4,1)&amp;"-"&amp;$A15,CC1_InputUser!$L:$N,3,FALSE),0)</f>
        <v>0</v>
      </c>
      <c r="CG15" s="88">
        <f>IFERROR(VLOOKUP($CA$2&amp;"-"&amp; RIGHT(CG$4,1)&amp;"-"&amp;$A15,CC1_InputUser!$L:$N,3,FALSE),0)</f>
        <v>0</v>
      </c>
      <c r="CH15" s="88">
        <f>IFERROR(VLOOKUP($CA$2&amp;"-"&amp; RIGHT(CH$4,1)&amp;"-"&amp;$A15,CC1_InputUser!$L:$N,3,FALSE),0)</f>
        <v>0</v>
      </c>
      <c r="CI15" s="88">
        <f>IFERROR(VLOOKUP($CA$2&amp;"-"&amp; RIGHT(CI$4,1)&amp;"-"&amp;$A15,CC1_InputUser!$L:$N,3,FALSE),0)</f>
        <v>0</v>
      </c>
      <c r="CJ15" s="88">
        <f>IFERROR(VLOOKUP($CA$2&amp;"-"&amp; RIGHT(CJ$4,1)&amp;"-"&amp;$A15,CC1_InputUser!$L:$N,3,FALSE),0)</f>
        <v>-4.6206381746815017E-3</v>
      </c>
      <c r="CK15" s="89"/>
      <c r="CL15" s="88">
        <f>IFERROR(VLOOKUP($CL$2&amp;"-"&amp; RIGHT(CL$4,1)&amp;"-"&amp;$A15,CC1_InputUser!$L:$N,2,FALSE),0)</f>
        <v>0</v>
      </c>
      <c r="CM15" s="88">
        <f>IFERROR(VLOOKUP($CL$2&amp;"-"&amp; RIGHT(CM$4,1)&amp;"-"&amp;$A15,CC1_InputUser!$L:$N,2,FALSE),0)</f>
        <v>0</v>
      </c>
      <c r="CN15" s="88">
        <f>IFERROR(VLOOKUP($CL$2&amp;"-"&amp; RIGHT(CN$4,1)&amp;"-"&amp;$A15,CC1_InputUser!$L:$N,2,FALSE),0)</f>
        <v>0</v>
      </c>
      <c r="CO15" s="88">
        <f>IFERROR(VLOOKUP($CL$2&amp;"-"&amp; RIGHT(CO$4,1)&amp;"-"&amp;$A15,CC1_InputUser!$L:$N,2,FALSE),0)</f>
        <v>0</v>
      </c>
      <c r="CP15" s="88">
        <f>IFERROR(VLOOKUP($CL$2&amp;"-"&amp; RIGHT(CP$4,1)&amp;"-"&amp;$A15,CC1_InputUser!$L:$N,2,FALSE),0)</f>
        <v>0</v>
      </c>
      <c r="CQ15" s="88">
        <f>IFERROR(VLOOKUP($CL$2&amp;"-"&amp; RIGHT(CQ$4,1)&amp;"-"&amp;$A15,CC1_InputUser!$L:$N,3,FALSE),0)</f>
        <v>0</v>
      </c>
      <c r="CR15" s="88">
        <f>IFERROR(VLOOKUP($CL$2&amp;"-"&amp; RIGHT(CR$4,1)&amp;"-"&amp;$A15,CC1_InputUser!$L:$N,3,FALSE),0)</f>
        <v>0</v>
      </c>
      <c r="CS15" s="88">
        <f>IFERROR(VLOOKUP($CL$2&amp;"-"&amp; RIGHT(CS$4,1)&amp;"-"&amp;$A15,CC1_InputUser!$L:$N,3,FALSE),0)</f>
        <v>0</v>
      </c>
      <c r="CT15" s="88">
        <f>IFERROR(VLOOKUP($CL$2&amp;"-"&amp; RIGHT(CT$4,1)&amp;"-"&amp;$A15,CC1_InputUser!$L:$N,3,FALSE),0)</f>
        <v>0</v>
      </c>
      <c r="CU15" s="88">
        <f>IFERROR(VLOOKUP($CL$2&amp;"-"&amp; RIGHT(CU$4,1)&amp;"-"&amp;$A15,CC1_InputUser!$L:$N,3,FALSE),0)</f>
        <v>0</v>
      </c>
      <c r="CV15" s="89"/>
      <c r="CW15" s="88">
        <f>IFERROR(VLOOKUP($CW$2&amp;"-"&amp; RIGHT(CW$4,1)&amp;"-"&amp;$A15,CC1_InputUser!$L:$N,2,FALSE),0)</f>
        <v>0</v>
      </c>
      <c r="CX15" s="88">
        <f>IFERROR(VLOOKUP($CW$2&amp;"-"&amp; RIGHT(CX$4,1)&amp;"-"&amp;$A15,CC1_InputUser!$L:$N,2,FALSE),0)</f>
        <v>0</v>
      </c>
      <c r="CY15" s="88">
        <f>IFERROR(VLOOKUP($CW$2&amp;"-"&amp; RIGHT(CY$4,1)&amp;"-"&amp;$A15,CC1_InputUser!$L:$N,2,FALSE),0)</f>
        <v>0</v>
      </c>
      <c r="CZ15" s="88">
        <f>IFERROR(VLOOKUP($CW$2&amp;"-"&amp; RIGHT(CZ$4,1)&amp;"-"&amp;$A15,CC1_InputUser!$L:$N,2,FALSE),0)</f>
        <v>0</v>
      </c>
      <c r="DA15" s="88">
        <f>IFERROR(VLOOKUP($CW$2&amp;"-"&amp; RIGHT(DA$4,1)&amp;"-"&amp;$A15,CC1_InputUser!$L:$N,2,FALSE),0)</f>
        <v>0</v>
      </c>
      <c r="DB15" s="88">
        <f>IFERROR(VLOOKUP($CW$2&amp;"-"&amp; RIGHT(DB$4,1)&amp;"-"&amp;$A15,CC1_InputUser!$L:$N,3,FALSE),0)</f>
        <v>0</v>
      </c>
      <c r="DC15" s="88">
        <f>IFERROR(VLOOKUP($CW$2&amp;"-"&amp; RIGHT(DC$4,1)&amp;"-"&amp;$A15,CC1_InputUser!$L:$N,3,FALSE),0)</f>
        <v>0</v>
      </c>
      <c r="DD15" s="88">
        <f>IFERROR(VLOOKUP($CW$2&amp;"-"&amp; RIGHT(DD$4,1)&amp;"-"&amp;$A15,CC1_InputUser!$L:$N,3,FALSE),0)</f>
        <v>0</v>
      </c>
      <c r="DE15" s="88">
        <f>IFERROR(VLOOKUP($CW$2&amp;"-"&amp; RIGHT(DE$4,1)&amp;"-"&amp;$A15,CC1_InputUser!$L:$N,3,FALSE),0)</f>
        <v>0</v>
      </c>
      <c r="DF15" s="88">
        <f>IFERROR(VLOOKUP($CW$2&amp;"-"&amp; RIGHT(DF$4,1)&amp;"-"&amp;$A15,CC1_InputUser!$L:$N,3,FALSE),0)</f>
        <v>0</v>
      </c>
      <c r="DG15" s="89"/>
      <c r="DH15" s="88">
        <f>IFERROR(VLOOKUP($DH$2&amp;"-"&amp; RIGHT(DH$4,1)&amp;"-"&amp;$A15,CC1_InputUser!$L:$N,2,FALSE),0)</f>
        <v>0</v>
      </c>
      <c r="DI15" s="88">
        <f>IFERROR(VLOOKUP($DH$2&amp;"-"&amp; RIGHT(DI$4,1)&amp;"-"&amp;$A15,CC1_InputUser!$L:$N,2,FALSE),0)</f>
        <v>0</v>
      </c>
      <c r="DJ15" s="88">
        <f>IFERROR(VLOOKUP($DH$2&amp;"-"&amp; RIGHT(DJ$4,1)&amp;"-"&amp;$A15,CC1_InputUser!$L:$N,2,FALSE),0)</f>
        <v>0</v>
      </c>
      <c r="DK15" s="88">
        <f>IFERROR(VLOOKUP($DH$2&amp;"-"&amp; RIGHT(DK$4,1)&amp;"-"&amp;$A15,CC1_InputUser!$L:$N,2,FALSE),0)</f>
        <v>0</v>
      </c>
      <c r="DL15" s="88">
        <f>IFERROR(VLOOKUP($DH$2&amp;"-"&amp; RIGHT(DL$4,1)&amp;"-"&amp;$A15,CC1_InputUser!$L:$N,2,FALSE),0)</f>
        <v>0</v>
      </c>
      <c r="DM15" s="88">
        <f>IFERROR(VLOOKUP($DH$2&amp;"-"&amp; RIGHT(DM$4,1)&amp;"-"&amp;$A15,CC1_InputUser!$L:$N,3,FALSE),0)</f>
        <v>0</v>
      </c>
      <c r="DN15" s="88">
        <f>IFERROR(VLOOKUP($DH$2&amp;"-"&amp; RIGHT(DN$4,1)&amp;"-"&amp;$A15,CC1_InputUser!$L:$N,3,FALSE),0)</f>
        <v>0</v>
      </c>
      <c r="DO15" s="88">
        <f>IFERROR(VLOOKUP($DH$2&amp;"-"&amp; RIGHT(DO$4,1)&amp;"-"&amp;$A15,CC1_InputUser!$L:$N,3,FALSE),0)</f>
        <v>0</v>
      </c>
      <c r="DP15" s="88">
        <f>IFERROR(VLOOKUP($DH$2&amp;"-"&amp; RIGHT(DP$4,1)&amp;"-"&amp;$A15,CC1_InputUser!$L:$N,3,FALSE),0)</f>
        <v>0</v>
      </c>
      <c r="DQ15" s="88">
        <f>IFERROR(VLOOKUP($DH$2&amp;"-"&amp; RIGHT(DQ$4,1)&amp;"-"&amp;$A15,CC1_InputUser!$L:$N,3,FALSE),0)</f>
        <v>0</v>
      </c>
      <c r="DR15" s="89"/>
      <c r="DS15" s="88">
        <f>IFERROR(VLOOKUP($DS$2&amp;"-"&amp; RIGHT(DS$4,1)&amp;"-"&amp;$A15,CC1_InputUser!$L:$N,2,FALSE),0)</f>
        <v>0</v>
      </c>
      <c r="DT15" s="88">
        <f>IFERROR(VLOOKUP($DS$2&amp;"-"&amp; RIGHT(DT$4,1)&amp;"-"&amp;$A15,CC1_InputUser!$L:$N,2,FALSE),0)</f>
        <v>0</v>
      </c>
      <c r="DU15" s="88">
        <f>IFERROR(VLOOKUP($DS$2&amp;"-"&amp; RIGHT(DU$4,1)&amp;"-"&amp;$A15,CC1_InputUser!$L:$N,2,FALSE),0)</f>
        <v>0</v>
      </c>
      <c r="DV15" s="88">
        <f>IFERROR(VLOOKUP($DS$2&amp;"-"&amp; RIGHT(DV$4,1)&amp;"-"&amp;$A15,CC1_InputUser!$L:$N,2,FALSE),0)</f>
        <v>0</v>
      </c>
      <c r="DW15" s="88">
        <f>IFERROR(VLOOKUP($DS$2&amp;"-"&amp; RIGHT(DW$4,1)&amp;"-"&amp;$A15,CC1_InputUser!$L:$N,2,FALSE),0)</f>
        <v>0</v>
      </c>
      <c r="DX15" s="88">
        <f>IFERROR(VLOOKUP($DS$2&amp;"-"&amp; RIGHT(DX$4,1)&amp;"-"&amp;$A15,CC1_InputUser!$L:$N,3,FALSE),0)</f>
        <v>0</v>
      </c>
      <c r="DY15" s="88">
        <f>IFERROR(VLOOKUP($DS$2&amp;"-"&amp; RIGHT(DY$4,1)&amp;"-"&amp;$A15,CC1_InputUser!$L:$N,3,FALSE),0)</f>
        <v>0</v>
      </c>
      <c r="DZ15" s="88">
        <f>IFERROR(VLOOKUP($DS$2&amp;"-"&amp; RIGHT(DZ$4,1)&amp;"-"&amp;$A15,CC1_InputUser!$L:$N,3,FALSE),0)</f>
        <v>0</v>
      </c>
      <c r="EA15" s="88">
        <f>IFERROR(VLOOKUP($DS$2&amp;"-"&amp; RIGHT(EA$4,1)&amp;"-"&amp;$A15,CC1_InputUser!$L:$N,3,FALSE),0)</f>
        <v>0</v>
      </c>
      <c r="EB15" s="88">
        <f>IFERROR(VLOOKUP($DS$2&amp;"-"&amp; RIGHT(EB$4,1)&amp;"-"&amp;$A15,CC1_InputUser!$L:$N,3,FALSE),0)</f>
        <v>0</v>
      </c>
      <c r="EC15" s="89"/>
    </row>
    <row r="16" spans="1:133" x14ac:dyDescent="0.3">
      <c r="A16" s="71" t="s">
        <v>69</v>
      </c>
      <c r="B16" s="86">
        <f>IFERROR(VLOOKUP($B$2&amp;"-"&amp; RIGHT(B$4,1)&amp;"-"&amp;$A16,CC1_InputUser!$L:$N,2,FALSE),0)</f>
        <v>0</v>
      </c>
      <c r="C16" s="86">
        <f>IFERROR(VLOOKUP($B$2&amp;"-"&amp; RIGHT(C$4,1)&amp;"-"&amp;$A16,CC1_InputUser!$L:$N,2,FALSE),0)</f>
        <v>0</v>
      </c>
      <c r="D16" s="86">
        <f>IFERROR(VLOOKUP($B$2&amp;"-"&amp; RIGHT(D$4,1)&amp;"-"&amp;$A16,CC1_InputUser!$L:$N,2,FALSE),0)</f>
        <v>0</v>
      </c>
      <c r="E16" s="86">
        <f>IFERROR(VLOOKUP($B$2&amp;"-"&amp; RIGHT(E$4,1)&amp;"-"&amp;$A16,CC1_InputUser!$L:$N,2,FALSE),0)</f>
        <v>0</v>
      </c>
      <c r="F16" s="86">
        <f>IFERROR(VLOOKUP($B$2&amp;"-"&amp; RIGHT(F$4,1)&amp;"-"&amp;$A16,CC1_InputUser!$L:$N,2,FALSE),0)</f>
        <v>0</v>
      </c>
      <c r="G16" s="86">
        <f>IFERROR(VLOOKUP($B$2&amp;"-"&amp; RIGHT(G$4,1)&amp;"-"&amp;$A16,CC1_InputUser!$L:$N,3,FALSE),0)</f>
        <v>0</v>
      </c>
      <c r="H16" s="86">
        <f>IFERROR(VLOOKUP($B$2&amp;"-"&amp; RIGHT(H$4,1)&amp;"-"&amp;$A16,CC1_InputUser!$L:$N,3,FALSE),0)</f>
        <v>0</v>
      </c>
      <c r="I16" s="86">
        <f>IFERROR(VLOOKUP($B$2&amp;"-"&amp; RIGHT(I$4,1)&amp;"-"&amp;$A16,CC1_InputUser!$L:$N,3,FALSE),0)</f>
        <v>0</v>
      </c>
      <c r="J16" s="86">
        <f>IFERROR(VLOOKUP($B$2&amp;"-"&amp; RIGHT(J$4,1)&amp;"-"&amp;$A16,CC1_InputUser!$L:$N,3,FALSE),0)</f>
        <v>0</v>
      </c>
      <c r="K16" s="86">
        <f>IFERROR(VLOOKUP($B$2&amp;"-"&amp; RIGHT(K$4,1)&amp;"-"&amp;$A16,CC1_InputUser!$L:$N,3,FALSE),0)</f>
        <v>0</v>
      </c>
      <c r="L16" s="87"/>
      <c r="M16" s="86">
        <f>IFERROR(VLOOKUP($M$2&amp;"-"&amp; RIGHT(M$4,1)&amp;"-"&amp;$A16,CC1_InputUser!$L:$N,2,FALSE),0)</f>
        <v>0</v>
      </c>
      <c r="N16" s="86">
        <f>IFERROR(VLOOKUP($M$2&amp;"-"&amp; RIGHT(N$4,1)&amp;"-"&amp;$A16,CC1_InputUser!$L:$N,2,FALSE),0)</f>
        <v>0</v>
      </c>
      <c r="O16" s="86">
        <f>IFERROR(VLOOKUP($M$2&amp;"-"&amp; RIGHT(O$4,1)&amp;"-"&amp;$A16,CC1_InputUser!$L:$N,2,FALSE),0)</f>
        <v>0</v>
      </c>
      <c r="P16" s="86">
        <f>IFERROR(VLOOKUP($M$2&amp;"-"&amp; RIGHT(P$4,1)&amp;"-"&amp;$A16,CC1_InputUser!$L:$N,2,FALSE),0)</f>
        <v>0</v>
      </c>
      <c r="Q16" s="86">
        <f>IFERROR(VLOOKUP($M$2&amp;"-"&amp; RIGHT(Q$4,1)&amp;"-"&amp;$A16,CC1_InputUser!$L:$N,2,FALSE),0)</f>
        <v>0</v>
      </c>
      <c r="R16" s="86">
        <f>IFERROR(VLOOKUP($M$2&amp;"-"&amp; RIGHT(R$4,1)&amp;"-"&amp;$A16,CC1_InputUser!$L:$N,3,FALSE),0)</f>
        <v>0</v>
      </c>
      <c r="S16" s="86">
        <f>IFERROR(VLOOKUP($M$2&amp;"-"&amp; RIGHT(S$4,1)&amp;"-"&amp;$A16,CC1_InputUser!$L:$N,3,FALSE),0)</f>
        <v>0</v>
      </c>
      <c r="T16" s="86">
        <f>IFERROR(VLOOKUP($M$2&amp;"-"&amp; RIGHT(T$4,1)&amp;"-"&amp;$A16,CC1_InputUser!$L:$N,3,FALSE),0)</f>
        <v>0</v>
      </c>
      <c r="U16" s="86">
        <f>IFERROR(VLOOKUP($M$2&amp;"-"&amp; RIGHT(U$4,1)&amp;"-"&amp;$A16,CC1_InputUser!$L:$N,3,FALSE),0)</f>
        <v>0</v>
      </c>
      <c r="V16" s="86">
        <f>IFERROR(VLOOKUP($M$2&amp;"-"&amp; RIGHT(V$4,1)&amp;"-"&amp;$A16,CC1_InputUser!$L:$N,3,FALSE),0)</f>
        <v>0</v>
      </c>
      <c r="W16" s="87"/>
      <c r="X16" s="86">
        <f>IFERROR(VLOOKUP($X$2&amp;"-"&amp; RIGHT(X$4,1)&amp;"-"&amp;$A16,CC1_InputUser!$L:$N,2,FALSE),0)</f>
        <v>0</v>
      </c>
      <c r="Y16" s="86">
        <f>IFERROR(VLOOKUP($X$2&amp;"-"&amp; RIGHT(Y$4,1)&amp;"-"&amp;$A16,CC1_InputUser!$L:$N,2,FALSE),0)</f>
        <v>0</v>
      </c>
      <c r="Z16" s="86">
        <f>IFERROR(VLOOKUP($X$2&amp;"-"&amp; RIGHT(Z$4,1)&amp;"-"&amp;$A16,CC1_InputUser!$L:$N,2,FALSE),0)</f>
        <v>0</v>
      </c>
      <c r="AA16" s="86">
        <f>IFERROR(VLOOKUP($X$2&amp;"-"&amp; RIGHT(AA$4,1)&amp;"-"&amp;$A16,CC1_InputUser!$L:$N,2,FALSE),0)</f>
        <v>0</v>
      </c>
      <c r="AB16" s="86">
        <f>IFERROR(VLOOKUP($X$2&amp;"-"&amp; RIGHT(AB$4,1)&amp;"-"&amp;$A16,CC1_InputUser!$L:$N,2,FALSE),0)</f>
        <v>0</v>
      </c>
      <c r="AC16" s="86">
        <f>IFERROR(VLOOKUP($X$2&amp;"-"&amp; RIGHT(AC$4,1)&amp;"-"&amp;$A16,CC1_InputUser!$L:$N,3,FALSE),0)</f>
        <v>0</v>
      </c>
      <c r="AD16" s="86">
        <f>IFERROR(VLOOKUP($X$2&amp;"-"&amp; RIGHT(AD$4,1)&amp;"-"&amp;$A16,CC1_InputUser!$L:$N,3,FALSE),0)</f>
        <v>0</v>
      </c>
      <c r="AE16" s="86">
        <f>IFERROR(VLOOKUP($X$2&amp;"-"&amp; RIGHT(AE$4,1)&amp;"-"&amp;$A16,CC1_InputUser!$L:$N,3,FALSE),0)</f>
        <v>0</v>
      </c>
      <c r="AF16" s="86">
        <f>IFERROR(VLOOKUP($X$2&amp;"-"&amp; RIGHT(AF$4,1)&amp;"-"&amp;$A16,CC1_InputUser!$L:$N,3,FALSE),0)</f>
        <v>0</v>
      </c>
      <c r="AG16" s="86">
        <f>IFERROR(VLOOKUP($X$2&amp;"-"&amp; RIGHT(AG$4,1)&amp;"-"&amp;$A16,CC1_InputUser!$L:$N,3,FALSE),0)</f>
        <v>0</v>
      </c>
      <c r="AH16" s="87"/>
      <c r="AI16" s="86">
        <f>IFERROR(VLOOKUP($AI$2&amp;"-"&amp; RIGHT(AI$4,1)&amp;"-"&amp;$A16,CC1_InputUser!$L:$N,2,FALSE),0)</f>
        <v>0</v>
      </c>
      <c r="AJ16" s="86">
        <f>IFERROR(VLOOKUP($AI$2&amp;"-"&amp; RIGHT(AJ$4,1)&amp;"-"&amp;$A16,CC1_InputUser!$L:$N,2,FALSE),0)</f>
        <v>0</v>
      </c>
      <c r="AK16" s="86">
        <f>IFERROR(VLOOKUP($AI$2&amp;"-"&amp; RIGHT(AK$4,1)&amp;"-"&amp;$A16,CC1_InputUser!$L:$N,2,FALSE),0)</f>
        <v>0</v>
      </c>
      <c r="AL16" s="86">
        <f>IFERROR(VLOOKUP($AI$2&amp;"-"&amp; RIGHT(AL$4,1)&amp;"-"&amp;$A16,CC1_InputUser!$L:$N,2,FALSE),0)</f>
        <v>0</v>
      </c>
      <c r="AM16" s="86">
        <f>IFERROR(VLOOKUP($AI$2&amp;"-"&amp; RIGHT(AM$4,1)&amp;"-"&amp;$A16,CC1_InputUser!$L:$N,2,FALSE),0)</f>
        <v>0</v>
      </c>
      <c r="AN16" s="86">
        <f>IFERROR(VLOOKUP($AI$2&amp;"-"&amp; RIGHT(AN$4,1)&amp;"-"&amp;$A16,CC1_InputUser!$L:$N,3,FALSE),0)</f>
        <v>0</v>
      </c>
      <c r="AO16" s="86">
        <f>IFERROR(VLOOKUP($AI$2&amp;"-"&amp; RIGHT(AO$4,1)&amp;"-"&amp;$A16,CC1_InputUser!$L:$N,3,FALSE),0)</f>
        <v>0</v>
      </c>
      <c r="AP16" s="86">
        <f>IFERROR(VLOOKUP($AI$2&amp;"-"&amp; RIGHT(AP$4,1)&amp;"-"&amp;$A16,CC1_InputUser!$L:$N,3,FALSE),0)</f>
        <v>0</v>
      </c>
      <c r="AQ16" s="86">
        <f>IFERROR(VLOOKUP($AI$2&amp;"-"&amp; RIGHT(AQ$4,1)&amp;"-"&amp;$A16,CC1_InputUser!$L:$N,3,FALSE),0)</f>
        <v>0</v>
      </c>
      <c r="AR16" s="86">
        <f>IFERROR(VLOOKUP($AI$2&amp;"-"&amp; RIGHT(AR$4,1)&amp;"-"&amp;$A16,CC1_InputUser!$L:$N,3,FALSE),0)</f>
        <v>0</v>
      </c>
      <c r="AS16" s="87"/>
      <c r="AT16" s="86">
        <f>IFERROR(VLOOKUP($AT$2&amp;"-"&amp; RIGHT(AT$4,1)&amp;"-"&amp;$A16,CC1_InputUser!$L:$N,2,FALSE),0)</f>
        <v>0</v>
      </c>
      <c r="AU16" s="86">
        <f>IFERROR(VLOOKUP($AT$2&amp;"-"&amp; RIGHT(AU$4,1)&amp;"-"&amp;$A16,CC1_InputUser!$L:$N,2,FALSE),0)</f>
        <v>0</v>
      </c>
      <c r="AV16" s="86">
        <f>IFERROR(VLOOKUP($AT$2&amp;"-"&amp; RIGHT(AV$4,1)&amp;"-"&amp;$A16,CC1_InputUser!$L:$N,2,FALSE),0)</f>
        <v>0</v>
      </c>
      <c r="AW16" s="86">
        <f>IFERROR(VLOOKUP($AT$2&amp;"-"&amp; RIGHT(AW$4,1)&amp;"-"&amp;$A16,CC1_InputUser!$L:$N,2,FALSE),0)</f>
        <v>-2.2499999999999964E-2</v>
      </c>
      <c r="AX16" s="86">
        <f>IFERROR(VLOOKUP($AT$2&amp;"-"&amp; RIGHT(AX$4,1)&amp;"-"&amp;$A16,CC1_InputUser!$L:$N,2,FALSE),0)</f>
        <v>0</v>
      </c>
      <c r="AY16" s="86">
        <f>IFERROR(VLOOKUP($AT$2&amp;"-"&amp; RIGHT(AY$4,1)&amp;"-"&amp;$A16,CC1_InputUser!$L:$N,3,FALSE),0)</f>
        <v>0</v>
      </c>
      <c r="AZ16" s="86">
        <f>IFERROR(VLOOKUP($AT$2&amp;"-"&amp; RIGHT(AZ$4,1)&amp;"-"&amp;$A16,CC1_InputUser!$L:$N,3,FALSE),0)</f>
        <v>0</v>
      </c>
      <c r="BA16" s="86">
        <f>IFERROR(VLOOKUP($AT$2&amp;"-"&amp; RIGHT(BA$4,1)&amp;"-"&amp;$A16,CC1_InputUser!$L:$N,3,FALSE),0)</f>
        <v>0</v>
      </c>
      <c r="BB16" s="86">
        <f>IFERROR(VLOOKUP($AT$2&amp;"-"&amp; RIGHT(BB$4,1)&amp;"-"&amp;$A16,CC1_InputUser!$L:$N,3,FALSE),0)</f>
        <v>-2.2499999999999964E-2</v>
      </c>
      <c r="BC16" s="86">
        <f>IFERROR(VLOOKUP($AT$2&amp;"-"&amp; RIGHT(BC$4,1)&amp;"-"&amp;$A16,CC1_InputUser!$L:$N,3,FALSE),0)</f>
        <v>0</v>
      </c>
      <c r="BD16" s="87"/>
      <c r="BE16" s="86">
        <f>IFERROR(VLOOKUP($AT$2&amp;"-"&amp; RIGHT(BE$4,1)&amp;"-"&amp;$A16,CC1_InputUser!$L:$N,2,FALSE),0)</f>
        <v>0</v>
      </c>
      <c r="BF16" s="86">
        <f>IFERROR(VLOOKUP($AT$2&amp;"-"&amp; RIGHT(BF$4,1)&amp;"-"&amp;$A16,CC1_InputUser!$L:$N,2,FALSE),0)</f>
        <v>0</v>
      </c>
      <c r="BG16" s="86">
        <f>IFERROR(VLOOKUP($AT$2&amp;"-"&amp; RIGHT(BG$4,1)&amp;"-"&amp;$A16,CC1_InputUser!$L:$N,2,FALSE),0)</f>
        <v>0</v>
      </c>
      <c r="BH16" s="86">
        <f>IFERROR(VLOOKUP($AT$2&amp;"-"&amp; RIGHT(BH$4,1)&amp;"-"&amp;$A16,CC1_InputUser!$L:$N,2,FALSE),0)</f>
        <v>-2.2499999999999964E-2</v>
      </c>
      <c r="BI16" s="86">
        <f>IFERROR(VLOOKUP($AT$2&amp;"-"&amp; RIGHT(BI$4,1)&amp;"-"&amp;$A16,CC1_InputUser!$L:$N,2,FALSE),0)</f>
        <v>0</v>
      </c>
      <c r="BJ16" s="86">
        <f>IFERROR(VLOOKUP($AT$2&amp;"-"&amp; RIGHT(BJ$4,1)&amp;"-"&amp;$A16,CC1_InputUser!$L:$N,3,FALSE),0)</f>
        <v>0</v>
      </c>
      <c r="BK16" s="86">
        <f>IFERROR(VLOOKUP($AT$2&amp;"-"&amp; RIGHT(BK$4,1)&amp;"-"&amp;$A16,CC1_InputUser!$L:$N,3,FALSE),0)</f>
        <v>0</v>
      </c>
      <c r="BL16" s="86">
        <f>IFERROR(VLOOKUP($AT$2&amp;"-"&amp; RIGHT(BL$4,1)&amp;"-"&amp;$A16,CC1_InputUser!$L:$N,3,FALSE),0)</f>
        <v>0</v>
      </c>
      <c r="BM16" s="86">
        <f>IFERROR(VLOOKUP($AT$2&amp;"-"&amp; RIGHT(BM$4,1)&amp;"-"&amp;$A16,CC1_InputUser!$L:$N,3,FALSE),0)</f>
        <v>-2.2499999999999964E-2</v>
      </c>
      <c r="BN16" s="86">
        <f>IFERROR(VLOOKUP($AT$2&amp;"-"&amp; RIGHT(BN$4,1)&amp;"-"&amp;$A16,CC1_InputUser!$L:$N,3,FALSE),0)</f>
        <v>0</v>
      </c>
      <c r="BO16" s="87"/>
      <c r="BP16" s="86">
        <f>IFERROR(VLOOKUP($BP$2&amp;"-"&amp; RIGHT(BP$4,1)&amp;"-"&amp;$A16,CC1_InputUser!$L:$N,2,FALSE),0)</f>
        <v>0</v>
      </c>
      <c r="BQ16" s="86">
        <f>IFERROR(VLOOKUP($BP$2&amp;"-"&amp; RIGHT(BQ$4,1)&amp;"-"&amp;$A16,CC1_InputUser!$L:$N,2,FALSE),0)</f>
        <v>0</v>
      </c>
      <c r="BR16" s="86">
        <f>IFERROR(VLOOKUP($BP$2&amp;"-"&amp; RIGHT(BR$4,1)&amp;"-"&amp;$A16,CC1_InputUser!$L:$N,2,FALSE),0)</f>
        <v>0</v>
      </c>
      <c r="BS16" s="86">
        <f>IFERROR(VLOOKUP($BP$2&amp;"-"&amp; RIGHT(BS$4,1)&amp;"-"&amp;$A16,CC1_InputUser!$L:$N,2,FALSE),0)</f>
        <v>0</v>
      </c>
      <c r="BT16" s="86">
        <f>IFERROR(VLOOKUP($BP$2&amp;"-"&amp; RIGHT(BT$4,1)&amp;"-"&amp;$A16,CC1_InputUser!$L:$N,2,FALSE),0)</f>
        <v>0</v>
      </c>
      <c r="BU16" s="86">
        <f>IFERROR(VLOOKUP($BP$2&amp;"-"&amp; RIGHT(BU$4,1)&amp;"-"&amp;$A16,CC1_InputUser!$L:$N,3,FALSE),0)</f>
        <v>0</v>
      </c>
      <c r="BV16" s="86">
        <f>IFERROR(VLOOKUP($BP$2&amp;"-"&amp; RIGHT(BV$4,1)&amp;"-"&amp;$A16,CC1_InputUser!$L:$N,3,FALSE),0)</f>
        <v>0</v>
      </c>
      <c r="BW16" s="86">
        <f>IFERROR(VLOOKUP($BP$2&amp;"-"&amp; RIGHT(BW$4,1)&amp;"-"&amp;$A16,CC1_InputUser!$L:$N,3,FALSE),0)</f>
        <v>0</v>
      </c>
      <c r="BX16" s="86">
        <f>IFERROR(VLOOKUP($BP$2&amp;"-"&amp; RIGHT(BX$4,1)&amp;"-"&amp;$A16,CC1_InputUser!$L:$N,3,FALSE),0)</f>
        <v>0</v>
      </c>
      <c r="BY16" s="86">
        <f>IFERROR(VLOOKUP($BP$2&amp;"-"&amp; RIGHT(BY$4,1)&amp;"-"&amp;$A16,CC1_InputUser!$L:$N,3,FALSE),0)</f>
        <v>0</v>
      </c>
      <c r="BZ16" s="87"/>
      <c r="CA16" s="86">
        <f>IFERROR(VLOOKUP($CA$2&amp;"-"&amp; RIGHT(CA$4,1)&amp;"-"&amp;$A16,CC1_InputUser!$L:$N,2,FALSE),0)</f>
        <v>0</v>
      </c>
      <c r="CB16" s="86">
        <f>IFERROR(VLOOKUP($CA$2&amp;"-"&amp; RIGHT(CB$4,1)&amp;"-"&amp;$A16,CC1_InputUser!$L:$N,2,FALSE),0)</f>
        <v>0</v>
      </c>
      <c r="CC16" s="86">
        <f>IFERROR(VLOOKUP($CA$2&amp;"-"&amp; RIGHT(CC$4,1)&amp;"-"&amp;$A16,CC1_InputUser!$L:$N,2,FALSE),0)</f>
        <v>0</v>
      </c>
      <c r="CD16" s="86">
        <f>IFERROR(VLOOKUP($CA$2&amp;"-"&amp; RIGHT(CD$4,1)&amp;"-"&amp;$A16,CC1_InputUser!$L:$N,2,FALSE),0)</f>
        <v>0</v>
      </c>
      <c r="CE16" s="86">
        <f>IFERROR(VLOOKUP($CA$2&amp;"-"&amp; RIGHT(CE$4,1)&amp;"-"&amp;$A16,CC1_InputUser!$L:$N,2,FALSE),0)</f>
        <v>0</v>
      </c>
      <c r="CF16" s="86">
        <f>IFERROR(VLOOKUP($CA$2&amp;"-"&amp; RIGHT(CF$4,1)&amp;"-"&amp;$A16,CC1_InputUser!$L:$N,3,FALSE),0)</f>
        <v>0</v>
      </c>
      <c r="CG16" s="86">
        <f>IFERROR(VLOOKUP($CA$2&amp;"-"&amp; RIGHT(CG$4,1)&amp;"-"&amp;$A16,CC1_InputUser!$L:$N,3,FALSE),0)</f>
        <v>0</v>
      </c>
      <c r="CH16" s="86">
        <f>IFERROR(VLOOKUP($CA$2&amp;"-"&amp; RIGHT(CH$4,1)&amp;"-"&amp;$A16,CC1_InputUser!$L:$N,3,FALSE),0)</f>
        <v>0</v>
      </c>
      <c r="CI16" s="86">
        <f>IFERROR(VLOOKUP($CA$2&amp;"-"&amp; RIGHT(CI$4,1)&amp;"-"&amp;$A16,CC1_InputUser!$L:$N,3,FALSE),0)</f>
        <v>0</v>
      </c>
      <c r="CJ16" s="86">
        <f>IFERROR(VLOOKUP($CA$2&amp;"-"&amp; RIGHT(CJ$4,1)&amp;"-"&amp;$A16,CC1_InputUser!$L:$N,3,FALSE),0)</f>
        <v>0</v>
      </c>
      <c r="CK16" s="87"/>
      <c r="CL16" s="86">
        <f>IFERROR(VLOOKUP($CL$2&amp;"-"&amp; RIGHT(CL$4,1)&amp;"-"&amp;$A16,CC1_InputUser!$L:$N,2,FALSE),0)</f>
        <v>0</v>
      </c>
      <c r="CM16" s="86">
        <f>IFERROR(VLOOKUP($CL$2&amp;"-"&amp; RIGHT(CM$4,1)&amp;"-"&amp;$A16,CC1_InputUser!$L:$N,2,FALSE),0)</f>
        <v>0</v>
      </c>
      <c r="CN16" s="86">
        <f>IFERROR(VLOOKUP($CL$2&amp;"-"&amp; RIGHT(CN$4,1)&amp;"-"&amp;$A16,CC1_InputUser!$L:$N,2,FALSE),0)</f>
        <v>0</v>
      </c>
      <c r="CO16" s="86">
        <f>IFERROR(VLOOKUP($CL$2&amp;"-"&amp; RIGHT(CO$4,1)&amp;"-"&amp;$A16,CC1_InputUser!$L:$N,2,FALSE),0)</f>
        <v>0</v>
      </c>
      <c r="CP16" s="86">
        <f>IFERROR(VLOOKUP($CL$2&amp;"-"&amp; RIGHT(CP$4,1)&amp;"-"&amp;$A16,CC1_InputUser!$L:$N,2,FALSE),0)</f>
        <v>0</v>
      </c>
      <c r="CQ16" s="86">
        <f>IFERROR(VLOOKUP($CL$2&amp;"-"&amp; RIGHT(CQ$4,1)&amp;"-"&amp;$A16,CC1_InputUser!$L:$N,3,FALSE),0)</f>
        <v>0</v>
      </c>
      <c r="CR16" s="86">
        <f>IFERROR(VLOOKUP($CL$2&amp;"-"&amp; RIGHT(CR$4,1)&amp;"-"&amp;$A16,CC1_InputUser!$L:$N,3,FALSE),0)</f>
        <v>0</v>
      </c>
      <c r="CS16" s="86">
        <f>IFERROR(VLOOKUP($CL$2&amp;"-"&amp; RIGHT(CS$4,1)&amp;"-"&amp;$A16,CC1_InputUser!$L:$N,3,FALSE),0)</f>
        <v>0</v>
      </c>
      <c r="CT16" s="86">
        <f>IFERROR(VLOOKUP($CL$2&amp;"-"&amp; RIGHT(CT$4,1)&amp;"-"&amp;$A16,CC1_InputUser!$L:$N,3,FALSE),0)</f>
        <v>0</v>
      </c>
      <c r="CU16" s="86">
        <f>IFERROR(VLOOKUP($CL$2&amp;"-"&amp; RIGHT(CU$4,1)&amp;"-"&amp;$A16,CC1_InputUser!$L:$N,3,FALSE),0)</f>
        <v>0</v>
      </c>
      <c r="CV16" s="87"/>
      <c r="CW16" s="86">
        <f>IFERROR(VLOOKUP($CW$2&amp;"-"&amp; RIGHT(CW$4,1)&amp;"-"&amp;$A16,CC1_InputUser!$L:$N,2,FALSE),0)</f>
        <v>0</v>
      </c>
      <c r="CX16" s="86">
        <f>IFERROR(VLOOKUP($CW$2&amp;"-"&amp; RIGHT(CX$4,1)&amp;"-"&amp;$A16,CC1_InputUser!$L:$N,2,FALSE),0)</f>
        <v>0</v>
      </c>
      <c r="CY16" s="86">
        <f>IFERROR(VLOOKUP($CW$2&amp;"-"&amp; RIGHT(CY$4,1)&amp;"-"&amp;$A16,CC1_InputUser!$L:$N,2,FALSE),0)</f>
        <v>0</v>
      </c>
      <c r="CZ16" s="86">
        <f>IFERROR(VLOOKUP($CW$2&amp;"-"&amp; RIGHT(CZ$4,1)&amp;"-"&amp;$A16,CC1_InputUser!$L:$N,2,FALSE),0)</f>
        <v>0</v>
      </c>
      <c r="DA16" s="86">
        <f>IFERROR(VLOOKUP($CW$2&amp;"-"&amp; RIGHT(DA$4,1)&amp;"-"&amp;$A16,CC1_InputUser!$L:$N,2,FALSE),0)</f>
        <v>0</v>
      </c>
      <c r="DB16" s="86">
        <f>IFERROR(VLOOKUP($CW$2&amp;"-"&amp; RIGHT(DB$4,1)&amp;"-"&amp;$A16,CC1_InputUser!$L:$N,3,FALSE),0)</f>
        <v>0</v>
      </c>
      <c r="DC16" s="86">
        <f>IFERROR(VLOOKUP($CW$2&amp;"-"&amp; RIGHT(DC$4,1)&amp;"-"&amp;$A16,CC1_InputUser!$L:$N,3,FALSE),0)</f>
        <v>0</v>
      </c>
      <c r="DD16" s="86">
        <f>IFERROR(VLOOKUP($CW$2&amp;"-"&amp; RIGHT(DD$4,1)&amp;"-"&amp;$A16,CC1_InputUser!$L:$N,3,FALSE),0)</f>
        <v>0</v>
      </c>
      <c r="DE16" s="86">
        <f>IFERROR(VLOOKUP($CW$2&amp;"-"&amp; RIGHT(DE$4,1)&amp;"-"&amp;$A16,CC1_InputUser!$L:$N,3,FALSE),0)</f>
        <v>0</v>
      </c>
      <c r="DF16" s="86">
        <f>IFERROR(VLOOKUP($CW$2&amp;"-"&amp; RIGHT(DF$4,1)&amp;"-"&amp;$A16,CC1_InputUser!$L:$N,3,FALSE),0)</f>
        <v>0</v>
      </c>
      <c r="DG16" s="87"/>
      <c r="DH16" s="86">
        <f>IFERROR(VLOOKUP($DH$2&amp;"-"&amp; RIGHT(DH$4,1)&amp;"-"&amp;$A16,CC1_InputUser!$L:$N,2,FALSE),0)</f>
        <v>0</v>
      </c>
      <c r="DI16" s="86">
        <f>IFERROR(VLOOKUP($DH$2&amp;"-"&amp; RIGHT(DI$4,1)&amp;"-"&amp;$A16,CC1_InputUser!$L:$N,2,FALSE),0)</f>
        <v>0</v>
      </c>
      <c r="DJ16" s="86">
        <f>IFERROR(VLOOKUP($DH$2&amp;"-"&amp; RIGHT(DJ$4,1)&amp;"-"&amp;$A16,CC1_InputUser!$L:$N,2,FALSE),0)</f>
        <v>0</v>
      </c>
      <c r="DK16" s="86">
        <f>IFERROR(VLOOKUP($DH$2&amp;"-"&amp; RIGHT(DK$4,1)&amp;"-"&amp;$A16,CC1_InputUser!$L:$N,2,FALSE),0)</f>
        <v>0</v>
      </c>
      <c r="DL16" s="86">
        <f>IFERROR(VLOOKUP($DH$2&amp;"-"&amp; RIGHT(DL$4,1)&amp;"-"&amp;$A16,CC1_InputUser!$L:$N,2,FALSE),0)</f>
        <v>0</v>
      </c>
      <c r="DM16" s="86">
        <f>IFERROR(VLOOKUP($DH$2&amp;"-"&amp; RIGHT(DM$4,1)&amp;"-"&amp;$A16,CC1_InputUser!$L:$N,3,FALSE),0)</f>
        <v>0</v>
      </c>
      <c r="DN16" s="86">
        <f>IFERROR(VLOOKUP($DH$2&amp;"-"&amp; RIGHT(DN$4,1)&amp;"-"&amp;$A16,CC1_InputUser!$L:$N,3,FALSE),0)</f>
        <v>0</v>
      </c>
      <c r="DO16" s="86">
        <f>IFERROR(VLOOKUP($DH$2&amp;"-"&amp; RIGHT(DO$4,1)&amp;"-"&amp;$A16,CC1_InputUser!$L:$N,3,FALSE),0)</f>
        <v>0</v>
      </c>
      <c r="DP16" s="86">
        <f>IFERROR(VLOOKUP($DH$2&amp;"-"&amp; RIGHT(DP$4,1)&amp;"-"&amp;$A16,CC1_InputUser!$L:$N,3,FALSE),0)</f>
        <v>0</v>
      </c>
      <c r="DQ16" s="86">
        <f>IFERROR(VLOOKUP($DH$2&amp;"-"&amp; RIGHT(DQ$4,1)&amp;"-"&amp;$A16,CC1_InputUser!$L:$N,3,FALSE),0)</f>
        <v>0</v>
      </c>
      <c r="DR16" s="87"/>
      <c r="DS16" s="86">
        <f>IFERROR(VLOOKUP($DS$2&amp;"-"&amp; RIGHT(DS$4,1)&amp;"-"&amp;$A16,CC1_InputUser!$L:$N,2,FALSE),0)</f>
        <v>0</v>
      </c>
      <c r="DT16" s="86">
        <f>IFERROR(VLOOKUP($DS$2&amp;"-"&amp; RIGHT(DT$4,1)&amp;"-"&amp;$A16,CC1_InputUser!$L:$N,2,FALSE),0)</f>
        <v>0</v>
      </c>
      <c r="DU16" s="86">
        <f>IFERROR(VLOOKUP($DS$2&amp;"-"&amp; RIGHT(DU$4,1)&amp;"-"&amp;$A16,CC1_InputUser!$L:$N,2,FALSE),0)</f>
        <v>0</v>
      </c>
      <c r="DV16" s="86">
        <f>IFERROR(VLOOKUP($DS$2&amp;"-"&amp; RIGHT(DV$4,1)&amp;"-"&amp;$A16,CC1_InputUser!$L:$N,2,FALSE),0)</f>
        <v>0</v>
      </c>
      <c r="DW16" s="86">
        <f>IFERROR(VLOOKUP($DS$2&amp;"-"&amp; RIGHT(DW$4,1)&amp;"-"&amp;$A16,CC1_InputUser!$L:$N,2,FALSE),0)</f>
        <v>0</v>
      </c>
      <c r="DX16" s="86">
        <f>IFERROR(VLOOKUP($DS$2&amp;"-"&amp; RIGHT(DX$4,1)&amp;"-"&amp;$A16,CC1_InputUser!$L:$N,3,FALSE),0)</f>
        <v>0</v>
      </c>
      <c r="DY16" s="86">
        <f>IFERROR(VLOOKUP($DS$2&amp;"-"&amp; RIGHT(DY$4,1)&amp;"-"&amp;$A16,CC1_InputUser!$L:$N,3,FALSE),0)</f>
        <v>0</v>
      </c>
      <c r="DZ16" s="86">
        <f>IFERROR(VLOOKUP($DS$2&amp;"-"&amp; RIGHT(DZ$4,1)&amp;"-"&amp;$A16,CC1_InputUser!$L:$N,3,FALSE),0)</f>
        <v>0</v>
      </c>
      <c r="EA16" s="86">
        <f>IFERROR(VLOOKUP($DS$2&amp;"-"&amp; RIGHT(EA$4,1)&amp;"-"&amp;$A16,CC1_InputUser!$L:$N,3,FALSE),0)</f>
        <v>0</v>
      </c>
      <c r="EB16" s="86">
        <f>IFERROR(VLOOKUP($DS$2&amp;"-"&amp; RIGHT(EB$4,1)&amp;"-"&amp;$A16,CC1_InputUser!$L:$N,3,FALSE),0)</f>
        <v>0</v>
      </c>
      <c r="EC16" s="87"/>
    </row>
    <row r="17" spans="1:133" ht="2.1" customHeight="1" x14ac:dyDescent="0.3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48</v>
      </c>
      <c r="B18" s="85">
        <f t="shared" ref="B18:K18" si="0">SUM(B6:B16)</f>
        <v>0</v>
      </c>
      <c r="C18" s="85">
        <f t="shared" si="0"/>
        <v>0</v>
      </c>
      <c r="D18" s="85">
        <f t="shared" si="0"/>
        <v>0.21093554509494794</v>
      </c>
      <c r="E18" s="85">
        <f t="shared" si="0"/>
        <v>0.31567265792289212</v>
      </c>
      <c r="F18" s="85">
        <f t="shared" si="0"/>
        <v>0</v>
      </c>
      <c r="G18" s="56">
        <f t="shared" si="0"/>
        <v>-0.17594727200666294</v>
      </c>
      <c r="H18" s="56">
        <f t="shared" si="0"/>
        <v>-6.5803300226026873E-2</v>
      </c>
      <c r="I18" s="56">
        <f t="shared" si="0"/>
        <v>-0.40503937809605528</v>
      </c>
      <c r="J18" s="56">
        <f t="shared" si="0"/>
        <v>-0.40025852649533455</v>
      </c>
      <c r="K18" s="56">
        <f t="shared" si="0"/>
        <v>0</v>
      </c>
      <c r="L18" s="61"/>
      <c r="M18" s="59">
        <f t="shared" ref="M18:V18" si="1">SUM(M6:M16)</f>
        <v>-6.330072629357375E-2</v>
      </c>
      <c r="N18" s="59">
        <f t="shared" si="1"/>
        <v>0.46798426574676588</v>
      </c>
      <c r="O18" s="59">
        <f t="shared" si="1"/>
        <v>-0.34640346176915449</v>
      </c>
      <c r="P18" s="59">
        <f t="shared" si="1"/>
        <v>0.53886248581157026</v>
      </c>
      <c r="Q18" s="59">
        <f t="shared" si="1"/>
        <v>0.25508538806779146</v>
      </c>
      <c r="R18" s="56">
        <f t="shared" si="1"/>
        <v>-5.8030853607497934E-2</v>
      </c>
      <c r="S18" s="56">
        <f t="shared" si="1"/>
        <v>-1.177926631424201</v>
      </c>
      <c r="T18" s="56">
        <f t="shared" si="1"/>
        <v>-0.71584445810165676</v>
      </c>
      <c r="U18" s="56">
        <f t="shared" si="1"/>
        <v>-0.34939470834798603</v>
      </c>
      <c r="V18" s="56">
        <f t="shared" si="1"/>
        <v>-0.33002390227280798</v>
      </c>
      <c r="W18" s="61"/>
      <c r="X18" s="59">
        <f t="shared" ref="X18:AG18" si="2">SUM(X6:X16)</f>
        <v>0</v>
      </c>
      <c r="Y18" s="59">
        <f t="shared" si="2"/>
        <v>5.3111244371408795E-2</v>
      </c>
      <c r="Z18" s="59">
        <f t="shared" si="2"/>
        <v>0.43404818351220664</v>
      </c>
      <c r="AA18" s="59">
        <f t="shared" si="2"/>
        <v>3.8020544270544354E-2</v>
      </c>
      <c r="AB18" s="59">
        <f t="shared" si="2"/>
        <v>0</v>
      </c>
      <c r="AC18" s="56">
        <f t="shared" si="2"/>
        <v>-0.13232650125854006</v>
      </c>
      <c r="AD18" s="56">
        <f t="shared" si="2"/>
        <v>-0.337513158457313</v>
      </c>
      <c r="AE18" s="56">
        <f t="shared" si="2"/>
        <v>-1.1426158636237478</v>
      </c>
      <c r="AF18" s="56">
        <f t="shared" si="2"/>
        <v>-2.0428856122061356E-2</v>
      </c>
      <c r="AG18" s="56">
        <f t="shared" si="2"/>
        <v>0</v>
      </c>
      <c r="AH18" s="61"/>
      <c r="AI18" s="59">
        <f t="shared" ref="AI18:AR18" si="3">SUM(AI6:AI16)</f>
        <v>0.18858331383688332</v>
      </c>
      <c r="AJ18" s="59">
        <f t="shared" si="3"/>
        <v>0</v>
      </c>
      <c r="AK18" s="59">
        <f t="shared" si="3"/>
        <v>-2.270833333333333E-2</v>
      </c>
      <c r="AL18" s="59">
        <f t="shared" si="3"/>
        <v>0.27917882785643122</v>
      </c>
      <c r="AM18" s="59">
        <f t="shared" si="3"/>
        <v>0</v>
      </c>
      <c r="AN18" s="56">
        <f t="shared" si="3"/>
        <v>-0.39181004015928489</v>
      </c>
      <c r="AO18" s="56">
        <f t="shared" si="3"/>
        <v>0</v>
      </c>
      <c r="AP18" s="56">
        <f t="shared" si="3"/>
        <v>-0.27889037622573043</v>
      </c>
      <c r="AQ18" s="56">
        <f t="shared" si="3"/>
        <v>-0.76288822124621614</v>
      </c>
      <c r="AR18" s="56">
        <f t="shared" si="3"/>
        <v>0</v>
      </c>
      <c r="AS18" s="61"/>
      <c r="AT18" s="59">
        <f t="shared" ref="AT18:BC18" si="4">SUM(AT6:AT16)</f>
        <v>1.8277495117223652E-2</v>
      </c>
      <c r="AU18" s="59">
        <f t="shared" si="4"/>
        <v>-0.13831921364113797</v>
      </c>
      <c r="AV18" s="59">
        <f t="shared" si="4"/>
        <v>0.16362391085520167</v>
      </c>
      <c r="AW18" s="59">
        <f t="shared" si="4"/>
        <v>-0.23127019649975422</v>
      </c>
      <c r="AX18" s="59">
        <f t="shared" si="4"/>
        <v>0.57813943746047924</v>
      </c>
      <c r="AY18" s="56">
        <f t="shared" si="4"/>
        <v>-0.85637355074949695</v>
      </c>
      <c r="AZ18" s="56">
        <f t="shared" si="4"/>
        <v>-0.36579132512399759</v>
      </c>
      <c r="BA18" s="56">
        <f t="shared" si="4"/>
        <v>-0.30063797828720684</v>
      </c>
      <c r="BB18" s="56">
        <f t="shared" si="4"/>
        <v>-0.40105518317522793</v>
      </c>
      <c r="BC18" s="56">
        <f t="shared" si="4"/>
        <v>-0.49274454950494639</v>
      </c>
      <c r="BD18" s="61"/>
      <c r="BE18" s="59">
        <f t="shared" ref="BE18:BN18" si="5">SUM(BE6:BE16)</f>
        <v>1.8277495117223652E-2</v>
      </c>
      <c r="BF18" s="59">
        <f t="shared" si="5"/>
        <v>-0.13831921364113797</v>
      </c>
      <c r="BG18" s="59">
        <f t="shared" si="5"/>
        <v>0.16362391085520167</v>
      </c>
      <c r="BH18" s="59">
        <f t="shared" si="5"/>
        <v>-0.23127019649975422</v>
      </c>
      <c r="BI18" s="59">
        <f t="shared" si="5"/>
        <v>0.57813943746047924</v>
      </c>
      <c r="BJ18" s="56">
        <f t="shared" si="5"/>
        <v>-0.85637355074949695</v>
      </c>
      <c r="BK18" s="56">
        <f t="shared" si="5"/>
        <v>-0.36579132512399759</v>
      </c>
      <c r="BL18" s="56">
        <f t="shared" si="5"/>
        <v>-0.30063797828720684</v>
      </c>
      <c r="BM18" s="56">
        <f t="shared" si="5"/>
        <v>-0.40105518317522793</v>
      </c>
      <c r="BN18" s="56">
        <f t="shared" si="5"/>
        <v>-0.49274454950494639</v>
      </c>
      <c r="BO18" s="61"/>
      <c r="BP18" s="59">
        <f t="shared" ref="BP18:BY18" si="6">SUM(BP6:BP16)</f>
        <v>-0.60012187273827811</v>
      </c>
      <c r="BQ18" s="59">
        <f t="shared" si="6"/>
        <v>-1.023284625722483</v>
      </c>
      <c r="BR18" s="59">
        <f t="shared" si="6"/>
        <v>-3.8000276969948787E-2</v>
      </c>
      <c r="BS18" s="59">
        <f t="shared" si="6"/>
        <v>0</v>
      </c>
      <c r="BT18" s="59">
        <f t="shared" si="6"/>
        <v>0</v>
      </c>
      <c r="BU18" s="56">
        <f t="shared" si="6"/>
        <v>-1.1017063338460868</v>
      </c>
      <c r="BV18" s="56">
        <f t="shared" si="6"/>
        <v>-0.97525597007919529</v>
      </c>
      <c r="BW18" s="56">
        <f t="shared" si="6"/>
        <v>-6.0271136987614438E-2</v>
      </c>
      <c r="BX18" s="56">
        <f t="shared" si="6"/>
        <v>0</v>
      </c>
      <c r="BY18" s="56">
        <f t="shared" si="6"/>
        <v>0</v>
      </c>
      <c r="BZ18" s="61"/>
      <c r="CA18" s="59">
        <f t="shared" ref="CA18:CJ18" si="7">SUM(CA6:CA16)</f>
        <v>9.5078191940034862E-2</v>
      </c>
      <c r="CB18" s="59">
        <f t="shared" si="7"/>
        <v>0.45858755649474159</v>
      </c>
      <c r="CC18" s="59">
        <f t="shared" si="7"/>
        <v>7.4626865671634235E-4</v>
      </c>
      <c r="CD18" s="59">
        <f t="shared" si="7"/>
        <v>-0.23038249306467817</v>
      </c>
      <c r="CE18" s="59">
        <f t="shared" si="7"/>
        <v>0.53968787414668506</v>
      </c>
      <c r="CF18" s="56">
        <f t="shared" si="7"/>
        <v>-1.0864254742214337</v>
      </c>
      <c r="CG18" s="56">
        <f t="shared" si="7"/>
        <v>-0.15220339083821588</v>
      </c>
      <c r="CH18" s="56">
        <f t="shared" si="7"/>
        <v>-2.3135068768223355E-2</v>
      </c>
      <c r="CI18" s="56">
        <f t="shared" si="7"/>
        <v>-0.46666522999984206</v>
      </c>
      <c r="CJ18" s="56">
        <f t="shared" si="7"/>
        <v>-0.27492027222338855</v>
      </c>
      <c r="CK18" s="61"/>
      <c r="CL18" s="59">
        <f t="shared" ref="CL18:CU18" si="8">SUM(CL6:CL16)</f>
        <v>2.8765662123893421E-2</v>
      </c>
      <c r="CM18" s="59">
        <f t="shared" si="8"/>
        <v>-0.18629671158568473</v>
      </c>
      <c r="CN18" s="59">
        <f t="shared" si="8"/>
        <v>6.3974413889878456E-2</v>
      </c>
      <c r="CO18" s="59">
        <f t="shared" si="8"/>
        <v>0.10463817849800128</v>
      </c>
      <c r="CP18" s="59">
        <f t="shared" si="8"/>
        <v>0</v>
      </c>
      <c r="CQ18" s="56">
        <f t="shared" si="8"/>
        <v>-0.17858139143926999</v>
      </c>
      <c r="CR18" s="56">
        <f t="shared" si="8"/>
        <v>-0.53855284063276421</v>
      </c>
      <c r="CS18" s="56">
        <f t="shared" si="8"/>
        <v>-0.47664632491162484</v>
      </c>
      <c r="CT18" s="56">
        <f t="shared" si="8"/>
        <v>0.29847472235387684</v>
      </c>
      <c r="CU18" s="56">
        <f t="shared" si="8"/>
        <v>0</v>
      </c>
      <c r="CV18" s="61"/>
      <c r="CW18" s="59">
        <f t="shared" ref="CW18:DF18" si="9">SUM(CW6:CW16)</f>
        <v>-0.12625391672909869</v>
      </c>
      <c r="CX18" s="59">
        <f t="shared" si="9"/>
        <v>0</v>
      </c>
      <c r="CY18" s="59">
        <f t="shared" si="9"/>
        <v>0</v>
      </c>
      <c r="CZ18" s="59">
        <f t="shared" si="9"/>
        <v>0</v>
      </c>
      <c r="DA18" s="59">
        <f t="shared" si="9"/>
        <v>0</v>
      </c>
      <c r="DB18" s="56">
        <f t="shared" si="9"/>
        <v>-0.20316965055574687</v>
      </c>
      <c r="DC18" s="56">
        <f t="shared" si="9"/>
        <v>0</v>
      </c>
      <c r="DD18" s="56">
        <f t="shared" si="9"/>
        <v>0</v>
      </c>
      <c r="DE18" s="56">
        <f t="shared" si="9"/>
        <v>0</v>
      </c>
      <c r="DF18" s="56">
        <f t="shared" si="9"/>
        <v>0</v>
      </c>
      <c r="DG18" s="61"/>
      <c r="DH18" s="59">
        <f t="shared" ref="DH18:DQ18" si="10">SUM(DH6:DH16)</f>
        <v>0</v>
      </c>
      <c r="DI18" s="59">
        <f t="shared" si="10"/>
        <v>0</v>
      </c>
      <c r="DJ18" s="59">
        <f t="shared" si="10"/>
        <v>0</v>
      </c>
      <c r="DK18" s="59">
        <f t="shared" si="10"/>
        <v>0</v>
      </c>
      <c r="DL18" s="59">
        <f t="shared" si="10"/>
        <v>0</v>
      </c>
      <c r="DM18" s="56">
        <f t="shared" si="10"/>
        <v>0</v>
      </c>
      <c r="DN18" s="56">
        <f t="shared" si="10"/>
        <v>0</v>
      </c>
      <c r="DO18" s="56">
        <f t="shared" si="10"/>
        <v>0</v>
      </c>
      <c r="DP18" s="56">
        <f t="shared" si="10"/>
        <v>0</v>
      </c>
      <c r="DQ18" s="56">
        <f t="shared" si="10"/>
        <v>0</v>
      </c>
      <c r="DR18" s="61"/>
      <c r="DS18" s="59">
        <f t="shared" ref="DS18:EB18" si="11">SUM(DS6:DS16)</f>
        <v>0</v>
      </c>
      <c r="DT18" s="59">
        <f t="shared" si="11"/>
        <v>0</v>
      </c>
      <c r="DU18" s="59">
        <f t="shared" si="11"/>
        <v>0</v>
      </c>
      <c r="DV18" s="59">
        <f t="shared" si="11"/>
        <v>0</v>
      </c>
      <c r="DW18" s="59">
        <f t="shared" si="11"/>
        <v>0</v>
      </c>
      <c r="DX18" s="56">
        <f t="shared" si="11"/>
        <v>0</v>
      </c>
      <c r="DY18" s="56">
        <f t="shared" si="11"/>
        <v>0</v>
      </c>
      <c r="DZ18" s="56">
        <f t="shared" si="11"/>
        <v>0</v>
      </c>
      <c r="EA18" s="56">
        <f t="shared" si="11"/>
        <v>0</v>
      </c>
      <c r="EB18" s="56">
        <f t="shared" si="11"/>
        <v>0</v>
      </c>
      <c r="EC18" s="60"/>
    </row>
    <row r="19" spans="1:133" s="55" customFormat="1" ht="24.95" customHeight="1" x14ac:dyDescent="0.25">
      <c r="A19" s="42" t="s">
        <v>49</v>
      </c>
      <c r="B19" s="95">
        <f>IFERROR(VLOOKUP(B2,CC1_InputUser!$A:$S,18,FALSE),0)</f>
        <v>5.224088957189732E-3</v>
      </c>
      <c r="C19" s="95"/>
      <c r="D19" s="95"/>
      <c r="E19" s="95"/>
      <c r="F19" s="95"/>
      <c r="G19" s="95">
        <f>IFERROR(VLOOKUP(B2,CC1_InputUser!$A:$S,19,FALSE),0)</f>
        <v>-9.3833673475188784E-3</v>
      </c>
      <c r="H19" s="95"/>
      <c r="I19" s="95"/>
      <c r="J19" s="95"/>
      <c r="K19" s="95"/>
      <c r="L19" s="62"/>
      <c r="M19" s="95">
        <f>IFERROR(VLOOKUP(M2,CC1_InputUser!$A:$S,18,FALSE),0)</f>
        <v>7.176418118578054E-3</v>
      </c>
      <c r="N19" s="95"/>
      <c r="O19" s="95"/>
      <c r="P19" s="95"/>
      <c r="Q19" s="95"/>
      <c r="R19" s="95">
        <f>IFERROR(VLOOKUP(M2,CC1_InputUser!$A:$S,19,FALSE),0)</f>
        <v>-1.1270529910001548E-2</v>
      </c>
      <c r="S19" s="95"/>
      <c r="T19" s="95"/>
      <c r="U19" s="95"/>
      <c r="V19" s="95"/>
      <c r="W19" s="62"/>
      <c r="X19" s="95">
        <f>IFERROR(VLOOKUP(X2,CC1_InputUser!$A:$S,18,FALSE),0)</f>
        <v>9.5495260447391317E-3</v>
      </c>
      <c r="Y19" s="95"/>
      <c r="Z19" s="95"/>
      <c r="AA19" s="95"/>
      <c r="AB19" s="95"/>
      <c r="AC19" s="95">
        <f>IFERROR(VLOOKUP(X2,CC1_InputUser!$A:$S,19,FALSE),0)</f>
        <v>-1.0776905499875533E-2</v>
      </c>
      <c r="AD19" s="95"/>
      <c r="AE19" s="95"/>
      <c r="AF19" s="95"/>
      <c r="AG19" s="95"/>
      <c r="AH19" s="62"/>
      <c r="AI19" s="95">
        <f>IFERROR(VLOOKUP(AI2,CC1_InputUser!$A:$S,18,FALSE),0)</f>
        <v>8.9026266635268136E-3</v>
      </c>
      <c r="AJ19" s="95"/>
      <c r="AK19" s="95"/>
      <c r="AL19" s="95"/>
      <c r="AM19" s="95"/>
      <c r="AN19" s="95">
        <f>IFERROR(VLOOKUP(AI2,CC1_InputUser!$A:$S,19,FALSE),0)</f>
        <v>-6.6662239774724075E-3</v>
      </c>
      <c r="AO19" s="95"/>
      <c r="AP19" s="95"/>
      <c r="AQ19" s="95"/>
      <c r="AR19" s="95"/>
      <c r="AS19" s="62"/>
      <c r="AT19" s="95">
        <f>IFERROR(VLOOKUP(AT2,CC1_InputUser!$A:$S,18,FALSE),0)</f>
        <v>3.3153865430988194E-3</v>
      </c>
      <c r="AU19" s="95"/>
      <c r="AV19" s="95"/>
      <c r="AW19" s="95"/>
      <c r="AX19" s="95"/>
      <c r="AY19" s="95">
        <f>IFERROR(VLOOKUP(AT2,CC1_InputUser!$A:$S,19,FALSE),0)</f>
        <v>-7.7471890375179209E-3</v>
      </c>
      <c r="AZ19" s="95"/>
      <c r="BA19" s="95"/>
      <c r="BB19" s="95"/>
      <c r="BC19" s="95"/>
      <c r="BD19" s="62"/>
      <c r="BE19" s="95">
        <f>IFERROR(VLOOKUP(BE2,CC1_InputUser!$A:$S,18,FALSE),0)</f>
        <v>-2.0960816085641154E-3</v>
      </c>
      <c r="BF19" s="95"/>
      <c r="BG19" s="95"/>
      <c r="BH19" s="95"/>
      <c r="BI19" s="95"/>
      <c r="BJ19" s="95">
        <f>IFERROR(VLOOKUP(BE2,CC1_InputUser!$A:$S,19,FALSE),0)</f>
        <v>-1.0462311934554047E-2</v>
      </c>
      <c r="BK19" s="95"/>
      <c r="BL19" s="95"/>
      <c r="BM19" s="95"/>
      <c r="BN19" s="95"/>
      <c r="BO19" s="62"/>
      <c r="BP19" s="95">
        <f>IFERROR(VLOOKUP(BP2,CC1_InputUser!$A:$S,18,FALSE),0)</f>
        <v>-8.679282568110791E-3</v>
      </c>
      <c r="BQ19" s="95"/>
      <c r="BR19" s="95"/>
      <c r="BS19" s="95"/>
      <c r="BT19" s="95"/>
      <c r="BU19" s="95">
        <f>IFERROR(VLOOKUP(BP2,CC1_InputUser!$A:$S,19,FALSE),0)</f>
        <v>-9.3901836983916187E-3</v>
      </c>
      <c r="BV19" s="95"/>
      <c r="BW19" s="95"/>
      <c r="BX19" s="95"/>
      <c r="BY19" s="95"/>
      <c r="BZ19" s="62"/>
      <c r="CA19" s="95">
        <f>IFERROR(VLOOKUP(CA2,CC1_InputUser!$A:$S,18,FALSE),0)</f>
        <v>7.3475885654907813E-3</v>
      </c>
      <c r="CB19" s="95"/>
      <c r="CC19" s="95"/>
      <c r="CD19" s="95"/>
      <c r="CE19" s="95"/>
      <c r="CF19" s="95">
        <f>IFERROR(VLOOKUP(CA2,CC1_InputUser!$A:$S,19,FALSE),0)</f>
        <v>-5.4420177320055885E-3</v>
      </c>
      <c r="CG19" s="95"/>
      <c r="CH19" s="95"/>
      <c r="CI19" s="95"/>
      <c r="CJ19" s="95"/>
      <c r="CK19" s="62"/>
      <c r="CL19" s="95">
        <f>IFERROR(VLOOKUP(CL2,CC1_InputUser!$A:$S,18,FALSE),0)</f>
        <v>1.8897271237978686E-3</v>
      </c>
      <c r="CM19" s="95"/>
      <c r="CN19" s="95"/>
      <c r="CO19" s="95"/>
      <c r="CP19" s="95"/>
      <c r="CQ19" s="95">
        <f>IFERROR(VLOOKUP(CL2,CC1_InputUser!$A:$S,19,FALSE),0)</f>
        <v>-4.8190622863065746E-3</v>
      </c>
      <c r="CR19" s="95"/>
      <c r="CS19" s="95"/>
      <c r="CT19" s="95"/>
      <c r="CU19" s="95"/>
      <c r="CV19" s="62"/>
      <c r="CW19" s="95">
        <f>IFERROR(VLOOKUP(CW2,CC1_InputUser!$A:$S,18,FALSE),0)</f>
        <v>-6.2906797289136174E-3</v>
      </c>
      <c r="CX19" s="95"/>
      <c r="CY19" s="95"/>
      <c r="CZ19" s="95"/>
      <c r="DA19" s="95"/>
      <c r="DB19" s="95">
        <f>IFERROR(VLOOKUP(CW2,CC1_InputUser!$A:$S,19,FALSE),0)</f>
        <v>-8.4488653245008427E-3</v>
      </c>
      <c r="DC19" s="95"/>
      <c r="DD19" s="95"/>
      <c r="DE19" s="95"/>
      <c r="DF19" s="95"/>
      <c r="DG19" s="62"/>
      <c r="DH19" s="95">
        <f>IFERROR(VLOOKUP(DH2,CC1_InputUser!$A:$S,18,FALSE),0)</f>
        <v>0</v>
      </c>
      <c r="DI19" s="95"/>
      <c r="DJ19" s="95"/>
      <c r="DK19" s="95"/>
      <c r="DL19" s="95"/>
      <c r="DM19" s="95">
        <f>IFERROR(VLOOKUP(DH2,CC1_InputUser!$A:$S,19,FALSE),0)</f>
        <v>0</v>
      </c>
      <c r="DN19" s="95"/>
      <c r="DO19" s="95"/>
      <c r="DP19" s="95"/>
      <c r="DQ19" s="95"/>
      <c r="DR19" s="62"/>
      <c r="DS19" s="95">
        <f>IFERROR(VLOOKUP(DS2,CC1_InputUser!$A:$S,18,FALSE),0)</f>
        <v>0</v>
      </c>
      <c r="DT19" s="95"/>
      <c r="DU19" s="95"/>
      <c r="DV19" s="95"/>
      <c r="DW19" s="95"/>
      <c r="DX19" s="95">
        <f>IFERROR(VLOOKUP(DS2,CC1_InputUser!$A:$S,19,FALSE),0)</f>
        <v>0</v>
      </c>
      <c r="DY19" s="95"/>
      <c r="DZ19" s="95"/>
      <c r="EA19" s="95"/>
      <c r="EB19" s="95"/>
      <c r="EC19" s="60"/>
    </row>
    <row r="20" spans="1:133" ht="4.5" customHeight="1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5" customFormat="1" ht="24.95" customHeight="1" x14ac:dyDescent="0.25">
      <c r="A21" s="42" t="s">
        <v>51</v>
      </c>
      <c r="B21" s="50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1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-1</v>
      </c>
      <c r="CY21" s="40">
        <f>IFERROR(CY18/CX18-1,0)</f>
        <v>0</v>
      </c>
      <c r="CZ21" s="40">
        <f>IFERROR(CZ18/CY18-1,0)</f>
        <v>0</v>
      </c>
      <c r="DA21" s="40">
        <f>IFERROR(DA18/CZ18-1,0)</f>
        <v>0</v>
      </c>
      <c r="DB21" s="41">
        <f>IFERROR(DB18/CU18-1,0)</f>
        <v>0</v>
      </c>
      <c r="DC21" s="41">
        <f>IFERROR(DC18/DB18-1,0)</f>
        <v>-1</v>
      </c>
      <c r="DD21" s="41">
        <f t="shared" ref="DD21:DF21" si="22">IFERROR(DD18/DC18-1,0)</f>
        <v>0</v>
      </c>
      <c r="DE21" s="41">
        <f t="shared" si="22"/>
        <v>0</v>
      </c>
      <c r="DF21" s="41">
        <f t="shared" si="22"/>
        <v>0</v>
      </c>
      <c r="DG21" s="36"/>
      <c r="DH21" s="40">
        <f>IFERROR(DH18/DA18-1,0)</f>
        <v>0</v>
      </c>
      <c r="DI21" s="40">
        <f>IFERROR(DI18/DH18-1,0)</f>
        <v>0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0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5" customFormat="1" ht="24.95" customHeight="1" x14ac:dyDescent="0.25">
      <c r="A22" s="42" t="s">
        <v>52</v>
      </c>
      <c r="B22" s="96" t="s">
        <v>60</v>
      </c>
      <c r="C22" s="96"/>
      <c r="D22" s="96"/>
      <c r="E22" s="96"/>
      <c r="F22" s="96"/>
      <c r="G22" s="97" t="s">
        <v>60</v>
      </c>
      <c r="H22" s="97"/>
      <c r="I22" s="97"/>
      <c r="J22" s="97"/>
      <c r="K22" s="97"/>
      <c r="L22" s="36"/>
      <c r="M22" s="93">
        <f>IFERROR(M19/B19-1,0)</f>
        <v>0.37371667622569849</v>
      </c>
      <c r="N22" s="93"/>
      <c r="O22" s="93"/>
      <c r="P22" s="93"/>
      <c r="Q22" s="93"/>
      <c r="R22" s="94">
        <f>IFERROR(R19/G19-1,0)</f>
        <v>0.20111783889412238</v>
      </c>
      <c r="S22" s="94"/>
      <c r="T22" s="94"/>
      <c r="U22" s="94"/>
      <c r="V22" s="94"/>
      <c r="W22" s="36"/>
      <c r="X22" s="98">
        <f>IFERROR(X19/M19-1,0)</f>
        <v>0.33068139104348737</v>
      </c>
      <c r="Y22" s="98"/>
      <c r="Z22" s="98"/>
      <c r="AA22" s="98"/>
      <c r="AB22" s="98"/>
      <c r="AC22" s="99">
        <f>IFERROR(AC19/R19-1,0)</f>
        <v>-4.3797799577104946E-2</v>
      </c>
      <c r="AD22" s="99"/>
      <c r="AE22" s="99"/>
      <c r="AF22" s="99"/>
      <c r="AG22" s="99"/>
      <c r="AH22" s="36"/>
      <c r="AI22" s="93">
        <f>IFERROR(AI19/X19-1,0)</f>
        <v>-6.7741517032533505E-2</v>
      </c>
      <c r="AJ22" s="93"/>
      <c r="AK22" s="93"/>
      <c r="AL22" s="93"/>
      <c r="AM22" s="93"/>
      <c r="AN22" s="94">
        <f>IFERROR(AN19/AC19-1,0)</f>
        <v>-0.38143431084652279</v>
      </c>
      <c r="AO22" s="94"/>
      <c r="AP22" s="94"/>
      <c r="AQ22" s="94"/>
      <c r="AR22" s="94"/>
      <c r="AS22" s="36"/>
      <c r="AT22" s="93">
        <f>IFERROR(AT19/AI19-1,0)</f>
        <v>-0.62759456636751576</v>
      </c>
      <c r="AU22" s="93"/>
      <c r="AV22" s="93"/>
      <c r="AW22" s="93"/>
      <c r="AX22" s="93"/>
      <c r="AY22" s="94">
        <f>IFERROR(AY19/AN19-1,0)</f>
        <v>0.16215552668174471</v>
      </c>
      <c r="AZ22" s="94"/>
      <c r="BA22" s="94"/>
      <c r="BB22" s="94"/>
      <c r="BC22" s="94"/>
      <c r="BD22" s="36"/>
      <c r="BE22" s="93">
        <f>IFERROR(BE19/AT19-1,0)</f>
        <v>-1.6322284238401215</v>
      </c>
      <c r="BF22" s="93"/>
      <c r="BG22" s="93"/>
      <c r="BH22" s="93"/>
      <c r="BI22" s="93"/>
      <c r="BJ22" s="94">
        <f>IFERROR(BJ19/AY19-1,0)</f>
        <v>0.35046555387862455</v>
      </c>
      <c r="BK22" s="94"/>
      <c r="BL22" s="94"/>
      <c r="BM22" s="94"/>
      <c r="BN22" s="94"/>
      <c r="BO22" s="36"/>
      <c r="BP22" s="93">
        <f>IFERROR(BP19/BE19-1,0)</f>
        <v>3.1407178674003937</v>
      </c>
      <c r="BQ22" s="93"/>
      <c r="BR22" s="93"/>
      <c r="BS22" s="93"/>
      <c r="BT22" s="93"/>
      <c r="BU22" s="94">
        <f>IFERROR(BU19/BJ19-1,0)</f>
        <v>-0.10247526960283926</v>
      </c>
      <c r="BV22" s="94"/>
      <c r="BW22" s="94"/>
      <c r="BX22" s="94"/>
      <c r="BY22" s="94"/>
      <c r="BZ22" s="36"/>
      <c r="CA22" s="93">
        <f>IFERROR(CA19/BP19-1,0)</f>
        <v>-1.8465663501367167</v>
      </c>
      <c r="CB22" s="93"/>
      <c r="CC22" s="93"/>
      <c r="CD22" s="93"/>
      <c r="CE22" s="93"/>
      <c r="CF22" s="94">
        <f>IFERROR(CF19/BU19-1,0)</f>
        <v>-0.42045673366989456</v>
      </c>
      <c r="CG22" s="94"/>
      <c r="CH22" s="94"/>
      <c r="CI22" s="94"/>
      <c r="CJ22" s="94"/>
      <c r="CK22" s="36"/>
      <c r="CL22" s="93">
        <f>IFERROR(CL19/CA19-1,0)</f>
        <v>-0.74280988831175199</v>
      </c>
      <c r="CM22" s="93"/>
      <c r="CN22" s="93"/>
      <c r="CO22" s="93"/>
      <c r="CP22" s="93"/>
      <c r="CQ22" s="94">
        <f>IFERROR(CQ19/CF19-1,0)</f>
        <v>-0.11447141049087162</v>
      </c>
      <c r="CR22" s="94"/>
      <c r="CS22" s="94"/>
      <c r="CT22" s="94"/>
      <c r="CU22" s="94"/>
      <c r="CV22" s="36"/>
      <c r="CW22" s="93">
        <f>IFERROR(CW19/CL19-1,0)</f>
        <v>-4.3288825935201469</v>
      </c>
      <c r="CX22" s="93"/>
      <c r="CY22" s="93"/>
      <c r="CZ22" s="93"/>
      <c r="DA22" s="93"/>
      <c r="DB22" s="94">
        <f>IFERROR(DB19/CQ19-1,0)</f>
        <v>0.7532177055499778</v>
      </c>
      <c r="DC22" s="94"/>
      <c r="DD22" s="94"/>
      <c r="DE22" s="94"/>
      <c r="DF22" s="94"/>
      <c r="DG22" s="36"/>
      <c r="DH22" s="93">
        <f>IFERROR(DH19/CW19-1,0)</f>
        <v>-1</v>
      </c>
      <c r="DI22" s="93"/>
      <c r="DJ22" s="93"/>
      <c r="DK22" s="93"/>
      <c r="DL22" s="93"/>
      <c r="DM22" s="94">
        <f>IFERROR(DM19/DB19-1,0)</f>
        <v>-1</v>
      </c>
      <c r="DN22" s="94"/>
      <c r="DO22" s="94"/>
      <c r="DP22" s="94"/>
      <c r="DQ22" s="94"/>
      <c r="DR22" s="36"/>
      <c r="DS22" s="93">
        <f>IFERROR(DS19/DH19-1,0)</f>
        <v>0</v>
      </c>
      <c r="DT22" s="93"/>
      <c r="DU22" s="93"/>
      <c r="DV22" s="93"/>
      <c r="DW22" s="93"/>
      <c r="DX22" s="94">
        <f>IFERROR(DX19/DM19-1,0)</f>
        <v>0</v>
      </c>
      <c r="DY22" s="94"/>
      <c r="DZ22" s="94"/>
      <c r="EA22" s="94"/>
      <c r="EB22" s="94"/>
      <c r="EC22" s="38"/>
    </row>
    <row r="23" spans="1:133" x14ac:dyDescent="0.3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">
      <c r="A25" s="58" t="s">
        <v>61</v>
      </c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63</v>
      </c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C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s="49" t="s">
        <v>62</v>
      </c>
      <c r="D28"/>
      <c r="E28"/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A29" t="s">
        <v>64</v>
      </c>
      <c r="D29"/>
      <c r="E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D30"/>
      <c r="E30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/>
    </row>
    <row r="32" spans="1:133" x14ac:dyDescent="0.3">
      <c r="A32"/>
    </row>
    <row r="33" spans="2:5" x14ac:dyDescent="0.3">
      <c r="B33" s="17"/>
      <c r="C33" s="17"/>
      <c r="D33" s="17"/>
      <c r="E33" s="17"/>
    </row>
  </sheetData>
  <mergeCells count="85">
    <mergeCell ref="CW22:DA22"/>
    <mergeCell ref="DB22:DF22"/>
    <mergeCell ref="DH22:DL22"/>
    <mergeCell ref="DM22:DQ22"/>
    <mergeCell ref="DS22:DW22"/>
    <mergeCell ref="DX22:EB22"/>
    <mergeCell ref="BP22:BT22"/>
    <mergeCell ref="BU22:BY22"/>
    <mergeCell ref="CA22:CE22"/>
    <mergeCell ref="CF22:CJ22"/>
    <mergeCell ref="CL22:CP22"/>
    <mergeCell ref="CQ22:CU22"/>
    <mergeCell ref="AI22:AM22"/>
    <mergeCell ref="AN22:AR22"/>
    <mergeCell ref="AT22:AX22"/>
    <mergeCell ref="AY22:BC22"/>
    <mergeCell ref="BE22:BI22"/>
    <mergeCell ref="BJ22:BN22"/>
    <mergeCell ref="DH19:DL19"/>
    <mergeCell ref="DM19:DQ19"/>
    <mergeCell ref="DS19:DW19"/>
    <mergeCell ref="DX19:EB19"/>
    <mergeCell ref="B22:F22"/>
    <mergeCell ref="G22:K22"/>
    <mergeCell ref="M22:Q22"/>
    <mergeCell ref="R22:V22"/>
    <mergeCell ref="X22:AB22"/>
    <mergeCell ref="AC22:AG22"/>
    <mergeCell ref="CA19:CE19"/>
    <mergeCell ref="CF19:CJ19"/>
    <mergeCell ref="CL19:CP19"/>
    <mergeCell ref="CQ19:CU19"/>
    <mergeCell ref="CW19:DA19"/>
    <mergeCell ref="DB19:DF19"/>
    <mergeCell ref="AT19:AX19"/>
    <mergeCell ref="AY19:BC19"/>
    <mergeCell ref="BE19:BI19"/>
    <mergeCell ref="BJ19:BN19"/>
    <mergeCell ref="BP19:BT19"/>
    <mergeCell ref="BU19:BY19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19:EB19">
    <cfRule type="cellIs" dxfId="5" priority="24" operator="between">
      <formula>-0.00251</formula>
      <formula>-0.009</formula>
    </cfRule>
    <cfRule type="cellIs" dxfId="4" priority="25" operator="between">
      <formula>0</formula>
      <formula>-0.0025</formula>
    </cfRule>
  </conditionalFormatting>
  <conditionalFormatting sqref="B6:EB16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5" id="{FEDDD652-ABE5-455D-9887-7A190A925B1F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4" id="{A415869F-9FAA-4D65-B479-133B9A669327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3" id="{F76D559F-E400-4309-9AC5-42BBB5CBE1B5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2" id="{1F58560E-5F22-4940-9A52-7BB455AD2BFF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51" id="{D1FE9180-A676-47A9-B102-5B57A84F253C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50" id="{F9EB1AB0-4FD0-4184-A7C6-E3A83E365F7D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9" id="{5DB682A6-B593-4AF2-BA1B-A61991FAACA3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8" id="{789C1625-8E9E-4F8C-A598-3F978017995B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7" id="{F0D30786-3E29-43E5-A334-DBB8ADDA2ECC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6" id="{2A5F79DB-DFF4-4D6A-8D29-E763107F49A4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5" id="{2B0C0203-BB3B-46FF-A911-E26D869D677B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4" id="{0C517A54-72D3-4D0F-8D74-607AE014718F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3" id="{6B683890-C29B-44AE-BCCA-4B9B602257C9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2" id="{655D4B00-CF1D-4799-AE9D-72FC8AD9B387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41" id="{DE5CDA16-82D7-40CC-BB9C-0200C33926BB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40" id="{CFF527DE-7007-4931-948D-27D4A73DAB40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9" id="{29E6A873-31A0-4EBC-A956-968F890B2DA6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8" id="{C965757A-53EB-4F86-8DE7-B2113F612215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7" id="{2CE4470F-01CC-4938-B1CF-C830B0515B59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6" id="{76D9F73C-145F-45A2-9373-F445E369A7FB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5" id="{15399DA0-7E32-451C-AEA2-42DF59B14188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4" id="{6C9E12CF-5B61-4D4E-B882-A3D0163B51FA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3" id="{EF90B9FA-DDA8-4BFA-B0ED-18EFC1CC1EF9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2" id="{A87679E8-5189-4934-BA8D-7E30307AB617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31" id="{6201DF65-DF45-4532-95BC-F4952B5EE3A9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30" id="{D698A02D-8241-4F3A-BF27-8A425A0CC81C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9" id="{8DA5A178-9C18-44C3-954E-C8B7C005E07C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8" id="{CC7BE3C1-236B-4AE0-8E56-5BCABA9F201D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7" id="{A78A4FE6-88AA-4C2C-8253-03C72A03E677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6" id="{485D29A7-3543-44D1-8ED5-1B7DC83EB928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5" id="{BD5017AB-BFFF-4C46-88D6-391A00FD8B70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4" id="{8CD168E5-3E94-44E9-A7F5-9B9959F431E6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3" id="{1067A210-60E2-4F7F-A2B7-F2D7B79EB339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2" id="{D5FA703E-BC2D-42BE-B2CC-7C31676C349C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21" id="{410C2D52-318B-4295-87F6-08F1741CEEF2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20" id="{CBDC8C94-A20D-4341-B16A-C89F5002676B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9" id="{9B62355C-4850-4977-A5A6-630182B155CD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8" id="{A6BE7356-385E-48F5-BD59-821AF289CFE1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7" id="{19E1C6C5-A76F-495E-B1B1-A6D05178F8CB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6" id="{3F829258-B5ED-4405-9E8B-3D7B8925217B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5" id="{8BC38983-D7AA-4A5B-B5FF-2D771276A045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4" id="{39818043-5850-4450-9BFD-A270CDF42681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3" id="{1DE7C98B-21B1-4DD1-8737-3E2DAB793266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2" id="{AFA0123D-D36B-46B6-9AF6-FC3275195439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11" id="{D95B7D27-F10D-454D-91B1-941D0F260F6B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10" id="{A2D6EB85-3D2E-494F-B4DD-FB1042DBC788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9" id="{8125B91B-7540-479A-8CB6-0EBFB4860CC2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8" id="{A49D1642-21CF-4F12-B63D-3CA69CCE2BB5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7" id="{BA690A0E-ECF4-49E9-A26E-38208608C0A8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6" id="{4A96818F-C03B-4EEB-B7FA-5C356B581350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5" id="{796C8E88-E502-471D-9F06-A50186783B4E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4" id="{44DD56B9-0591-462E-AC1D-A899A71A35F0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3" id="{AE9C8E40-DC7B-4441-8A9F-E968D4EA141D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2" id="{BAE037A0-3CE0-4BF7-A5AD-37F730163B71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101" id="{B2D780E3-103A-44B7-9AFB-35BAD4CF7820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100" id="{212F2A80-D58E-4F30-A4C3-DFCA14178F6A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9" id="{F00B6462-67F5-4307-A1C0-22CE6369F5EB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8" id="{58E573A2-82ED-4699-BFF6-D0989B77094A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7" id="{6276778A-9CEC-45F2-8505-FFDE73A5EF21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6" id="{48E8E654-04EB-4E9C-B5BC-562B30D16E8E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5" id="{5868E872-9E34-474C-9FA9-DF1F2276F868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4" id="{69D784ED-3207-436B-8F2B-2F7E128EA6AE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3" id="{708FB586-679C-4DFB-B5F7-F175478AD003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2" id="{6B8D82C6-1220-4617-AB3C-68306EF55FA2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91" id="{F02BB989-19B7-42BD-BB77-503A839E8892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90" id="{8FA02899-9DE9-487F-9AD8-B169D8B4FA4F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9" id="{ABE4C101-0D54-4B45-84BF-D0B48458620C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8" id="{5E2334FF-2AEE-497B-A1FB-5A6360052EC1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7" id="{595B1F4B-B6A1-4775-B98A-95BE6C74318A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6" id="{C352CC11-7D0D-4F1B-9924-C71C03338F26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5" id="{AEFFFEB0-9B7B-4FB9-931A-BC641411AEFA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4" id="{F147A9D6-A4AC-4864-A505-556A9EAB2FCB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3" id="{659C3F47-8927-4AEE-8917-5B924B8B0198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2" id="{56293DD3-F488-43A8-9E7D-59E4A6F4C716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81" id="{89B30D2E-D57B-4265-B962-FB1C8DABABA9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80" id="{3A85BEE8-B032-401D-BA3C-464B6D27A6A1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9" id="{32548766-8ED4-4C53-844C-91D03851FEFC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8" id="{8847E339-E92E-4695-9BC8-9CFC1D62D4D8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7" id="{D55B208E-44FF-4626-9754-A249182C81ED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6" id="{555D3C19-282C-4BB3-929F-5A91AB6D439A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5" id="{DF8763CC-C766-4160-AD9B-EA45734A5D45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4" id="{001F5465-CED0-44DB-8A40-58A4CDED08CA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3" id="{C908E984-6963-4638-A6F4-1E4A7C8C06A4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2" id="{F335CA44-68EC-45A4-A696-9A8AD919385B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71" id="{768E8CED-7BB7-4ECC-B66F-62BC8CA020E3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70" id="{46B5CFAB-D151-4CBF-B8A3-1ED9BF5D3140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9" id="{02D9CFB8-E73C-474B-B141-98EEDB5744E3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8" id="{0762443C-8138-4C77-807F-DE3D425ED314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7" id="{7E168822-CBD7-4203-AC1E-C281CE2AEDAF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6" id="{D2F7CD66-EFCF-49FC-A85D-2011934BD5BC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5" id="{073EF39D-FAC5-4BDF-83E8-7FE8F69B66BE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4" id="{588382CA-0904-4FA4-A7A1-7E1C3D5DC261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3" id="{13809D6C-9811-48C3-B42D-DE502098DCD8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2" id="{50A77300-5B8F-40F2-9A45-1EF8E3C4AC5B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61" id="{49B25ED4-E862-4338-A12F-09834FF27F40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60" id="{8BED09FF-586E-4564-BBED-37D272659025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9" id="{952C9187-1EB7-4C51-871D-5872FBCC8FC8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8" id="{45CA7121-5B84-4706-841D-BC1D1F220A36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7" id="{CF64D561-0DD9-4AE1-ABCE-401D63D78354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6" id="{4790F8C2-2F31-4B17-A68B-D05C9825302C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5" id="{FF3C94AB-83EC-4BF4-9267-3D84404ACA4D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4" id="{B16A589B-186C-4F5A-8B77-285BBF7446E9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3" id="{471B5B75-0C32-4D39-B6C3-ED053D70C695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2" id="{6AB569B5-8EE9-42B0-91BA-293821A0BA35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51" id="{F22E5482-49E2-47F5-A9A5-8437327FA958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50" id="{C539B5EE-C4EB-4B41-8172-F95098C4B981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9" id="{01767DDB-3ED9-4669-B8E3-1E6F16F80195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8" id="{A7F86400-9284-4B04-B5DE-17D8E38CC3B5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7" id="{38FD52C0-E6A4-4724-B424-705DECD697BC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6" id="{CF5B3EDC-0C6E-4618-BC65-AB14C40875F3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5" id="{B808517E-6CE4-422D-AF9D-A97A8FB76B56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4" id="{81A60510-D1BA-4021-8CBE-F9B6604A235C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3" id="{BFFDD19C-6FB6-46A0-A00A-731D7DF9CF71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2" id="{8652FA1D-BA0E-43FB-993C-7ADB3AA7016E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41" id="{19185666-A7C2-418F-9FA3-2A6E637B513A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40" id="{888DA8F3-F4FD-4FB5-B019-68A941F77006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9" id="{1936DD50-0781-4839-BB05-6065ECF88C53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8" id="{7B8A4AB6-5E24-4CB3-8558-5065328655D9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7" id="{ED06F650-DD3C-42D9-8A2E-03E25BF7C526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6" id="{E287F559-0789-4A74-85D5-A14EEFC8FC1D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5" id="{DA1C7CA0-CAAB-4137-871F-8FCFF6DFC514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4" id="{881DEBB1-5DC5-49FC-9498-115C5751AF3C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3" id="{94523A78-A2ED-47B9-B3B7-F867D6A14F4D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2" id="{F9DEE1E2-14EF-4A54-B7FD-D8850CD4548E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31" id="{CAC771D1-9F19-4BD2-8854-63733DDF5F50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30" id="{BE6CFD04-F9D3-40A9-90B6-72932CA83A00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9" id="{D87A4D89-8409-4415-96CC-764AB496BA56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8" id="{A4483267-1BBD-4096-A60B-99CA051A5DCF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7" id="{0B714744-9858-4820-8D3F-ABDFAD356109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6" id="{E660BB1B-24E0-43E0-BA60-43EB4667199E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3" id="{BC017293-97EF-420D-8E76-ED4BE1EB109A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2" id="{EE36E913-E41A-41B4-9DAB-03546FF62CB5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1" id="{C5782C7A-B983-47E6-99D0-0A8D7DEBCF64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20" id="{237D1972-B274-444D-B743-20EFDA11FAB6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9" id="{8180512C-F1F6-48DA-9D59-2361CAA80E9D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8" id="{6675D475-23DF-4AFC-8F44-113C87A532EE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7" id="{CDD1EE14-07EE-4A47-A361-35AE963A316C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6" id="{1D872DD0-979E-4880-AB6B-A7CF6F9CCFD8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5" id="{AD7B2449-6CAA-40F2-878D-D5D996E1915F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4" id="{C97B3B82-4E98-4D60-90F2-D23CD892713C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3" id="{FD758A78-CB53-4CFA-8466-BE9078131210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2" id="{68522AC2-7797-4FAD-847B-FBA526F92CA4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" id="{86E86CD8-FA9B-40E9-A53E-F5EAE6906788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" id="{241BE1A2-9B5F-488A-8F5C-427D0907D324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9" id="{B54DBEF6-496B-43C9-9D18-1495C8C6E5ED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8" id="{9CC37EF0-1490-4BD5-963F-BEEC048583D7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" id="{AC4F596D-7A0E-462D-9AAE-E61FD6696BD1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" id="{F458B4CF-24EA-4FCF-8504-F41A2B6EDD26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5" id="{54825456-B6C9-4E00-9008-F2DE479F2004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4" id="{AC691776-8E5D-4A68-9258-85A64C25D509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3" id="{BDFB0A50-2017-4E6F-8C9E-F73455E18DE9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2" id="{97C4FC86-238F-4D8D-ADE6-B834C9701E28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5" x14ac:dyDescent="0.25"/>
  <cols>
    <col min="1" max="1" width="18.85546875" bestFit="1" customWidth="1"/>
  </cols>
  <sheetData>
    <row r="1" spans="1:2" x14ac:dyDescent="0.25">
      <c r="A1" t="s">
        <v>95</v>
      </c>
      <c r="B1" t="s">
        <v>96</v>
      </c>
    </row>
    <row r="2" spans="1:2" x14ac:dyDescent="0.25">
      <c r="A2" t="s">
        <v>74</v>
      </c>
      <c r="B2" t="s">
        <v>73</v>
      </c>
    </row>
    <row r="3" spans="1:2" x14ac:dyDescent="0.25">
      <c r="A3" t="s">
        <v>75</v>
      </c>
      <c r="B3" t="s">
        <v>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0EA0B-B2C9-4F75-BDDC-2C21AF3AB013}">
  <sheetPr codeName="Sheet10"/>
  <dimension ref="A1:AK29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:A15"/>
    </sheetView>
  </sheetViews>
  <sheetFormatPr defaultColWidth="9.140625" defaultRowHeight="16.5" x14ac:dyDescent="0.3"/>
  <cols>
    <col min="1" max="1" width="27.7109375" style="17" customWidth="1"/>
    <col min="2" max="2" width="17.85546875" style="16" bestFit="1" customWidth="1"/>
    <col min="3" max="3" width="19.5703125" style="16" bestFit="1" customWidth="1"/>
    <col min="4" max="4" width="0.28515625" style="19" customWidth="1"/>
    <col min="5" max="5" width="17.85546875" style="16" bestFit="1" customWidth="1"/>
    <col min="6" max="6" width="19.5703125" style="16" bestFit="1" customWidth="1"/>
    <col min="7" max="7" width="0.28515625" style="19" customWidth="1"/>
    <col min="8" max="8" width="17.85546875" style="16" bestFit="1" customWidth="1"/>
    <col min="9" max="9" width="19.5703125" style="16" bestFit="1" customWidth="1"/>
    <col min="10" max="10" width="0.28515625" style="19" customWidth="1"/>
    <col min="11" max="11" width="17.85546875" style="16" bestFit="1" customWidth="1"/>
    <col min="12" max="12" width="19.5703125" style="16" bestFit="1" customWidth="1"/>
    <col min="13" max="13" width="0.28515625" style="19" customWidth="1"/>
    <col min="14" max="14" width="17.85546875" style="16" bestFit="1" customWidth="1"/>
    <col min="15" max="15" width="19.5703125" style="16" bestFit="1" customWidth="1"/>
    <col min="16" max="16" width="0.28515625" style="19" customWidth="1"/>
    <col min="17" max="17" width="17.85546875" style="16" bestFit="1" customWidth="1"/>
    <col min="18" max="18" width="20.7109375" style="16" bestFit="1" customWidth="1"/>
    <col min="19" max="19" width="0.28515625" style="19" customWidth="1"/>
    <col min="20" max="20" width="17.85546875" style="16" bestFit="1" customWidth="1"/>
    <col min="21" max="21" width="19.5703125" style="16" bestFit="1" customWidth="1"/>
    <col min="22" max="22" width="0.28515625" style="19" customWidth="1"/>
    <col min="23" max="23" width="17.85546875" style="16" bestFit="1" customWidth="1"/>
    <col min="24" max="24" width="19.5703125" style="16" bestFit="1" customWidth="1"/>
    <col min="25" max="25" width="0.28515625" style="19" customWidth="1"/>
    <col min="26" max="26" width="17.85546875" style="16" bestFit="1" customWidth="1"/>
    <col min="27" max="27" width="19.5703125" style="16" bestFit="1" customWidth="1"/>
    <col min="28" max="28" width="0.28515625" style="19" customWidth="1"/>
    <col min="29" max="29" width="17.85546875" style="16" bestFit="1" customWidth="1"/>
    <col min="30" max="30" width="19.5703125" style="16" bestFit="1" customWidth="1"/>
    <col min="31" max="31" width="0.28515625" style="19" customWidth="1"/>
    <col min="32" max="32" width="17.85546875" style="16" bestFit="1" customWidth="1"/>
    <col min="33" max="33" width="19.5703125" style="16" bestFit="1" customWidth="1"/>
    <col min="34" max="34" width="0.28515625" style="19" customWidth="1"/>
    <col min="35" max="35" width="17.85546875" style="16" bestFit="1" customWidth="1"/>
    <col min="36" max="36" width="19.5703125" style="16" bestFit="1" customWidth="1"/>
    <col min="37" max="37" width="0.28515625" style="19" customWidth="1"/>
    <col min="38" max="16384" width="9.140625" style="53"/>
  </cols>
  <sheetData>
    <row r="1" spans="1:37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</row>
    <row r="2" spans="1:37" ht="18" x14ac:dyDescent="0.3">
      <c r="A2" s="92" t="s">
        <v>56</v>
      </c>
      <c r="B2" s="90" t="s">
        <v>36</v>
      </c>
      <c r="C2" s="91"/>
      <c r="D2" s="21"/>
      <c r="E2" s="90" t="s">
        <v>34</v>
      </c>
      <c r="F2" s="91"/>
      <c r="G2" s="21"/>
      <c r="H2" s="90" t="s">
        <v>37</v>
      </c>
      <c r="I2" s="91"/>
      <c r="J2" s="21"/>
      <c r="K2" s="90" t="s">
        <v>38</v>
      </c>
      <c r="L2" s="91"/>
      <c r="M2" s="21"/>
      <c r="N2" s="90" t="s">
        <v>39</v>
      </c>
      <c r="O2" s="91"/>
      <c r="P2" s="21"/>
      <c r="Q2" s="90" t="s">
        <v>40</v>
      </c>
      <c r="R2" s="91"/>
      <c r="S2" s="21"/>
      <c r="T2" s="90" t="s">
        <v>41</v>
      </c>
      <c r="U2" s="91"/>
      <c r="V2" s="21"/>
      <c r="W2" s="90" t="s">
        <v>42</v>
      </c>
      <c r="X2" s="91"/>
      <c r="Y2" s="21"/>
      <c r="Z2" s="90" t="s">
        <v>43</v>
      </c>
      <c r="AA2" s="91"/>
      <c r="AB2" s="21"/>
      <c r="AC2" s="90" t="s">
        <v>44</v>
      </c>
      <c r="AD2" s="91"/>
      <c r="AE2" s="21"/>
      <c r="AF2" s="90" t="s">
        <v>45</v>
      </c>
      <c r="AG2" s="91"/>
      <c r="AH2" s="21"/>
      <c r="AI2" s="90" t="s">
        <v>46</v>
      </c>
      <c r="AJ2" s="91"/>
      <c r="AK2" s="21"/>
    </row>
    <row r="3" spans="1:37" ht="15.75" x14ac:dyDescent="0.3">
      <c r="A3" s="92"/>
      <c r="B3" s="84" t="s">
        <v>23</v>
      </c>
      <c r="C3" s="83" t="s">
        <v>24</v>
      </c>
      <c r="D3" s="28"/>
      <c r="E3" s="78" t="s">
        <v>23</v>
      </c>
      <c r="F3" s="83" t="s">
        <v>24</v>
      </c>
      <c r="G3" s="28"/>
      <c r="H3" s="84" t="s">
        <v>23</v>
      </c>
      <c r="I3" s="83" t="s">
        <v>24</v>
      </c>
      <c r="J3" s="28"/>
      <c r="K3" s="84" t="s">
        <v>23</v>
      </c>
      <c r="L3" s="83" t="s">
        <v>24</v>
      </c>
      <c r="M3" s="28"/>
      <c r="N3" s="84" t="s">
        <v>23</v>
      </c>
      <c r="O3" s="83" t="s">
        <v>24</v>
      </c>
      <c r="P3" s="28"/>
      <c r="Q3" s="84" t="s">
        <v>23</v>
      </c>
      <c r="R3" s="83" t="s">
        <v>24</v>
      </c>
      <c r="S3" s="28"/>
      <c r="T3" s="84" t="s">
        <v>23</v>
      </c>
      <c r="U3" s="83" t="s">
        <v>24</v>
      </c>
      <c r="V3" s="28"/>
      <c r="W3" s="84" t="s">
        <v>23</v>
      </c>
      <c r="X3" s="80" t="s">
        <v>24</v>
      </c>
      <c r="Y3" s="28"/>
      <c r="Z3" s="84" t="s">
        <v>23</v>
      </c>
      <c r="AA3" s="83" t="s">
        <v>24</v>
      </c>
      <c r="AB3" s="28"/>
      <c r="AC3" s="84" t="s">
        <v>23</v>
      </c>
      <c r="AD3" s="83" t="s">
        <v>24</v>
      </c>
      <c r="AE3" s="28"/>
      <c r="AF3" s="84" t="s">
        <v>23</v>
      </c>
      <c r="AG3" s="83" t="s">
        <v>24</v>
      </c>
      <c r="AH3" s="28"/>
      <c r="AI3" s="84" t="s">
        <v>23</v>
      </c>
      <c r="AJ3" s="83" t="s">
        <v>24</v>
      </c>
      <c r="AK3" s="28"/>
    </row>
    <row r="4" spans="1:37" ht="2.1" customHeight="1" x14ac:dyDescent="0.3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18"/>
      <c r="T4" s="27"/>
      <c r="U4" s="27"/>
      <c r="V4" s="18"/>
      <c r="W4" s="27"/>
      <c r="X4" s="27"/>
      <c r="Y4" s="18"/>
      <c r="Z4" s="27"/>
      <c r="AA4" s="27"/>
      <c r="AB4" s="18"/>
      <c r="AC4" s="27"/>
      <c r="AD4" s="27"/>
      <c r="AE4" s="18"/>
      <c r="AF4" s="27"/>
      <c r="AG4" s="27"/>
      <c r="AH4" s="18"/>
      <c r="AI4" s="27"/>
      <c r="AJ4" s="27"/>
      <c r="AK4" s="18"/>
    </row>
    <row r="5" spans="1:37" x14ac:dyDescent="0.3">
      <c r="A5" s="71" t="s">
        <v>16</v>
      </c>
      <c r="B5" s="86">
        <f>IFERROR(VLOOKUP($B$2&amp;"-"&amp;$A5,CC1_InputUser!$T:$Y,5,FALSE),0)</f>
        <v>-1.4106011696895071E-2</v>
      </c>
      <c r="C5" s="86">
        <f>IFERROR(VLOOKUP($B$2&amp;"-"&amp;$A5,CC1_InputUser!$T:$Y,6,FALSE),0)</f>
        <v>-2.0507248658919397E-2</v>
      </c>
      <c r="D5" s="87"/>
      <c r="E5" s="86">
        <f>IFERROR(VLOOKUP($E$2&amp;"-"&amp;$A5,CC1_InputUser!$T:$Y,5,FALSE),0)</f>
        <v>-9.3744644387317999E-3</v>
      </c>
      <c r="F5" s="86">
        <f>IFERROR(VLOOKUP($E$2&amp;"-"&amp;$A5,CC1_InputUser!$T:$Y,6,FALSE),0)</f>
        <v>-1.0267795991050654E-2</v>
      </c>
      <c r="G5" s="87"/>
      <c r="H5" s="86">
        <f>IFERROR(VLOOKUP($H$2&amp;"-"&amp;$A5,CC1_InputUser!$T:$Y,5,FALSE),0)</f>
        <v>4.4285714285714484E-3</v>
      </c>
      <c r="I5" s="86">
        <f>IFERROR(VLOOKUP($H$2&amp;"-"&amp;$A5,CC1_InputUser!$T:$Y,6,FALSE),0)</f>
        <v>-4.0660390230590759E-2</v>
      </c>
      <c r="J5" s="87"/>
      <c r="K5" s="86">
        <f>IFERROR(VLOOKUP($K$2&amp;"-"&amp;$A5,CC1_InputUser!$T:$Y,5,FALSE),0)</f>
        <v>-1.7158333333333387E-2</v>
      </c>
      <c r="L5" s="86">
        <f>IFERROR(VLOOKUP($K$2&amp;"-"&amp;$A5,CC1_InputUser!$T:$Y,6,FALSE),0)</f>
        <v>-7.5647929989902662E-3</v>
      </c>
      <c r="M5" s="87"/>
      <c r="N5" s="86">
        <f>IFERROR(VLOOKUP($N$2&amp;"-"&amp;$A5,CC1_InputUser!$T:$Y,5,FALSE),0)</f>
        <v>-1.9097248398039945E-2</v>
      </c>
      <c r="O5" s="86">
        <f>IFERROR(VLOOKUP($N$2&amp;"-"&amp;$A5,CC1_InputUser!$T:$Y,6,FALSE),0)</f>
        <v>-8.7419080214148348E-3</v>
      </c>
      <c r="P5" s="87"/>
      <c r="Q5" s="86">
        <f>IFERROR(VLOOKUP(Q2&amp;"-"&amp;$A5,CC1_InputUser!$T:$Y,5,FALSE),0)</f>
        <v>-1.9358108108108119E-2</v>
      </c>
      <c r="R5" s="86">
        <f>IFERROR(VLOOKUP(Q2&amp;"-"&amp;$A5,CC1_InputUser!$T:$Y,6,FALSE),0)</f>
        <v>-2.1165864844206683E-2</v>
      </c>
      <c r="S5" s="87"/>
      <c r="T5" s="86">
        <f>IFERROR(VLOOKUP(T2&amp;"-"&amp;$A5,CC1_InputUser!$T:$Y,5,FALSE),0)</f>
        <v>-2.786885245901638E-2</v>
      </c>
      <c r="U5" s="86">
        <f>IFERROR(VLOOKUP(T2&amp;"-"&amp;$A5,CC1_InputUser!$T:$Y,6,FALSE),0)</f>
        <v>-3.2968227651999027E-2</v>
      </c>
      <c r="V5" s="87"/>
      <c r="W5" s="86">
        <f>IFERROR(VLOOKUP(W2&amp;"-"&amp;$A5,CC1_InputUser!$T:$Y,5,FALSE),0)</f>
        <v>-5.0858232676409543E-4</v>
      </c>
      <c r="X5" s="86">
        <f>IFERROR(VLOOKUP(W2&amp;"-"&amp;$A5,CC1_InputUser!$T:$Y,6,FALSE),0)</f>
        <v>-7.2643255887375746E-3</v>
      </c>
      <c r="Y5" s="87"/>
      <c r="Z5" s="86">
        <f>IFERROR(VLOOKUP(Z2&amp;"-"&amp;$A5,CC1_InputUser!$T:$Y,5,FALSE),0)</f>
        <v>-6.0395622895622947E-2</v>
      </c>
      <c r="AA5" s="86">
        <f>IFERROR(VLOOKUP(Z2&amp;"-"&amp;$A5,CC1_InputUser!$T:$Y,6,FALSE),0)</f>
        <v>-6.0909435073402629E-2</v>
      </c>
      <c r="AB5" s="87"/>
      <c r="AC5" s="86">
        <f>IFERROR(VLOOKUP(AC2&amp;"-"&amp;$A5,CC1_InputUser!$T:$Y,5,FALSE),0)</f>
        <v>0</v>
      </c>
      <c r="AD5" s="86">
        <f>IFERROR(VLOOKUP(AC2&amp;"-"&amp;$A5,CC1_InputUser!$T:$Y,6,FALSE),0)</f>
        <v>0</v>
      </c>
      <c r="AE5" s="87"/>
      <c r="AF5" s="86">
        <f>IFERROR(VLOOKUP(AF2&amp;"-"&amp;$A5,CC1_InputUser!$T:$Y,5,FALSE),0)</f>
        <v>0</v>
      </c>
      <c r="AG5" s="86">
        <f>IFERROR(VLOOKUP(AF2&amp;"-"&amp;$A5,CC1_InputUser!$T:$Y,6,FALSE),0)</f>
        <v>0</v>
      </c>
      <c r="AH5" s="87" t="s">
        <v>65</v>
      </c>
      <c r="AI5" s="86">
        <f>IFERROR(VLOOKUP(AI2&amp;"-"&amp;$A5,CC1_InputUser!$T:$Y,5,FALSE),0)</f>
        <v>0</v>
      </c>
      <c r="AJ5" s="86">
        <f>IFERROR(VLOOKUP(AI2&amp;"-"&amp;$A5,CC1_InputUser!$T:$Y,6,FALSE),0)</f>
        <v>0</v>
      </c>
      <c r="AK5" s="87"/>
    </row>
    <row r="6" spans="1:37" x14ac:dyDescent="0.3">
      <c r="A6" s="72" t="s">
        <v>12</v>
      </c>
      <c r="B6" s="88">
        <f>IFERROR(VLOOKUP($B$2&amp;"-"&amp;$A6,CC1_InputUser!$T:$Y,5,FALSE),0)</f>
        <v>0</v>
      </c>
      <c r="C6" s="88">
        <f>IFERROR(VLOOKUP($B$2&amp;"-"&amp;$A6,CC1_InputUser!$T:$Y,6,FALSE),0)</f>
        <v>0</v>
      </c>
      <c r="D6" s="89"/>
      <c r="E6" s="88">
        <f>IFERROR(VLOOKUP($E$2&amp;"-"&amp;$A6,CC1_InputUser!$T:$Y,5,FALSE),0)</f>
        <v>0</v>
      </c>
      <c r="F6" s="88">
        <f>IFERROR(VLOOKUP($E$2&amp;"-"&amp;$A6,CC1_InputUser!$T:$Y,6,FALSE),0)</f>
        <v>0</v>
      </c>
      <c r="G6" s="89"/>
      <c r="H6" s="88">
        <f>IFERROR(VLOOKUP($H$2&amp;"-"&amp;$A6,CC1_InputUser!$T:$Y,5,FALSE),0)</f>
        <v>0</v>
      </c>
      <c r="I6" s="88">
        <f>IFERROR(VLOOKUP($H$2&amp;"-"&amp;$A6,CC1_InputUser!$T:$Y,6,FALSE),0)</f>
        <v>0</v>
      </c>
      <c r="J6" s="89"/>
      <c r="K6" s="88">
        <f>IFERROR(VLOOKUP($K$2&amp;"-"&amp;$A6,CC1_InputUser!$T:$Y,5,FALSE),0)</f>
        <v>0</v>
      </c>
      <c r="L6" s="88">
        <f>IFERROR(VLOOKUP($K$2&amp;"-"&amp;$A6,CC1_InputUser!$T:$Y,6,FALSE),0)</f>
        <v>0</v>
      </c>
      <c r="M6" s="89"/>
      <c r="N6" s="88">
        <f>IFERROR(VLOOKUP($N$2&amp;"-"&amp;$A6,CC1_InputUser!$T:$Y,5,FALSE),0)</f>
        <v>0</v>
      </c>
      <c r="O6" s="88">
        <f>IFERROR(VLOOKUP($N$2&amp;"-"&amp;$A6,CC1_InputUser!$T:$Y,6,FALSE),0)</f>
        <v>0</v>
      </c>
      <c r="P6" s="89"/>
      <c r="Q6" s="88">
        <f>IFERROR(VLOOKUP($Q$2&amp;"-"&amp;$A6,CC1_InputUser!$T:$Y,5,FALSE),0)</f>
        <v>0</v>
      </c>
      <c r="R6" s="88">
        <f>IFERROR(VLOOKUP($Q$2&amp;"-"&amp;$A6,CC1_InputUser!$T:$Y,6,FALSE),0)</f>
        <v>0</v>
      </c>
      <c r="S6" s="89"/>
      <c r="T6" s="88">
        <f>IFERROR(VLOOKUP($T$2&amp;"-"&amp;$A6,CC1_InputUser!$T:$Y,5,FALSE),0)</f>
        <v>0</v>
      </c>
      <c r="U6" s="88">
        <f>IFERROR(VLOOKUP($T$2&amp;"-"&amp;$A6,CC1_InputUser!$T:$Y,6,FALSE),0)</f>
        <v>0</v>
      </c>
      <c r="V6" s="89"/>
      <c r="W6" s="88">
        <f>IFERROR(VLOOKUP($W$2&amp;"-"&amp;$A6,CC1_InputUser!$T:$Y,5,FALSE),0)</f>
        <v>0</v>
      </c>
      <c r="X6" s="88">
        <f>IFERROR(VLOOKUP($W$2&amp;"-"&amp;$A6,CC1_InputUser!$T:$Y,6,FALSE),0)</f>
        <v>0</v>
      </c>
      <c r="Y6" s="89"/>
      <c r="Z6" s="88">
        <f>IFERROR(VLOOKUP($Z$2&amp;"-"&amp;$A6,CC1_InputUser!$T:$Y,5,FALSE),0)</f>
        <v>0</v>
      </c>
      <c r="AA6" s="88">
        <f>IFERROR(VLOOKUP($Z$2&amp;"-"&amp;$A6,CC1_InputUser!$T:$Y,6,FALSE),0)</f>
        <v>0</v>
      </c>
      <c r="AB6" s="89"/>
      <c r="AC6" s="88">
        <f>IFERROR(VLOOKUP($AC$2&amp;"-"&amp;$A6,CC1_InputUser!$T:$Y,5,FALSE),0)</f>
        <v>0</v>
      </c>
      <c r="AD6" s="88">
        <f>IFERROR(VLOOKUP($AC$2&amp;"-"&amp;$A6,CC1_InputUser!$T:$Y,6,FALSE),0)</f>
        <v>0</v>
      </c>
      <c r="AE6" s="89"/>
      <c r="AF6" s="88">
        <f>IFERROR(VLOOKUP($AF$2&amp;"-"&amp;$A6,CC1_InputUser!$T:$Y,5,FALSE),0)</f>
        <v>0</v>
      </c>
      <c r="AG6" s="88">
        <f>IFERROR(VLOOKUP($AF$2&amp;"-"&amp;$A6,CC1_InputUser!$T:$Y,6,FALSE),0)</f>
        <v>0</v>
      </c>
      <c r="AH6" s="89"/>
      <c r="AI6" s="88">
        <f>IFERROR(VLOOKUP($AI$2&amp;"-"&amp;$A6,CC1_InputUser!$T:$Y,5,FALSE),0)</f>
        <v>0</v>
      </c>
      <c r="AJ6" s="88">
        <f>IFERROR(VLOOKUP($AI$2&amp;"-"&amp;$A6,CC1_InputUser!$T:$Y,6,FALSE),0)</f>
        <v>0</v>
      </c>
      <c r="AK6" s="89"/>
    </row>
    <row r="7" spans="1:37" x14ac:dyDescent="0.3">
      <c r="A7" s="71" t="s">
        <v>17</v>
      </c>
      <c r="B7" s="86">
        <f>IFERROR(VLOOKUP($B$2&amp;"-"&amp;$A7,CC1_InputUser!$T:$Y,5,FALSE),0)</f>
        <v>0</v>
      </c>
      <c r="C7" s="86">
        <f>IFERROR(VLOOKUP($B$2&amp;"-"&amp;$A7,CC1_InputUser!$T:$Y,6,FALSE),0)</f>
        <v>-5.7088487155090295E-3</v>
      </c>
      <c r="D7" s="87"/>
      <c r="E7" s="86">
        <f>IFERROR(VLOOKUP($E$2&amp;"-"&amp;$A7,CC1_InputUser!$T:$Y,5,FALSE),0)</f>
        <v>3.6297640653357721E-3</v>
      </c>
      <c r="F7" s="86">
        <f>IFERROR(VLOOKUP($E$2&amp;"-"&amp;$A7,CC1_InputUser!$T:$Y,6,FALSE),0)</f>
        <v>-2.525252525252486E-3</v>
      </c>
      <c r="G7" s="87"/>
      <c r="H7" s="86">
        <f>IFERROR(VLOOKUP($H$2&amp;"-"&amp;$A7,CC1_InputUser!$T:$Y,5,FALSE),0)</f>
        <v>3.0128205128205909E-3</v>
      </c>
      <c r="I7" s="86">
        <f>IFERROR(VLOOKUP($H$2&amp;"-"&amp;$A7,CC1_InputUser!$T:$Y,6,FALSE),0)</f>
        <v>-3.3440555431701879E-3</v>
      </c>
      <c r="J7" s="87"/>
      <c r="K7" s="86">
        <f>IFERROR(VLOOKUP($K$2&amp;"-"&amp;$A7,CC1_InputUser!$T:$Y,5,FALSE),0)</f>
        <v>0</v>
      </c>
      <c r="L7" s="86">
        <f>IFERROR(VLOOKUP($K$2&amp;"-"&amp;$A7,CC1_InputUser!$T:$Y,6,FALSE),0)</f>
        <v>0</v>
      </c>
      <c r="M7" s="87"/>
      <c r="N7" s="86">
        <f>IFERROR(VLOOKUP($N$2&amp;"-"&amp;$A7,CC1_InputUser!$T:$Y,5,FALSE),0)</f>
        <v>1.067615658362886E-3</v>
      </c>
      <c r="O7" s="86">
        <f>IFERROR(VLOOKUP($N$2&amp;"-"&amp;$A7,CC1_InputUser!$T:$Y,6,FALSE),0)</f>
        <v>-7.9600987455287209E-3</v>
      </c>
      <c r="P7" s="87"/>
      <c r="Q7" s="86">
        <f>IFERROR(VLOOKUP($Q$2&amp;"-"&amp;$A7,CC1_InputUser!$T:$Y,5,FALSE),0)</f>
        <v>0</v>
      </c>
      <c r="R7" s="86">
        <f>IFERROR(VLOOKUP($Q$2&amp;"-"&amp;$A7,CC1_InputUser!$T:$Y,6,FALSE),0)</f>
        <v>-7.9365079365079083E-3</v>
      </c>
      <c r="S7" s="87"/>
      <c r="T7" s="86">
        <f>IFERROR(VLOOKUP($T$2&amp;"-"&amp;$A7,CC1_InputUser!$T:$Y,5,FALSE),0)</f>
        <v>0</v>
      </c>
      <c r="U7" s="86">
        <f>IFERROR(VLOOKUP($T$2&amp;"-"&amp;$A7,CC1_InputUser!$T:$Y,6,FALSE),0)</f>
        <v>0</v>
      </c>
      <c r="V7" s="87"/>
      <c r="W7" s="86">
        <f>IFERROR(VLOOKUP($W$2&amp;"-"&amp;$A7,CC1_InputUser!$T:$Y,5,FALSE),0)</f>
        <v>0</v>
      </c>
      <c r="X7" s="86">
        <f>IFERROR(VLOOKUP($W$2&amp;"-"&amp;$A7,CC1_InputUser!$T:$Y,6,FALSE),0)</f>
        <v>-1.011680526926817E-2</v>
      </c>
      <c r="Y7" s="87"/>
      <c r="Z7" s="86">
        <f>IFERROR(VLOOKUP($Z$2&amp;"-"&amp;$A7,CC1_InputUser!$T:$Y,5,FALSE),0)</f>
        <v>-1.1596548004314977E-2</v>
      </c>
      <c r="AA7" s="86">
        <f>IFERROR(VLOOKUP($Z$2&amp;"-"&amp;$A7,CC1_InputUser!$T:$Y,6,FALSE),0)</f>
        <v>-1.0862964712232692E-2</v>
      </c>
      <c r="AB7" s="87"/>
      <c r="AC7" s="86">
        <f>IFERROR(VLOOKUP($AC$2&amp;"-"&amp;$A7,CC1_InputUser!$T:$Y,5,FALSE),0)</f>
        <v>0</v>
      </c>
      <c r="AD7" s="86">
        <f>IFERROR(VLOOKUP($AC$2&amp;"-"&amp;$A7,CC1_InputUser!$T:$Y,6,FALSE),0)</f>
        <v>0</v>
      </c>
      <c r="AE7" s="87"/>
      <c r="AF7" s="86">
        <f>IFERROR(VLOOKUP($AF$2&amp;"-"&amp;$A7,CC1_InputUser!$T:$Y,5,FALSE),0)</f>
        <v>0</v>
      </c>
      <c r="AG7" s="86">
        <f>IFERROR(VLOOKUP($AF$2&amp;"-"&amp;$A7,CC1_InputUser!$T:$Y,6,FALSE),0)</f>
        <v>0</v>
      </c>
      <c r="AH7" s="87"/>
      <c r="AI7" s="86">
        <f>IFERROR(VLOOKUP($AI$2&amp;"-"&amp;$A7,CC1_InputUser!$T:$Y,5,FALSE),0)</f>
        <v>0</v>
      </c>
      <c r="AJ7" s="86">
        <f>IFERROR(VLOOKUP($AI$2&amp;"-"&amp;$A7,CC1_InputUser!$T:$Y,6,FALSE),0)</f>
        <v>0</v>
      </c>
      <c r="AK7" s="87"/>
    </row>
    <row r="8" spans="1:37" x14ac:dyDescent="0.3">
      <c r="A8" s="72" t="s">
        <v>15</v>
      </c>
      <c r="B8" s="88">
        <f>IFERROR(VLOOKUP($B$2&amp;"-"&amp;$A8,CC1_InputUser!$T:$Y,5,FALSE),0)</f>
        <v>0</v>
      </c>
      <c r="C8" s="88">
        <f>IFERROR(VLOOKUP($B$2&amp;"-"&amp;$A8,CC1_InputUser!$T:$Y,6,FALSE),0)</f>
        <v>0</v>
      </c>
      <c r="D8" s="89"/>
      <c r="E8" s="88">
        <f>IFERROR(VLOOKUP($E$2&amp;"-"&amp;$A8,CC1_InputUser!$T:$Y,5,FALSE),0)</f>
        <v>5.300353356890497E-3</v>
      </c>
      <c r="F8" s="88">
        <f>IFERROR(VLOOKUP($E$2&amp;"-"&amp;$A8,CC1_InputUser!$T:$Y,6,FALSE),0)</f>
        <v>-3.0664395229982988E-2</v>
      </c>
      <c r="G8" s="89"/>
      <c r="H8" s="88">
        <f>IFERROR(VLOOKUP($H$2&amp;"-"&amp;$A8,CC1_InputUser!$T:$Y,5,FALSE),0)</f>
        <v>-3.1088082901554404E-2</v>
      </c>
      <c r="I8" s="88">
        <f>IFERROR(VLOOKUP($H$2&amp;"-"&amp;$A8,CC1_InputUser!$T:$Y,6,FALSE),0)</f>
        <v>-3.2091097308488581E-2</v>
      </c>
      <c r="J8" s="89"/>
      <c r="K8" s="88">
        <f>IFERROR(VLOOKUP($K$2&amp;"-"&amp;$A8,CC1_InputUser!$T:$Y,5,FALSE),0)</f>
        <v>-3.6835496023440717E-2</v>
      </c>
      <c r="L8" s="88">
        <f>IFERROR(VLOOKUP($K$2&amp;"-"&amp;$A8,CC1_InputUser!$T:$Y,6,FALSE),0)</f>
        <v>-1.9599488708990198E-2</v>
      </c>
      <c r="M8" s="89"/>
      <c r="N8" s="88">
        <f>IFERROR(VLOOKUP($N$2&amp;"-"&amp;$A8,CC1_InputUser!$T:$Y,5,FALSE),0)</f>
        <v>2.0869855580607499E-4</v>
      </c>
      <c r="O8" s="88">
        <f>IFERROR(VLOOKUP($N$2&amp;"-"&amp;$A8,CC1_InputUser!$T:$Y,6,FALSE),0)</f>
        <v>-5.7259034894817651E-3</v>
      </c>
      <c r="P8" s="89"/>
      <c r="Q8" s="88">
        <f>IFERROR(VLOOKUP($Q$2&amp;"-"&amp;$A8,CC1_InputUser!$T:$Y,5,FALSE),0)</f>
        <v>0</v>
      </c>
      <c r="R8" s="88">
        <f>IFERROR(VLOOKUP($Q$2&amp;"-"&amp;$A8,CC1_InputUser!$T:$Y,6,FALSE),0)</f>
        <v>-4.0606388738495536E-4</v>
      </c>
      <c r="S8" s="89"/>
      <c r="T8" s="88">
        <f>IFERROR(VLOOKUP($T$2&amp;"-"&amp;$A8,CC1_InputUser!$T:$Y,5,FALSE),0)</f>
        <v>-1.5109121432568595E-2</v>
      </c>
      <c r="U8" s="88">
        <f>IFERROR(VLOOKUP($T$2&amp;"-"&amp;$A8,CC1_InputUser!$T:$Y,6,FALSE),0)</f>
        <v>-3.1263760457947987E-2</v>
      </c>
      <c r="V8" s="89"/>
      <c r="W8" s="88">
        <f>IFERROR(VLOOKUP($W$2&amp;"-"&amp;$A8,CC1_InputUser!$T:$Y,5,FALSE),0)</f>
        <v>2.7813317016178729E-5</v>
      </c>
      <c r="X8" s="88">
        <f>IFERROR(VLOOKUP($W$2&amp;"-"&amp;$A8,CC1_InputUser!$T:$Y,6,FALSE),0)</f>
        <v>-4.5681063122923193E-3</v>
      </c>
      <c r="Y8" s="89"/>
      <c r="Z8" s="88">
        <f>IFERROR(VLOOKUP($Z$2&amp;"-"&amp;$A8,CC1_InputUser!$T:$Y,5,FALSE),0)</f>
        <v>8.4346976826779052E-3</v>
      </c>
      <c r="AA8" s="88">
        <f>IFERROR(VLOOKUP($Z$2&amp;"-"&amp;$A8,CC1_InputUser!$T:$Y,6,FALSE),0)</f>
        <v>-2.631804543506211E-2</v>
      </c>
      <c r="AB8" s="89"/>
      <c r="AC8" s="88">
        <f>IFERROR(VLOOKUP($AC$2&amp;"-"&amp;$A8,CC1_InputUser!$T:$Y,5,FALSE),0)</f>
        <v>0</v>
      </c>
      <c r="AD8" s="88">
        <f>IFERROR(VLOOKUP($AC$2&amp;"-"&amp;$A8,CC1_InputUser!$T:$Y,6,FALSE),0)</f>
        <v>0</v>
      </c>
      <c r="AE8" s="89"/>
      <c r="AF8" s="88">
        <f>IFERROR(VLOOKUP($AF$2&amp;"-"&amp;$A8,CC1_InputUser!$T:$Y,5,FALSE),0)</f>
        <v>0</v>
      </c>
      <c r="AG8" s="88">
        <f>IFERROR(VLOOKUP($AF$2&amp;"-"&amp;$A8,CC1_InputUser!$T:$Y,6,FALSE),0)</f>
        <v>0</v>
      </c>
      <c r="AH8" s="89"/>
      <c r="AI8" s="88">
        <f>IFERROR(VLOOKUP($AI$2&amp;"-"&amp;$A8,CC1_InputUser!$T:$Y,5,FALSE),0)</f>
        <v>0</v>
      </c>
      <c r="AJ8" s="88">
        <f>IFERROR(VLOOKUP($AI$2&amp;"-"&amp;$A8,CC1_InputUser!$T:$Y,6,FALSE),0)</f>
        <v>0</v>
      </c>
      <c r="AK8" s="89"/>
    </row>
    <row r="9" spans="1:37" x14ac:dyDescent="0.3">
      <c r="A9" s="71" t="s">
        <v>68</v>
      </c>
      <c r="B9" s="86">
        <f>IFERROR(VLOOKUP($B$2&amp;"-"&amp;$A9,CC1_InputUser!$T:$Y,5,FALSE),0)</f>
        <v>0</v>
      </c>
      <c r="C9" s="86">
        <f>IFERROR(VLOOKUP($B$2&amp;"-"&amp;$A9,CC1_InputUser!$T:$Y,6,FALSE),0)</f>
        <v>0</v>
      </c>
      <c r="D9" s="87"/>
      <c r="E9" s="86">
        <f>IFERROR(VLOOKUP($E$2&amp;"-"&amp;$A9,CC1_InputUser!$T:$Y,5,FALSE),0)</f>
        <v>0</v>
      </c>
      <c r="F9" s="86">
        <f>IFERROR(VLOOKUP($E$2&amp;"-"&amp;$A9,CC1_InputUser!$T:$Y,6,FALSE),0)</f>
        <v>0</v>
      </c>
      <c r="G9" s="87"/>
      <c r="H9" s="86">
        <f>IFERROR(VLOOKUP($H$2&amp;"-"&amp;$A9,CC1_InputUser!$T:$Y,5,FALSE),0)</f>
        <v>0</v>
      </c>
      <c r="I9" s="86">
        <f>IFERROR(VLOOKUP($H$2&amp;"-"&amp;$A9,CC1_InputUser!$T:$Y,6,FALSE),0)</f>
        <v>0</v>
      </c>
      <c r="J9" s="87"/>
      <c r="K9" s="86">
        <f>IFERROR(VLOOKUP($K$2&amp;"-"&amp;$A9,CC1_InputUser!$T:$Y,5,FALSE),0)</f>
        <v>0</v>
      </c>
      <c r="L9" s="86">
        <f>IFERROR(VLOOKUP($K$2&amp;"-"&amp;$A9,CC1_InputUser!$T:$Y,6,FALSE),0)</f>
        <v>0</v>
      </c>
      <c r="M9" s="87"/>
      <c r="N9" s="86">
        <f>IFERROR(VLOOKUP($N$2&amp;"-"&amp;$A9,CC1_InputUser!$T:$Y,5,FALSE),0)</f>
        <v>-2.7551020408163263E-2</v>
      </c>
      <c r="O9" s="86">
        <f>IFERROR(VLOOKUP($N$2&amp;"-"&amp;$A9,CC1_InputUser!$T:$Y,6,FALSE),0)</f>
        <v>-2.9531568228105876E-2</v>
      </c>
      <c r="P9" s="87"/>
      <c r="Q9" s="86">
        <f>IFERROR(VLOOKUP($Q$2&amp;"-"&amp;$A9,CC1_InputUser!$T:$Y,5,FALSE),0)</f>
        <v>-5.0968399592254965E-4</v>
      </c>
      <c r="R9" s="86">
        <f>IFERROR(VLOOKUP($Q$2&amp;"-"&amp;$A9,CC1_InputUser!$T:$Y,6,FALSE),0)</f>
        <v>-4.0629761300152722E-3</v>
      </c>
      <c r="S9" s="87"/>
      <c r="T9" s="86">
        <f>IFERROR(VLOOKUP($T$2&amp;"-"&amp;$A9,CC1_InputUser!$T:$Y,5,FALSE),0)</f>
        <v>0</v>
      </c>
      <c r="U9" s="86">
        <f>IFERROR(VLOOKUP($T$2&amp;"-"&amp;$A9,CC1_InputUser!$T:$Y,6,FALSE),0)</f>
        <v>0</v>
      </c>
      <c r="V9" s="87"/>
      <c r="W9" s="86">
        <f>IFERROR(VLOOKUP($W$2&amp;"-"&amp;$A9,CC1_InputUser!$T:$Y,5,FALSE),0)</f>
        <v>-1.2974051896207595E-2</v>
      </c>
      <c r="X9" s="86">
        <f>IFERROR(VLOOKUP($W$2&amp;"-"&amp;$A9,CC1_InputUser!$T:$Y,6,FALSE),0)</f>
        <v>-1.2974051896207595E-2</v>
      </c>
      <c r="Y9" s="87"/>
      <c r="Z9" s="86">
        <f>IFERROR(VLOOKUP($Z$2&amp;"-"&amp;$A9,CC1_InputUser!$T:$Y,5,FALSE),0)</f>
        <v>0</v>
      </c>
      <c r="AA9" s="86">
        <f>IFERROR(VLOOKUP($Z$2&amp;"-"&amp;$A9,CC1_InputUser!$T:$Y,6,FALSE),0)</f>
        <v>0</v>
      </c>
      <c r="AB9" s="87"/>
      <c r="AC9" s="86">
        <f>IFERROR(VLOOKUP($AC$2&amp;"-"&amp;$A9,CC1_InputUser!$T:$Y,5,FALSE),0)</f>
        <v>0</v>
      </c>
      <c r="AD9" s="86">
        <f>IFERROR(VLOOKUP($AC$2&amp;"-"&amp;$A9,CC1_InputUser!$T:$Y,6,FALSE),0)</f>
        <v>0</v>
      </c>
      <c r="AE9" s="87"/>
      <c r="AF9" s="86">
        <f>IFERROR(VLOOKUP($AF$2&amp;"-"&amp;$A9,CC1_InputUser!$T:$Y,5,FALSE),0)</f>
        <v>0</v>
      </c>
      <c r="AG9" s="86">
        <f>IFERROR(VLOOKUP($AF$2&amp;"-"&amp;$A9,CC1_InputUser!$T:$Y,6,FALSE),0)</f>
        <v>0</v>
      </c>
      <c r="AH9" s="87"/>
      <c r="AI9" s="86">
        <f>IFERROR(VLOOKUP($AI$2&amp;"-"&amp;$A9,CC1_InputUser!$T:$Y,5,FALSE),0)</f>
        <v>0</v>
      </c>
      <c r="AJ9" s="86">
        <f>IFERROR(VLOOKUP($AI$2&amp;"-"&amp;$A9,CC1_InputUser!$T:$Y,6,FALSE),0)</f>
        <v>0</v>
      </c>
      <c r="AK9" s="87"/>
    </row>
    <row r="10" spans="1:37" x14ac:dyDescent="0.3">
      <c r="A10" s="72" t="s">
        <v>27</v>
      </c>
      <c r="B10" s="88">
        <f>IFERROR(VLOOKUP($B$2&amp;"-"&amp;$A10,CC1_InputUser!$T:$Y,5,FALSE),0)</f>
        <v>-7.3416072081234907E-3</v>
      </c>
      <c r="C10" s="88">
        <f>IFERROR(VLOOKUP($B$2&amp;"-"&amp;$A10,CC1_InputUser!$T:$Y,6,FALSE),0)</f>
        <v>-1.1504256733234186E-2</v>
      </c>
      <c r="D10" s="89"/>
      <c r="E10" s="88">
        <f>IFERROR(VLOOKUP($E$2&amp;"-"&amp;$A10,CC1_InputUser!$T:$Y,5,FALSE),0)</f>
        <v>2.673464312360041E-3</v>
      </c>
      <c r="F10" s="88">
        <f>IFERROR(VLOOKUP($E$2&amp;"-"&amp;$A10,CC1_InputUser!$T:$Y,6,FALSE),0)</f>
        <v>-1.7704505309321217E-2</v>
      </c>
      <c r="G10" s="89"/>
      <c r="H10" s="88">
        <f>IFERROR(VLOOKUP($H$2&amp;"-"&amp;$A10,CC1_InputUser!$T:$Y,5,FALSE),0)</f>
        <v>0</v>
      </c>
      <c r="I10" s="88">
        <f>IFERROR(VLOOKUP($H$2&amp;"-"&amp;$A10,CC1_InputUser!$T:$Y,6,FALSE),0)</f>
        <v>-5.2955639145144673E-3</v>
      </c>
      <c r="J10" s="89"/>
      <c r="K10" s="88">
        <f>IFERROR(VLOOKUP($K$2&amp;"-"&amp;$A10,CC1_InputUser!$T:$Y,5,FALSE),0)</f>
        <v>2.489082969432399E-3</v>
      </c>
      <c r="L10" s="88">
        <f>IFERROR(VLOOKUP($K$2&amp;"-"&amp;$A10,CC1_InputUser!$T:$Y,6,FALSE),0)</f>
        <v>-1.0431484115694611E-2</v>
      </c>
      <c r="M10" s="89"/>
      <c r="N10" s="88">
        <f>IFERROR(VLOOKUP($N$2&amp;"-"&amp;$A10,CC1_InputUser!$T:$Y,5,FALSE),0)</f>
        <v>-1.5789307480973402E-4</v>
      </c>
      <c r="O10" s="88">
        <f>IFERROR(VLOOKUP($N$2&amp;"-"&amp;$A10,CC1_InputUser!$T:$Y,6,FALSE),0)</f>
        <v>-9.9808637574575476E-3</v>
      </c>
      <c r="P10" s="89"/>
      <c r="Q10" s="88">
        <f>IFERROR(VLOOKUP($Q$2&amp;"-"&amp;$A10,CC1_InputUser!$T:$Y,5,FALSE),0)</f>
        <v>-2.6874503657996596E-2</v>
      </c>
      <c r="R10" s="88">
        <f>IFERROR(VLOOKUP($Q$2&amp;"-"&amp;$A10,CC1_InputUser!$T:$Y,6,FALSE),0)</f>
        <v>-1.1684177468166523E-2</v>
      </c>
      <c r="S10" s="89"/>
      <c r="T10" s="88">
        <f>IFERROR(VLOOKUP($T$2&amp;"-"&amp;$A10,CC1_InputUser!$T:$Y,5,FALSE),0)</f>
        <v>0</v>
      </c>
      <c r="U10" s="88">
        <f>IFERROR(VLOOKUP($T$2&amp;"-"&amp;$A10,CC1_InputUser!$T:$Y,6,FALSE),0)</f>
        <v>-2.0760233918128645E-2</v>
      </c>
      <c r="V10" s="89"/>
      <c r="W10" s="88">
        <f>IFERROR(VLOOKUP($W$2&amp;"-"&amp;$A10,CC1_InputUser!$T:$Y,5,FALSE),0)</f>
        <v>-1.0449102422105394E-4</v>
      </c>
      <c r="X10" s="88">
        <f>IFERROR(VLOOKUP($W$2&amp;"-"&amp;$A10,CC1_InputUser!$T:$Y,6,FALSE),0)</f>
        <v>-1.4094374613641047E-2</v>
      </c>
      <c r="Y10" s="89"/>
      <c r="Z10" s="88">
        <f>IFERROR(VLOOKUP($Z$2&amp;"-"&amp;$A10,CC1_InputUser!$T:$Y,5,FALSE),0)</f>
        <v>-2.1175463494852442E-3</v>
      </c>
      <c r="AA10" s="88">
        <f>IFERROR(VLOOKUP($Z$2&amp;"-"&amp;$A10,CC1_InputUser!$T:$Y,6,FALSE),0)</f>
        <v>-1.8696971710861487E-2</v>
      </c>
      <c r="AB10" s="89"/>
      <c r="AC10" s="88">
        <f>IFERROR(VLOOKUP($AC$2&amp;"-"&amp;$A10,CC1_InputUser!$T:$Y,5,FALSE),0)</f>
        <v>0</v>
      </c>
      <c r="AD10" s="88">
        <f>IFERROR(VLOOKUP($AC$2&amp;"-"&amp;$A10,CC1_InputUser!$T:$Y,6,FALSE),0)</f>
        <v>0</v>
      </c>
      <c r="AE10" s="89"/>
      <c r="AF10" s="88">
        <f>IFERROR(VLOOKUP($AF$2&amp;"-"&amp;$A10,CC1_InputUser!$T:$Y,5,FALSE),0)</f>
        <v>0</v>
      </c>
      <c r="AG10" s="88">
        <f>IFERROR(VLOOKUP($AF$2&amp;"-"&amp;$A10,CC1_InputUser!$T:$Y,6,FALSE),0)</f>
        <v>0</v>
      </c>
      <c r="AH10" s="89"/>
      <c r="AI10" s="88">
        <f>IFERROR(VLOOKUP($AI$2&amp;"-"&amp;$A10,CC1_InputUser!$T:$Y,5,FALSE),0)</f>
        <v>0</v>
      </c>
      <c r="AJ10" s="88">
        <f>IFERROR(VLOOKUP($AI$2&amp;"-"&amp;$A10,CC1_InputUser!$T:$Y,6,FALSE),0)</f>
        <v>0</v>
      </c>
      <c r="AK10" s="89"/>
    </row>
    <row r="11" spans="1:37" x14ac:dyDescent="0.3">
      <c r="A11" s="71" t="s">
        <v>73</v>
      </c>
      <c r="B11" s="86">
        <f>IFERROR(VLOOKUP($B$2&amp;"-"&amp;$A11,CC1_InputUser!$T:$Y,5,FALSE),0)</f>
        <v>1.6509722392075377E-2</v>
      </c>
      <c r="C11" s="86">
        <f>IFERROR(VLOOKUP($B$2&amp;"-"&amp;$A11,CC1_InputUser!$T:$Y,6,FALSE),0)</f>
        <v>-9.3203976067316452E-3</v>
      </c>
      <c r="D11" s="87"/>
      <c r="E11" s="86">
        <f>IFERROR(VLOOKUP($E$2&amp;"-"&amp;$A11,CC1_InputUser!$T:$Y,5,FALSE),0)</f>
        <v>1.0271927379862156E-2</v>
      </c>
      <c r="F11" s="86">
        <f>IFERROR(VLOOKUP($E$2&amp;"-"&amp;$A11,CC1_InputUser!$T:$Y,6,FALSE),0)</f>
        <v>-1.5660761093039155E-2</v>
      </c>
      <c r="G11" s="87"/>
      <c r="H11" s="86">
        <f>IFERROR(VLOOKUP($H$2&amp;"-"&amp;$A11,CC1_InputUser!$T:$Y,5,FALSE),0)</f>
        <v>6.7544595299078303E-3</v>
      </c>
      <c r="I11" s="86">
        <f>IFERROR(VLOOKUP($H$2&amp;"-"&amp;$A11,CC1_InputUser!$T:$Y,6,FALSE),0)</f>
        <v>-1.0850866009342153E-2</v>
      </c>
      <c r="J11" s="87"/>
      <c r="K11" s="86">
        <f>IFERROR(VLOOKUP($K$2&amp;"-"&amp;$A11,CC1_InputUser!$T:$Y,5,FALSE),0)</f>
        <v>1.138416585064439E-2</v>
      </c>
      <c r="L11" s="86">
        <f>IFERROR(VLOOKUP($K$2&amp;"-"&amp;$A11,CC1_InputUser!$T:$Y,6,FALSE),0)</f>
        <v>-9.2488099146421643E-3</v>
      </c>
      <c r="M11" s="87"/>
      <c r="N11" s="86">
        <f>IFERROR(VLOOKUP($N$2&amp;"-"&amp;$A11,CC1_InputUser!$T:$Y,5,FALSE),0)</f>
        <v>1.836158192090398E-2</v>
      </c>
      <c r="O11" s="86">
        <f>IFERROR(VLOOKUP($N$2&amp;"-"&amp;$A11,CC1_InputUser!$T:$Y,6,FALSE),0)</f>
        <v>-8.669747546117712E-3</v>
      </c>
      <c r="P11" s="87"/>
      <c r="Q11" s="86">
        <f>IFERROR(VLOOKUP($Q$2&amp;"-"&amp;$A11,CC1_InputUser!$T:$Y,5,FALSE),0)</f>
        <v>1.4089529016434232E-2</v>
      </c>
      <c r="R11" s="86">
        <f>IFERROR(VLOOKUP($Q$2&amp;"-"&amp;$A11,CC1_InputUser!$T:$Y,6,FALSE),0)</f>
        <v>-1.4086726333039201E-2</v>
      </c>
      <c r="S11" s="87"/>
      <c r="T11" s="86">
        <f>IFERROR(VLOOKUP($T$2&amp;"-"&amp;$A11,CC1_InputUser!$T:$Y,5,FALSE),0)</f>
        <v>-1.8316955034124005E-2</v>
      </c>
      <c r="U11" s="86">
        <f>IFERROR(VLOOKUP($T$2&amp;"-"&amp;$A11,CC1_InputUser!$T:$Y,6,FALSE),0)</f>
        <v>-1.8137943191281147E-2</v>
      </c>
      <c r="V11" s="87"/>
      <c r="W11" s="86">
        <f>IFERROR(VLOOKUP($W$2&amp;"-"&amp;$A11,CC1_InputUser!$T:$Y,5,FALSE),0)</f>
        <v>5.4678475163649765E-3</v>
      </c>
      <c r="X11" s="86">
        <f>IFERROR(VLOOKUP($W$2&amp;"-"&amp;$A11,CC1_InputUser!$T:$Y,6,FALSE),0)</f>
        <v>-1.080417620050611E-2</v>
      </c>
      <c r="Y11" s="87"/>
      <c r="Z11" s="86">
        <f>IFERROR(VLOOKUP($Z$2&amp;"-"&amp;$A11,CC1_InputUser!$T:$Y,5,FALSE),0)</f>
        <v>4.7695337336288723E-3</v>
      </c>
      <c r="AA11" s="86">
        <f>IFERROR(VLOOKUP($Z$2&amp;"-"&amp;$A11,CC1_InputUser!$T:$Y,6,FALSE),0)</f>
        <v>-2.8499918489466314E-3</v>
      </c>
      <c r="AB11" s="87"/>
      <c r="AC11" s="86">
        <f>IFERROR(VLOOKUP($AC$2&amp;"-"&amp;$A11,CC1_InputUser!$T:$Y,5,FALSE),0)</f>
        <v>-1.3134655090922709E-2</v>
      </c>
      <c r="AD11" s="86">
        <f>IFERROR(VLOOKUP($AC$2&amp;"-"&amp;$A11,CC1_InputUser!$T:$Y,6,FALSE),0)</f>
        <v>-1.1567138612566308E-2</v>
      </c>
      <c r="AE11" s="87"/>
      <c r="AF11" s="86">
        <f>IFERROR(VLOOKUP($AF$2&amp;"-"&amp;$A11,CC1_InputUser!$T:$Y,5,FALSE),0)</f>
        <v>0</v>
      </c>
      <c r="AG11" s="86">
        <f>IFERROR(VLOOKUP($AF$2&amp;"-"&amp;$A11,CC1_InputUser!$T:$Y,6,FALSE),0)</f>
        <v>0</v>
      </c>
      <c r="AH11" s="87"/>
      <c r="AI11" s="86">
        <f>IFERROR(VLOOKUP($AI$2&amp;"-"&amp;$A11,CC1_InputUser!$T:$Y,5,FALSE),0)</f>
        <v>0</v>
      </c>
      <c r="AJ11" s="86">
        <f>IFERROR(VLOOKUP($AI$2&amp;"-"&amp;$A11,CC1_InputUser!$T:$Y,6,FALSE),0)</f>
        <v>0</v>
      </c>
      <c r="AK11" s="87"/>
    </row>
    <row r="12" spans="1:37" x14ac:dyDescent="0.3">
      <c r="A12" s="72" t="s">
        <v>28</v>
      </c>
      <c r="B12" s="88">
        <f>IFERROR(VLOOKUP($B$2&amp;"-"&amp;$A12,CC1_InputUser!$T:$Y,5,FALSE),0)</f>
        <v>7.2910889258643863E-3</v>
      </c>
      <c r="C12" s="88">
        <f>IFERROR(VLOOKUP($B$2&amp;"-"&amp;$A12,CC1_InputUser!$T:$Y,6,FALSE),0)</f>
        <v>-7.4321612474417265E-3</v>
      </c>
      <c r="D12" s="89"/>
      <c r="E12" s="88">
        <f>IFERROR(VLOOKUP($E$2&amp;"-"&amp;$A12,CC1_InputUser!$T:$Y,5,FALSE),0)</f>
        <v>9.4618759085587367E-3</v>
      </c>
      <c r="F12" s="88">
        <f>IFERROR(VLOOKUP($E$2&amp;"-"&amp;$A12,CC1_InputUser!$T:$Y,6,FALSE),0)</f>
        <v>-1.4301506148956755E-2</v>
      </c>
      <c r="G12" s="89"/>
      <c r="H12" s="88">
        <f>IFERROR(VLOOKUP($H$2&amp;"-"&amp;$A12,CC1_InputUser!$T:$Y,5,FALSE),0)</f>
        <v>8.4937421893944709E-3</v>
      </c>
      <c r="I12" s="88">
        <f>IFERROR(VLOOKUP($H$2&amp;"-"&amp;$A12,CC1_InputUser!$T:$Y,6,FALSE),0)</f>
        <v>-1.4083961287910896E-2</v>
      </c>
      <c r="J12" s="89"/>
      <c r="K12" s="88">
        <f>IFERROR(VLOOKUP($K$2&amp;"-"&amp;$A12,CC1_InputUser!$T:$Y,5,FALSE),0)</f>
        <v>2.1633912103288244E-2</v>
      </c>
      <c r="L12" s="88">
        <f>IFERROR(VLOOKUP($K$2&amp;"-"&amp;$A12,CC1_InputUser!$T:$Y,6,FALSE),0)</f>
        <v>-6.7246272856003042E-3</v>
      </c>
      <c r="M12" s="89"/>
      <c r="N12" s="88">
        <f>IFERROR(VLOOKUP($N$2&amp;"-"&amp;$A12,CC1_InputUser!$T:$Y,5,FALSE),0)</f>
        <v>1.252798203835459E-2</v>
      </c>
      <c r="O12" s="88">
        <f>IFERROR(VLOOKUP($N$2&amp;"-"&amp;$A12,CC1_InputUser!$T:$Y,6,FALSE),0)</f>
        <v>-9.4181601363415579E-3</v>
      </c>
      <c r="P12" s="89"/>
      <c r="Q12" s="88">
        <f>IFERROR(VLOOKUP($Q$2&amp;"-"&amp;$A12,CC1_InputUser!$T:$Y,5,FALSE),0)</f>
        <v>7.1880524797618417E-3</v>
      </c>
      <c r="R12" s="88">
        <f>IFERROR(VLOOKUP($Q$2&amp;"-"&amp;$A12,CC1_InputUser!$T:$Y,6,FALSE),0)</f>
        <v>-1.069849982355342E-2</v>
      </c>
      <c r="S12" s="89"/>
      <c r="T12" s="88">
        <f>IFERROR(VLOOKUP($T$2&amp;"-"&amp;$A12,CC1_InputUser!$T:$Y,5,FALSE),0)</f>
        <v>-9.7818440738453027E-3</v>
      </c>
      <c r="U12" s="88">
        <f>IFERROR(VLOOKUP($T$2&amp;"-"&amp;$A12,CC1_InputUser!$T:$Y,6,FALSE),0)</f>
        <v>-5.8223786914720632E-3</v>
      </c>
      <c r="V12" s="89"/>
      <c r="W12" s="88">
        <f>IFERROR(VLOOKUP($W$2&amp;"-"&amp;$A12,CC1_InputUser!$T:$Y,5,FALSE),0)</f>
        <v>1.1167431155353791E-2</v>
      </c>
      <c r="X12" s="88">
        <f>IFERROR(VLOOKUP($W$2&amp;"-"&amp;$A12,CC1_InputUser!$T:$Y,6,FALSE),0)</f>
        <v>-4.8842907323535245E-3</v>
      </c>
      <c r="Y12" s="89"/>
      <c r="Z12" s="88">
        <f>IFERROR(VLOOKUP($Z$2&amp;"-"&amp;$A12,CC1_InputUser!$T:$Y,5,FALSE),0)</f>
        <v>-2.0978237624367235E-3</v>
      </c>
      <c r="AA12" s="88">
        <f>IFERROR(VLOOKUP($Z$2&amp;"-"&amp;$A12,CC1_InputUser!$T:$Y,6,FALSE),0)</f>
        <v>-2.133390359519538E-3</v>
      </c>
      <c r="AB12" s="89"/>
      <c r="AC12" s="88">
        <f>IFERROR(VLOOKUP($AC$2&amp;"-"&amp;$A12,CC1_InputUser!$T:$Y,5,FALSE),0)</f>
        <v>0</v>
      </c>
      <c r="AD12" s="88">
        <f>IFERROR(VLOOKUP($AC$2&amp;"-"&amp;$A12,CC1_InputUser!$T:$Y,6,FALSE),0)</f>
        <v>0</v>
      </c>
      <c r="AE12" s="89"/>
      <c r="AF12" s="88">
        <f>IFERROR(VLOOKUP($AF$2&amp;"-"&amp;$A12,CC1_InputUser!$T:$Y,5,FALSE),0)</f>
        <v>0</v>
      </c>
      <c r="AG12" s="88">
        <f>IFERROR(VLOOKUP($AF$2&amp;"-"&amp;$A12,CC1_InputUser!$T:$Y,6,FALSE),0)</f>
        <v>0</v>
      </c>
      <c r="AH12" s="89"/>
      <c r="AI12" s="88">
        <f>IFERROR(VLOOKUP($AI$2&amp;"-"&amp;$A12,CC1_InputUser!$T:$Y,5,FALSE),0)</f>
        <v>0</v>
      </c>
      <c r="AJ12" s="88">
        <f>IFERROR(VLOOKUP($AI$2&amp;"-"&amp;$A12,CC1_InputUser!$T:$Y,6,FALSE),0)</f>
        <v>0</v>
      </c>
      <c r="AK12" s="89"/>
    </row>
    <row r="13" spans="1:37" x14ac:dyDescent="0.3">
      <c r="A13" s="71" t="s">
        <v>13</v>
      </c>
      <c r="B13" s="86">
        <f>IFERROR(VLOOKUP($B$2&amp;"-"&amp;$A13,CC1_InputUser!$T:$Y,5,FALSE),0)</f>
        <v>2.0787899122071352E-2</v>
      </c>
      <c r="C13" s="86">
        <f>IFERROR(VLOOKUP($B$2&amp;"-"&amp;$A13,CC1_InputUser!$T:$Y,6,FALSE),0)</f>
        <v>-2.6452617488776919E-3</v>
      </c>
      <c r="D13" s="87"/>
      <c r="E13" s="86">
        <f>IFERROR(VLOOKUP($E$2&amp;"-"&amp;$A13,CC1_InputUser!$T:$Y,5,FALSE),0)</f>
        <v>2.0624999999999893E-2</v>
      </c>
      <c r="F13" s="86">
        <f>IFERROR(VLOOKUP($E$2&amp;"-"&amp;$A13,CC1_InputUser!$T:$Y,6,FALSE),0)</f>
        <v>-2.7045890769499259E-3</v>
      </c>
      <c r="G13" s="87"/>
      <c r="H13" s="86">
        <f>IFERROR(VLOOKUP($H$2&amp;"-"&amp;$A13,CC1_InputUser!$T:$Y,5,FALSE),0)</f>
        <v>2.0023804522859345E-2</v>
      </c>
      <c r="I13" s="86">
        <f>IFERROR(VLOOKUP($H$2&amp;"-"&amp;$A13,CC1_InputUser!$T:$Y,6,FALSE),0)</f>
        <v>-3.5338105877524839E-3</v>
      </c>
      <c r="J13" s="87"/>
      <c r="K13" s="86">
        <f>IFERROR(VLOOKUP($K$2&amp;"-"&amp;$A13,CC1_InputUser!$T:$Y,5,FALSE),0)</f>
        <v>4.9124247400109677E-3</v>
      </c>
      <c r="L13" s="86">
        <f>IFERROR(VLOOKUP($K$2&amp;"-"&amp;$A13,CC1_InputUser!$T:$Y,6,FALSE),0)</f>
        <v>-3.0138064919020824E-3</v>
      </c>
      <c r="M13" s="87"/>
      <c r="N13" s="86">
        <f>IFERROR(VLOOKUP($N$2&amp;"-"&amp;$A13,CC1_InputUser!$T:$Y,5,FALSE),0)</f>
        <v>1.4343021495609953E-2</v>
      </c>
      <c r="O13" s="86">
        <f>IFERROR(VLOOKUP($N$2&amp;"-"&amp;$A13,CC1_InputUser!$T:$Y,6,FALSE),0)</f>
        <v>-2.6469070630494862E-3</v>
      </c>
      <c r="P13" s="87"/>
      <c r="Q13" s="86">
        <f>IFERROR(VLOOKUP($Q$2&amp;"-"&amp;$A13,CC1_InputUser!$T:$Y,5,FALSE),0)</f>
        <v>-2.414872376018562E-3</v>
      </c>
      <c r="R13" s="86">
        <f>IFERROR(VLOOKUP($Q$2&amp;"-"&amp;$A13,CC1_InputUser!$T:$Y,6,FALSE),0)</f>
        <v>-3.955710411465696E-3</v>
      </c>
      <c r="S13" s="87"/>
      <c r="T13" s="86">
        <f>IFERROR(VLOOKUP($T$2&amp;"-"&amp;$A13,CC1_InputUser!$T:$Y,5,FALSE),0)</f>
        <v>1.4370390277405054E-3</v>
      </c>
      <c r="U13" s="86">
        <f>IFERROR(VLOOKUP($T$2&amp;"-"&amp;$A13,CC1_InputUser!$T:$Y,6,FALSE),0)</f>
        <v>-5.5413058949116412E-3</v>
      </c>
      <c r="V13" s="87"/>
      <c r="W13" s="86">
        <f>IFERROR(VLOOKUP($W$2&amp;"-"&amp;$A13,CC1_InputUser!$T:$Y,5,FALSE),0)</f>
        <v>8.3030016763450121E-3</v>
      </c>
      <c r="X13" s="86">
        <f>IFERROR(VLOOKUP($W$2&amp;"-"&amp;$A13,CC1_InputUser!$T:$Y,6,FALSE),0)</f>
        <v>-1.6758021957364866E-3</v>
      </c>
      <c r="Y13" s="87"/>
      <c r="Z13" s="86">
        <f>IFERROR(VLOOKUP($Z$2&amp;"-"&amp;$A13,CC1_InputUser!$T:$Y,5,FALSE),0)</f>
        <v>7.1230054612947402E-3</v>
      </c>
      <c r="AA13" s="86">
        <f>IFERROR(VLOOKUP($Z$2&amp;"-"&amp;$A13,CC1_InputUser!$T:$Y,6,FALSE),0)</f>
        <v>-1.2239076383401271E-3</v>
      </c>
      <c r="AB13" s="87"/>
      <c r="AC13" s="86">
        <f>IFERROR(VLOOKUP($AC$2&amp;"-"&amp;$A13,CC1_InputUser!$T:$Y,5,FALSE),0)</f>
        <v>7.8813166434863469E-3</v>
      </c>
      <c r="AD13" s="86">
        <f>IFERROR(VLOOKUP($AC$2&amp;"-"&amp;$A13,CC1_InputUser!$T:$Y,6,FALSE),0)</f>
        <v>-2.0656414964425052E-3</v>
      </c>
      <c r="AE13" s="87"/>
      <c r="AF13" s="86">
        <f>IFERROR(VLOOKUP($AF$2&amp;"-"&amp;$A13,CC1_InputUser!$T:$Y,5,FALSE),0)</f>
        <v>0</v>
      </c>
      <c r="AG13" s="86">
        <f>IFERROR(VLOOKUP($AF$2&amp;"-"&amp;$A13,CC1_InputUser!$T:$Y,6,FALSE),0)</f>
        <v>0</v>
      </c>
      <c r="AH13" s="87"/>
      <c r="AI13" s="86">
        <f>IFERROR(VLOOKUP($AI$2&amp;"-"&amp;$A13,CC1_InputUser!$T:$Y,5,FALSE),0)</f>
        <v>0</v>
      </c>
      <c r="AJ13" s="86">
        <f>IFERROR(VLOOKUP($AI$2&amp;"-"&amp;$A13,CC1_InputUser!$T:$Y,6,FALSE),0)</f>
        <v>0</v>
      </c>
      <c r="AK13" s="87"/>
    </row>
    <row r="14" spans="1:37" x14ac:dyDescent="0.3">
      <c r="A14" s="72" t="s">
        <v>71</v>
      </c>
      <c r="B14" s="88">
        <f>IFERROR(VLOOKUP($B$2&amp;"-"&amp;$A14,CC1_InputUser!$T:$Y,5,FALSE),0)</f>
        <v>0</v>
      </c>
      <c r="C14" s="88">
        <f>IFERROR(VLOOKUP($B$2&amp;"-"&amp;$A14,CC1_InputUser!$T:$Y,6,FALSE),0)</f>
        <v>0</v>
      </c>
      <c r="D14" s="89"/>
      <c r="E14" s="88">
        <f>IFERROR(VLOOKUP($E$2&amp;"-"&amp;$A14,CC1_InputUser!$T:$Y,5,FALSE),0)</f>
        <v>0</v>
      </c>
      <c r="F14" s="88">
        <f>IFERROR(VLOOKUP($E$2&amp;"-"&amp;$A14,CC1_InputUser!$T:$Y,6,FALSE),0)</f>
        <v>0</v>
      </c>
      <c r="G14" s="89"/>
      <c r="H14" s="88">
        <f>IFERROR(VLOOKUP($H$2&amp;"-"&amp;$A14,CC1_InputUser!$T:$Y,5,FALSE),0)</f>
        <v>0</v>
      </c>
      <c r="I14" s="88">
        <f>IFERROR(VLOOKUP($H$2&amp;"-"&amp;$A14,CC1_InputUser!$T:$Y,6,FALSE),0)</f>
        <v>0</v>
      </c>
      <c r="J14" s="89"/>
      <c r="K14" s="88">
        <f>IFERROR(VLOOKUP($K$2&amp;"-"&amp;$A14,CC1_InputUser!$T:$Y,5,FALSE),0)</f>
        <v>0</v>
      </c>
      <c r="L14" s="88">
        <f>IFERROR(VLOOKUP($K$2&amp;"-"&amp;$A14,CC1_InputUser!$T:$Y,6,FALSE),0)</f>
        <v>0</v>
      </c>
      <c r="M14" s="89"/>
      <c r="N14" s="88">
        <f>IFERROR(VLOOKUP($N$2&amp;"-"&amp;$A14,CC1_InputUser!$T:$Y,5,FALSE),0)</f>
        <v>0</v>
      </c>
      <c r="O14" s="88">
        <f>IFERROR(VLOOKUP($N$2&amp;"-"&amp;$A14,CC1_InputUser!$T:$Y,6,FALSE),0)</f>
        <v>0</v>
      </c>
      <c r="P14" s="89"/>
      <c r="Q14" s="88">
        <f>IFERROR(VLOOKUP($Q$2&amp;"-"&amp;$A14,CC1_InputUser!$T:$Y,5,FALSE),0)</f>
        <v>0</v>
      </c>
      <c r="R14" s="88">
        <f>IFERROR(VLOOKUP($Q$2&amp;"-"&amp;$A14,CC1_InputUser!$T:$Y,6,FALSE),0)</f>
        <v>0</v>
      </c>
      <c r="S14" s="89"/>
      <c r="T14" s="88">
        <f>IFERROR(VLOOKUP($T$2&amp;"-"&amp;$A14,CC1_InputUser!$T:$Y,5,FALSE),0)</f>
        <v>0</v>
      </c>
      <c r="U14" s="88">
        <f>IFERROR(VLOOKUP($T$2&amp;"-"&amp;$A14,CC1_InputUser!$T:$Y,6,FALSE),0)</f>
        <v>0</v>
      </c>
      <c r="V14" s="89"/>
      <c r="W14" s="88">
        <f>IFERROR(VLOOKUP($W$2&amp;"-"&amp;$A14,CC1_InputUser!$T:$Y,5,FALSE),0)</f>
        <v>0</v>
      </c>
      <c r="X14" s="88">
        <f>IFERROR(VLOOKUP($W$2&amp;"-"&amp;$A14,CC1_InputUser!$T:$Y,6,FALSE),0)</f>
        <v>-6.9101153457717945E-4</v>
      </c>
      <c r="Y14" s="89"/>
      <c r="Z14" s="88">
        <f>IFERROR(VLOOKUP($Z$2&amp;"-"&amp;$A14,CC1_InputUser!$T:$Y,5,FALSE),0)</f>
        <v>0</v>
      </c>
      <c r="AA14" s="88">
        <f>IFERROR(VLOOKUP($Z$2&amp;"-"&amp;$A14,CC1_InputUser!$T:$Y,6,FALSE),0)</f>
        <v>0</v>
      </c>
      <c r="AB14" s="89"/>
      <c r="AC14" s="88">
        <f>IFERROR(VLOOKUP($AC$2&amp;"-"&amp;$A14,CC1_InputUser!$T:$Y,5,FALSE),0)</f>
        <v>0</v>
      </c>
      <c r="AD14" s="88">
        <f>IFERROR(VLOOKUP($AC$2&amp;"-"&amp;$A14,CC1_InputUser!$T:$Y,6,FALSE),0)</f>
        <v>0</v>
      </c>
      <c r="AE14" s="89"/>
      <c r="AF14" s="88">
        <f>IFERROR(VLOOKUP($AF$2&amp;"-"&amp;$A14,CC1_InputUser!$T:$Y,5,FALSE),0)</f>
        <v>0</v>
      </c>
      <c r="AG14" s="88">
        <f>IFERROR(VLOOKUP($AF$2&amp;"-"&amp;$A14,CC1_InputUser!$T:$Y,6,FALSE),0)</f>
        <v>0</v>
      </c>
      <c r="AH14" s="89"/>
      <c r="AI14" s="88">
        <f>IFERROR(VLOOKUP($AI$2&amp;"-"&amp;$A14,CC1_InputUser!$T:$Y,5,FALSE),0)</f>
        <v>0</v>
      </c>
      <c r="AJ14" s="88">
        <f>IFERROR(VLOOKUP($AI$2&amp;"-"&amp;$A14,CC1_InputUser!$T:$Y,6,FALSE),0)</f>
        <v>0</v>
      </c>
      <c r="AK14" s="89"/>
    </row>
    <row r="15" spans="1:37" x14ac:dyDescent="0.3">
      <c r="A15" s="71" t="s">
        <v>69</v>
      </c>
      <c r="B15" s="86">
        <f>IFERROR(VLOOKUP($B$2&amp;"-"&amp;$A15,CC1_InputUser!$T:$Y,5,FALSE),0)</f>
        <v>0</v>
      </c>
      <c r="C15" s="86">
        <f>IFERROR(VLOOKUP($B$2&amp;"-"&amp;$A15,CC1_InputUser!$T:$Y,6,FALSE),0)</f>
        <v>0</v>
      </c>
      <c r="D15" s="87"/>
      <c r="E15" s="86">
        <f>IFERROR(VLOOKUP($E$2&amp;"-"&amp;$A15,CC1_InputUser!$T:$Y,5,FALSE),0)</f>
        <v>0</v>
      </c>
      <c r="F15" s="86">
        <f>IFERROR(VLOOKUP($E$2&amp;"-"&amp;$A15,CC1_InputUser!$T:$Y,6,FALSE),0)</f>
        <v>0</v>
      </c>
      <c r="G15" s="87"/>
      <c r="H15" s="86">
        <f>IFERROR(VLOOKUP($H$2&amp;"-"&amp;$A15,CC1_InputUser!$T:$Y,5,FALSE),0)</f>
        <v>0</v>
      </c>
      <c r="I15" s="86">
        <f>IFERROR(VLOOKUP($H$2&amp;"-"&amp;$A15,CC1_InputUser!$T:$Y,6,FALSE),0)</f>
        <v>0</v>
      </c>
      <c r="J15" s="87"/>
      <c r="K15" s="86">
        <f>IFERROR(VLOOKUP($K$2&amp;"-"&amp;$A15,CC1_InputUser!$T:$Y,5,FALSE),0)</f>
        <v>0</v>
      </c>
      <c r="L15" s="86">
        <f>IFERROR(VLOOKUP($K$2&amp;"-"&amp;$A15,CC1_InputUser!$T:$Y,6,FALSE),0)</f>
        <v>0</v>
      </c>
      <c r="M15" s="87"/>
      <c r="N15" s="86">
        <f>IFERROR(VLOOKUP($N$2&amp;"-"&amp;$A15,CC1_InputUser!$T:$Y,5,FALSE),0)</f>
        <v>-1.0000000000000009E-2</v>
      </c>
      <c r="O15" s="86">
        <f>IFERROR(VLOOKUP($N$2&amp;"-"&amp;$A15,CC1_InputUser!$T:$Y,6,FALSE),0)</f>
        <v>-1.0000000000000009E-2</v>
      </c>
      <c r="P15" s="87"/>
      <c r="Q15" s="86">
        <f>IFERROR(VLOOKUP($Q$2&amp;"-"&amp;$A15,CC1_InputUser!$T:$Y,5,FALSE),0)</f>
        <v>0</v>
      </c>
      <c r="R15" s="86">
        <f>IFERROR(VLOOKUP($Q$2&amp;"-"&amp;$A15,CC1_InputUser!$T:$Y,6,FALSE),0)</f>
        <v>0</v>
      </c>
      <c r="S15" s="87"/>
      <c r="T15" s="86">
        <f>IFERROR(VLOOKUP($T$2&amp;"-"&amp;$A15,CC1_InputUser!$T:$Y,5,FALSE),0)</f>
        <v>0</v>
      </c>
      <c r="U15" s="86">
        <f>IFERROR(VLOOKUP($T$2&amp;"-"&amp;$A15,CC1_InputUser!$T:$Y,6,FALSE),0)</f>
        <v>0</v>
      </c>
      <c r="V15" s="87"/>
      <c r="W15" s="86">
        <f>IFERROR(VLOOKUP($W$2&amp;"-"&amp;$A15,CC1_InputUser!$T:$Y,5,FALSE),0)</f>
        <v>0</v>
      </c>
      <c r="X15" s="86">
        <f>IFERROR(VLOOKUP($W$2&amp;"-"&amp;$A15,CC1_InputUser!$T:$Y,6,FALSE),0)</f>
        <v>0</v>
      </c>
      <c r="Y15" s="87"/>
      <c r="Z15" s="86">
        <f>IFERROR(VLOOKUP($Z$2&amp;"-"&amp;$A15,CC1_InputUser!$T:$Y,5,FALSE),0)</f>
        <v>0</v>
      </c>
      <c r="AA15" s="86">
        <f>IFERROR(VLOOKUP($Z$2&amp;"-"&amp;$A15,CC1_InputUser!$T:$Y,6,FALSE),0)</f>
        <v>0</v>
      </c>
      <c r="AB15" s="87"/>
      <c r="AC15" s="86">
        <f>IFERROR(VLOOKUP($AC$2&amp;"-"&amp;$A15,CC1_InputUser!$T:$Y,5,FALSE),0)</f>
        <v>0</v>
      </c>
      <c r="AD15" s="86">
        <f>IFERROR(VLOOKUP($AC$2&amp;"-"&amp;$A15,CC1_InputUser!$T:$Y,6,FALSE),0)</f>
        <v>0</v>
      </c>
      <c r="AE15" s="87"/>
      <c r="AF15" s="86">
        <f>IFERROR(VLOOKUP($AF$2&amp;"-"&amp;$A15,CC1_InputUser!$T:$Y,5,FALSE),0)</f>
        <v>0</v>
      </c>
      <c r="AG15" s="86">
        <f>IFERROR(VLOOKUP($AF$2&amp;"-"&amp;$A15,CC1_InputUser!$T:$Y,6,FALSE),0)</f>
        <v>0</v>
      </c>
      <c r="AH15" s="87"/>
      <c r="AI15" s="86">
        <f>IFERROR(VLOOKUP($AI$2&amp;"-"&amp;$A15,CC1_InputUser!$T:$Y,5,FALSE),0)</f>
        <v>0</v>
      </c>
      <c r="AJ15" s="86">
        <f>IFERROR(VLOOKUP($AI$2&amp;"-"&amp;$A15,CC1_InputUser!$T:$Y,6,FALSE),0)</f>
        <v>0</v>
      </c>
      <c r="AK15" s="87"/>
    </row>
    <row r="16" spans="1:37" ht="2.1" customHeight="1" x14ac:dyDescent="0.3">
      <c r="A16" s="20"/>
      <c r="B16" s="20"/>
      <c r="C16" s="20"/>
      <c r="D16" s="18"/>
      <c r="E16" s="20"/>
      <c r="F16" s="20"/>
      <c r="G16" s="18"/>
      <c r="H16" s="20"/>
      <c r="I16" s="20"/>
      <c r="J16" s="18"/>
      <c r="K16" s="20"/>
      <c r="L16" s="20"/>
      <c r="M16" s="18"/>
      <c r="N16" s="20"/>
      <c r="O16" s="20"/>
      <c r="P16" s="18"/>
      <c r="Q16" s="20"/>
      <c r="R16" s="20"/>
      <c r="S16" s="18"/>
      <c r="T16" s="20"/>
      <c r="U16" s="20"/>
      <c r="V16" s="18"/>
      <c r="W16" s="20"/>
      <c r="X16" s="20"/>
      <c r="Y16" s="18"/>
      <c r="Z16" s="20"/>
      <c r="AA16" s="20"/>
      <c r="AB16" s="18"/>
      <c r="AC16" s="20"/>
      <c r="AD16" s="20"/>
      <c r="AE16" s="18"/>
      <c r="AF16" s="20"/>
      <c r="AG16" s="20"/>
      <c r="AH16" s="18"/>
      <c r="AI16" s="20"/>
      <c r="AJ16" s="20"/>
      <c r="AK16" s="18"/>
    </row>
    <row r="17" spans="1:37" s="55" customFormat="1" ht="24.95" customHeight="1" x14ac:dyDescent="0.25">
      <c r="A17" s="42" t="s">
        <v>49</v>
      </c>
      <c r="B17" s="85">
        <f>IFERROR(VLOOKUP(B2,CC1_InputUser!$A:$S,18,FALSE),0)</f>
        <v>5.224088957189732E-3</v>
      </c>
      <c r="C17" s="85">
        <f>IFERROR(VLOOKUP(B2,CC1_InputUser!$A:$S,19,FALSE),0)</f>
        <v>-9.3833673475188784E-3</v>
      </c>
      <c r="D17" s="62"/>
      <c r="E17" s="79">
        <f>IFERROR(VLOOKUP(E2,CC1_InputUser!$A:$S,18,FALSE),0)</f>
        <v>7.176418118578054E-3</v>
      </c>
      <c r="F17" s="85">
        <f>IFERROR(VLOOKUP(E2,CC1_InputUser!$A:$S,19,FALSE),0)</f>
        <v>-1.1270529910001548E-2</v>
      </c>
      <c r="G17" s="62"/>
      <c r="H17" s="85">
        <f>IFERROR(VLOOKUP(H2,CC1_InputUser!$A:$S,18,FALSE),0)</f>
        <v>9.5495260447391317E-3</v>
      </c>
      <c r="I17" s="85">
        <f>IFERROR(VLOOKUP(H2,CC1_InputUser!$A:$S,19,FALSE),0)</f>
        <v>-1.0776905499875533E-2</v>
      </c>
      <c r="J17" s="62"/>
      <c r="K17" s="85">
        <f>IFERROR(VLOOKUP(K2,CC1_InputUser!$A:$S,18,FALSE),0)</f>
        <v>8.9026266635268136E-3</v>
      </c>
      <c r="L17" s="85">
        <f>IFERROR(VLOOKUP(K2,CC1_InputUser!$A:$S,19,FALSE),0)</f>
        <v>-6.6662239774724075E-3</v>
      </c>
      <c r="M17" s="62"/>
      <c r="N17" s="85">
        <f>IFERROR(VLOOKUP(N2,CC1_InputUser!$A:$S,18,FALSE),0)</f>
        <v>3.3153865430988194E-3</v>
      </c>
      <c r="O17" s="85">
        <f>IFERROR(VLOOKUP(N2,CC1_InputUser!$A:$S,19,FALSE),0)</f>
        <v>-7.7471890375179209E-3</v>
      </c>
      <c r="P17" s="62"/>
      <c r="Q17" s="85">
        <f>IFERROR(VLOOKUP(Q2,CC1_InputUser!$A:$S,18,FALSE),0)</f>
        <v>-2.0960816085641154E-3</v>
      </c>
      <c r="R17" s="85">
        <f>IFERROR(VLOOKUP(Q2,CC1_InputUser!$A:$S,19,FALSE),0)</f>
        <v>-1.0462311934554047E-2</v>
      </c>
      <c r="S17" s="62"/>
      <c r="T17" s="85">
        <f>IFERROR(VLOOKUP(T2,CC1_InputUser!$A:$S,18,FALSE),0)</f>
        <v>-8.679282568110791E-3</v>
      </c>
      <c r="U17" s="85">
        <f>IFERROR(VLOOKUP(T2,CC1_InputUser!$A:$S,19,FALSE),0)</f>
        <v>-9.3901836983916187E-3</v>
      </c>
      <c r="V17" s="62"/>
      <c r="W17" s="85">
        <f>IFERROR(VLOOKUP(W2,CC1_InputUser!$A:$S,18,FALSE),0)</f>
        <v>7.3475885654907813E-3</v>
      </c>
      <c r="X17" s="79">
        <f>IFERROR(VLOOKUP(W2,CC1_InputUser!$A:$S,19,FALSE),0)</f>
        <v>-5.4420177320055885E-3</v>
      </c>
      <c r="Y17" s="62"/>
      <c r="Z17" s="85">
        <f>IFERROR(VLOOKUP(Z2,CC1_InputUser!$A:$S,18,FALSE),0)</f>
        <v>1.8897271237978686E-3</v>
      </c>
      <c r="AA17" s="85">
        <f>IFERROR(VLOOKUP(Z2,CC1_InputUser!$A:$S,19,FALSE),0)</f>
        <v>-4.8190622863065746E-3</v>
      </c>
      <c r="AB17" s="62"/>
      <c r="AC17" s="85">
        <f>IFERROR(VLOOKUP(AC2,CC1_InputUser!$A:$S,18,FALSE),0)</f>
        <v>-6.2906797289136174E-3</v>
      </c>
      <c r="AD17" s="85">
        <f>IFERROR(VLOOKUP(AC2,CC1_InputUser!$A:$S,19,FALSE),0)</f>
        <v>-8.4488653245008427E-3</v>
      </c>
      <c r="AE17" s="62"/>
      <c r="AF17" s="85">
        <f>IFERROR(VLOOKUP(AF2,CC1_InputUser!$A:$S,18,FALSE),0)</f>
        <v>0</v>
      </c>
      <c r="AG17" s="85">
        <f>IFERROR(VLOOKUP(AF2,CC1_InputUser!$A:$S,19,FALSE),0)</f>
        <v>0</v>
      </c>
      <c r="AH17" s="62"/>
      <c r="AI17" s="85">
        <f>IFERROR(VLOOKUP(AI2,CC1_InputUser!$A:$S,18,FALSE),0)</f>
        <v>0</v>
      </c>
      <c r="AJ17" s="85">
        <f>IFERROR(VLOOKUP(AI2,CC1_InputUser!$A:$S,19,FALSE),0)</f>
        <v>0</v>
      </c>
      <c r="AK17" s="60"/>
    </row>
    <row r="18" spans="1:37" ht="4.5" customHeight="1" x14ac:dyDescent="0.3">
      <c r="A18" s="20"/>
      <c r="B18" s="20"/>
      <c r="C18" s="20"/>
      <c r="D18" s="18"/>
      <c r="E18" s="20"/>
      <c r="F18" s="20"/>
      <c r="G18" s="18"/>
      <c r="H18" s="20"/>
      <c r="I18" s="20"/>
      <c r="J18" s="18"/>
      <c r="K18" s="20"/>
      <c r="L18" s="20"/>
      <c r="M18" s="18"/>
      <c r="N18" s="20"/>
      <c r="O18" s="20"/>
      <c r="P18" s="18"/>
      <c r="Q18" s="20"/>
      <c r="R18" s="20"/>
      <c r="S18" s="18"/>
      <c r="T18" s="20"/>
      <c r="U18" s="20"/>
      <c r="V18" s="18"/>
      <c r="W18" s="20"/>
      <c r="X18" s="20"/>
      <c r="Y18" s="18"/>
      <c r="Z18" s="20"/>
      <c r="AA18" s="20"/>
      <c r="AB18" s="18"/>
      <c r="AC18" s="20"/>
      <c r="AD18" s="20"/>
      <c r="AE18" s="18"/>
      <c r="AF18" s="20"/>
      <c r="AG18" s="20"/>
      <c r="AH18" s="18"/>
      <c r="AI18" s="20"/>
      <c r="AJ18" s="20"/>
      <c r="AK18" s="18"/>
    </row>
    <row r="19" spans="1:37" x14ac:dyDescent="0.3">
      <c r="D19" s="18"/>
      <c r="G19" s="18"/>
      <c r="J19" s="18"/>
      <c r="M19" s="18"/>
      <c r="P19" s="18"/>
      <c r="S19" s="18"/>
      <c r="V19" s="18"/>
      <c r="Y19" s="18"/>
      <c r="AB19" s="18"/>
      <c r="AE19" s="18"/>
      <c r="AH19" s="18"/>
      <c r="AK19" s="18"/>
    </row>
    <row r="20" spans="1:37" x14ac:dyDescent="0.3">
      <c r="D20" s="18"/>
      <c r="G20" s="18"/>
      <c r="J20" s="18"/>
      <c r="M20" s="18"/>
      <c r="P20" s="18"/>
      <c r="S20" s="18"/>
      <c r="V20" s="18"/>
      <c r="Y20" s="18"/>
      <c r="AB20" s="18"/>
      <c r="AE20" s="18"/>
      <c r="AH20" s="18"/>
      <c r="AK20" s="18"/>
    </row>
    <row r="21" spans="1:37" x14ac:dyDescent="0.3">
      <c r="A21" s="58" t="s">
        <v>61</v>
      </c>
      <c r="D21" s="18"/>
      <c r="G21" s="18"/>
      <c r="J21" s="18"/>
      <c r="M21" s="18"/>
      <c r="P21" s="18"/>
      <c r="S21" s="18"/>
      <c r="V21" s="18"/>
      <c r="Y21" s="18"/>
      <c r="AB21" s="18"/>
      <c r="AE21" s="18"/>
      <c r="AH21" s="18"/>
      <c r="AK21" s="18"/>
    </row>
    <row r="22" spans="1:37" x14ac:dyDescent="0.3">
      <c r="A22" t="s">
        <v>63</v>
      </c>
      <c r="D22" s="18"/>
      <c r="G22" s="18"/>
      <c r="J22" s="18"/>
      <c r="M22" s="18"/>
      <c r="P22" s="18"/>
      <c r="S22" s="18"/>
      <c r="V22" s="18"/>
      <c r="Y22" s="18"/>
      <c r="AB22" s="18"/>
      <c r="AE22" s="18"/>
      <c r="AH22" s="18"/>
      <c r="AK22" s="18"/>
    </row>
    <row r="23" spans="1:37" x14ac:dyDescent="0.3">
      <c r="D23" s="18"/>
      <c r="G23" s="18"/>
      <c r="J23" s="18"/>
      <c r="M23" s="18"/>
      <c r="P23" s="18"/>
      <c r="S23" s="18"/>
      <c r="V23" s="18"/>
      <c r="Y23" s="18"/>
      <c r="AB23" s="18"/>
      <c r="AE23" s="18"/>
      <c r="AH23" s="18"/>
      <c r="AK23" s="18"/>
    </row>
    <row r="24" spans="1:37" x14ac:dyDescent="0.3">
      <c r="A24" s="49" t="s">
        <v>62</v>
      </c>
      <c r="D24" s="18"/>
      <c r="G24" s="18"/>
      <c r="J24" s="18"/>
      <c r="M24" s="18"/>
      <c r="P24" s="18"/>
      <c r="S24" s="18"/>
      <c r="V24" s="18"/>
      <c r="Y24" s="18"/>
      <c r="AB24" s="18"/>
      <c r="AE24" s="18"/>
      <c r="AH24" s="18"/>
      <c r="AK24" s="18"/>
    </row>
    <row r="25" spans="1:37" x14ac:dyDescent="0.3">
      <c r="A25" t="s">
        <v>64</v>
      </c>
      <c r="D25" s="18"/>
      <c r="G25" s="18"/>
      <c r="J25" s="18"/>
      <c r="M25" s="18"/>
      <c r="P25" s="18"/>
      <c r="S25" s="18"/>
      <c r="V25" s="18"/>
      <c r="Y25" s="18"/>
      <c r="AB25" s="18"/>
      <c r="AE25" s="18"/>
      <c r="AH25" s="18"/>
      <c r="AK25" s="18"/>
    </row>
    <row r="26" spans="1:37" x14ac:dyDescent="0.3">
      <c r="D26" s="18"/>
      <c r="G26" s="18"/>
      <c r="J26" s="18"/>
      <c r="M26" s="18"/>
      <c r="P26" s="18"/>
      <c r="S26" s="18"/>
      <c r="V26" s="18"/>
      <c r="Y26" s="18"/>
      <c r="AB26" s="18"/>
      <c r="AE26" s="18"/>
      <c r="AH26" s="18"/>
      <c r="AK26" s="18"/>
    </row>
    <row r="27" spans="1:37" s="16" customFormat="1" x14ac:dyDescent="0.3">
      <c r="A27"/>
      <c r="D27" s="19"/>
      <c r="G27" s="19"/>
      <c r="J27" s="19"/>
      <c r="M27" s="19"/>
      <c r="P27" s="19"/>
      <c r="S27" s="19"/>
      <c r="V27" s="19"/>
      <c r="Y27" s="19"/>
      <c r="AB27" s="19"/>
      <c r="AE27" s="19"/>
      <c r="AH27" s="19"/>
      <c r="AK27" s="19"/>
    </row>
    <row r="28" spans="1:37" s="16" customFormat="1" x14ac:dyDescent="0.3">
      <c r="A28"/>
      <c r="D28" s="19"/>
      <c r="G28" s="19"/>
      <c r="J28" s="19"/>
      <c r="M28" s="19"/>
      <c r="P28" s="19"/>
      <c r="S28" s="19"/>
      <c r="V28" s="19"/>
      <c r="Y28" s="19"/>
      <c r="AB28" s="19"/>
      <c r="AE28" s="19"/>
      <c r="AH28" s="19"/>
      <c r="AK28" s="19"/>
    </row>
    <row r="29" spans="1:37" s="16" customFormat="1" x14ac:dyDescent="0.3">
      <c r="A29" s="17"/>
      <c r="B29" s="17"/>
      <c r="D29" s="19"/>
      <c r="G29" s="19"/>
      <c r="J29" s="19"/>
      <c r="M29" s="19"/>
      <c r="P29" s="19"/>
      <c r="S29" s="19"/>
      <c r="V29" s="19"/>
      <c r="Y29" s="19"/>
      <c r="AB29" s="19"/>
      <c r="AE29" s="19"/>
      <c r="AH29" s="19"/>
      <c r="AK29" s="19"/>
    </row>
  </sheetData>
  <mergeCells count="13">
    <mergeCell ref="AI2:AJ2"/>
    <mergeCell ref="Q2:R2"/>
    <mergeCell ref="T2:U2"/>
    <mergeCell ref="W2:X2"/>
    <mergeCell ref="Z2:AA2"/>
    <mergeCell ref="AC2:AD2"/>
    <mergeCell ref="AF2:AG2"/>
    <mergeCell ref="A2:A3"/>
    <mergeCell ref="B2:C2"/>
    <mergeCell ref="E2:F2"/>
    <mergeCell ref="H2:I2"/>
    <mergeCell ref="K2:L2"/>
    <mergeCell ref="N2:O2"/>
  </mergeCells>
  <conditionalFormatting sqref="B17:AJ17">
    <cfRule type="cellIs" dxfId="2" priority="2" operator="between">
      <formula>-0.00251</formula>
      <formula>-0.009</formula>
    </cfRule>
    <cfRule type="cellIs" dxfId="1" priority="3" operator="between">
      <formula>0</formula>
      <formula>-0.0025</formula>
    </cfRule>
  </conditionalFormatting>
  <conditionalFormatting sqref="B5:AK1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407859E7-DC08-4F45-A01E-0B2504C2E384}">
            <x14:iconSet iconSet="3Triangles">
              <x14:cfvo type="percent">
                <xm:f>0</xm:f>
              </x14:cfvo>
              <x14:cfvo type="formula">
                <xm:f>$B$17</xm:f>
              </x14:cfvo>
              <x14:cfvo type="formula" gte="0">
                <xm:f>$B$17</xm:f>
              </x14:cfvo>
            </x14:iconSet>
          </x14:cfRule>
          <xm:sqref>E17</xm:sqref>
        </x14:conditionalFormatting>
        <x14:conditionalFormatting xmlns:xm="http://schemas.microsoft.com/office/excel/2006/main">
          <x14:cfRule type="iconSet" priority="5" id="{9B2C9F84-E0FE-4573-8209-29D4792FCFB8}">
            <x14:iconSet iconSet="3Triangles">
              <x14:cfvo type="percent">
                <xm:f>0</xm:f>
              </x14:cfvo>
              <x14:cfvo type="formula">
                <xm:f>$C$17</xm:f>
              </x14:cfvo>
              <x14:cfvo type="formula" gte="0">
                <xm:f>$C$17</xm:f>
              </x14:cfvo>
            </x14:iconSet>
          </x14:cfRule>
          <xm:sqref>F17</xm:sqref>
        </x14:conditionalFormatting>
        <x14:conditionalFormatting xmlns:xm="http://schemas.microsoft.com/office/excel/2006/main">
          <x14:cfRule type="iconSet" priority="6" id="{7CCEB7A0-3439-4F10-92F7-25DEC53294DF}">
            <x14:iconSet iconSet="3Triangles">
              <x14:cfvo type="percent">
                <xm:f>0</xm:f>
              </x14:cfvo>
              <x14:cfvo type="formula">
                <xm:f>$E$17</xm:f>
              </x14:cfvo>
              <x14:cfvo type="formula" gte="0">
                <xm:f>$E$17</xm:f>
              </x14:cfvo>
            </x14:iconSet>
          </x14:cfRule>
          <xm:sqref>H17</xm:sqref>
        </x14:conditionalFormatting>
        <x14:conditionalFormatting xmlns:xm="http://schemas.microsoft.com/office/excel/2006/main">
          <x14:cfRule type="iconSet" priority="7" id="{3CDA2A16-288C-46B5-95ED-7B0B9DC1956F}">
            <x14:iconSet iconSet="3Triangles">
              <x14:cfvo type="percent">
                <xm:f>0</xm:f>
              </x14:cfvo>
              <x14:cfvo type="formula">
                <xm:f>$F$17</xm:f>
              </x14:cfvo>
              <x14:cfvo type="formula" gte="0">
                <xm:f>$F$17</xm:f>
              </x14:cfvo>
            </x14:iconSet>
          </x14:cfRule>
          <xm:sqref>I17</xm:sqref>
        </x14:conditionalFormatting>
        <x14:conditionalFormatting xmlns:xm="http://schemas.microsoft.com/office/excel/2006/main">
          <x14:cfRule type="iconSet" priority="8" id="{1527D38F-E5BE-4F65-AB54-69590228815F}">
            <x14:iconSet iconSet="3Triangles">
              <x14:cfvo type="percent">
                <xm:f>0</xm:f>
              </x14:cfvo>
              <x14:cfvo type="formula">
                <xm:f>$H$17</xm:f>
              </x14:cfvo>
              <x14:cfvo type="formula" gte="0">
                <xm:f>$H$17</xm:f>
              </x14:cfvo>
            </x14:iconSet>
          </x14:cfRule>
          <xm:sqref>K17</xm:sqref>
        </x14:conditionalFormatting>
        <x14:conditionalFormatting xmlns:xm="http://schemas.microsoft.com/office/excel/2006/main">
          <x14:cfRule type="iconSet" priority="9" id="{F7421035-B4BD-4C09-B58F-EF945DB97FA7}">
            <x14:iconSet iconSet="3Triangles">
              <x14:cfvo type="percent">
                <xm:f>0</xm:f>
              </x14:cfvo>
              <x14:cfvo type="formula">
                <xm:f>$I$17</xm:f>
              </x14:cfvo>
              <x14:cfvo type="formula" gte="0">
                <xm:f>$I$17</xm:f>
              </x14:cfvo>
            </x14:iconSet>
          </x14:cfRule>
          <xm:sqref>L17</xm:sqref>
        </x14:conditionalFormatting>
        <x14:conditionalFormatting xmlns:xm="http://schemas.microsoft.com/office/excel/2006/main">
          <x14:cfRule type="iconSet" priority="10" id="{017F2D45-29DF-4966-9485-04292FBD9D49}">
            <x14:iconSet iconSet="3Triangles">
              <x14:cfvo type="percent">
                <xm:f>0</xm:f>
              </x14:cfvo>
              <x14:cfvo type="formula">
                <xm:f>$K$17</xm:f>
              </x14:cfvo>
              <x14:cfvo type="formula" gte="0">
                <xm:f>$K$17</xm:f>
              </x14:cfvo>
            </x14:iconSet>
          </x14:cfRule>
          <xm:sqref>N17</xm:sqref>
        </x14:conditionalFormatting>
        <x14:conditionalFormatting xmlns:xm="http://schemas.microsoft.com/office/excel/2006/main">
          <x14:cfRule type="iconSet" priority="11" id="{14044E1E-2677-4BBD-ABA5-255505D34423}">
            <x14:iconSet iconSet="3Triangles">
              <x14:cfvo type="percent">
                <xm:f>0</xm:f>
              </x14:cfvo>
              <x14:cfvo type="formula">
                <xm:f>$L$17</xm:f>
              </x14:cfvo>
              <x14:cfvo type="formula" gte="0">
                <xm:f>$L$17</xm:f>
              </x14:cfvo>
            </x14:iconSet>
          </x14:cfRule>
          <xm:sqref>O17</xm:sqref>
        </x14:conditionalFormatting>
        <x14:conditionalFormatting xmlns:xm="http://schemas.microsoft.com/office/excel/2006/main">
          <x14:cfRule type="iconSet" priority="12" id="{CAE7B959-1B02-4166-BBD3-A9F3D29837DA}">
            <x14:iconSet iconSet="3Triangles">
              <x14:cfvo type="percent">
                <xm:f>0</xm:f>
              </x14:cfvo>
              <x14:cfvo type="formula">
                <xm:f>$N$17</xm:f>
              </x14:cfvo>
              <x14:cfvo type="formula" gte="0">
                <xm:f>$N$17</xm:f>
              </x14:cfvo>
            </x14:iconSet>
          </x14:cfRule>
          <xm:sqref>Q17</xm:sqref>
        </x14:conditionalFormatting>
        <x14:conditionalFormatting xmlns:xm="http://schemas.microsoft.com/office/excel/2006/main">
          <x14:cfRule type="iconSet" priority="13" id="{AADF70BB-7BE0-4665-AB2F-E8336CAE0BDA}">
            <x14:iconSet iconSet="3Triangles">
              <x14:cfvo type="percent">
                <xm:f>0</xm:f>
              </x14:cfvo>
              <x14:cfvo type="formula">
                <xm:f>$Q$17</xm:f>
              </x14:cfvo>
              <x14:cfvo type="formula" gte="0">
                <xm:f>$Q$17</xm:f>
              </x14:cfvo>
            </x14:iconSet>
          </x14:cfRule>
          <xm:sqref>T17</xm:sqref>
        </x14:conditionalFormatting>
        <x14:conditionalFormatting xmlns:xm="http://schemas.microsoft.com/office/excel/2006/main">
          <x14:cfRule type="iconSet" priority="14" id="{1BA6CA45-A6A2-42FA-9241-448ECD35F499}">
            <x14:iconSet iconSet="3Triangles">
              <x14:cfvo type="percent">
                <xm:f>0</xm:f>
              </x14:cfvo>
              <x14:cfvo type="formula">
                <xm:f>$R$17</xm:f>
              </x14:cfvo>
              <x14:cfvo type="formula" gte="0">
                <xm:f>$R$17</xm:f>
              </x14:cfvo>
            </x14:iconSet>
          </x14:cfRule>
          <xm:sqref>U17</xm:sqref>
        </x14:conditionalFormatting>
        <x14:conditionalFormatting xmlns:xm="http://schemas.microsoft.com/office/excel/2006/main">
          <x14:cfRule type="iconSet" priority="15" id="{D00FAE41-ECF8-4E53-AF69-05696C430094}">
            <x14:iconSet iconSet="3Triangles">
              <x14:cfvo type="percent">
                <xm:f>0</xm:f>
              </x14:cfvo>
              <x14:cfvo type="formula">
                <xm:f>$T$17</xm:f>
              </x14:cfvo>
              <x14:cfvo type="formula" gte="0">
                <xm:f>$T$17</xm:f>
              </x14:cfvo>
            </x14:iconSet>
          </x14:cfRule>
          <xm:sqref>W17</xm:sqref>
        </x14:conditionalFormatting>
        <x14:conditionalFormatting xmlns:xm="http://schemas.microsoft.com/office/excel/2006/main">
          <x14:cfRule type="iconSet" priority="16" id="{78448075-25DD-4911-BFF5-ABB6B365A62B}">
            <x14:iconSet iconSet="3Triangles">
              <x14:cfvo type="percent">
                <xm:f>0</xm:f>
              </x14:cfvo>
              <x14:cfvo type="formula">
                <xm:f>$U$17</xm:f>
              </x14:cfvo>
              <x14:cfvo type="formula" gte="0">
                <xm:f>$U$17</xm:f>
              </x14:cfvo>
            </x14:iconSet>
          </x14:cfRule>
          <xm:sqref>X17</xm:sqref>
        </x14:conditionalFormatting>
        <x14:conditionalFormatting xmlns:xm="http://schemas.microsoft.com/office/excel/2006/main">
          <x14:cfRule type="iconSet" priority="17" id="{C14639D3-747B-47BF-B4B6-C90AB1E90DDD}">
            <x14:iconSet iconSet="3Triangles">
              <x14:cfvo type="percent">
                <xm:f>0</xm:f>
              </x14:cfvo>
              <x14:cfvo type="formula">
                <xm:f>$W$17</xm:f>
              </x14:cfvo>
              <x14:cfvo type="formula" gte="0">
                <xm:f>$W$17</xm:f>
              </x14:cfvo>
            </x14:iconSet>
          </x14:cfRule>
          <xm:sqref>Z17</xm:sqref>
        </x14:conditionalFormatting>
        <x14:conditionalFormatting xmlns:xm="http://schemas.microsoft.com/office/excel/2006/main">
          <x14:cfRule type="iconSet" priority="18" id="{6FB6EFB7-BA8A-4B78-A30C-29CE3B5D0B47}">
            <x14:iconSet iconSet="3Triangles">
              <x14:cfvo type="percent">
                <xm:f>0</xm:f>
              </x14:cfvo>
              <x14:cfvo type="formula">
                <xm:f>$X$17</xm:f>
              </x14:cfvo>
              <x14:cfvo type="formula" gte="0">
                <xm:f>$X$17</xm:f>
              </x14:cfvo>
            </x14:iconSet>
          </x14:cfRule>
          <xm:sqref>AA17</xm:sqref>
        </x14:conditionalFormatting>
        <x14:conditionalFormatting xmlns:xm="http://schemas.microsoft.com/office/excel/2006/main">
          <x14:cfRule type="iconSet" priority="19" id="{0A8D6CEF-981A-4040-8738-2A1FFD5D11DD}">
            <x14:iconSet iconSet="3Triangles">
              <x14:cfvo type="percent">
                <xm:f>0</xm:f>
              </x14:cfvo>
              <x14:cfvo type="formula">
                <xm:f>$Z$17</xm:f>
              </x14:cfvo>
              <x14:cfvo type="formula" gte="0">
                <xm:f>$Z$17</xm:f>
              </x14:cfvo>
            </x14:iconSet>
          </x14:cfRule>
          <xm:sqref>AC17</xm:sqref>
        </x14:conditionalFormatting>
        <x14:conditionalFormatting xmlns:xm="http://schemas.microsoft.com/office/excel/2006/main">
          <x14:cfRule type="iconSet" priority="20" id="{BF06CDC9-7C3B-4064-ACD2-FA605D6D03E3}">
            <x14:iconSet iconSet="3Triangles">
              <x14:cfvo type="percent">
                <xm:f>0</xm:f>
              </x14:cfvo>
              <x14:cfvo type="formula">
                <xm:f>$AA$17</xm:f>
              </x14:cfvo>
              <x14:cfvo type="formula" gte="0">
                <xm:f>$AA$17</xm:f>
              </x14:cfvo>
            </x14:iconSet>
          </x14:cfRule>
          <xm:sqref>AD17</xm:sqref>
        </x14:conditionalFormatting>
        <x14:conditionalFormatting xmlns:xm="http://schemas.microsoft.com/office/excel/2006/main">
          <x14:cfRule type="iconSet" priority="21" id="{A54817D4-8A87-4B4A-AD25-048CB1EC28A2}">
            <x14:iconSet iconSet="3Triangles">
              <x14:cfvo type="percent">
                <xm:f>0</xm:f>
              </x14:cfvo>
              <x14:cfvo type="formula">
                <xm:f>$AC$17</xm:f>
              </x14:cfvo>
              <x14:cfvo type="formula" gte="0">
                <xm:f>$AC$17</xm:f>
              </x14:cfvo>
            </x14:iconSet>
          </x14:cfRule>
          <xm:sqref>AF17</xm:sqref>
        </x14:conditionalFormatting>
        <x14:conditionalFormatting xmlns:xm="http://schemas.microsoft.com/office/excel/2006/main">
          <x14:cfRule type="iconSet" priority="22" id="{71AE7721-A15E-4D79-948D-E45D5A650CA6}">
            <x14:iconSet iconSet="3Triangles">
              <x14:cfvo type="percent">
                <xm:f>0</xm:f>
              </x14:cfvo>
              <x14:cfvo type="formula">
                <xm:f>$AD$17</xm:f>
              </x14:cfvo>
              <x14:cfvo type="formula" gte="0">
                <xm:f>$AD$17</xm:f>
              </x14:cfvo>
            </x14:iconSet>
          </x14:cfRule>
          <xm:sqref>AG17</xm:sqref>
        </x14:conditionalFormatting>
        <x14:conditionalFormatting xmlns:xm="http://schemas.microsoft.com/office/excel/2006/main">
          <x14:cfRule type="iconSet" priority="23" id="{A45E1886-F6D6-47FB-8565-AC8E31945C45}">
            <x14:iconSet iconSet="3Triangles">
              <x14:cfvo type="percent">
                <xm:f>0</xm:f>
              </x14:cfvo>
              <x14:cfvo type="formula">
                <xm:f>$AF$17</xm:f>
              </x14:cfvo>
              <x14:cfvo type="formula" gte="0">
                <xm:f>$AF$17</xm:f>
              </x14:cfvo>
            </x14:iconSet>
          </x14:cfRule>
          <xm:sqref>AI17</xm:sqref>
        </x14:conditionalFormatting>
        <x14:conditionalFormatting xmlns:xm="http://schemas.microsoft.com/office/excel/2006/main">
          <x14:cfRule type="iconSet" priority="24" id="{704CEDEE-C1BA-4C55-AA52-132504C5F3B3}">
            <x14:iconSet iconSet="3Triangles">
              <x14:cfvo type="percent">
                <xm:f>0</xm:f>
              </x14:cfvo>
              <x14:cfvo type="formula">
                <xm:f>$AG$17</xm:f>
              </x14:cfvo>
              <x14:cfvo type="formula" gte="0">
                <xm:f>$AG$17</xm:f>
              </x14:cfvo>
            </x14:iconSet>
          </x14:cfRule>
          <xm:sqref>AJ17</xm:sqref>
        </x14:conditionalFormatting>
        <x14:conditionalFormatting xmlns:xm="http://schemas.microsoft.com/office/excel/2006/main">
          <x14:cfRule type="iconSet" priority="25" id="{1957AB59-2220-4CA2-B2A0-4352B8A360D5}">
            <x14:iconSet iconSet="3Triangles">
              <x14:cfvo type="percent">
                <xm:f>0</xm:f>
              </x14:cfvo>
              <x14:cfvo type="formula">
                <xm:f>$O$17</xm:f>
              </x14:cfvo>
              <x14:cfvo type="formula" gte="0">
                <xm:f>$O$17</xm:f>
              </x14:cfvo>
            </x14:iconSet>
          </x14:cfRule>
          <xm:sqref>R17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825EF-BBFD-4BC5-A020-351B059393F8}">
  <sheetPr codeName="Sheet5"/>
  <dimension ref="A1:C4"/>
  <sheetViews>
    <sheetView workbookViewId="0"/>
  </sheetViews>
  <sheetFormatPr defaultRowHeight="15" x14ac:dyDescent="0.25"/>
  <cols>
    <col min="1" max="1" width="16.140625" bestFit="1" customWidth="1"/>
    <col min="2" max="2" width="63" bestFit="1" customWidth="1"/>
    <col min="3" max="3" width="138.28515625" bestFit="1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">
        <v>94</v>
      </c>
      <c r="C2" t="s">
        <v>81</v>
      </c>
    </row>
    <row r="3" spans="1:3" x14ac:dyDescent="0.25">
      <c r="A3" t="s">
        <v>79</v>
      </c>
      <c r="B3" t="s">
        <v>97</v>
      </c>
      <c r="C3" t="s">
        <v>98</v>
      </c>
    </row>
    <row r="4" spans="1:3" x14ac:dyDescent="0.2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Temp_RESUME_PerFactory</vt:lpstr>
      <vt:lpstr>Temp_REPORT1</vt:lpstr>
      <vt:lpstr>HOME</vt:lpstr>
      <vt:lpstr>CC1_InputUser</vt:lpstr>
      <vt:lpstr>Ref_WA</vt:lpstr>
      <vt:lpstr>REPORT1</vt:lpstr>
      <vt:lpstr>Ref_Factory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2024-10-12T05:04:04Z</dcterms:modified>
</cp:coreProperties>
</file>