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RPA 00\Monitoring Performance Shipment\"/>
    </mc:Choice>
  </mc:AlternateContent>
  <xr:revisionPtr revIDLastSave="0" documentId="13_ncr:1_{1E7A8218-99D7-491B-AD16-019A90CDAEA8}" xr6:coauthVersionLast="47" xr6:coauthVersionMax="47" xr10:uidLastSave="{00000000-0000-0000-0000-000000000000}"/>
  <bookViews>
    <workbookView xWindow="-120" yWindow="-120" windowWidth="20640" windowHeight="11160" activeTab="1" xr2:uid="{BFB33DAB-B956-401A-93AD-3738362D6D09}"/>
  </bookViews>
  <sheets>
    <sheet name="{HOME}" sheetId="1" r:id="rId1"/>
    <sheet name="DATA" sheetId="106" r:id="rId2"/>
  </sheets>
  <externalReferences>
    <externalReference r:id="rId3"/>
  </externalReferences>
  <definedNames>
    <definedName name="_xlnm._FilterDatabase" localSheetId="1" hidden="1">DATA!$A$2:$AM$219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19" i="106" l="1"/>
  <c r="U219" i="106"/>
  <c r="T219" i="106"/>
  <c r="S219" i="106"/>
  <c r="R219" i="106"/>
  <c r="AJ218" i="106"/>
  <c r="Q218" i="106"/>
  <c r="R218" i="106" s="1"/>
  <c r="AK218" i="106" s="1"/>
  <c r="P218" i="106"/>
  <c r="O218" i="106"/>
  <c r="AJ217" i="106"/>
  <c r="Q217" i="106"/>
  <c r="T217" i="106" s="1"/>
  <c r="P217" i="106"/>
  <c r="O217" i="106"/>
  <c r="AJ216" i="106"/>
  <c r="T216" i="106"/>
  <c r="Q216" i="106"/>
  <c r="S216" i="106" s="1"/>
  <c r="P216" i="106"/>
  <c r="O216" i="106"/>
  <c r="U216" i="106" s="1"/>
  <c r="AJ215" i="106"/>
  <c r="Q215" i="106"/>
  <c r="T215" i="106" s="1"/>
  <c r="O215" i="106"/>
  <c r="AJ214" i="106"/>
  <c r="U214" i="106"/>
  <c r="T214" i="106"/>
  <c r="S214" i="106"/>
  <c r="R214" i="106"/>
  <c r="AK214" i="106" s="1"/>
  <c r="Q214" i="106"/>
  <c r="AJ213" i="106"/>
  <c r="U213" i="106"/>
  <c r="T213" i="106"/>
  <c r="S213" i="106"/>
  <c r="R213" i="106"/>
  <c r="AJ212" i="106"/>
  <c r="Q212" i="106"/>
  <c r="R212" i="106" s="1"/>
  <c r="AK212" i="106" s="1"/>
  <c r="AJ211" i="106"/>
  <c r="Q211" i="106"/>
  <c r="R211" i="106" s="1"/>
  <c r="AJ210" i="106"/>
  <c r="Q210" i="106"/>
  <c r="S210" i="106" s="1"/>
  <c r="P210" i="106"/>
  <c r="O210" i="106"/>
  <c r="AJ209" i="106"/>
  <c r="Q209" i="106"/>
  <c r="T209" i="106" s="1"/>
  <c r="P209" i="106"/>
  <c r="O209" i="106"/>
  <c r="X208" i="106"/>
  <c r="AJ208" i="106" s="1"/>
  <c r="Q208" i="106"/>
  <c r="T208" i="106" s="1"/>
  <c r="Z207" i="106"/>
  <c r="AJ207" i="106" s="1"/>
  <c r="U207" i="106"/>
  <c r="T207" i="106"/>
  <c r="S207" i="106"/>
  <c r="R207" i="106"/>
  <c r="AJ206" i="106"/>
  <c r="U206" i="106"/>
  <c r="T206" i="106"/>
  <c r="S206" i="106"/>
  <c r="R206" i="106"/>
  <c r="AJ205" i="106"/>
  <c r="U205" i="106"/>
  <c r="T205" i="106"/>
  <c r="S205" i="106"/>
  <c r="R205" i="106"/>
  <c r="AJ204" i="106"/>
  <c r="U204" i="106"/>
  <c r="T204" i="106"/>
  <c r="S204" i="106"/>
  <c r="R204" i="106"/>
  <c r="AK204" i="106" s="1"/>
  <c r="P204" i="106"/>
  <c r="O204" i="106"/>
  <c r="AJ203" i="106"/>
  <c r="AK203" i="106" s="1"/>
  <c r="U203" i="106"/>
  <c r="T203" i="106"/>
  <c r="S203" i="106"/>
  <c r="R203" i="106"/>
  <c r="P203" i="106"/>
  <c r="AJ202" i="106"/>
  <c r="U202" i="106"/>
  <c r="T202" i="106"/>
  <c r="S202" i="106"/>
  <c r="R202" i="106"/>
  <c r="AJ201" i="106"/>
  <c r="U201" i="106"/>
  <c r="T201" i="106"/>
  <c r="S201" i="106"/>
  <c r="R201" i="106"/>
  <c r="AK201" i="106" s="1"/>
  <c r="AJ200" i="106"/>
  <c r="U200" i="106"/>
  <c r="T200" i="106"/>
  <c r="S200" i="106"/>
  <c r="R200" i="106"/>
  <c r="AK200" i="106" s="1"/>
  <c r="AJ199" i="106"/>
  <c r="U199" i="106"/>
  <c r="T199" i="106"/>
  <c r="S199" i="106"/>
  <c r="R199" i="106"/>
  <c r="AJ198" i="106"/>
  <c r="U198" i="106"/>
  <c r="T198" i="106"/>
  <c r="S198" i="106"/>
  <c r="R198" i="106"/>
  <c r="AJ197" i="106"/>
  <c r="U197" i="106"/>
  <c r="T197" i="106"/>
  <c r="S197" i="106"/>
  <c r="R197" i="106"/>
  <c r="AJ196" i="106"/>
  <c r="U196" i="106"/>
  <c r="T196" i="106"/>
  <c r="S196" i="106"/>
  <c r="R196" i="106"/>
  <c r="AJ195" i="106"/>
  <c r="U195" i="106"/>
  <c r="T195" i="106"/>
  <c r="S195" i="106"/>
  <c r="R195" i="106"/>
  <c r="AK195" i="106" s="1"/>
  <c r="AJ194" i="106"/>
  <c r="U194" i="106"/>
  <c r="T194" i="106"/>
  <c r="S194" i="106"/>
  <c r="R194" i="106"/>
  <c r="AK194" i="106" s="1"/>
  <c r="AJ193" i="106"/>
  <c r="U193" i="106"/>
  <c r="T193" i="106"/>
  <c r="S193" i="106"/>
  <c r="R193" i="106"/>
  <c r="AJ192" i="106"/>
  <c r="U192" i="106"/>
  <c r="T192" i="106"/>
  <c r="S192" i="106"/>
  <c r="R192" i="106"/>
  <c r="AJ191" i="106"/>
  <c r="U191" i="106"/>
  <c r="T191" i="106"/>
  <c r="S191" i="106"/>
  <c r="R191" i="106"/>
  <c r="AJ190" i="106"/>
  <c r="U190" i="106"/>
  <c r="T190" i="106"/>
  <c r="S190" i="106"/>
  <c r="R190" i="106"/>
  <c r="AJ189" i="106"/>
  <c r="U189" i="106"/>
  <c r="T189" i="106"/>
  <c r="S189" i="106"/>
  <c r="R189" i="106"/>
  <c r="AK189" i="106" s="1"/>
  <c r="AJ188" i="106"/>
  <c r="U188" i="106"/>
  <c r="T188" i="106"/>
  <c r="S188" i="106"/>
  <c r="R188" i="106"/>
  <c r="AK188" i="106" s="1"/>
  <c r="AJ187" i="106"/>
  <c r="U187" i="106"/>
  <c r="T187" i="106"/>
  <c r="S187" i="106"/>
  <c r="R187" i="106"/>
  <c r="AJ186" i="106"/>
  <c r="U186" i="106"/>
  <c r="T186" i="106"/>
  <c r="S186" i="106"/>
  <c r="R186" i="106"/>
  <c r="AJ185" i="106"/>
  <c r="U185" i="106"/>
  <c r="T185" i="106"/>
  <c r="S185" i="106"/>
  <c r="R185" i="106"/>
  <c r="AJ184" i="106"/>
  <c r="U184" i="106"/>
  <c r="T184" i="106"/>
  <c r="S184" i="106"/>
  <c r="R184" i="106"/>
  <c r="AJ183" i="106"/>
  <c r="U183" i="106"/>
  <c r="T183" i="106"/>
  <c r="S183" i="106"/>
  <c r="R183" i="106"/>
  <c r="AJ182" i="106"/>
  <c r="U182" i="106"/>
  <c r="T182" i="106"/>
  <c r="S182" i="106"/>
  <c r="R182" i="106"/>
  <c r="AJ181" i="106"/>
  <c r="AK181" i="106" s="1"/>
  <c r="U181" i="106"/>
  <c r="T181" i="106"/>
  <c r="S181" i="106"/>
  <c r="R181" i="106"/>
  <c r="AJ180" i="106"/>
  <c r="AK180" i="106" s="1"/>
  <c r="U180" i="106"/>
  <c r="T180" i="106"/>
  <c r="S180" i="106"/>
  <c r="R180" i="106"/>
  <c r="I180" i="106"/>
  <c r="AJ179" i="106"/>
  <c r="U179" i="106"/>
  <c r="T179" i="106"/>
  <c r="S179" i="106"/>
  <c r="R179" i="106"/>
  <c r="AJ178" i="106"/>
  <c r="U178" i="106"/>
  <c r="T178" i="106"/>
  <c r="S178" i="106"/>
  <c r="R178" i="106"/>
  <c r="AJ177" i="106"/>
  <c r="U177" i="106"/>
  <c r="T177" i="106"/>
  <c r="S177" i="106"/>
  <c r="R177" i="106"/>
  <c r="P177" i="106"/>
  <c r="AJ176" i="106"/>
  <c r="AK176" i="106" s="1"/>
  <c r="U176" i="106"/>
  <c r="T176" i="106"/>
  <c r="S176" i="106"/>
  <c r="R176" i="106"/>
  <c r="AJ175" i="106"/>
  <c r="AK175" i="106" s="1"/>
  <c r="U175" i="106"/>
  <c r="T175" i="106"/>
  <c r="S175" i="106"/>
  <c r="R175" i="106"/>
  <c r="AJ174" i="106"/>
  <c r="AK174" i="106" s="1"/>
  <c r="U174" i="106"/>
  <c r="T174" i="106"/>
  <c r="S174" i="106"/>
  <c r="R174" i="106"/>
  <c r="AJ173" i="106"/>
  <c r="AK173" i="106" s="1"/>
  <c r="U173" i="106"/>
  <c r="T173" i="106"/>
  <c r="S173" i="106"/>
  <c r="R173" i="106"/>
  <c r="AJ172" i="106"/>
  <c r="AK172" i="106" s="1"/>
  <c r="U172" i="106"/>
  <c r="T172" i="106"/>
  <c r="S172" i="106"/>
  <c r="R172" i="106"/>
  <c r="AJ171" i="106"/>
  <c r="AK171" i="106" s="1"/>
  <c r="U171" i="106"/>
  <c r="T171" i="106"/>
  <c r="S171" i="106"/>
  <c r="R171" i="106"/>
  <c r="P171" i="106"/>
  <c r="AJ170" i="106"/>
  <c r="U170" i="106"/>
  <c r="T170" i="106"/>
  <c r="S170" i="106"/>
  <c r="R170" i="106"/>
  <c r="AJ169" i="106"/>
  <c r="U169" i="106"/>
  <c r="T169" i="106"/>
  <c r="S169" i="106"/>
  <c r="R169" i="106"/>
  <c r="AJ168" i="106"/>
  <c r="U168" i="106"/>
  <c r="T168" i="106"/>
  <c r="S168" i="106"/>
  <c r="R168" i="106"/>
  <c r="AK168" i="106" s="1"/>
  <c r="AJ167" i="106"/>
  <c r="U167" i="106"/>
  <c r="T167" i="106"/>
  <c r="S167" i="106"/>
  <c r="R167" i="106"/>
  <c r="AK167" i="106" s="1"/>
  <c r="AJ166" i="106"/>
  <c r="U166" i="106"/>
  <c r="T166" i="106"/>
  <c r="S166" i="106"/>
  <c r="R166" i="106"/>
  <c r="AJ165" i="106"/>
  <c r="U165" i="106"/>
  <c r="T165" i="106"/>
  <c r="S165" i="106"/>
  <c r="R165" i="106"/>
  <c r="AJ164" i="106"/>
  <c r="U164" i="106"/>
  <c r="T164" i="106"/>
  <c r="S164" i="106"/>
  <c r="R164" i="106"/>
  <c r="AJ163" i="106"/>
  <c r="U163" i="106"/>
  <c r="T163" i="106"/>
  <c r="S163" i="106"/>
  <c r="R163" i="106"/>
  <c r="AJ162" i="106"/>
  <c r="U162" i="106"/>
  <c r="T162" i="106"/>
  <c r="S162" i="106"/>
  <c r="R162" i="106"/>
  <c r="AK162" i="106" s="1"/>
  <c r="AJ161" i="106"/>
  <c r="U161" i="106"/>
  <c r="T161" i="106"/>
  <c r="S161" i="106"/>
  <c r="R161" i="106"/>
  <c r="AK161" i="106" s="1"/>
  <c r="AJ160" i="106"/>
  <c r="U160" i="106"/>
  <c r="T160" i="106"/>
  <c r="S160" i="106"/>
  <c r="R160" i="106"/>
  <c r="AJ159" i="106"/>
  <c r="U159" i="106"/>
  <c r="T159" i="106"/>
  <c r="S159" i="106"/>
  <c r="R159" i="106"/>
  <c r="AJ158" i="106"/>
  <c r="AK158" i="106" s="1"/>
  <c r="U158" i="106"/>
  <c r="T158" i="106"/>
  <c r="S158" i="106"/>
  <c r="R158" i="106"/>
  <c r="AJ157" i="106"/>
  <c r="U157" i="106"/>
  <c r="T157" i="106"/>
  <c r="S157" i="106"/>
  <c r="Q157" i="106"/>
  <c r="R157" i="106" s="1"/>
  <c r="AJ156" i="106"/>
  <c r="AK156" i="106" s="1"/>
  <c r="U156" i="106"/>
  <c r="T156" i="106"/>
  <c r="S156" i="106"/>
  <c r="R156" i="106"/>
  <c r="AJ155" i="106"/>
  <c r="U155" i="106"/>
  <c r="T155" i="106"/>
  <c r="S155" i="106"/>
  <c r="R155" i="106"/>
  <c r="AJ154" i="106"/>
  <c r="U154" i="106"/>
  <c r="T154" i="106"/>
  <c r="S154" i="106"/>
  <c r="R154" i="106"/>
  <c r="AJ153" i="106"/>
  <c r="AK153" i="106" s="1"/>
  <c r="U153" i="106"/>
  <c r="T153" i="106"/>
  <c r="S153" i="106"/>
  <c r="R153" i="106"/>
  <c r="AJ152" i="106"/>
  <c r="AK152" i="106" s="1"/>
  <c r="U152" i="106"/>
  <c r="T152" i="106"/>
  <c r="S152" i="106"/>
  <c r="R152" i="106"/>
  <c r="AJ151" i="106"/>
  <c r="AK151" i="106" s="1"/>
  <c r="U151" i="106"/>
  <c r="T151" i="106"/>
  <c r="S151" i="106"/>
  <c r="R151" i="106"/>
  <c r="AJ150" i="106"/>
  <c r="AK150" i="106" s="1"/>
  <c r="U150" i="106"/>
  <c r="T150" i="106"/>
  <c r="S150" i="106"/>
  <c r="R150" i="106"/>
  <c r="AJ149" i="106"/>
  <c r="U149" i="106"/>
  <c r="T149" i="106"/>
  <c r="S149" i="106"/>
  <c r="R149" i="106"/>
  <c r="AJ148" i="106"/>
  <c r="U148" i="106"/>
  <c r="T148" i="106"/>
  <c r="S148" i="106"/>
  <c r="R148" i="106"/>
  <c r="AJ147" i="106"/>
  <c r="AK147" i="106" s="1"/>
  <c r="U147" i="106"/>
  <c r="T147" i="106"/>
  <c r="S147" i="106"/>
  <c r="R147" i="106"/>
  <c r="U146" i="106"/>
  <c r="T146" i="106"/>
  <c r="S146" i="106"/>
  <c r="R146" i="106"/>
  <c r="U145" i="106"/>
  <c r="T145" i="106"/>
  <c r="S145" i="106"/>
  <c r="R145" i="106"/>
  <c r="U144" i="106"/>
  <c r="T144" i="106"/>
  <c r="S144" i="106"/>
  <c r="R144" i="106"/>
  <c r="U143" i="106"/>
  <c r="T143" i="106"/>
  <c r="S143" i="106"/>
  <c r="R143" i="106"/>
  <c r="U142" i="106"/>
  <c r="T142" i="106"/>
  <c r="S142" i="106"/>
  <c r="R142" i="106"/>
  <c r="U141" i="106"/>
  <c r="T141" i="106"/>
  <c r="S141" i="106"/>
  <c r="R141" i="106"/>
  <c r="U140" i="106"/>
  <c r="T140" i="106"/>
  <c r="S140" i="106"/>
  <c r="R140" i="106"/>
  <c r="U139" i="106"/>
  <c r="T139" i="106"/>
  <c r="S139" i="106"/>
  <c r="R139" i="106"/>
  <c r="U138" i="106"/>
  <c r="T138" i="106"/>
  <c r="S138" i="106"/>
  <c r="R138" i="106"/>
  <c r="U137" i="106"/>
  <c r="T137" i="106"/>
  <c r="S137" i="106"/>
  <c r="R137" i="106"/>
  <c r="U136" i="106"/>
  <c r="T136" i="106"/>
  <c r="S136" i="106"/>
  <c r="R136" i="106"/>
  <c r="U135" i="106"/>
  <c r="T135" i="106"/>
  <c r="S135" i="106"/>
  <c r="R135" i="106"/>
  <c r="U134" i="106"/>
  <c r="T134" i="106"/>
  <c r="S134" i="106"/>
  <c r="R134" i="106"/>
  <c r="U133" i="106"/>
  <c r="T133" i="106"/>
  <c r="S133" i="106"/>
  <c r="R133" i="106"/>
  <c r="U132" i="106"/>
  <c r="T132" i="106"/>
  <c r="S132" i="106"/>
  <c r="R132" i="106"/>
  <c r="U131" i="106"/>
  <c r="T131" i="106"/>
  <c r="S131" i="106"/>
  <c r="R131" i="106"/>
  <c r="U130" i="106"/>
  <c r="T130" i="106"/>
  <c r="S130" i="106"/>
  <c r="R130" i="106"/>
  <c r="U129" i="106"/>
  <c r="T129" i="106"/>
  <c r="S129" i="106"/>
  <c r="R129" i="106"/>
  <c r="U128" i="106"/>
  <c r="T128" i="106"/>
  <c r="S128" i="106"/>
  <c r="R128" i="106"/>
  <c r="U127" i="106"/>
  <c r="T127" i="106"/>
  <c r="S127" i="106"/>
  <c r="R127" i="106"/>
  <c r="U126" i="106"/>
  <c r="T126" i="106"/>
  <c r="S126" i="106"/>
  <c r="R126" i="106"/>
  <c r="U125" i="106"/>
  <c r="T125" i="106"/>
  <c r="S125" i="106"/>
  <c r="R125" i="106"/>
  <c r="U124" i="106"/>
  <c r="T124" i="106"/>
  <c r="S124" i="106"/>
  <c r="R124" i="106"/>
  <c r="U123" i="106"/>
  <c r="T123" i="106"/>
  <c r="S123" i="106"/>
  <c r="R123" i="106"/>
  <c r="U122" i="106"/>
  <c r="T122" i="106"/>
  <c r="S122" i="106"/>
  <c r="R122" i="106"/>
  <c r="U121" i="106"/>
  <c r="T121" i="106"/>
  <c r="S121" i="106"/>
  <c r="R121" i="106"/>
  <c r="U120" i="106"/>
  <c r="T120" i="106"/>
  <c r="S120" i="106"/>
  <c r="R120" i="106"/>
  <c r="U119" i="106"/>
  <c r="T119" i="106"/>
  <c r="S119" i="106"/>
  <c r="R119" i="106"/>
  <c r="U118" i="106"/>
  <c r="T118" i="106"/>
  <c r="S118" i="106"/>
  <c r="R118" i="106"/>
  <c r="U117" i="106"/>
  <c r="T117" i="106"/>
  <c r="S117" i="106"/>
  <c r="R117" i="106"/>
  <c r="U116" i="106"/>
  <c r="T116" i="106"/>
  <c r="S116" i="106"/>
  <c r="R116" i="106"/>
  <c r="U115" i="106"/>
  <c r="T115" i="106"/>
  <c r="S115" i="106"/>
  <c r="R115" i="106"/>
  <c r="U114" i="106"/>
  <c r="T114" i="106"/>
  <c r="S114" i="106"/>
  <c r="R114" i="106"/>
  <c r="U113" i="106"/>
  <c r="T113" i="106"/>
  <c r="S113" i="106"/>
  <c r="R113" i="106"/>
  <c r="U112" i="106"/>
  <c r="T112" i="106"/>
  <c r="S112" i="106"/>
  <c r="R112" i="106"/>
  <c r="U111" i="106"/>
  <c r="T111" i="106"/>
  <c r="S111" i="106"/>
  <c r="R111" i="106"/>
  <c r="U110" i="106"/>
  <c r="T110" i="106"/>
  <c r="S110" i="106"/>
  <c r="R110" i="106"/>
  <c r="U109" i="106"/>
  <c r="T109" i="106"/>
  <c r="S109" i="106"/>
  <c r="R109" i="106"/>
  <c r="U108" i="106"/>
  <c r="T108" i="106"/>
  <c r="S108" i="106"/>
  <c r="R108" i="106"/>
  <c r="U107" i="106"/>
  <c r="T107" i="106"/>
  <c r="S107" i="106"/>
  <c r="R107" i="106"/>
  <c r="AJ106" i="106"/>
  <c r="AK106" i="106" s="1"/>
  <c r="U106" i="106"/>
  <c r="T106" i="106"/>
  <c r="S106" i="106"/>
  <c r="R106" i="106"/>
  <c r="AJ105" i="106"/>
  <c r="AK105" i="106" s="1"/>
  <c r="U105" i="106"/>
  <c r="T105" i="106"/>
  <c r="S105" i="106"/>
  <c r="R105" i="106"/>
  <c r="AJ104" i="106"/>
  <c r="AK104" i="106" s="1"/>
  <c r="U104" i="106"/>
  <c r="T104" i="106"/>
  <c r="S104" i="106"/>
  <c r="R104" i="106"/>
  <c r="AJ103" i="106"/>
  <c r="AK103" i="106" s="1"/>
  <c r="U103" i="106"/>
  <c r="T103" i="106"/>
  <c r="S103" i="106"/>
  <c r="R103" i="106"/>
  <c r="AJ102" i="106"/>
  <c r="AK102" i="106" s="1"/>
  <c r="U102" i="106"/>
  <c r="T102" i="106"/>
  <c r="S102" i="106"/>
  <c r="R102" i="106"/>
  <c r="AJ101" i="106"/>
  <c r="AK101" i="106" s="1"/>
  <c r="U101" i="106"/>
  <c r="T101" i="106"/>
  <c r="S101" i="106"/>
  <c r="R101" i="106"/>
  <c r="AJ100" i="106"/>
  <c r="AK100" i="106" s="1"/>
  <c r="U100" i="106"/>
  <c r="T100" i="106"/>
  <c r="S100" i="106"/>
  <c r="R100" i="106"/>
  <c r="AJ99" i="106"/>
  <c r="AK99" i="106" s="1"/>
  <c r="U99" i="106"/>
  <c r="T99" i="106"/>
  <c r="S99" i="106"/>
  <c r="R99" i="106"/>
  <c r="AJ98" i="106"/>
  <c r="AK98" i="106" s="1"/>
  <c r="U98" i="106"/>
  <c r="T98" i="106"/>
  <c r="S98" i="106"/>
  <c r="R98" i="106"/>
  <c r="AJ97" i="106"/>
  <c r="AK97" i="106" s="1"/>
  <c r="U97" i="106"/>
  <c r="T97" i="106"/>
  <c r="S97" i="106"/>
  <c r="R97" i="106"/>
  <c r="AJ96" i="106"/>
  <c r="AK96" i="106" s="1"/>
  <c r="U96" i="106"/>
  <c r="T96" i="106"/>
  <c r="S96" i="106"/>
  <c r="R96" i="106"/>
  <c r="AJ95" i="106"/>
  <c r="AK95" i="106" s="1"/>
  <c r="U95" i="106"/>
  <c r="T95" i="106"/>
  <c r="S95" i="106"/>
  <c r="R95" i="106"/>
  <c r="AJ94" i="106"/>
  <c r="AK94" i="106" s="1"/>
  <c r="U94" i="106"/>
  <c r="T94" i="106"/>
  <c r="S94" i="106"/>
  <c r="R94" i="106"/>
  <c r="AJ93" i="106"/>
  <c r="AK93" i="106" s="1"/>
  <c r="U93" i="106"/>
  <c r="T93" i="106"/>
  <c r="S93" i="106"/>
  <c r="R93" i="106"/>
  <c r="AJ92" i="106"/>
  <c r="AK92" i="106" s="1"/>
  <c r="U92" i="106"/>
  <c r="T92" i="106"/>
  <c r="S92" i="106"/>
  <c r="R92" i="106"/>
  <c r="AJ91" i="106"/>
  <c r="AK91" i="106" s="1"/>
  <c r="U91" i="106"/>
  <c r="T91" i="106"/>
  <c r="S91" i="106"/>
  <c r="R91" i="106"/>
  <c r="AJ90" i="106"/>
  <c r="AK90" i="106" s="1"/>
  <c r="U90" i="106"/>
  <c r="T90" i="106"/>
  <c r="S90" i="106"/>
  <c r="R90" i="106"/>
  <c r="AJ89" i="106"/>
  <c r="AK89" i="106" s="1"/>
  <c r="U89" i="106"/>
  <c r="T89" i="106"/>
  <c r="S89" i="106"/>
  <c r="R89" i="106"/>
  <c r="AJ88" i="106"/>
  <c r="AK88" i="106" s="1"/>
  <c r="U88" i="106"/>
  <c r="T88" i="106"/>
  <c r="S88" i="106"/>
  <c r="R88" i="106"/>
  <c r="AJ87" i="106"/>
  <c r="AK87" i="106" s="1"/>
  <c r="U87" i="106"/>
  <c r="T87" i="106"/>
  <c r="S87" i="106"/>
  <c r="R87" i="106"/>
  <c r="AJ86" i="106"/>
  <c r="AK86" i="106" s="1"/>
  <c r="U86" i="106"/>
  <c r="T86" i="106"/>
  <c r="S86" i="106"/>
  <c r="R86" i="106"/>
  <c r="AJ85" i="106"/>
  <c r="AK85" i="106" s="1"/>
  <c r="U85" i="106"/>
  <c r="T85" i="106"/>
  <c r="S85" i="106"/>
  <c r="R85" i="106"/>
  <c r="AJ84" i="106"/>
  <c r="AK84" i="106" s="1"/>
  <c r="U84" i="106"/>
  <c r="T84" i="106"/>
  <c r="S84" i="106"/>
  <c r="R84" i="106"/>
  <c r="AJ83" i="106"/>
  <c r="AK83" i="106" s="1"/>
  <c r="U83" i="106"/>
  <c r="T83" i="106"/>
  <c r="S83" i="106"/>
  <c r="R83" i="106"/>
  <c r="AJ82" i="106"/>
  <c r="AK82" i="106" s="1"/>
  <c r="U82" i="106"/>
  <c r="T82" i="106"/>
  <c r="S82" i="106"/>
  <c r="R82" i="106"/>
  <c r="AJ81" i="106"/>
  <c r="AK81" i="106" s="1"/>
  <c r="U81" i="106"/>
  <c r="T81" i="106"/>
  <c r="S81" i="106"/>
  <c r="R81" i="106"/>
  <c r="AJ80" i="106"/>
  <c r="AK80" i="106" s="1"/>
  <c r="U80" i="106"/>
  <c r="T80" i="106"/>
  <c r="S80" i="106"/>
  <c r="R80" i="106"/>
  <c r="AJ79" i="106"/>
  <c r="AK79" i="106" s="1"/>
  <c r="U79" i="106"/>
  <c r="T79" i="106"/>
  <c r="S79" i="106"/>
  <c r="R79" i="106"/>
  <c r="AJ78" i="106"/>
  <c r="AK78" i="106" s="1"/>
  <c r="U78" i="106"/>
  <c r="T78" i="106"/>
  <c r="S78" i="106"/>
  <c r="R78" i="106"/>
  <c r="AJ77" i="106"/>
  <c r="AK77" i="106" s="1"/>
  <c r="U77" i="106"/>
  <c r="T77" i="106"/>
  <c r="S77" i="106"/>
  <c r="R77" i="106"/>
  <c r="AJ76" i="106"/>
  <c r="AK76" i="106" s="1"/>
  <c r="U76" i="106"/>
  <c r="T76" i="106"/>
  <c r="S76" i="106"/>
  <c r="R76" i="106"/>
  <c r="AJ75" i="106"/>
  <c r="AK75" i="106" s="1"/>
  <c r="U75" i="106"/>
  <c r="T75" i="106"/>
  <c r="S75" i="106"/>
  <c r="R75" i="106"/>
  <c r="AJ74" i="106"/>
  <c r="AK74" i="106" s="1"/>
  <c r="U74" i="106"/>
  <c r="T74" i="106"/>
  <c r="S74" i="106"/>
  <c r="R74" i="106"/>
  <c r="AJ73" i="106"/>
  <c r="AK73" i="106" s="1"/>
  <c r="U73" i="106"/>
  <c r="T73" i="106"/>
  <c r="S73" i="106"/>
  <c r="R73" i="106"/>
  <c r="AJ72" i="106"/>
  <c r="AK72" i="106" s="1"/>
  <c r="U72" i="106"/>
  <c r="T72" i="106"/>
  <c r="S72" i="106"/>
  <c r="R72" i="106"/>
  <c r="AJ71" i="106"/>
  <c r="AK71" i="106" s="1"/>
  <c r="U71" i="106"/>
  <c r="T71" i="106"/>
  <c r="S71" i="106"/>
  <c r="R71" i="106"/>
  <c r="AJ70" i="106"/>
  <c r="AK70" i="106" s="1"/>
  <c r="U70" i="106"/>
  <c r="T70" i="106"/>
  <c r="S70" i="106"/>
  <c r="R70" i="106"/>
  <c r="AJ69" i="106"/>
  <c r="AK69" i="106" s="1"/>
  <c r="U69" i="106"/>
  <c r="T69" i="106"/>
  <c r="S69" i="106"/>
  <c r="R69" i="106"/>
  <c r="AJ68" i="106"/>
  <c r="AK68" i="106" s="1"/>
  <c r="U68" i="106"/>
  <c r="T68" i="106"/>
  <c r="S68" i="106"/>
  <c r="R68" i="106"/>
  <c r="AJ67" i="106"/>
  <c r="AK67" i="106" s="1"/>
  <c r="U67" i="106"/>
  <c r="T67" i="106"/>
  <c r="S67" i="106"/>
  <c r="R67" i="106"/>
  <c r="AJ66" i="106"/>
  <c r="AK66" i="106" s="1"/>
  <c r="U66" i="106"/>
  <c r="T66" i="106"/>
  <c r="S66" i="106"/>
  <c r="R66" i="106"/>
  <c r="AJ65" i="106"/>
  <c r="AK65" i="106" s="1"/>
  <c r="U65" i="106"/>
  <c r="T65" i="106"/>
  <c r="S65" i="106"/>
  <c r="R65" i="106"/>
  <c r="AJ64" i="106"/>
  <c r="AK64" i="106" s="1"/>
  <c r="U64" i="106"/>
  <c r="T64" i="106"/>
  <c r="S64" i="106"/>
  <c r="R64" i="106"/>
  <c r="AJ63" i="106"/>
  <c r="AK63" i="106" s="1"/>
  <c r="U63" i="106"/>
  <c r="T63" i="106"/>
  <c r="S63" i="106"/>
  <c r="R63" i="106"/>
  <c r="AJ62" i="106"/>
  <c r="AK62" i="106" s="1"/>
  <c r="U62" i="106"/>
  <c r="T62" i="106"/>
  <c r="S62" i="106"/>
  <c r="R62" i="106"/>
  <c r="AJ61" i="106"/>
  <c r="AK61" i="106" s="1"/>
  <c r="U61" i="106"/>
  <c r="T61" i="106"/>
  <c r="S61" i="106"/>
  <c r="R61" i="106"/>
  <c r="AJ60" i="106"/>
  <c r="AK60" i="106" s="1"/>
  <c r="U60" i="106"/>
  <c r="T60" i="106"/>
  <c r="S60" i="106"/>
  <c r="R60" i="106"/>
  <c r="AJ59" i="106"/>
  <c r="AK59" i="106" s="1"/>
  <c r="U59" i="106"/>
  <c r="T59" i="106"/>
  <c r="S59" i="106"/>
  <c r="R59" i="106"/>
  <c r="AJ58" i="106"/>
  <c r="AK58" i="106" s="1"/>
  <c r="U58" i="106"/>
  <c r="T58" i="106"/>
  <c r="S58" i="106"/>
  <c r="R58" i="106"/>
  <c r="AJ57" i="106"/>
  <c r="AK57" i="106" s="1"/>
  <c r="U57" i="106"/>
  <c r="T57" i="106"/>
  <c r="S57" i="106"/>
  <c r="R57" i="106"/>
  <c r="AJ56" i="106"/>
  <c r="AK56" i="106" s="1"/>
  <c r="U56" i="106"/>
  <c r="T56" i="106"/>
  <c r="S56" i="106"/>
  <c r="R56" i="106"/>
  <c r="AJ55" i="106"/>
  <c r="AK55" i="106" s="1"/>
  <c r="U55" i="106"/>
  <c r="T55" i="106"/>
  <c r="S55" i="106"/>
  <c r="R55" i="106"/>
  <c r="AJ54" i="106"/>
  <c r="AK54" i="106" s="1"/>
  <c r="U54" i="106"/>
  <c r="T54" i="106"/>
  <c r="S54" i="106"/>
  <c r="R54" i="106"/>
  <c r="AJ53" i="106"/>
  <c r="AK53" i="106" s="1"/>
  <c r="U53" i="106"/>
  <c r="T53" i="106"/>
  <c r="S53" i="106"/>
  <c r="R53" i="106"/>
  <c r="AJ52" i="106"/>
  <c r="AK52" i="106" s="1"/>
  <c r="U52" i="106"/>
  <c r="T52" i="106"/>
  <c r="S52" i="106"/>
  <c r="R52" i="106"/>
  <c r="AJ51" i="106"/>
  <c r="AK51" i="106" s="1"/>
  <c r="U51" i="106"/>
  <c r="T51" i="106"/>
  <c r="S51" i="106"/>
  <c r="R51" i="106"/>
  <c r="AJ50" i="106"/>
  <c r="AK50" i="106" s="1"/>
  <c r="U50" i="106"/>
  <c r="T50" i="106"/>
  <c r="S50" i="106"/>
  <c r="R50" i="106"/>
  <c r="AJ49" i="106"/>
  <c r="AK49" i="106" s="1"/>
  <c r="U49" i="106"/>
  <c r="T49" i="106"/>
  <c r="S49" i="106"/>
  <c r="R49" i="106"/>
  <c r="AJ48" i="106"/>
  <c r="AK48" i="106" s="1"/>
  <c r="U48" i="106"/>
  <c r="T48" i="106"/>
  <c r="S48" i="106"/>
  <c r="R48" i="106"/>
  <c r="AJ47" i="106"/>
  <c r="AK47" i="106" s="1"/>
  <c r="U47" i="106"/>
  <c r="T47" i="106"/>
  <c r="S47" i="106"/>
  <c r="R47" i="106"/>
  <c r="AJ46" i="106"/>
  <c r="AK46" i="106" s="1"/>
  <c r="U46" i="106"/>
  <c r="T46" i="106"/>
  <c r="S46" i="106"/>
  <c r="R46" i="106"/>
  <c r="AJ45" i="106"/>
  <c r="AK45" i="106" s="1"/>
  <c r="U45" i="106"/>
  <c r="T45" i="106"/>
  <c r="S45" i="106"/>
  <c r="R45" i="106"/>
  <c r="AJ44" i="106"/>
  <c r="AK44" i="106" s="1"/>
  <c r="U44" i="106"/>
  <c r="T44" i="106"/>
  <c r="S44" i="106"/>
  <c r="R44" i="106"/>
  <c r="AJ43" i="106"/>
  <c r="AK43" i="106" s="1"/>
  <c r="U43" i="106"/>
  <c r="T43" i="106"/>
  <c r="S43" i="106"/>
  <c r="R43" i="106"/>
  <c r="AJ42" i="106"/>
  <c r="AK42" i="106" s="1"/>
  <c r="U42" i="106"/>
  <c r="T42" i="106"/>
  <c r="S42" i="106"/>
  <c r="R42" i="106"/>
  <c r="AJ41" i="106"/>
  <c r="AK41" i="106" s="1"/>
  <c r="U41" i="106"/>
  <c r="T41" i="106"/>
  <c r="S41" i="106"/>
  <c r="R41" i="106"/>
  <c r="AJ40" i="106"/>
  <c r="AK40" i="106" s="1"/>
  <c r="U40" i="106"/>
  <c r="T40" i="106"/>
  <c r="S40" i="106"/>
  <c r="R40" i="106"/>
  <c r="AJ39" i="106"/>
  <c r="AK39" i="106" s="1"/>
  <c r="U39" i="106"/>
  <c r="T39" i="106"/>
  <c r="S39" i="106"/>
  <c r="R39" i="106"/>
  <c r="AJ38" i="106"/>
  <c r="AK38" i="106" s="1"/>
  <c r="U38" i="106"/>
  <c r="T38" i="106"/>
  <c r="S38" i="106"/>
  <c r="R38" i="106"/>
  <c r="AJ37" i="106"/>
  <c r="AK37" i="106" s="1"/>
  <c r="U37" i="106"/>
  <c r="T37" i="106"/>
  <c r="S37" i="106"/>
  <c r="R37" i="106"/>
  <c r="AJ36" i="106"/>
  <c r="AK36" i="106" s="1"/>
  <c r="U36" i="106"/>
  <c r="T36" i="106"/>
  <c r="S36" i="106"/>
  <c r="R36" i="106"/>
  <c r="AJ35" i="106"/>
  <c r="AK35" i="106" s="1"/>
  <c r="U35" i="106"/>
  <c r="T35" i="106"/>
  <c r="S35" i="106"/>
  <c r="R35" i="106"/>
  <c r="AJ34" i="106"/>
  <c r="AK34" i="106" s="1"/>
  <c r="U34" i="106"/>
  <c r="T34" i="106"/>
  <c r="S34" i="106"/>
  <c r="R34" i="106"/>
  <c r="AJ33" i="106"/>
  <c r="AK33" i="106" s="1"/>
  <c r="U33" i="106"/>
  <c r="T33" i="106"/>
  <c r="S33" i="106"/>
  <c r="R33" i="106"/>
  <c r="AJ32" i="106"/>
  <c r="AK32" i="106" s="1"/>
  <c r="U32" i="106"/>
  <c r="T32" i="106"/>
  <c r="S32" i="106"/>
  <c r="R32" i="106"/>
  <c r="AJ31" i="106"/>
  <c r="AK31" i="106" s="1"/>
  <c r="U31" i="106"/>
  <c r="T31" i="106"/>
  <c r="S31" i="106"/>
  <c r="R31" i="106"/>
  <c r="AJ30" i="106"/>
  <c r="AK30" i="106" s="1"/>
  <c r="U30" i="106"/>
  <c r="T30" i="106"/>
  <c r="S30" i="106"/>
  <c r="R30" i="106"/>
  <c r="X29" i="106"/>
  <c r="AJ29" i="106" s="1"/>
  <c r="AK29" i="106" s="1"/>
  <c r="U29" i="106"/>
  <c r="T29" i="106"/>
  <c r="S29" i="106"/>
  <c r="R29" i="106"/>
  <c r="X28" i="106"/>
  <c r="AJ28" i="106" s="1"/>
  <c r="U28" i="106"/>
  <c r="T28" i="106"/>
  <c r="S28" i="106"/>
  <c r="R28" i="106"/>
  <c r="X27" i="106"/>
  <c r="AJ27" i="106" s="1"/>
  <c r="U27" i="106"/>
  <c r="T27" i="106"/>
  <c r="S27" i="106"/>
  <c r="R27" i="106"/>
  <c r="AJ26" i="106"/>
  <c r="AK26" i="106" s="1"/>
  <c r="U26" i="106"/>
  <c r="T26" i="106"/>
  <c r="S26" i="106"/>
  <c r="R26" i="106"/>
  <c r="X25" i="106"/>
  <c r="AJ25" i="106" s="1"/>
  <c r="AK25" i="106" s="1"/>
  <c r="U25" i="106"/>
  <c r="T25" i="106"/>
  <c r="S25" i="106"/>
  <c r="R25" i="106"/>
  <c r="AJ24" i="106"/>
  <c r="AK24" i="106" s="1"/>
  <c r="U24" i="106"/>
  <c r="T24" i="106"/>
  <c r="S24" i="106"/>
  <c r="R24" i="106"/>
  <c r="X23" i="106"/>
  <c r="AJ23" i="106" s="1"/>
  <c r="AK23" i="106" s="1"/>
  <c r="U23" i="106"/>
  <c r="T23" i="106"/>
  <c r="S23" i="106"/>
  <c r="R23" i="106"/>
  <c r="AG22" i="106"/>
  <c r="X22" i="106"/>
  <c r="AJ22" i="106" s="1"/>
  <c r="AK22" i="106" s="1"/>
  <c r="U22" i="106"/>
  <c r="T22" i="106"/>
  <c r="S22" i="106"/>
  <c r="R22" i="106"/>
  <c r="AJ21" i="106"/>
  <c r="AK21" i="106" s="1"/>
  <c r="U21" i="106"/>
  <c r="T21" i="106"/>
  <c r="S21" i="106"/>
  <c r="R21" i="106"/>
  <c r="AJ20" i="106"/>
  <c r="AK20" i="106" s="1"/>
  <c r="U20" i="106"/>
  <c r="T20" i="106"/>
  <c r="S20" i="106"/>
  <c r="R20" i="106"/>
  <c r="AJ19" i="106"/>
  <c r="AK19" i="106" s="1"/>
  <c r="U19" i="106"/>
  <c r="T19" i="106"/>
  <c r="S19" i="106"/>
  <c r="R19" i="106"/>
  <c r="AJ18" i="106"/>
  <c r="U18" i="106"/>
  <c r="T18" i="106"/>
  <c r="S18" i="106"/>
  <c r="R18" i="106"/>
  <c r="AJ17" i="106"/>
  <c r="U17" i="106"/>
  <c r="T17" i="106"/>
  <c r="S17" i="106"/>
  <c r="R17" i="106"/>
  <c r="AJ16" i="106"/>
  <c r="U16" i="106"/>
  <c r="T16" i="106"/>
  <c r="S16" i="106"/>
  <c r="R16" i="106"/>
  <c r="AJ15" i="106"/>
  <c r="U15" i="106"/>
  <c r="T15" i="106"/>
  <c r="S15" i="106"/>
  <c r="R15" i="106"/>
  <c r="AJ14" i="106"/>
  <c r="U14" i="106"/>
  <c r="T14" i="106"/>
  <c r="S14" i="106"/>
  <c r="R14" i="106"/>
  <c r="AJ13" i="106"/>
  <c r="U13" i="106"/>
  <c r="T13" i="106"/>
  <c r="S13" i="106"/>
  <c r="R13" i="106"/>
  <c r="AJ12" i="106"/>
  <c r="U12" i="106"/>
  <c r="T12" i="106"/>
  <c r="S12" i="106"/>
  <c r="R12" i="106"/>
  <c r="AJ11" i="106"/>
  <c r="U11" i="106"/>
  <c r="T11" i="106"/>
  <c r="S11" i="106"/>
  <c r="R11" i="106"/>
  <c r="AJ10" i="106"/>
  <c r="AK10" i="106" s="1"/>
  <c r="U10" i="106"/>
  <c r="T10" i="106"/>
  <c r="S10" i="106"/>
  <c r="R10" i="106"/>
  <c r="AJ9" i="106"/>
  <c r="AK9" i="106" s="1"/>
  <c r="U9" i="106"/>
  <c r="T9" i="106"/>
  <c r="S9" i="106"/>
  <c r="R9" i="106"/>
  <c r="AJ8" i="106"/>
  <c r="AK8" i="106" s="1"/>
  <c r="U8" i="106"/>
  <c r="T8" i="106"/>
  <c r="S8" i="106"/>
  <c r="R8" i="106"/>
  <c r="AJ7" i="106"/>
  <c r="AK7" i="106" s="1"/>
  <c r="U7" i="106"/>
  <c r="T7" i="106"/>
  <c r="S7" i="106"/>
  <c r="R7" i="106"/>
  <c r="AJ6" i="106"/>
  <c r="U6" i="106"/>
  <c r="T6" i="106"/>
  <c r="S6" i="106"/>
  <c r="R6" i="106"/>
  <c r="AK6" i="106" s="1"/>
  <c r="AJ5" i="106"/>
  <c r="U5" i="106"/>
  <c r="T5" i="106"/>
  <c r="S5" i="106"/>
  <c r="R5" i="106"/>
  <c r="AK5" i="106" s="1"/>
  <c r="AJ4" i="106"/>
  <c r="U4" i="106"/>
  <c r="T4" i="106"/>
  <c r="S4" i="106"/>
  <c r="R4" i="106"/>
  <c r="AJ3" i="106"/>
  <c r="U3" i="106"/>
  <c r="T3" i="106"/>
  <c r="S3" i="106"/>
  <c r="R3" i="106"/>
  <c r="AK4" i="106" l="1"/>
  <c r="AK15" i="106"/>
  <c r="AK12" i="106"/>
  <c r="AK11" i="106"/>
  <c r="AK13" i="106"/>
  <c r="AK17" i="106"/>
  <c r="AK27" i="106"/>
  <c r="AK148" i="106"/>
  <c r="AK154" i="106"/>
  <c r="AK163" i="106"/>
  <c r="AK169" i="106"/>
  <c r="AK177" i="106"/>
  <c r="AK182" i="106"/>
  <c r="AK184" i="106"/>
  <c r="AK190" i="106"/>
  <c r="AK196" i="106"/>
  <c r="AK202" i="106"/>
  <c r="AK205" i="106"/>
  <c r="U210" i="106"/>
  <c r="U211" i="106"/>
  <c r="U218" i="106"/>
  <c r="R209" i="106"/>
  <c r="AK209" i="106" s="1"/>
  <c r="AK16" i="106"/>
  <c r="AK187" i="106"/>
  <c r="AK193" i="106"/>
  <c r="S209" i="106"/>
  <c r="S212" i="106"/>
  <c r="AK166" i="106"/>
  <c r="AK199" i="106"/>
  <c r="AK3" i="106"/>
  <c r="AK159" i="106"/>
  <c r="AK165" i="106"/>
  <c r="AK179" i="106"/>
  <c r="AK186" i="106"/>
  <c r="AK192" i="106"/>
  <c r="AK198" i="106"/>
  <c r="AK211" i="106"/>
  <c r="T212" i="106"/>
  <c r="S218" i="106"/>
  <c r="AK160" i="106"/>
  <c r="AK157" i="106"/>
  <c r="AK14" i="106"/>
  <c r="AK18" i="106"/>
  <c r="AK28" i="106"/>
  <c r="AK149" i="106"/>
  <c r="AK155" i="106"/>
  <c r="AK164" i="106"/>
  <c r="AK170" i="106"/>
  <c r="AK178" i="106"/>
  <c r="AK183" i="106"/>
  <c r="AK185" i="106"/>
  <c r="AK191" i="106"/>
  <c r="AK197" i="106"/>
  <c r="AK206" i="106"/>
  <c r="U209" i="106"/>
  <c r="T211" i="106"/>
  <c r="U212" i="106"/>
  <c r="AK213" i="106"/>
  <c r="R216" i="106"/>
  <c r="AK216" i="106" s="1"/>
  <c r="T218" i="106"/>
  <c r="AK219" i="106"/>
  <c r="AK207" i="106"/>
  <c r="U208" i="106"/>
  <c r="T210" i="106"/>
  <c r="S211" i="106"/>
  <c r="U215" i="106"/>
  <c r="U217" i="106"/>
  <c r="R208" i="106"/>
  <c r="AK208" i="106" s="1"/>
  <c r="R215" i="106"/>
  <c r="AK215" i="106" s="1"/>
  <c r="R217" i="106"/>
  <c r="AK217" i="106" s="1"/>
  <c r="S208" i="106"/>
  <c r="R210" i="106"/>
  <c r="AK210" i="106" s="1"/>
  <c r="S215" i="106"/>
  <c r="S217" i="10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fauzan</author>
    <author>nara nara</author>
    <author>user</author>
    <author>INTEL</author>
  </authors>
  <commentList>
    <comment ref="AG22" authorId="0" shapeId="0" xr:uid="{ADE05CCC-97D0-47BE-BA4B-652F43033790}">
      <text>
        <r>
          <rPr>
            <b/>
            <sz val="9"/>
            <color indexed="81"/>
            <rFont val="Tahoma"/>
            <family val="2"/>
          </rPr>
          <t xml:space="preserve">Belum HTL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" authorId="0" shapeId="0" xr:uid="{618F989E-F2B4-42AF-8006-7DE40D56B888}">
      <text>
        <r>
          <rPr>
            <b/>
            <sz val="9"/>
            <color indexed="81"/>
            <rFont val="Tahoma"/>
            <family val="2"/>
          </rPr>
          <t>Belum HTL</t>
        </r>
      </text>
    </comment>
    <comment ref="C35" authorId="1" shapeId="0" xr:uid="{3FBE0DD4-1FCA-4EBC-A371-9A3734AB9C06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orighinal shipment 12 JULI 2024</t>
        </r>
      </text>
    </comment>
    <comment ref="M35" authorId="1" shapeId="0" xr:uid="{01F98F2D-647A-4351-BC24-1E15554BF15A}">
      <text>
        <r>
          <rPr>
            <b/>
            <sz val="9"/>
            <color indexed="81"/>
            <rFont val="Tahoma"/>
            <family val="2"/>
          </rPr>
          <t xml:space="preserve">ORGINAL SHIPMENT
 5 JULI 2024
182774-182990
</t>
        </r>
      </text>
    </comment>
    <comment ref="M45" authorId="1" shapeId="0" xr:uid="{C652E149-5B45-4E63-8493-C4B49AB93166}">
      <text>
        <r>
          <rPr>
            <b/>
            <sz val="9"/>
            <color indexed="81"/>
            <rFont val="Tahoma"/>
            <family val="2"/>
          </rPr>
          <t>orighinal shipment 
12 JULI 2024 182979-183025</t>
        </r>
      </text>
    </comment>
    <comment ref="C68" authorId="1" shapeId="0" xr:uid="{BADD515A-466A-4FC4-8D6E-82A95D198848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69" authorId="1" shapeId="0" xr:uid="{AD17DCA5-A8FE-44AD-81C3-CEA4BEDB4031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0" authorId="1" shapeId="0" xr:uid="{3371CF55-0C46-4B20-845F-21AE3E7B2A48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1" authorId="1" shapeId="0" xr:uid="{72FD538A-18BC-47BB-9BBA-0D6E2F33C2FD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2" authorId="1" shapeId="0" xr:uid="{BA206DF7-07AD-4768-94FC-A4DAEF46331B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3" authorId="1" shapeId="0" xr:uid="{56D0180D-4782-466F-8A22-7C07F76E506A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4" authorId="1" shapeId="0" xr:uid="{BBBB550C-B623-4DE2-923B-723163F028A8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5" authorId="1" shapeId="0" xr:uid="{BAA12074-11DA-4EE3-B2FB-0531DEC90030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6" authorId="1" shapeId="0" xr:uid="{685A4F14-8D76-41B6-BD64-639E76E5BCE0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7" authorId="1" shapeId="0" xr:uid="{E7878977-D830-43A5-BE1B-CB3123DE8BFE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8" authorId="1" shapeId="0" xr:uid="{516CF773-CD84-4C94-88F0-FB781AE4EB6B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79" authorId="1" shapeId="0" xr:uid="{B5C43F25-DDE8-4A84-AB5F-6B149D8CF83B}">
      <text>
        <r>
          <rPr>
            <b/>
            <sz val="9"/>
            <color indexed="81"/>
            <rFont val="Tahoma"/>
            <family val="2"/>
          </rPr>
          <t>nara nara:</t>
        </r>
        <r>
          <rPr>
            <sz val="9"/>
            <color indexed="81"/>
            <rFont val="Tahoma"/>
            <family val="2"/>
          </rPr>
          <t xml:space="preserve">
ORGHINAL SHIPMENT 19 JULI 2028</t>
        </r>
      </text>
    </comment>
    <comment ref="C147" authorId="2" shapeId="0" xr:uid="{E824C3FB-364A-45A9-AF7A-C4AE13BC5489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ORIGINAL 30 JULI 2024</t>
        </r>
      </text>
    </comment>
    <comment ref="C148" authorId="2" shapeId="0" xr:uid="{92469B9A-6B46-4A24-B7E3-8137AE4BEA4F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ORIGINAL 30 JULI 2024</t>
        </r>
      </text>
    </comment>
    <comment ref="C149" authorId="2" shapeId="0" xr:uid="{33AE5408-4DF5-4E5F-B250-D5DE33218E3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ORIGINAL 30 JULI 2024</t>
        </r>
      </text>
    </comment>
    <comment ref="C150" authorId="2" shapeId="0" xr:uid="{C4BB60A3-359D-4B1C-9FB1-9A3510FE4438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ORIGINAL 30 JULI 2024</t>
        </r>
      </text>
    </comment>
    <comment ref="C151" authorId="2" shapeId="0" xr:uid="{4E156ABF-2BF1-492A-B167-6A09123DF87A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ORIGINAL 30 JULI 2024</t>
        </r>
      </text>
    </comment>
    <comment ref="C152" authorId="2" shapeId="0" xr:uid="{1FA00BC3-B11D-44CD-84A8-676197ACEB05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ORIGINAL 30 JULI 2024</t>
        </r>
      </text>
    </comment>
    <comment ref="C153" authorId="2" shapeId="0" xr:uid="{441D56D2-17ED-48D8-B2E4-C892DF4EB03E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ORIGINAL 30 JULI 2024</t>
        </r>
      </text>
    </comment>
    <comment ref="Q157" authorId="3" shapeId="0" xr:uid="{D6FF5C11-485A-4F11-B4D0-54320CA8E4DD}">
      <text>
        <r>
          <rPr>
            <b/>
            <sz val="16"/>
            <color indexed="81"/>
            <rFont val="Tahoma"/>
            <family val="2"/>
          </rPr>
          <t>KIRIM DARI KALIBENDA 16.287 PCS ADA RIJEK SAAT FINAL DI MAJA 2 TOTAL 1 PCS,
 JADI KIRIM EXPOR 16.284 PCS</t>
        </r>
      </text>
    </comment>
    <comment ref="X157" authorId="3" shapeId="0" xr:uid="{2715D2F5-5B24-4952-816A-829DB6C1B728}">
      <text>
        <r>
          <rPr>
            <b/>
            <sz val="16"/>
            <color indexed="81"/>
            <rFont val="Tahoma"/>
            <family val="2"/>
          </rPr>
          <t>ADA RIJEK 1 PCS SAAT FINAL 
SISA EXPOR ADA DI MAJA2</t>
        </r>
      </text>
    </comment>
    <comment ref="Z157" authorId="3" shapeId="0" xr:uid="{E9FFC947-B9D1-4C73-9B11-B52CC13FE893}">
      <text>
        <r>
          <rPr>
            <b/>
            <sz val="12"/>
            <color indexed="81"/>
            <rFont val="Tahoma"/>
            <family val="2"/>
          </rPr>
          <t>1PCS RIJEK SAAT FINAL GREY SIZE XL
BARANG ADA DI MAJA2</t>
        </r>
      </text>
    </comment>
    <comment ref="AC183" authorId="0" shapeId="0" xr:uid="{7A781A45-4196-4E26-BD83-BB390F3A567C}">
      <text>
        <r>
          <rPr>
            <b/>
            <sz val="9"/>
            <color indexed="81"/>
            <rFont val="Tahoma"/>
            <family val="2"/>
          </rPr>
          <t>Reject 1/2 jadi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<sst xmlns="http://schemas.openxmlformats.org/spreadsheetml/2006/main" count="1768" uniqueCount="321">
  <si>
    <t>DATA FILE</t>
  </si>
  <si>
    <t>PATH FIALE</t>
  </si>
  <si>
    <t>TAHUN</t>
  </si>
  <si>
    <t>BULAN</t>
  </si>
  <si>
    <t>Ex-Fact.Date</t>
  </si>
  <si>
    <t>PRODUKSI</t>
  </si>
  <si>
    <t>PLACING EXSPORT</t>
  </si>
  <si>
    <t>PIC</t>
  </si>
  <si>
    <t>BUYER</t>
  </si>
  <si>
    <t>STYLE#</t>
  </si>
  <si>
    <t>ARTIKEL#</t>
  </si>
  <si>
    <t>SUPPLIER KAIN</t>
  </si>
  <si>
    <t>TERIMA KAIN</t>
  </si>
  <si>
    <t>WO#</t>
  </si>
  <si>
    <t>ORDER (PCS)</t>
  </si>
  <si>
    <t>QTY CUTT (PCS)</t>
  </si>
  <si>
    <t>OUTPUT SEWING</t>
  </si>
  <si>
    <t>QTY EXP (PCS)</t>
  </si>
  <si>
    <t>BALANCE SHIP FROM CUTT</t>
  </si>
  <si>
    <t>OVERSHIP GMT EXPORT FROM ORDER</t>
  </si>
  <si>
    <t>% EXP FROM ORDER</t>
  </si>
  <si>
    <t>% EXP FROM CUTTING</t>
  </si>
  <si>
    <t>KETERANGAN</t>
  </si>
  <si>
    <t>PENGGUNAAN STOCK (IR)</t>
  </si>
  <si>
    <t>SISA EXPORT</t>
  </si>
  <si>
    <t>GOOD HANCA</t>
  </si>
  <si>
    <t>REJECT GARMENT</t>
  </si>
  <si>
    <t>REJECT CUTTING</t>
  </si>
  <si>
    <t>REJECT HANCA</t>
  </si>
  <si>
    <t>REJECT SEWING</t>
  </si>
  <si>
    <t>WIP</t>
  </si>
  <si>
    <t>TEST WASH</t>
  </si>
  <si>
    <t>KEEPING SAMPLE</t>
  </si>
  <si>
    <t>GOOD TANPA ACC</t>
  </si>
  <si>
    <t>GRADE B</t>
  </si>
  <si>
    <t>REJECT FABRIC</t>
  </si>
  <si>
    <t>TOTAL</t>
  </si>
  <si>
    <t>Total Balance fr Cutt</t>
  </si>
  <si>
    <t>Utility</t>
  </si>
  <si>
    <t>MAJA 1</t>
  </si>
  <si>
    <t>CHAWAN</t>
  </si>
  <si>
    <t>GM 2</t>
  </si>
  <si>
    <t>Performance shipment Periode 29 JULI  -  2 AGUSTUS 2024</t>
  </si>
  <si>
    <t>KIKI</t>
  </si>
  <si>
    <t>KALIBENDA</t>
  </si>
  <si>
    <t>GM2</t>
  </si>
  <si>
    <t>HAKI</t>
  </si>
  <si>
    <t>AGRON, INC.</t>
  </si>
  <si>
    <t>5158607</t>
  </si>
  <si>
    <t>JIANGSU DINGXIN</t>
  </si>
  <si>
    <t>-</t>
  </si>
  <si>
    <t>5158614</t>
  </si>
  <si>
    <t>984120 – F</t>
  </si>
  <si>
    <t>RUDI</t>
  </si>
  <si>
    <t>Reject cutting dan 1/2 jadi, reject garment , barang tidak matching</t>
  </si>
  <si>
    <t>TRI</t>
  </si>
  <si>
    <t>ENTITAS</t>
  </si>
  <si>
    <t>Source</t>
  </si>
  <si>
    <t>Result</t>
  </si>
  <si>
    <t>\\10.8.0.35\Bersama\IT\RPA 00\Monitoring Performance Shipment\Source\Monitoring Performance Shipment Periode AGUSTUS 2024.xlsx</t>
  </si>
  <si>
    <t>\\10.8.0.35\Bersama\IT\RPA 00\Monitoring Performance Shipment\Results\Monitoring Performance Shipment.xlsx</t>
  </si>
  <si>
    <t>PIC PACKING</t>
  </si>
  <si>
    <t>RAHMAN</t>
  </si>
  <si>
    <t>ARIS</t>
  </si>
  <si>
    <t>EVI</t>
  </si>
  <si>
    <t>LARSY</t>
  </si>
  <si>
    <t>CLN</t>
  </si>
  <si>
    <t>RED WING SHOE COMPANY LLC</t>
  </si>
  <si>
    <t>CVRL RED77135</t>
  </si>
  <si>
    <t xml:space="preserve">CVRL RED77135-59  </t>
  </si>
  <si>
    <t>61105-57</t>
  </si>
  <si>
    <t>hanca tidak dijalankan karena acc sewing pas order</t>
  </si>
  <si>
    <t>61105-55</t>
  </si>
  <si>
    <t>61105-54</t>
  </si>
  <si>
    <t>M MICROFIBER 3PK BOXER BRIEF</t>
  </si>
  <si>
    <t>SISA EXPOR 0 PCS  (0,00%), RIJEK GARMEN 40 PCS (0,25%), REJECT SEWING 16 PCS (0,10%)</t>
  </si>
  <si>
    <t>5158618</t>
  </si>
  <si>
    <t>SISA EXPOR 0 PCS  (0,00%), RIJEK GARMEN 15 PCS (0,11%), REJECT SEWING 15 PCS (0,11%)</t>
  </si>
  <si>
    <t>SISA EXPOR 0 PCS  (0,00%), RIJEK GARMEN 101 PCS (0,13%), REJECT SEWING 35 PCS (0,04%)</t>
  </si>
  <si>
    <t>SISA EXPOR 0 PCS  (0,00%), RIJEK GARMEN 1 PCS (0,07%), REJECT SEWING 2 PCS (0,13%)</t>
  </si>
  <si>
    <t>982983 – D</t>
  </si>
  <si>
    <t>984120 – A</t>
  </si>
  <si>
    <t>984120 – B</t>
  </si>
  <si>
    <t>984120 – C</t>
  </si>
  <si>
    <t>984120 – D</t>
  </si>
  <si>
    <t>984120 – E</t>
  </si>
  <si>
    <t>984121 – A</t>
  </si>
  <si>
    <t>983461 – C</t>
  </si>
  <si>
    <t>983463 – A</t>
  </si>
  <si>
    <t>983463 – B</t>
  </si>
  <si>
    <t>983463 – C</t>
  </si>
  <si>
    <t>982979 – C</t>
  </si>
  <si>
    <t>983462 – A</t>
  </si>
  <si>
    <t>tidak ada dinext PO</t>
  </si>
  <si>
    <t>983466 – A</t>
  </si>
  <si>
    <t>983466 – B</t>
  </si>
  <si>
    <t>Test wash dan reject garment, tidak matching</t>
  </si>
  <si>
    <t>983466 – C</t>
  </si>
  <si>
    <t>983464 – A</t>
  </si>
  <si>
    <t>Test wash dan reject cutting, reject 1/2 jadi, tidak matching</t>
  </si>
  <si>
    <t>983461 – A</t>
  </si>
  <si>
    <t>983461 – D</t>
  </si>
  <si>
    <t>983418 – C</t>
  </si>
  <si>
    <t>983462 – G</t>
  </si>
  <si>
    <t>Sisa export bisa dipakai di PO#348 shipment 16 Agutus</t>
  </si>
  <si>
    <t>983459 – B</t>
  </si>
  <si>
    <t>983459 – D</t>
  </si>
  <si>
    <t>983459 – A</t>
  </si>
  <si>
    <t>983459 – E</t>
  </si>
  <si>
    <t>982981 – A</t>
  </si>
  <si>
    <t>982981 – B</t>
  </si>
  <si>
    <t>Sisa export bisa dipakai di P# 305 shipment 16 Agutus</t>
  </si>
  <si>
    <t>982981 – C</t>
  </si>
  <si>
    <t>982979 – A</t>
  </si>
  <si>
    <t>982983 – B</t>
  </si>
  <si>
    <t>Reject cutting, shading dan 1/2 jadi, reject garment , barang tidak matching</t>
  </si>
  <si>
    <t>983464 – B</t>
  </si>
  <si>
    <t>983464 – C</t>
  </si>
  <si>
    <t>983464 – D</t>
  </si>
  <si>
    <t>Reject cutting ukuran minus dan 1/2 jadi, reject garment , barang tidak matching</t>
  </si>
  <si>
    <t>Sisa export bisa dipakai di P# 303 shipment 9 Agutus</t>
  </si>
  <si>
    <t>983465 – A</t>
  </si>
  <si>
    <t>Sisa export bisa dipakai di P# 304 shipment 9 Agutus</t>
  </si>
  <si>
    <t>983462 – J</t>
  </si>
  <si>
    <t>983462 – B</t>
  </si>
  <si>
    <t>983462 – E</t>
  </si>
  <si>
    <t>Reject Fabric kain bergaris, reject sewing 1/2 jadi</t>
  </si>
  <si>
    <t>Sisa export bisa dipakai di P# 304 shipment 16 Agustus</t>
  </si>
  <si>
    <t>983462 – H</t>
  </si>
  <si>
    <t>Minus Gelar Col Wonder Beige short from Cutting -2%, tidak ada Kain. Tidak Macthing</t>
  </si>
  <si>
    <t>983462 – I</t>
  </si>
  <si>
    <t>982980 – A</t>
  </si>
  <si>
    <t>982980 – B</t>
  </si>
  <si>
    <t>982980 – C</t>
  </si>
  <si>
    <t>Minus Gelar Col Better Scarlet short from Cutting -1%, tidak ada Kain. Tidak Macthing</t>
  </si>
  <si>
    <t>CNJ2</t>
  </si>
  <si>
    <t>MARUBENI CORPORATION JEPANG</t>
  </si>
  <si>
    <t>KAZEN-S# 155-61</t>
  </si>
  <si>
    <t>BP1119</t>
  </si>
  <si>
    <t>Tidak bisa over shipment</t>
  </si>
  <si>
    <t>KAZEN-S# 155-99</t>
  </si>
  <si>
    <t>KAZEN-S# 155-98</t>
  </si>
  <si>
    <t>KAZEN-S# 397-93</t>
  </si>
  <si>
    <t>BP1170-11</t>
  </si>
  <si>
    <t>KAZEN-S# 397-94</t>
  </si>
  <si>
    <t>BP1170-12</t>
  </si>
  <si>
    <t>KAZEN-S# 394-90</t>
  </si>
  <si>
    <t>BP1170-08</t>
  </si>
  <si>
    <t>KAZEN-S# 392-93</t>
  </si>
  <si>
    <t>BP1170-03</t>
  </si>
  <si>
    <t>CBA</t>
  </si>
  <si>
    <t>DADO</t>
  </si>
  <si>
    <t>KAZEN-S# 133-67</t>
  </si>
  <si>
    <t>BP1177-01</t>
  </si>
  <si>
    <t>KAZEN-S# 133-78</t>
  </si>
  <si>
    <t>BP1177-03</t>
  </si>
  <si>
    <t>KAZEN-S# 133-91</t>
  </si>
  <si>
    <t>BP1177-06</t>
  </si>
  <si>
    <t>KAZEN-S# 133-98</t>
  </si>
  <si>
    <t>BP1177-10</t>
  </si>
  <si>
    <t>BP1177-21</t>
  </si>
  <si>
    <t>KAZEN-S# 477-90</t>
  </si>
  <si>
    <t>BP1170-13</t>
  </si>
  <si>
    <t>KAZEN-S# 133-95</t>
  </si>
  <si>
    <t>BP1177-08</t>
  </si>
  <si>
    <t>KAZEN-S# KZN397-80</t>
  </si>
  <si>
    <t>BP1205</t>
  </si>
  <si>
    <t>KAZEN-S# 155-93</t>
  </si>
  <si>
    <t>KAZEN-S# 397-90</t>
  </si>
  <si>
    <t>KAZEN-S# 155-71</t>
  </si>
  <si>
    <t>KAZEN-S# 155-97</t>
  </si>
  <si>
    <t>MARUBENI INTEX Co., Ltd.</t>
  </si>
  <si>
    <t>COCOS-S# GA-3910</t>
  </si>
  <si>
    <t>COCOS-S# GA-3915</t>
  </si>
  <si>
    <t>COCOS-S# G-8013</t>
  </si>
  <si>
    <t>ATI</t>
  </si>
  <si>
    <t>ARIF</t>
  </si>
  <si>
    <t>MEC</t>
  </si>
  <si>
    <t>DADAN.A</t>
  </si>
  <si>
    <r>
      <t>Sisa export bisa dipakai di PO</t>
    </r>
    <r>
      <rPr>
        <i/>
        <sz val="11"/>
        <color theme="1"/>
        <rFont val="Trebuchet MS"/>
        <family val="2"/>
      </rPr>
      <t>#</t>
    </r>
    <r>
      <rPr>
        <sz val="11"/>
        <color theme="1"/>
        <rFont val="Trebuchet MS"/>
        <family val="2"/>
      </rPr>
      <t>306 shipment 16 Agutus</t>
    </r>
  </si>
  <si>
    <t>AGUSTUS</t>
  </si>
  <si>
    <t>MAJA1</t>
  </si>
  <si>
    <t>PT. FAJARINDO EKA MRIYAH JAYA</t>
  </si>
  <si>
    <t>FAZ SYDNEY, SPORT PANTS</t>
  </si>
  <si>
    <t>DADAN. A</t>
  </si>
  <si>
    <t>RS MITRA KELUARGA</t>
  </si>
  <si>
    <t>MANSET DOKTER HAMIL</t>
  </si>
  <si>
    <t>OR#1</t>
  </si>
  <si>
    <t>SCRUB PERAWAT WANITA (ATASAN)</t>
  </si>
  <si>
    <t>OR#2</t>
  </si>
  <si>
    <t>SCRUB PERAWAT WANITA (BAWAHAN)</t>
  </si>
  <si>
    <t>SCRUB PERAWAT WANITA HAMIL (ATASAN)</t>
  </si>
  <si>
    <t>SCRUB PERAWAT WANITA HAMIL (BAWAHAN)</t>
  </si>
  <si>
    <t>SCRUB PENUNJANG MEDIS FARMASI WANITA HAMIL (ATASAN)</t>
  </si>
  <si>
    <t>SCRUB PENUNJANG MEDIS FARMASI WANITA HAMIL (BAWAHAN)</t>
  </si>
  <si>
    <t>SCRUB PENUNJANG MEDIS FARMASI WANITA (ATASAN)</t>
  </si>
  <si>
    <t>SCRUB PENUNJANG MEDIS FARMASI WANITA (BAWAHAN)</t>
  </si>
  <si>
    <t>SCRUB DOKTER UMUM WANITA (ATASAN)</t>
  </si>
  <si>
    <t>SCRUB DOKTER UMUM WANITA (BAWAHAN)</t>
  </si>
  <si>
    <t>SCRUB DOKTER UMUM WANITA HAMIL (ATASAN)</t>
  </si>
  <si>
    <t>SCRUB DOKTER UMUM WANITA HAMIL (BAWAHAN)</t>
  </si>
  <si>
    <t>JILBAB PERAWAT_HAMIL</t>
  </si>
  <si>
    <t>JILBAB FARMASI_HAMIL</t>
  </si>
  <si>
    <t>MANSET FARMASI_HAMIL</t>
  </si>
  <si>
    <t>JILBAB PENUNJANG MEDIS_HAMIL</t>
  </si>
  <si>
    <t>MANSET PENUNJANG MEDIS_HAMIL</t>
  </si>
  <si>
    <t>JILBAB PENUNJANG MEDIS_FARMASI</t>
  </si>
  <si>
    <t>MANSET PENUNJANG MEDIS_FARMASI</t>
  </si>
  <si>
    <t>SRCUB PERAWAT WANITA (ATASAN)</t>
  </si>
  <si>
    <t>OR#3</t>
  </si>
  <si>
    <t>SRCUB PERAWAT WANITA (BAWAHAN)</t>
  </si>
  <si>
    <t>SCRUB PENUNJANG MEDIS WANITA (ATASAN)</t>
  </si>
  <si>
    <t>SCRUB PENUNJANG MEDIS WANITA (BAWAHAN)</t>
  </si>
  <si>
    <t>SCRUB PENUNJANG MEDIS HAMIL (ATASAN)</t>
  </si>
  <si>
    <t>SCRUB PENUNJANG MEDIS HAMIL (BAWAHAN)</t>
  </si>
  <si>
    <t>SCRUB DOKTER UMUM HAMIL (ATASAN)</t>
  </si>
  <si>
    <t>SCRUB DOKTER UMUM HAMIL (BAWAHAN)</t>
  </si>
  <si>
    <t>SCRUB DOKTER UMUM (ATASAN)</t>
  </si>
  <si>
    <t>SCRUB DOKTER UMUM (BAWAHAN)</t>
  </si>
  <si>
    <t>MANSET PERAWAT</t>
  </si>
  <si>
    <t>JILBAB PERAWAT HAMIL</t>
  </si>
  <si>
    <t>JILBAB PENUNJANG MEDIS</t>
  </si>
  <si>
    <t>MANSET PENUNJANG MEDIS</t>
  </si>
  <si>
    <t>MANSET PENUNJANG MEDIS FARMASI</t>
  </si>
  <si>
    <t>JILBAB PENUNJANG MEDIS HAMIL</t>
  </si>
  <si>
    <t>MANSET DOKTER UMUM</t>
  </si>
  <si>
    <t>JILBAB DOKTER UMUM HAMIL</t>
  </si>
  <si>
    <t>MANSET DOKTER UMUM HAMIL</t>
  </si>
  <si>
    <t>MEN'S C PERFORMANCE 3-PACK BOXER BRIEF 418-D</t>
  </si>
  <si>
    <t>SISA EXPOR 4 PCS  (0,02%), RIJEK GARMEN 8 PCS (0,03%)</t>
  </si>
  <si>
    <t>SISA EXPOR DAPAT DIGUNAKAN UNTUK NEXT PO-0000380 RUNNING DI GM2 SHIPMENT TGL 06 SEPTEMBER</t>
  </si>
  <si>
    <t>MEN'S C PERFORMANCE 3-PACK BOXER BRIEF 418-D (XXL)</t>
  </si>
  <si>
    <t>SISA EXPOR 1 PCS  (0,02%), RIJEK GARMEN 5 PCS (0,12%)</t>
  </si>
  <si>
    <t>SISA EXPOR BELUM ADA REPEAT ORDER DI NEXT PO</t>
  </si>
  <si>
    <t>MEN'S C PERFORMANCE 3-PACK BOXER BRIEF 418-F</t>
  </si>
  <si>
    <t>SISA EXPOR 17 PCS  (0,12%), RIJEK GARMEN 7 PCS (0,05%)</t>
  </si>
  <si>
    <t>MEN'S C PERFORMANCE 3-PACK BOXER BRIEF418-F (XXL)</t>
  </si>
  <si>
    <t>SISA EXPOR 0 PCS  (0,00%), RIJEK GARMEN 0 PCS (0,00%)</t>
  </si>
  <si>
    <t>MEN'S C PERFORMANCE 3-PACK BOXER BRIEF 418-G</t>
  </si>
  <si>
    <t>SISA EXPOR 8 PCS  (0,05%), RIJEK GARMEN 25 PCS (0,14%)</t>
  </si>
  <si>
    <t>MEN'S C PERFORMANCE 3-PACK BOXER BRIEF 418-G (XXL)</t>
  </si>
  <si>
    <t>SISA EXPOR 3 PCS  (0,10%), RIJEK GARMEN 3 PCS (0,10%)</t>
  </si>
  <si>
    <t>MEN'S C PERFORMANCE 4-PACK BOXER BRIEF 375-E</t>
  </si>
  <si>
    <t>SISA EXPOR 16 PCS  (0,17%), RIJEK GARMEN 4 PCS (0,04%)</t>
  </si>
  <si>
    <t>M MICROFIBER 3PK BOXER BRIEF 462-A</t>
  </si>
  <si>
    <t>SISA EXPOR 18 PCS  (0,03%), RIJEK GARMEN 41 PCS (0,08%), RIJECT SEWING 31 PCS (0,06%)</t>
  </si>
  <si>
    <t>SISA EKSPORT DAPAT DIGUNAKAN UNTUK PO-0000382</t>
  </si>
  <si>
    <t>M MICROFIBER 3PK BOXER BRIEF 462-A (XXL)</t>
  </si>
  <si>
    <t>SISA EXPOR 0 PCS  (0,00%), RIJEK GARMEN 1 PCS (0,05%), RIJECT SEWING 1 PCS (0,05%)</t>
  </si>
  <si>
    <t>M MICROFIBER 3PK BOXER BRIEF 462-E</t>
  </si>
  <si>
    <t>5158590</t>
  </si>
  <si>
    <t>SISA EXPOR 0 PCS  (0,00%), RIJEK GARMEN 15 PCS (0,14%), RIJECT SEWING 0 PCS (0,00%)</t>
  </si>
  <si>
    <t>M MICROFIBER 3PK BOXER BRIEF 462-D</t>
  </si>
  <si>
    <t>SISA EXPOR 2 PCS  (0,01%), RIJEK GARMEN 16 PCS (0,10%), RIJECT SEWING 0 PCS (0,00%)</t>
  </si>
  <si>
    <t xml:space="preserve"> ADA RIJEK 1 PCS SAAT FINAL,  SISA EXPOR 2PCS DAN RIJEKADA DI MAJA2</t>
  </si>
  <si>
    <t>M MICROFIBER 3PK BOXER BRIEF 462-D (XXL)</t>
  </si>
  <si>
    <t>SISA EXPOR 0 PCS  (0,00%), RIJEK GARMEN 0 PCS (0,00%), RIJECT SEWING 0 PCS (0,00%)</t>
  </si>
  <si>
    <t>Sisa export tidak matching</t>
  </si>
  <si>
    <t>983418 – A</t>
  </si>
  <si>
    <t>983418 – B</t>
  </si>
  <si>
    <t>MEN'S C PERFORMANCE 4-PACK BOXER BRIEF</t>
  </si>
  <si>
    <t>Reject 1/2 jadi sewing, shading, reject garment  dan tidak matching</t>
  </si>
  <si>
    <t>Sisa export bisa dipakai di PO#380 shipment 30 Agustus KLB</t>
  </si>
  <si>
    <t>Sisa export bisa dipakai di PO#380 shipment 6 September  KLB</t>
  </si>
  <si>
    <t>Test wash, reject garment , barang tidak matching</t>
  </si>
  <si>
    <t>Sisa export bisa dipakai di PO#380 shipment 6 September  GM1</t>
  </si>
  <si>
    <t>MEN'S LUXE COMFORT 3-PACK BOXER BRIEF</t>
  </si>
  <si>
    <t>Test wash dan reject cutting, reject 1/2 jadi, reject garment, tidak matching</t>
  </si>
  <si>
    <t>Sisa export bisa dipakai di PO#354 shipment 30 Agustus</t>
  </si>
  <si>
    <t>Reject cutting dan 1/2 jadi, barang tidak matching</t>
  </si>
  <si>
    <t>Sisa export bisa dipakai di PO#381 shipment 13 Sep</t>
  </si>
  <si>
    <t xml:space="preserve">Rejct Cutting, reject sewing 1/2 jadi shading , reject garment </t>
  </si>
  <si>
    <t>Sisa export bisa dipakai di PO#380 shipment 13 Sep</t>
  </si>
  <si>
    <t>Reject cutting dan reject sewing 1/2 jadi</t>
  </si>
  <si>
    <t>MEN'S MICROFIBER 3-PACK TRUNK</t>
  </si>
  <si>
    <t>Reject cutting, reject sewing 1/2 jadi, reject garment , barang tidak matching</t>
  </si>
  <si>
    <t>Sisa export bisa dipakai di PO#382 shipment 13 Sep KLB</t>
  </si>
  <si>
    <t>WEEK</t>
  </si>
  <si>
    <t>Agustus</t>
  </si>
  <si>
    <t>GM 1</t>
  </si>
  <si>
    <t xml:space="preserve">KIKI </t>
  </si>
  <si>
    <t>982983 – E</t>
  </si>
  <si>
    <t>REDWING</t>
  </si>
  <si>
    <t>61805-57</t>
  </si>
  <si>
    <t>KAZEN-S# 133-71</t>
  </si>
  <si>
    <t>KAZEN-S# 133-83</t>
  </si>
  <si>
    <t>KAZEN-S# 133-85</t>
  </si>
  <si>
    <t>KAZEN-S# 133-99</t>
  </si>
  <si>
    <t>KAZEN-S# 154-91</t>
  </si>
  <si>
    <t>KAZEN-S# 155-67</t>
  </si>
  <si>
    <t>KAZEN-S# 155-78</t>
  </si>
  <si>
    <t>KAZEN-S# 155-83</t>
  </si>
  <si>
    <t>KAZEN-S# 155-91</t>
  </si>
  <si>
    <t>KAZEN-S# 133-93</t>
  </si>
  <si>
    <t>KAZEN-S# 133-97</t>
  </si>
  <si>
    <t>KAZEN-S# KZN392-80</t>
  </si>
  <si>
    <t>KAZEN-S# KZN393-80</t>
  </si>
  <si>
    <t>SUN S-S# WA3280</t>
  </si>
  <si>
    <t>FAZ SYDNEY, 4848</t>
  </si>
  <si>
    <t>FAZ SYDNEY,  PANTLC24</t>
  </si>
  <si>
    <t>ANUGERAH</t>
  </si>
  <si>
    <t>YULI</t>
  </si>
  <si>
    <t>ARMI</t>
  </si>
  <si>
    <t>MARUBENI FASHION LINK LTD.</t>
  </si>
  <si>
    <t>NISHIMATSUYA, EC24AH24140</t>
  </si>
  <si>
    <t>NISHIMATSUYA, EC24AH54145</t>
  </si>
  <si>
    <t>NISHIMATSUYA, EC24AH54142</t>
  </si>
  <si>
    <t>NISHIMATSUYA, EC24AW34613</t>
  </si>
  <si>
    <t>NISHIMATSUYA, EC24AW08613</t>
  </si>
  <si>
    <t xml:space="preserve">NISHIMATSUYA, EC24AH54156 </t>
  </si>
  <si>
    <t xml:space="preserve">NISHIMATSUYA, EC24AH24140N </t>
  </si>
  <si>
    <t>NISHIMATSUYA, EC424AH28142</t>
  </si>
  <si>
    <t>NISHIMATSUYA, EC24AH08ML102</t>
  </si>
  <si>
    <t>NISHIMATSUYA, EC24AH34ML102</t>
  </si>
  <si>
    <t>NISHIMATSUYA, EC24AH08106</t>
  </si>
  <si>
    <t>NISHIMATSUYA, EC24AH34106</t>
  </si>
  <si>
    <t>NISHIMATSUYA, EC24AH54142N</t>
  </si>
  <si>
    <t>NISHIMATSUYA, EC24AH28145</t>
  </si>
  <si>
    <t>NISHIMATSUYA, 24W-G1403</t>
  </si>
  <si>
    <t>NISHIMATSUYA, 24W-G1702</t>
  </si>
  <si>
    <t>NISHIMATSUYA, EC24AH54145N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</si>
</sst>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[$-409]d\-mmm\-yyyy;@"/>
    <numFmt numFmtId="165" formatCode="0.00%;[Red]\-0.00%"/>
    <numFmt numFmtId="166" formatCode="#,##0.00_ ;[Red]\-#,##0.00\ "/>
    <numFmt numFmtId="167" formatCode="#,##0_ ;[Red]\-#,##0\ "/>
    <numFmt numFmtId="168" formatCode="#,##0.0_ ;[Red]\-#,##0.0\ 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  <font>
      <sz val="11"/>
      <color theme="1"/>
      <name val="Trebuchet MS"/>
      <family val="2"/>
    </font>
    <font>
      <b/>
      <sz val="22"/>
      <color theme="1"/>
      <name val="Century Gothic"/>
      <family val="2"/>
    </font>
    <font>
      <b/>
      <sz val="12"/>
      <color rgb="FFFFFFFF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99CC"/>
      <name val="Trebuchet MS"/>
      <family val="2"/>
    </font>
    <font>
      <b/>
      <sz val="11"/>
      <color theme="1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b/>
      <sz val="11"/>
      <color indexed="8"/>
      <name val="Trebuchet MS"/>
      <family val="2"/>
    </font>
    <font>
      <sz val="11"/>
      <color rgb="FFFF0000"/>
      <name val="Trebuchet MS"/>
      <family val="2"/>
    </font>
    <font>
      <i/>
      <sz val="11"/>
      <color theme="1"/>
      <name val="Trebuchet MS"/>
      <family val="2"/>
    </font>
    <font>
      <b/>
      <sz val="16"/>
      <color indexed="81"/>
      <name val="Tahoma"/>
      <family val="2"/>
    </font>
    <font>
      <b/>
      <sz val="12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97D3D9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  <xf numFmtId="41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1" fillId="4" borderId="1" xfId="1" applyFill="1" applyBorder="1"/>
    <xf numFmtId="0" fontId="0" fillId="4" borderId="1" xfId="0" applyFill="1" applyBorder="1"/>
    <xf numFmtId="0" fontId="12" fillId="2" borderId="1" xfId="0" applyFont="1" applyFill="1" applyBorder="1" applyAlignment="1">
      <alignment horizontal="center" vertical="center"/>
    </xf>
    <xf numFmtId="0" fontId="8" fillId="6" borderId="2" xfId="2" applyFont="1" applyFill="1" applyBorder="1" applyAlignment="1">
      <alignment horizontal="center" vertical="center"/>
    </xf>
    <xf numFmtId="0" fontId="8" fillId="6" borderId="2" xfId="2" applyFont="1" applyFill="1" applyBorder="1" applyAlignment="1">
      <alignment horizontal="center" vertical="center" wrapText="1"/>
    </xf>
    <xf numFmtId="38" fontId="8" fillId="6" borderId="2" xfId="2" applyNumberFormat="1" applyFont="1" applyFill="1" applyBorder="1" applyAlignment="1">
      <alignment horizontal="center" vertical="center" wrapText="1"/>
    </xf>
    <xf numFmtId="0" fontId="8" fillId="6" borderId="2" xfId="3" applyFont="1" applyFill="1" applyBorder="1" applyAlignment="1">
      <alignment horizontal="center" vertical="center" wrapText="1"/>
    </xf>
    <xf numFmtId="3" fontId="8" fillId="6" borderId="2" xfId="2" applyNumberFormat="1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/>
    </xf>
    <xf numFmtId="164" fontId="6" fillId="7" borderId="2" xfId="0" applyNumberFormat="1" applyFont="1" applyFill="1" applyBorder="1" applyAlignment="1">
      <alignment horizontal="center" vertical="center"/>
    </xf>
    <xf numFmtId="0" fontId="14" fillId="7" borderId="2" xfId="2" applyFont="1" applyFill="1" applyBorder="1" applyAlignment="1">
      <alignment horizontal="center" vertical="center"/>
    </xf>
    <xf numFmtId="0" fontId="14" fillId="7" borderId="2" xfId="4" applyFont="1" applyFill="1" applyBorder="1" applyAlignment="1">
      <alignment horizontal="center"/>
    </xf>
    <xf numFmtId="38" fontId="14" fillId="7" borderId="2" xfId="4" applyNumberFormat="1" applyFont="1" applyFill="1" applyBorder="1" applyAlignment="1">
      <alignment horizontal="center"/>
    </xf>
    <xf numFmtId="38" fontId="6" fillId="7" borderId="2" xfId="0" applyNumberFormat="1" applyFont="1" applyFill="1" applyBorder="1" applyAlignment="1">
      <alignment horizontal="center"/>
    </xf>
    <xf numFmtId="38" fontId="15" fillId="7" borderId="2" xfId="2" applyNumberFormat="1" applyFont="1" applyFill="1" applyBorder="1" applyAlignment="1">
      <alignment horizontal="center" vertical="center" wrapText="1"/>
    </xf>
    <xf numFmtId="165" fontId="6" fillId="7" borderId="2" xfId="0" applyNumberFormat="1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 vertical="center"/>
    </xf>
    <xf numFmtId="38" fontId="6" fillId="7" borderId="2" xfId="5" applyNumberFormat="1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 vertical="top"/>
    </xf>
    <xf numFmtId="167" fontId="6" fillId="7" borderId="2" xfId="0" applyNumberFormat="1" applyFont="1" applyFill="1" applyBorder="1" applyAlignment="1">
      <alignment horizontal="center"/>
    </xf>
    <xf numFmtId="165" fontId="6" fillId="7" borderId="2" xfId="6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top"/>
    </xf>
    <xf numFmtId="0" fontId="6" fillId="8" borderId="2" xfId="0" applyFont="1" applyFill="1" applyBorder="1" applyAlignment="1">
      <alignment horizontal="center"/>
    </xf>
    <xf numFmtId="164" fontId="6" fillId="8" borderId="2" xfId="0" applyNumberFormat="1" applyFont="1" applyFill="1" applyBorder="1" applyAlignment="1">
      <alignment horizontal="center" vertical="center"/>
    </xf>
    <xf numFmtId="0" fontId="14" fillId="8" borderId="2" xfId="2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38" fontId="6" fillId="8" borderId="2" xfId="5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/>
    </xf>
    <xf numFmtId="165" fontId="6" fillId="8" borderId="2" xfId="6" applyNumberFormat="1" applyFont="1" applyFill="1" applyBorder="1" applyAlignment="1">
      <alignment horizontal="center" vertical="center"/>
    </xf>
    <xf numFmtId="0" fontId="6" fillId="7" borderId="2" xfId="0" quotePrefix="1" applyFont="1" applyFill="1" applyBorder="1" applyAlignment="1">
      <alignment horizontal="center" vertical="center"/>
    </xf>
    <xf numFmtId="167" fontId="14" fillId="7" borderId="2" xfId="0" applyNumberFormat="1" applyFont="1" applyFill="1" applyBorder="1" applyAlignment="1">
      <alignment horizontal="center" vertical="center"/>
    </xf>
    <xf numFmtId="167" fontId="14" fillId="7" borderId="2" xfId="0" applyNumberFormat="1" applyFont="1" applyFill="1" applyBorder="1" applyAlignment="1">
      <alignment horizontal="center" vertical="center" wrapText="1"/>
    </xf>
    <xf numFmtId="165" fontId="14" fillId="7" borderId="2" xfId="0" applyNumberFormat="1" applyFont="1" applyFill="1" applyBorder="1" applyAlignment="1">
      <alignment horizontal="center"/>
    </xf>
    <xf numFmtId="165" fontId="17" fillId="7" borderId="2" xfId="0" applyNumberFormat="1" applyFont="1" applyFill="1" applyBorder="1" applyAlignment="1">
      <alignment horizontal="center"/>
    </xf>
    <xf numFmtId="41" fontId="6" fillId="8" borderId="2" xfId="5" applyFont="1" applyFill="1" applyBorder="1" applyAlignment="1">
      <alignment horizontal="center"/>
    </xf>
    <xf numFmtId="41" fontId="6" fillId="7" borderId="2" xfId="5" applyFont="1" applyFill="1" applyBorder="1" applyAlignment="1">
      <alignment horizontal="center"/>
    </xf>
    <xf numFmtId="0" fontId="15" fillId="7" borderId="2" xfId="2" applyFont="1" applyFill="1" applyBorder="1" applyAlignment="1">
      <alignment horizontal="center" vertical="center"/>
    </xf>
    <xf numFmtId="0" fontId="14" fillId="7" borderId="2" xfId="4" applyFont="1" applyFill="1" applyBorder="1" applyAlignment="1">
      <alignment horizontal="center" vertical="center"/>
    </xf>
    <xf numFmtId="0" fontId="16" fillId="7" borderId="2" xfId="2" applyFont="1" applyFill="1" applyBorder="1" applyAlignment="1">
      <alignment horizontal="center" vertical="center" wrapText="1"/>
    </xf>
    <xf numFmtId="166" fontId="15" fillId="7" borderId="2" xfId="2" applyNumberFormat="1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/>
    </xf>
    <xf numFmtId="0" fontId="15" fillId="8" borderId="2" xfId="2" applyFont="1" applyFill="1" applyBorder="1" applyAlignment="1">
      <alignment horizontal="center" vertical="center"/>
    </xf>
    <xf numFmtId="0" fontId="14" fillId="8" borderId="2" xfId="4" applyFont="1" applyFill="1" applyBorder="1" applyAlignment="1">
      <alignment horizontal="center" vertical="center"/>
    </xf>
    <xf numFmtId="0" fontId="16" fillId="8" borderId="2" xfId="2" applyFont="1" applyFill="1" applyBorder="1" applyAlignment="1">
      <alignment horizontal="center" vertical="center" wrapText="1"/>
    </xf>
    <xf numFmtId="166" fontId="15" fillId="8" borderId="2" xfId="2" applyNumberFormat="1" applyFont="1" applyFill="1" applyBorder="1" applyAlignment="1">
      <alignment horizontal="center" vertical="center" wrapText="1"/>
    </xf>
    <xf numFmtId="38" fontId="15" fillId="8" borderId="2" xfId="2" applyNumberFormat="1" applyFont="1" applyFill="1" applyBorder="1" applyAlignment="1">
      <alignment horizontal="center" vertical="center" wrapText="1"/>
    </xf>
    <xf numFmtId="38" fontId="6" fillId="8" borderId="2" xfId="0" applyNumberFormat="1" applyFont="1" applyFill="1" applyBorder="1" applyAlignment="1">
      <alignment horizontal="center"/>
    </xf>
    <xf numFmtId="165" fontId="6" fillId="8" borderId="2" xfId="0" applyNumberFormat="1" applyFont="1" applyFill="1" applyBorder="1" applyAlignment="1">
      <alignment horizontal="center"/>
    </xf>
    <xf numFmtId="0" fontId="13" fillId="8" borderId="2" xfId="0" applyFont="1" applyFill="1" applyBorder="1" applyAlignment="1">
      <alignment horizontal="center" vertical="center"/>
    </xf>
    <xf numFmtId="0" fontId="16" fillId="7" borderId="2" xfId="2" applyFont="1" applyFill="1" applyBorder="1" applyAlignment="1">
      <alignment horizontal="center" vertical="center"/>
    </xf>
    <xf numFmtId="38" fontId="14" fillId="7" borderId="2" xfId="0" applyNumberFormat="1" applyFont="1" applyFill="1" applyBorder="1" applyAlignment="1">
      <alignment horizontal="center" vertical="center"/>
    </xf>
    <xf numFmtId="0" fontId="14" fillId="8" borderId="2" xfId="4" applyFont="1" applyFill="1" applyBorder="1" applyAlignment="1">
      <alignment horizontal="center"/>
    </xf>
    <xf numFmtId="38" fontId="14" fillId="8" borderId="2" xfId="0" applyNumberFormat="1" applyFont="1" applyFill="1" applyBorder="1" applyAlignment="1">
      <alignment horizontal="center" vertical="center"/>
    </xf>
    <xf numFmtId="0" fontId="15" fillId="7" borderId="2" xfId="3" applyFont="1" applyFill="1" applyBorder="1" applyAlignment="1">
      <alignment horizontal="center"/>
    </xf>
    <xf numFmtId="38" fontId="15" fillId="7" borderId="2" xfId="3" applyNumberFormat="1" applyFont="1" applyFill="1" applyBorder="1" applyAlignment="1">
      <alignment horizontal="center"/>
    </xf>
    <xf numFmtId="0" fontId="15" fillId="8" borderId="2" xfId="3" applyFont="1" applyFill="1" applyBorder="1" applyAlignment="1">
      <alignment horizontal="center"/>
    </xf>
    <xf numFmtId="164" fontId="6" fillId="8" borderId="2" xfId="0" applyNumberFormat="1" applyFont="1" applyFill="1" applyBorder="1" applyAlignment="1">
      <alignment horizontal="center"/>
    </xf>
    <xf numFmtId="38" fontId="14" fillId="8" borderId="2" xfId="4" applyNumberFormat="1" applyFont="1" applyFill="1" applyBorder="1" applyAlignment="1">
      <alignment horizontal="center"/>
    </xf>
    <xf numFmtId="164" fontId="6" fillId="7" borderId="2" xfId="0" applyNumberFormat="1" applyFont="1" applyFill="1" applyBorder="1" applyAlignment="1">
      <alignment horizontal="center"/>
    </xf>
    <xf numFmtId="167" fontId="6" fillId="7" borderId="2" xfId="0" applyNumberFormat="1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/>
    </xf>
    <xf numFmtId="38" fontId="14" fillId="7" borderId="2" xfId="0" applyNumberFormat="1" applyFont="1" applyFill="1" applyBorder="1" applyAlignment="1">
      <alignment horizontal="center" vertical="center" wrapText="1"/>
    </xf>
    <xf numFmtId="167" fontId="14" fillId="7" borderId="2" xfId="0" applyNumberFormat="1" applyFont="1" applyFill="1" applyBorder="1" applyAlignment="1">
      <alignment horizontal="center"/>
    </xf>
    <xf numFmtId="38" fontId="6" fillId="7" borderId="2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7" fontId="6" fillId="7" borderId="2" xfId="0" quotePrefix="1" applyNumberFormat="1" applyFont="1" applyFill="1" applyBorder="1" applyAlignment="1">
      <alignment horizontal="center"/>
    </xf>
    <xf numFmtId="167" fontId="6" fillId="7" borderId="2" xfId="0" quotePrefix="1" applyNumberFormat="1" applyFont="1" applyFill="1" applyBorder="1" applyAlignment="1">
      <alignment horizontal="center" vertical="center"/>
    </xf>
    <xf numFmtId="0" fontId="15" fillId="7" borderId="2" xfId="2" applyFont="1" applyFill="1" applyBorder="1" applyAlignment="1">
      <alignment horizontal="center" vertical="center" wrapText="1"/>
    </xf>
    <xf numFmtId="38" fontId="15" fillId="7" borderId="2" xfId="5" applyNumberFormat="1" applyFont="1" applyFill="1" applyBorder="1" applyAlignment="1">
      <alignment horizontal="center" vertical="center" wrapText="1"/>
    </xf>
    <xf numFmtId="38" fontId="14" fillId="7" borderId="2" xfId="5" applyNumberFormat="1" applyFont="1" applyFill="1" applyBorder="1" applyAlignment="1">
      <alignment horizontal="center" vertical="center" wrapText="1"/>
    </xf>
    <xf numFmtId="1" fontId="15" fillId="7" borderId="2" xfId="2" applyNumberFormat="1" applyFont="1" applyFill="1" applyBorder="1" applyAlignment="1">
      <alignment horizontal="center" vertical="center" wrapText="1"/>
    </xf>
    <xf numFmtId="0" fontId="15" fillId="8" borderId="2" xfId="2" applyFont="1" applyFill="1" applyBorder="1" applyAlignment="1">
      <alignment horizontal="center" vertical="center" wrapText="1"/>
    </xf>
    <xf numFmtId="38" fontId="15" fillId="8" borderId="2" xfId="5" applyNumberFormat="1" applyFont="1" applyFill="1" applyBorder="1" applyAlignment="1">
      <alignment horizontal="center" vertical="center" wrapText="1"/>
    </xf>
    <xf numFmtId="38" fontId="14" fillId="8" borderId="2" xfId="5" applyNumberFormat="1" applyFont="1" applyFill="1" applyBorder="1" applyAlignment="1">
      <alignment horizontal="center" vertical="center" wrapText="1"/>
    </xf>
    <xf numFmtId="1" fontId="15" fillId="8" borderId="2" xfId="2" applyNumberFormat="1" applyFont="1" applyFill="1" applyBorder="1" applyAlignment="1">
      <alignment horizontal="center" vertical="center" wrapText="1"/>
    </xf>
    <xf numFmtId="0" fontId="16" fillId="8" borderId="2" xfId="2" applyFont="1" applyFill="1" applyBorder="1" applyAlignment="1">
      <alignment horizontal="center" vertical="center"/>
    </xf>
    <xf numFmtId="38" fontId="14" fillId="7" borderId="2" xfId="5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6" fillId="7" borderId="2" xfId="0" quotePrefix="1" applyFont="1" applyFill="1" applyBorder="1" applyAlignment="1">
      <alignment horizontal="center"/>
    </xf>
    <xf numFmtId="168" fontId="6" fillId="7" borderId="2" xfId="0" applyNumberFormat="1" applyFont="1" applyFill="1" applyBorder="1" applyAlignment="1">
      <alignment horizontal="center" vertical="center"/>
    </xf>
    <xf numFmtId="1" fontId="6" fillId="8" borderId="2" xfId="0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wrapText="1"/>
    </xf>
    <xf numFmtId="38" fontId="6" fillId="8" borderId="2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/>
    </xf>
    <xf numFmtId="38" fontId="14" fillId="8" borderId="2" xfId="0" applyNumberFormat="1" applyFont="1" applyFill="1" applyBorder="1" applyAlignment="1">
      <alignment horizontal="center" vertical="center" wrapText="1"/>
    </xf>
    <xf numFmtId="167" fontId="14" fillId="8" borderId="2" xfId="0" applyNumberFormat="1" applyFont="1" applyFill="1" applyBorder="1" applyAlignment="1">
      <alignment horizontal="center"/>
    </xf>
    <xf numFmtId="167" fontId="14" fillId="8" borderId="2" xfId="0" applyNumberFormat="1" applyFont="1" applyFill="1" applyBorder="1" applyAlignment="1">
      <alignment horizontal="center" vertical="center" wrapText="1"/>
    </xf>
    <xf numFmtId="165" fontId="14" fillId="8" borderId="2" xfId="0" applyNumberFormat="1" applyFont="1" applyFill="1" applyBorder="1" applyAlignment="1">
      <alignment horizontal="center" vertical="center"/>
    </xf>
    <xf numFmtId="38" fontId="6" fillId="8" borderId="2" xfId="5" applyNumberFormat="1" applyFont="1" applyFill="1" applyBorder="1" applyAlignment="1">
      <alignment horizontal="center" vertical="center"/>
    </xf>
    <xf numFmtId="38" fontId="6" fillId="8" borderId="2" xfId="0" quotePrefix="1" applyNumberFormat="1" applyFont="1" applyFill="1" applyBorder="1" applyAlignment="1">
      <alignment horizontal="center"/>
    </xf>
    <xf numFmtId="0" fontId="6" fillId="8" borderId="2" xfId="0" quotePrefix="1" applyFont="1" applyFill="1" applyBorder="1" applyAlignment="1">
      <alignment horizontal="center" vertical="center"/>
    </xf>
    <xf numFmtId="167" fontId="6" fillId="8" borderId="2" xfId="0" quotePrefix="1" applyNumberFormat="1" applyFont="1" applyFill="1" applyBorder="1" applyAlignment="1">
      <alignment horizontal="center"/>
    </xf>
    <xf numFmtId="0" fontId="6" fillId="8" borderId="2" xfId="0" quotePrefix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7" fontId="6" fillId="0" borderId="2" xfId="0" applyNumberFormat="1" applyFont="1" applyBorder="1" applyAlignment="1">
      <alignment horizontal="center" vertical="center"/>
    </xf>
    <xf numFmtId="38" fontId="14" fillId="0" borderId="2" xfId="0" applyNumberFormat="1" applyFont="1" applyBorder="1" applyAlignment="1">
      <alignment horizontal="center" vertical="center" wrapText="1"/>
    </xf>
    <xf numFmtId="167" fontId="14" fillId="0" borderId="2" xfId="0" applyNumberFormat="1" applyFont="1" applyBorder="1" applyAlignment="1">
      <alignment horizontal="center"/>
    </xf>
    <xf numFmtId="38" fontId="6" fillId="0" borderId="2" xfId="0" applyNumberFormat="1" applyFont="1" applyBorder="1" applyAlignment="1">
      <alignment horizontal="center"/>
    </xf>
    <xf numFmtId="167" fontId="14" fillId="0" borderId="2" xfId="0" applyNumberFormat="1" applyFont="1" applyBorder="1" applyAlignment="1">
      <alignment horizontal="center" vertical="center" wrapText="1"/>
    </xf>
    <xf numFmtId="38" fontId="6" fillId="0" borderId="2" xfId="0" applyNumberFormat="1" applyFont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/>
    </xf>
    <xf numFmtId="0" fontId="6" fillId="0" borderId="2" xfId="0" quotePrefix="1" applyFont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167" fontId="6" fillId="7" borderId="2" xfId="0" applyNumberFormat="1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</cellXfs>
  <cellStyles count="7">
    <cellStyle name="Comma [0]" xfId="5" builtinId="6"/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  <cellStyle name="Percent" xfId="6" builtinId="5"/>
  </cellStyles>
  <dxfs count="0"/>
  <tableStyles count="0" defaultTableStyle="TableStyleMedium2" defaultPivotStyle="PivotStyleLight16"/>
  <colors>
    <mruColors>
      <color rgb="FF0099CC"/>
      <color rgb="FFE5F8FF"/>
      <color rgb="FFD9F5FF"/>
      <color rgb="FF003548"/>
      <color rgb="FF0066FF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1668355</xdr:colOff>
      <xdr:row>1</xdr:row>
      <xdr:rowOff>36799</xdr:rowOff>
    </xdr:from>
    <xdr:to>
      <xdr:col>2</xdr:col>
      <xdr:colOff>3180522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29746" y="227299"/>
          <a:ext cx="1512167" cy="501570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AppData\Local\Temp\pid-15508\LOADING%20ADIDAS%202024-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"/>
      <sheetName val="LOADING 20 OKTOBER"/>
      <sheetName val="LOADING 11 OKTOBER"/>
      <sheetName val="LOADING 4 OKTOBER"/>
      <sheetName val="LOADING 27 SEPTEMBER"/>
      <sheetName val="LOADING 20 SEPTEMBER"/>
      <sheetName val="LOADING 13 SEPTEMBER"/>
      <sheetName val="LOADING 6 SEPTEMBER"/>
      <sheetName val="LOADING 30 AGUSTUS"/>
      <sheetName val="LOADING 23 AGUSTUS"/>
      <sheetName val="LOADING 16 AGUSTUS(BY AIR)"/>
      <sheetName val="LOADING 16 AGUSTUS"/>
      <sheetName val="LOADING 6 AGUSTUS"/>
      <sheetName val="LOADING 3 AGUSTUS"/>
      <sheetName val="LOADING 30 JULI"/>
      <sheetName val="LOADING 19 JULI"/>
      <sheetName val="LOADING 12 JULI"/>
      <sheetName val="LOADING 5 JULI"/>
      <sheetName val="LOADING 28 JUNI"/>
      <sheetName val="LOADING 21 JUNI"/>
      <sheetName val="LOADING 14 JUNI"/>
      <sheetName val="LOADING 31 MEI(BY AIR)"/>
      <sheetName val="LOADING 31 MEI"/>
      <sheetName val="LOADING 24 MEI"/>
      <sheetName val="LOADING 17 MEI"/>
      <sheetName val="LOADING 10 MEI"/>
      <sheetName val="LOADING 8 MEI"/>
      <sheetName val="LOADING 3 MEI"/>
      <sheetName val="LOADING 19 APRIL"/>
      <sheetName val="LOADING 28 MAR"/>
      <sheetName val="LOADING 22 MAR"/>
      <sheetName val="LOADING 15 MAR"/>
      <sheetName val="LOADING 8 MAR"/>
      <sheetName val="LOADING 1 MAR"/>
      <sheetName val="LOADING 23 FEB"/>
      <sheetName val="LOADING 16 FEB"/>
      <sheetName val="LOADING 2 FEB"/>
      <sheetName val="LOADING 26 JAN"/>
      <sheetName val="LOADING 19 J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3">
          <cell r="B3" t="str">
            <v>ID2136</v>
          </cell>
          <cell r="C3" t="str">
            <v>PO-0000247</v>
          </cell>
          <cell r="D3" t="str">
            <v>983462 – C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\Monitoring%20Performance%20Shipment.xlsx" TargetMode="External"/><Relationship Id="rId1" Type="http://schemas.openxmlformats.org/officeDocument/2006/relationships/hyperlink" Target="Source/Monitoring%20Performance%20Shipment%20Periode%20AGUSTUS%202024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">
    <tabColor rgb="FF464804"/>
  </sheetPr>
  <dimension ref="B6:D9"/>
  <sheetViews>
    <sheetView zoomScale="115" zoomScaleNormal="115" workbookViewId="0">
      <pane ySplit="7" topLeftCell="A8" activePane="bottomLeft" state="frozen"/>
      <selection pane="bottomLeft" activeCell="G5" sqref="G5"/>
    </sheetView>
  </sheetViews>
  <sheetFormatPr defaultRowHeight="15" x14ac:dyDescent="0.25"/>
  <cols>
    <col min="1" max="1" width="3.28515625" customWidth="1"/>
    <col min="2" max="2" width="9.7109375" bestFit="1" customWidth="1"/>
    <col min="3" max="3" width="67.7109375" customWidth="1"/>
    <col min="4" max="4" width="0.85546875" customWidth="1"/>
  </cols>
  <sheetData>
    <row r="6" spans="2:4" ht="22.5" x14ac:dyDescent="0.25">
      <c r="B6" s="110" t="s">
        <v>0</v>
      </c>
      <c r="C6" s="110"/>
      <c r="D6" s="110"/>
    </row>
    <row r="7" spans="2:4" ht="16.5" x14ac:dyDescent="0.25">
      <c r="B7" s="1" t="s">
        <v>56</v>
      </c>
      <c r="C7" s="1" t="s">
        <v>1</v>
      </c>
      <c r="D7" s="1"/>
    </row>
    <row r="8" spans="2:4" ht="16.5" x14ac:dyDescent="0.25">
      <c r="B8" s="3" t="s">
        <v>57</v>
      </c>
      <c r="C8" s="2" t="s">
        <v>59</v>
      </c>
      <c r="D8" s="4" t="s">
        <v>50</v>
      </c>
    </row>
    <row r="9" spans="2:4" ht="16.5" x14ac:dyDescent="0.25">
      <c r="B9" s="3" t="s">
        <v>58</v>
      </c>
      <c r="C9" s="2" t="s">
        <v>60</v>
      </c>
      <c r="D9" s="4" t="s">
        <v>50</v>
      </c>
    </row>
  </sheetData>
  <mergeCells count="1">
    <mergeCell ref="B6:D6"/>
  </mergeCells>
  <hyperlinks>
    <hyperlink ref="C8" r:id="rId1" xr:uid="{4CC78091-7FAE-4032-9472-6F1DD8C50FF3}"/>
    <hyperlink ref="C9" r:id="rId2" xr:uid="{77A51510-C68E-4439-997B-5FA2B42FCA9D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2</xdr:col>
                <xdr:colOff>1771650</xdr:colOff>
                <xdr:row>1</xdr:row>
                <xdr:rowOff>95250</xdr:rowOff>
              </from>
              <to>
                <xdr:col>2</xdr:col>
                <xdr:colOff>3095625</xdr:colOff>
                <xdr:row>3</xdr:row>
                <xdr:rowOff>57150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B65F-63F5-4968-ABF2-DDE0EF7CB376}">
  <sheetPr>
    <tabColor rgb="FFEA1E2B"/>
  </sheetPr>
  <dimension ref="A1:AM219"/>
  <sheetViews>
    <sheetView tabSelected="1" workbookViewId="0">
      <pane ySplit="2" topLeftCell="A208" activePane="bottomLeft" state="frozen"/>
      <selection pane="bottomLeft" activeCell="C219" sqref="C219"/>
    </sheetView>
  </sheetViews>
  <sheetFormatPr defaultRowHeight="16.5" x14ac:dyDescent="0.3"/>
  <cols>
    <col min="1" max="1" width="12" style="96" customWidth="1"/>
    <col min="2" max="2" width="12.85546875" style="96" customWidth="1"/>
    <col min="3" max="3" width="16.28515625" style="96" customWidth="1"/>
    <col min="4" max="4" width="14.7109375" style="96" customWidth="1"/>
    <col min="5" max="5" width="12" style="96" customWidth="1"/>
    <col min="6" max="7" width="13.42578125" style="96" customWidth="1"/>
    <col min="8" max="8" width="37.7109375" style="96" customWidth="1"/>
    <col min="9" max="9" width="66.85546875" style="96" customWidth="1"/>
    <col min="10" max="10" width="14.5703125" style="96" customWidth="1"/>
    <col min="11" max="11" width="21" style="96" customWidth="1"/>
    <col min="12" max="12" width="13.28515625" style="96" customWidth="1"/>
    <col min="13" max="13" width="12" style="96" customWidth="1"/>
    <col min="14" max="14" width="11.42578125" style="96" customWidth="1"/>
    <col min="15" max="15" width="12.28515625" style="96" customWidth="1"/>
    <col min="16" max="16" width="12.42578125" style="96" customWidth="1"/>
    <col min="17" max="17" width="11.42578125" style="96" customWidth="1"/>
    <col min="18" max="18" width="12.28515625" style="96" customWidth="1"/>
    <col min="19" max="19" width="12.42578125" style="96" customWidth="1"/>
    <col min="20" max="20" width="11.42578125" style="96" customWidth="1"/>
    <col min="21" max="21" width="12.28515625" style="96" customWidth="1"/>
    <col min="22" max="22" width="96.28515625" style="96" customWidth="1"/>
    <col min="23" max="23" width="12.140625" style="96" customWidth="1"/>
    <col min="24" max="24" width="11.28515625" style="96" customWidth="1"/>
    <col min="25" max="25" width="12" style="96" customWidth="1"/>
    <col min="26" max="29" width="12.42578125" style="96" customWidth="1"/>
    <col min="30" max="30" width="8.140625" style="96" customWidth="1"/>
    <col min="31" max="31" width="10.5703125" style="96" customWidth="1"/>
    <col min="32" max="33" width="11.7109375" style="96" customWidth="1"/>
    <col min="34" max="34" width="11.5703125" style="96" customWidth="1"/>
    <col min="35" max="35" width="12.42578125" style="96" customWidth="1"/>
    <col min="36" max="36" width="11.5703125" style="96" customWidth="1"/>
    <col min="37" max="37" width="11.42578125" style="96" customWidth="1"/>
    <col min="38" max="38" width="109.140625" style="96" customWidth="1"/>
    <col min="39" max="39" width="10.28515625" style="96" customWidth="1"/>
    <col min="40" max="16384" width="9.140625" style="96"/>
  </cols>
  <sheetData>
    <row r="1" spans="1:39" s="97" customFormat="1" ht="28.5" x14ac:dyDescent="0.25">
      <c r="A1" s="112" t="s">
        <v>42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</row>
    <row r="2" spans="1:39" ht="90" x14ac:dyDescent="0.3">
      <c r="A2" s="5" t="s">
        <v>2</v>
      </c>
      <c r="B2" s="5" t="s">
        <v>3</v>
      </c>
      <c r="C2" s="6" t="s">
        <v>4</v>
      </c>
      <c r="D2" s="5" t="s">
        <v>5</v>
      </c>
      <c r="E2" s="6" t="s">
        <v>6</v>
      </c>
      <c r="F2" s="5" t="s">
        <v>7</v>
      </c>
      <c r="G2" s="6" t="s">
        <v>61</v>
      </c>
      <c r="H2" s="5" t="s">
        <v>8</v>
      </c>
      <c r="I2" s="5" t="s">
        <v>9</v>
      </c>
      <c r="J2" s="5" t="s">
        <v>10</v>
      </c>
      <c r="K2" s="6" t="s">
        <v>11</v>
      </c>
      <c r="L2" s="6" t="s">
        <v>12</v>
      </c>
      <c r="M2" s="5" t="s">
        <v>13</v>
      </c>
      <c r="N2" s="7" t="s">
        <v>14</v>
      </c>
      <c r="O2" s="7" t="s">
        <v>15</v>
      </c>
      <c r="P2" s="7" t="s">
        <v>16</v>
      </c>
      <c r="Q2" s="7" t="s">
        <v>17</v>
      </c>
      <c r="R2" s="7" t="s">
        <v>18</v>
      </c>
      <c r="S2" s="6" t="s">
        <v>19</v>
      </c>
      <c r="T2" s="8" t="s">
        <v>20</v>
      </c>
      <c r="U2" s="6" t="s">
        <v>21</v>
      </c>
      <c r="V2" s="5" t="s">
        <v>22</v>
      </c>
      <c r="W2" s="6" t="s">
        <v>23</v>
      </c>
      <c r="X2" s="6" t="s">
        <v>24</v>
      </c>
      <c r="Y2" s="6" t="s">
        <v>25</v>
      </c>
      <c r="Z2" s="6" t="s">
        <v>26</v>
      </c>
      <c r="AA2" s="6" t="s">
        <v>27</v>
      </c>
      <c r="AB2" s="6" t="s">
        <v>28</v>
      </c>
      <c r="AC2" s="6" t="s">
        <v>29</v>
      </c>
      <c r="AD2" s="6" t="s">
        <v>30</v>
      </c>
      <c r="AE2" s="6" t="s">
        <v>31</v>
      </c>
      <c r="AF2" s="6" t="s">
        <v>32</v>
      </c>
      <c r="AG2" s="6" t="s">
        <v>33</v>
      </c>
      <c r="AH2" s="6" t="s">
        <v>34</v>
      </c>
      <c r="AI2" s="6" t="s">
        <v>35</v>
      </c>
      <c r="AJ2" s="6" t="s">
        <v>36</v>
      </c>
      <c r="AK2" s="9" t="s">
        <v>37</v>
      </c>
      <c r="AL2" s="6" t="s">
        <v>38</v>
      </c>
      <c r="AM2" s="6" t="s">
        <v>277</v>
      </c>
    </row>
    <row r="3" spans="1:39" x14ac:dyDescent="0.3">
      <c r="A3" s="10">
        <v>2024</v>
      </c>
      <c r="B3" s="10" t="s">
        <v>180</v>
      </c>
      <c r="C3" s="11">
        <v>45503</v>
      </c>
      <c r="D3" s="12" t="s">
        <v>39</v>
      </c>
      <c r="E3" s="12" t="s">
        <v>66</v>
      </c>
      <c r="F3" s="10" t="s">
        <v>43</v>
      </c>
      <c r="G3" s="10" t="s">
        <v>62</v>
      </c>
      <c r="H3" s="10" t="s">
        <v>67</v>
      </c>
      <c r="I3" s="10" t="s">
        <v>67</v>
      </c>
      <c r="J3" s="13"/>
      <c r="K3" s="10"/>
      <c r="L3" s="18"/>
      <c r="M3" s="13">
        <v>182945</v>
      </c>
      <c r="N3" s="14">
        <v>600</v>
      </c>
      <c r="O3" s="15">
        <v>600</v>
      </c>
      <c r="P3" s="16">
        <v>600</v>
      </c>
      <c r="Q3" s="14">
        <v>600</v>
      </c>
      <c r="R3" s="15">
        <f t="shared" ref="R3:R12" si="0">Q3-O3</f>
        <v>0</v>
      </c>
      <c r="S3" s="15">
        <f t="shared" ref="S3:S66" si="1">Q3-N3</f>
        <v>0</v>
      </c>
      <c r="T3" s="17">
        <f t="shared" ref="T3:T66" si="2">Q3/N3-1</f>
        <v>0</v>
      </c>
      <c r="U3" s="17">
        <f t="shared" ref="U3:U66" si="3">Q3/O3-1</f>
        <v>0</v>
      </c>
      <c r="V3" s="38"/>
      <c r="W3" s="10"/>
      <c r="X3" s="10"/>
      <c r="Y3" s="69"/>
      <c r="Z3" s="10"/>
      <c r="AA3" s="10"/>
      <c r="AB3" s="69"/>
      <c r="AC3" s="10"/>
      <c r="AD3" s="16"/>
      <c r="AE3" s="10"/>
      <c r="AF3" s="16"/>
      <c r="AG3" s="40"/>
      <c r="AH3" s="40"/>
      <c r="AI3" s="18"/>
      <c r="AJ3" s="15">
        <f t="shared" ref="AJ3:AJ12" si="4">SUM(X3:AI3)</f>
        <v>0</v>
      </c>
      <c r="AK3" s="15">
        <f>R3+AJ3</f>
        <v>0</v>
      </c>
      <c r="AL3" s="38"/>
      <c r="AM3" s="18">
        <v>1</v>
      </c>
    </row>
    <row r="4" spans="1:39" x14ac:dyDescent="0.3">
      <c r="A4" s="10">
        <v>2024</v>
      </c>
      <c r="B4" s="10" t="s">
        <v>180</v>
      </c>
      <c r="C4" s="11">
        <v>45503</v>
      </c>
      <c r="D4" s="12" t="s">
        <v>39</v>
      </c>
      <c r="E4" s="12" t="s">
        <v>66</v>
      </c>
      <c r="F4" s="10" t="s">
        <v>43</v>
      </c>
      <c r="G4" s="10" t="s">
        <v>62</v>
      </c>
      <c r="H4" s="10" t="s">
        <v>67</v>
      </c>
      <c r="I4" s="10" t="s">
        <v>67</v>
      </c>
      <c r="J4" s="13"/>
      <c r="K4" s="10"/>
      <c r="L4" s="10"/>
      <c r="M4" s="13">
        <v>183264</v>
      </c>
      <c r="N4" s="14">
        <v>335</v>
      </c>
      <c r="O4" s="15">
        <v>335</v>
      </c>
      <c r="P4" s="16">
        <v>335</v>
      </c>
      <c r="Q4" s="14">
        <v>335</v>
      </c>
      <c r="R4" s="15">
        <f t="shared" si="0"/>
        <v>0</v>
      </c>
      <c r="S4" s="15">
        <f t="shared" si="1"/>
        <v>0</v>
      </c>
      <c r="T4" s="17">
        <f t="shared" si="2"/>
        <v>0</v>
      </c>
      <c r="U4" s="17">
        <f t="shared" si="3"/>
        <v>0</v>
      </c>
      <c r="V4" s="38"/>
      <c r="W4" s="10"/>
      <c r="X4" s="10"/>
      <c r="Y4" s="69"/>
      <c r="Z4" s="10"/>
      <c r="AA4" s="10"/>
      <c r="AB4" s="69"/>
      <c r="AC4" s="10"/>
      <c r="AD4" s="16"/>
      <c r="AE4" s="10"/>
      <c r="AF4" s="16"/>
      <c r="AG4" s="40"/>
      <c r="AH4" s="40"/>
      <c r="AI4" s="18"/>
      <c r="AJ4" s="15">
        <f t="shared" si="4"/>
        <v>0</v>
      </c>
      <c r="AK4" s="15">
        <f>R4+AJ4</f>
        <v>0</v>
      </c>
      <c r="AL4" s="38"/>
      <c r="AM4" s="18">
        <v>1</v>
      </c>
    </row>
    <row r="5" spans="1:39" x14ac:dyDescent="0.3">
      <c r="A5" s="10">
        <v>2024</v>
      </c>
      <c r="B5" s="10" t="s">
        <v>180</v>
      </c>
      <c r="C5" s="11">
        <v>45503</v>
      </c>
      <c r="D5" s="12" t="s">
        <v>39</v>
      </c>
      <c r="E5" s="12" t="s">
        <v>66</v>
      </c>
      <c r="F5" s="10" t="s">
        <v>43</v>
      </c>
      <c r="G5" s="10" t="s">
        <v>62</v>
      </c>
      <c r="H5" s="10" t="s">
        <v>67</v>
      </c>
      <c r="I5" s="13" t="s">
        <v>68</v>
      </c>
      <c r="J5" s="13"/>
      <c r="K5" s="10"/>
      <c r="L5" s="10"/>
      <c r="M5" s="10">
        <v>183113</v>
      </c>
      <c r="N5" s="15">
        <v>932</v>
      </c>
      <c r="O5" s="19">
        <v>932</v>
      </c>
      <c r="P5" s="19">
        <v>932</v>
      </c>
      <c r="Q5" s="19">
        <v>932</v>
      </c>
      <c r="R5" s="15">
        <f t="shared" si="0"/>
        <v>0</v>
      </c>
      <c r="S5" s="15">
        <f t="shared" si="1"/>
        <v>0</v>
      </c>
      <c r="T5" s="17">
        <f t="shared" si="2"/>
        <v>0</v>
      </c>
      <c r="U5" s="17">
        <f t="shared" si="3"/>
        <v>0</v>
      </c>
      <c r="V5" s="10"/>
      <c r="W5" s="10"/>
      <c r="X5" s="18"/>
      <c r="Y5" s="10"/>
      <c r="Z5" s="18"/>
      <c r="AA5" s="10"/>
      <c r="AB5" s="18"/>
      <c r="AC5" s="18"/>
      <c r="AD5" s="18"/>
      <c r="AE5" s="18"/>
      <c r="AF5" s="10"/>
      <c r="AG5" s="18"/>
      <c r="AH5" s="10"/>
      <c r="AI5" s="18"/>
      <c r="AJ5" s="15">
        <f t="shared" si="4"/>
        <v>0</v>
      </c>
      <c r="AK5" s="15">
        <f>R5+AJ5</f>
        <v>0</v>
      </c>
      <c r="AL5" s="10"/>
      <c r="AM5" s="18">
        <v>1</v>
      </c>
    </row>
    <row r="6" spans="1:39" x14ac:dyDescent="0.3">
      <c r="A6" s="10">
        <v>2024</v>
      </c>
      <c r="B6" s="10" t="s">
        <v>180</v>
      </c>
      <c r="C6" s="11">
        <v>45503</v>
      </c>
      <c r="D6" s="12" t="s">
        <v>39</v>
      </c>
      <c r="E6" s="12" t="s">
        <v>66</v>
      </c>
      <c r="F6" s="10" t="s">
        <v>43</v>
      </c>
      <c r="G6" s="10" t="s">
        <v>62</v>
      </c>
      <c r="H6" s="10" t="s">
        <v>67</v>
      </c>
      <c r="I6" s="13" t="s">
        <v>69</v>
      </c>
      <c r="J6" s="13"/>
      <c r="K6" s="10"/>
      <c r="L6" s="10"/>
      <c r="M6" s="10">
        <v>183115</v>
      </c>
      <c r="N6" s="15">
        <v>10</v>
      </c>
      <c r="O6" s="19">
        <v>10</v>
      </c>
      <c r="P6" s="19">
        <v>10</v>
      </c>
      <c r="Q6" s="19">
        <v>10</v>
      </c>
      <c r="R6" s="15">
        <f t="shared" si="0"/>
        <v>0</v>
      </c>
      <c r="S6" s="15">
        <f t="shared" si="1"/>
        <v>0</v>
      </c>
      <c r="T6" s="17">
        <f t="shared" si="2"/>
        <v>0</v>
      </c>
      <c r="U6" s="17">
        <f t="shared" si="3"/>
        <v>0</v>
      </c>
      <c r="V6" s="10"/>
      <c r="W6" s="10"/>
      <c r="X6" s="10"/>
      <c r="Y6" s="10"/>
      <c r="Z6" s="18"/>
      <c r="AA6" s="10"/>
      <c r="AB6" s="18"/>
      <c r="AC6" s="18"/>
      <c r="AD6" s="18"/>
      <c r="AE6" s="18"/>
      <c r="AF6" s="10"/>
      <c r="AG6" s="18"/>
      <c r="AH6" s="18"/>
      <c r="AI6" s="18"/>
      <c r="AJ6" s="15">
        <f t="shared" si="4"/>
        <v>0</v>
      </c>
      <c r="AK6" s="15">
        <f>R6+AJ6</f>
        <v>0</v>
      </c>
      <c r="AL6" s="10"/>
      <c r="AM6" s="18">
        <v>1</v>
      </c>
    </row>
    <row r="7" spans="1:39" x14ac:dyDescent="0.3">
      <c r="A7" s="20">
        <v>2024</v>
      </c>
      <c r="B7" s="10" t="s">
        <v>180</v>
      </c>
      <c r="C7" s="11">
        <v>45503</v>
      </c>
      <c r="D7" s="12" t="s">
        <v>39</v>
      </c>
      <c r="E7" s="18" t="s">
        <v>66</v>
      </c>
      <c r="F7" s="10" t="s">
        <v>43</v>
      </c>
      <c r="G7" s="10" t="s">
        <v>62</v>
      </c>
      <c r="H7" s="10" t="s">
        <v>67</v>
      </c>
      <c r="I7" s="10" t="s">
        <v>70</v>
      </c>
      <c r="J7" s="10"/>
      <c r="K7" s="10"/>
      <c r="L7" s="10"/>
      <c r="M7" s="10">
        <v>182900</v>
      </c>
      <c r="N7" s="19">
        <v>190</v>
      </c>
      <c r="O7" s="19">
        <v>193</v>
      </c>
      <c r="P7" s="19">
        <v>190</v>
      </c>
      <c r="Q7" s="19">
        <v>190</v>
      </c>
      <c r="R7" s="21">
        <f t="shared" si="0"/>
        <v>-3</v>
      </c>
      <c r="S7" s="21">
        <f t="shared" si="1"/>
        <v>0</v>
      </c>
      <c r="T7" s="22">
        <f t="shared" si="2"/>
        <v>0</v>
      </c>
      <c r="U7" s="22">
        <f t="shared" si="3"/>
        <v>-1.5544041450777257E-2</v>
      </c>
      <c r="V7" s="10" t="s">
        <v>71</v>
      </c>
      <c r="W7" s="10"/>
      <c r="X7" s="10"/>
      <c r="Y7" s="18">
        <v>3</v>
      </c>
      <c r="Z7" s="10"/>
      <c r="AA7" s="10"/>
      <c r="AB7" s="18"/>
      <c r="AC7" s="18"/>
      <c r="AD7" s="10"/>
      <c r="AE7" s="10"/>
      <c r="AF7" s="10"/>
      <c r="AG7" s="10"/>
      <c r="AH7" s="10"/>
      <c r="AI7" s="10"/>
      <c r="AJ7" s="18">
        <f t="shared" si="4"/>
        <v>3</v>
      </c>
      <c r="AK7" s="61">
        <f t="shared" ref="AK7:AK12" si="5">AJ7+R7</f>
        <v>0</v>
      </c>
      <c r="AL7" s="10"/>
      <c r="AM7" s="18">
        <v>1</v>
      </c>
    </row>
    <row r="8" spans="1:39" x14ac:dyDescent="0.3">
      <c r="A8" s="20">
        <v>2024</v>
      </c>
      <c r="B8" s="10" t="s">
        <v>180</v>
      </c>
      <c r="C8" s="11">
        <v>45503</v>
      </c>
      <c r="D8" s="12" t="s">
        <v>39</v>
      </c>
      <c r="E8" s="18" t="s">
        <v>66</v>
      </c>
      <c r="F8" s="10" t="s">
        <v>43</v>
      </c>
      <c r="G8" s="10" t="s">
        <v>62</v>
      </c>
      <c r="H8" s="10" t="s">
        <v>67</v>
      </c>
      <c r="I8" s="10" t="s">
        <v>70</v>
      </c>
      <c r="J8" s="10"/>
      <c r="K8" s="10"/>
      <c r="L8" s="10"/>
      <c r="M8" s="10">
        <v>182899</v>
      </c>
      <c r="N8" s="19">
        <v>460</v>
      </c>
      <c r="O8" s="19">
        <v>464</v>
      </c>
      <c r="P8" s="19">
        <v>460</v>
      </c>
      <c r="Q8" s="19">
        <v>460</v>
      </c>
      <c r="R8" s="21">
        <f t="shared" si="0"/>
        <v>-4</v>
      </c>
      <c r="S8" s="21">
        <f t="shared" si="1"/>
        <v>0</v>
      </c>
      <c r="T8" s="22">
        <f t="shared" si="2"/>
        <v>0</v>
      </c>
      <c r="U8" s="22">
        <f t="shared" si="3"/>
        <v>-8.6206896551723755E-3</v>
      </c>
      <c r="V8" s="10" t="s">
        <v>71</v>
      </c>
      <c r="W8" s="10"/>
      <c r="X8" s="10"/>
      <c r="Y8" s="18">
        <v>4</v>
      </c>
      <c r="Z8" s="10"/>
      <c r="AA8" s="10"/>
      <c r="AB8" s="18"/>
      <c r="AC8" s="18"/>
      <c r="AD8" s="10"/>
      <c r="AE8" s="10"/>
      <c r="AF8" s="10"/>
      <c r="AG8" s="10"/>
      <c r="AH8" s="10"/>
      <c r="AI8" s="10"/>
      <c r="AJ8" s="18">
        <f t="shared" si="4"/>
        <v>4</v>
      </c>
      <c r="AK8" s="61">
        <f t="shared" si="5"/>
        <v>0</v>
      </c>
      <c r="AL8" s="10"/>
      <c r="AM8" s="18">
        <v>1</v>
      </c>
    </row>
    <row r="9" spans="1:39" x14ac:dyDescent="0.3">
      <c r="A9" s="20">
        <v>2024</v>
      </c>
      <c r="B9" s="10" t="s">
        <v>180</v>
      </c>
      <c r="C9" s="11">
        <v>45503</v>
      </c>
      <c r="D9" s="12" t="s">
        <v>39</v>
      </c>
      <c r="E9" s="18" t="s">
        <v>66</v>
      </c>
      <c r="F9" s="10" t="s">
        <v>43</v>
      </c>
      <c r="G9" s="10" t="s">
        <v>62</v>
      </c>
      <c r="H9" s="10" t="s">
        <v>67</v>
      </c>
      <c r="I9" s="10" t="s">
        <v>72</v>
      </c>
      <c r="J9" s="10"/>
      <c r="K9" s="10"/>
      <c r="L9" s="10"/>
      <c r="M9" s="10">
        <v>182897</v>
      </c>
      <c r="N9" s="19">
        <v>610</v>
      </c>
      <c r="O9" s="19">
        <v>614</v>
      </c>
      <c r="P9" s="19">
        <v>610</v>
      </c>
      <c r="Q9" s="19">
        <v>610</v>
      </c>
      <c r="R9" s="21">
        <f t="shared" si="0"/>
        <v>-4</v>
      </c>
      <c r="S9" s="21">
        <f t="shared" si="1"/>
        <v>0</v>
      </c>
      <c r="T9" s="22">
        <f t="shared" si="2"/>
        <v>0</v>
      </c>
      <c r="U9" s="22">
        <f t="shared" si="3"/>
        <v>-6.514657980456029E-3</v>
      </c>
      <c r="V9" s="10" t="s">
        <v>71</v>
      </c>
      <c r="W9" s="10"/>
      <c r="X9" s="10"/>
      <c r="Y9" s="18">
        <v>4</v>
      </c>
      <c r="Z9" s="10"/>
      <c r="AA9" s="10"/>
      <c r="AB9" s="18"/>
      <c r="AC9" s="18"/>
      <c r="AD9" s="10"/>
      <c r="AE9" s="10"/>
      <c r="AF9" s="10"/>
      <c r="AG9" s="10"/>
      <c r="AH9" s="10"/>
      <c r="AI9" s="10"/>
      <c r="AJ9" s="18">
        <f t="shared" si="4"/>
        <v>4</v>
      </c>
      <c r="AK9" s="61">
        <f t="shared" si="5"/>
        <v>0</v>
      </c>
      <c r="AL9" s="10"/>
      <c r="AM9" s="18">
        <v>1</v>
      </c>
    </row>
    <row r="10" spans="1:39" x14ac:dyDescent="0.3">
      <c r="A10" s="20">
        <v>2024</v>
      </c>
      <c r="B10" s="10" t="s">
        <v>180</v>
      </c>
      <c r="C10" s="11">
        <v>45503</v>
      </c>
      <c r="D10" s="12" t="s">
        <v>39</v>
      </c>
      <c r="E10" s="18" t="s">
        <v>66</v>
      </c>
      <c r="F10" s="10" t="s">
        <v>43</v>
      </c>
      <c r="G10" s="10" t="s">
        <v>62</v>
      </c>
      <c r="H10" s="10" t="s">
        <v>67</v>
      </c>
      <c r="I10" s="10" t="s">
        <v>72</v>
      </c>
      <c r="J10" s="10"/>
      <c r="K10" s="10"/>
      <c r="L10" s="10"/>
      <c r="M10" s="10">
        <v>182898</v>
      </c>
      <c r="N10" s="19">
        <v>140</v>
      </c>
      <c r="O10" s="19">
        <v>140</v>
      </c>
      <c r="P10" s="19">
        <v>140</v>
      </c>
      <c r="Q10" s="19">
        <v>140</v>
      </c>
      <c r="R10" s="21">
        <f t="shared" si="0"/>
        <v>0</v>
      </c>
      <c r="S10" s="21">
        <f t="shared" si="1"/>
        <v>0</v>
      </c>
      <c r="T10" s="22">
        <f t="shared" si="2"/>
        <v>0</v>
      </c>
      <c r="U10" s="22">
        <f t="shared" si="3"/>
        <v>0</v>
      </c>
      <c r="V10" s="10"/>
      <c r="W10" s="10"/>
      <c r="X10" s="10"/>
      <c r="Y10" s="10"/>
      <c r="Z10" s="10"/>
      <c r="AA10" s="10"/>
      <c r="AB10" s="18"/>
      <c r="AC10" s="18"/>
      <c r="AD10" s="10"/>
      <c r="AE10" s="10"/>
      <c r="AF10" s="10"/>
      <c r="AG10" s="10"/>
      <c r="AH10" s="10"/>
      <c r="AI10" s="10"/>
      <c r="AJ10" s="18">
        <f t="shared" si="4"/>
        <v>0</v>
      </c>
      <c r="AK10" s="61">
        <f t="shared" si="5"/>
        <v>0</v>
      </c>
      <c r="AL10" s="10"/>
      <c r="AM10" s="18">
        <v>1</v>
      </c>
    </row>
    <row r="11" spans="1:39" x14ac:dyDescent="0.3">
      <c r="A11" s="23">
        <v>2024</v>
      </c>
      <c r="B11" s="24" t="s">
        <v>180</v>
      </c>
      <c r="C11" s="25">
        <v>45503</v>
      </c>
      <c r="D11" s="26" t="s">
        <v>39</v>
      </c>
      <c r="E11" s="27" t="s">
        <v>66</v>
      </c>
      <c r="F11" s="24" t="s">
        <v>43</v>
      </c>
      <c r="G11" s="24" t="s">
        <v>62</v>
      </c>
      <c r="H11" s="24" t="s">
        <v>67</v>
      </c>
      <c r="I11" s="24" t="s">
        <v>72</v>
      </c>
      <c r="J11" s="24"/>
      <c r="K11" s="24"/>
      <c r="L11" s="24"/>
      <c r="M11" s="24">
        <v>183110</v>
      </c>
      <c r="N11" s="28">
        <v>300</v>
      </c>
      <c r="O11" s="28">
        <v>301</v>
      </c>
      <c r="P11" s="28">
        <v>300</v>
      </c>
      <c r="Q11" s="28">
        <v>300</v>
      </c>
      <c r="R11" s="29">
        <f t="shared" si="0"/>
        <v>-1</v>
      </c>
      <c r="S11" s="29">
        <f t="shared" si="1"/>
        <v>0</v>
      </c>
      <c r="T11" s="30">
        <f t="shared" si="2"/>
        <v>0</v>
      </c>
      <c r="U11" s="30">
        <f t="shared" si="3"/>
        <v>-3.3222591362126463E-3</v>
      </c>
      <c r="V11" s="24"/>
      <c r="W11" s="24"/>
      <c r="X11" s="24"/>
      <c r="Y11" s="24"/>
      <c r="Z11" s="24"/>
      <c r="AA11" s="24"/>
      <c r="AB11" s="27"/>
      <c r="AC11" s="27">
        <v>1</v>
      </c>
      <c r="AD11" s="24"/>
      <c r="AE11" s="24"/>
      <c r="AF11" s="24"/>
      <c r="AG11" s="24"/>
      <c r="AH11" s="24"/>
      <c r="AI11" s="24"/>
      <c r="AJ11" s="27">
        <f t="shared" si="4"/>
        <v>1</v>
      </c>
      <c r="AK11" s="79">
        <f t="shared" si="5"/>
        <v>0</v>
      </c>
      <c r="AL11" s="24"/>
      <c r="AM11" s="27">
        <v>1</v>
      </c>
    </row>
    <row r="12" spans="1:39" x14ac:dyDescent="0.3">
      <c r="A12" s="20">
        <v>2024</v>
      </c>
      <c r="B12" s="10" t="s">
        <v>180</v>
      </c>
      <c r="C12" s="11">
        <v>45503</v>
      </c>
      <c r="D12" s="12" t="s">
        <v>39</v>
      </c>
      <c r="E12" s="18" t="s">
        <v>66</v>
      </c>
      <c r="F12" s="10" t="s">
        <v>43</v>
      </c>
      <c r="G12" s="10" t="s">
        <v>62</v>
      </c>
      <c r="H12" s="10" t="s">
        <v>67</v>
      </c>
      <c r="I12" s="10" t="s">
        <v>73</v>
      </c>
      <c r="J12" s="10"/>
      <c r="K12" s="10"/>
      <c r="L12" s="10"/>
      <c r="M12" s="10">
        <v>182945</v>
      </c>
      <c r="N12" s="19">
        <v>600</v>
      </c>
      <c r="O12" s="19">
        <v>600</v>
      </c>
      <c r="P12" s="19">
        <v>600</v>
      </c>
      <c r="Q12" s="19">
        <v>600</v>
      </c>
      <c r="R12" s="21">
        <f t="shared" si="0"/>
        <v>0</v>
      </c>
      <c r="S12" s="21">
        <f t="shared" si="1"/>
        <v>0</v>
      </c>
      <c r="T12" s="22">
        <f t="shared" si="2"/>
        <v>0</v>
      </c>
      <c r="U12" s="22">
        <f t="shared" si="3"/>
        <v>0</v>
      </c>
      <c r="V12" s="10"/>
      <c r="W12" s="10"/>
      <c r="X12" s="10"/>
      <c r="Y12" s="10"/>
      <c r="Z12" s="10"/>
      <c r="AA12" s="10"/>
      <c r="AB12" s="18"/>
      <c r="AC12" s="18"/>
      <c r="AD12" s="10"/>
      <c r="AE12" s="10"/>
      <c r="AF12" s="10"/>
      <c r="AG12" s="10"/>
      <c r="AH12" s="10"/>
      <c r="AI12" s="10"/>
      <c r="AJ12" s="18">
        <f t="shared" si="4"/>
        <v>0</v>
      </c>
      <c r="AK12" s="61">
        <f t="shared" si="5"/>
        <v>0</v>
      </c>
      <c r="AL12" s="10"/>
      <c r="AM12" s="18">
        <v>1</v>
      </c>
    </row>
    <row r="13" spans="1:39" x14ac:dyDescent="0.3">
      <c r="A13" s="10">
        <v>2024</v>
      </c>
      <c r="B13" s="10" t="s">
        <v>180</v>
      </c>
      <c r="C13" s="11">
        <v>45503</v>
      </c>
      <c r="D13" s="12" t="s">
        <v>44</v>
      </c>
      <c r="E13" s="12" t="s">
        <v>45</v>
      </c>
      <c r="F13" s="10" t="s">
        <v>46</v>
      </c>
      <c r="G13" s="10" t="s">
        <v>63</v>
      </c>
      <c r="H13" s="80" t="s">
        <v>47</v>
      </c>
      <c r="I13" s="13" t="s">
        <v>74</v>
      </c>
      <c r="J13" s="31" t="s">
        <v>48</v>
      </c>
      <c r="K13" s="18" t="s">
        <v>49</v>
      </c>
      <c r="L13" s="18">
        <v>5205</v>
      </c>
      <c r="M13" s="18">
        <v>182975</v>
      </c>
      <c r="N13" s="32">
        <v>15660</v>
      </c>
      <c r="O13" s="32">
        <v>15825</v>
      </c>
      <c r="P13" s="15">
        <v>15821</v>
      </c>
      <c r="Q13" s="33">
        <v>15801</v>
      </c>
      <c r="R13" s="15">
        <f>Q13-O13-W13</f>
        <v>-56</v>
      </c>
      <c r="S13" s="15">
        <f t="shared" si="1"/>
        <v>141</v>
      </c>
      <c r="T13" s="34">
        <f t="shared" si="2"/>
        <v>9.0038314176246192E-3</v>
      </c>
      <c r="U13" s="35">
        <f t="shared" si="3"/>
        <v>-1.5165876777251119E-3</v>
      </c>
      <c r="V13" s="10" t="s">
        <v>75</v>
      </c>
      <c r="W13" s="10">
        <v>32</v>
      </c>
      <c r="X13" s="10">
        <v>0</v>
      </c>
      <c r="Y13" s="10">
        <v>0</v>
      </c>
      <c r="Z13" s="10">
        <v>40</v>
      </c>
      <c r="AA13" s="10">
        <v>0</v>
      </c>
      <c r="AB13" s="10">
        <v>0</v>
      </c>
      <c r="AC13" s="10">
        <v>16</v>
      </c>
      <c r="AD13" s="10">
        <v>0</v>
      </c>
      <c r="AE13" s="10">
        <v>0</v>
      </c>
      <c r="AF13" s="10">
        <v>0</v>
      </c>
      <c r="AG13" s="10">
        <v>0</v>
      </c>
      <c r="AH13" s="10">
        <v>0</v>
      </c>
      <c r="AI13" s="10">
        <v>0</v>
      </c>
      <c r="AJ13" s="15">
        <f>SUM(X13:AH13)</f>
        <v>56</v>
      </c>
      <c r="AK13" s="15">
        <f>R13+AJ13</f>
        <v>0</v>
      </c>
      <c r="AL13" s="81" t="s">
        <v>50</v>
      </c>
      <c r="AM13" s="18">
        <v>1</v>
      </c>
    </row>
    <row r="14" spans="1:39" x14ac:dyDescent="0.3">
      <c r="A14" s="10">
        <v>2024</v>
      </c>
      <c r="B14" s="10" t="s">
        <v>180</v>
      </c>
      <c r="C14" s="11">
        <v>45503</v>
      </c>
      <c r="D14" s="12" t="s">
        <v>44</v>
      </c>
      <c r="E14" s="12" t="s">
        <v>45</v>
      </c>
      <c r="F14" s="10" t="s">
        <v>46</v>
      </c>
      <c r="G14" s="10" t="s">
        <v>63</v>
      </c>
      <c r="H14" s="18" t="s">
        <v>47</v>
      </c>
      <c r="I14" s="13" t="s">
        <v>74</v>
      </c>
      <c r="J14" s="31" t="s">
        <v>76</v>
      </c>
      <c r="K14" s="18" t="s">
        <v>49</v>
      </c>
      <c r="L14" s="18">
        <v>4635</v>
      </c>
      <c r="M14" s="18">
        <v>182978</v>
      </c>
      <c r="N14" s="32">
        <v>13824</v>
      </c>
      <c r="O14" s="32">
        <v>13962</v>
      </c>
      <c r="P14" s="15">
        <v>13959</v>
      </c>
      <c r="Q14" s="33">
        <v>13932</v>
      </c>
      <c r="R14" s="15">
        <f t="shared" ref="R14:R77" si="6">Q14-O14</f>
        <v>-30</v>
      </c>
      <c r="S14" s="15">
        <f t="shared" si="1"/>
        <v>108</v>
      </c>
      <c r="T14" s="34">
        <f t="shared" si="2"/>
        <v>7.8125E-3</v>
      </c>
      <c r="U14" s="35">
        <f t="shared" si="3"/>
        <v>-2.1486892995272733E-3</v>
      </c>
      <c r="V14" s="10" t="s">
        <v>77</v>
      </c>
      <c r="W14" s="10">
        <v>0</v>
      </c>
      <c r="X14" s="10">
        <v>0</v>
      </c>
      <c r="Y14" s="10">
        <v>0</v>
      </c>
      <c r="Z14" s="10">
        <v>15</v>
      </c>
      <c r="AA14" s="10">
        <v>0</v>
      </c>
      <c r="AB14" s="10">
        <v>0</v>
      </c>
      <c r="AC14" s="10">
        <v>15</v>
      </c>
      <c r="AD14" s="10">
        <v>0</v>
      </c>
      <c r="AE14" s="10">
        <v>0</v>
      </c>
      <c r="AF14" s="10">
        <v>0</v>
      </c>
      <c r="AG14" s="10">
        <v>0</v>
      </c>
      <c r="AH14" s="10">
        <v>0</v>
      </c>
      <c r="AI14" s="10">
        <v>0</v>
      </c>
      <c r="AJ14" s="15">
        <f>SUM(X14:AH14)</f>
        <v>30</v>
      </c>
      <c r="AK14" s="15">
        <f>R14+AJ14</f>
        <v>0</v>
      </c>
      <c r="AL14" s="81" t="s">
        <v>50</v>
      </c>
      <c r="AM14" s="18">
        <v>1</v>
      </c>
    </row>
    <row r="15" spans="1:39" x14ac:dyDescent="0.3">
      <c r="A15" s="10">
        <v>2024</v>
      </c>
      <c r="B15" s="10" t="s">
        <v>180</v>
      </c>
      <c r="C15" s="11">
        <v>45503</v>
      </c>
      <c r="D15" s="12" t="s">
        <v>44</v>
      </c>
      <c r="E15" s="12" t="s">
        <v>45</v>
      </c>
      <c r="F15" s="10" t="s">
        <v>46</v>
      </c>
      <c r="G15" s="10" t="s">
        <v>63</v>
      </c>
      <c r="H15" s="18" t="s">
        <v>47</v>
      </c>
      <c r="I15" s="13" t="s">
        <v>74</v>
      </c>
      <c r="J15" s="31" t="s">
        <v>51</v>
      </c>
      <c r="K15" s="18" t="s">
        <v>49</v>
      </c>
      <c r="L15" s="82">
        <v>26371</v>
      </c>
      <c r="M15" s="18">
        <v>182970</v>
      </c>
      <c r="N15" s="32">
        <v>78408</v>
      </c>
      <c r="O15" s="32">
        <v>79192</v>
      </c>
      <c r="P15" s="15">
        <v>79192</v>
      </c>
      <c r="Q15" s="33">
        <v>79056</v>
      </c>
      <c r="R15" s="15">
        <f t="shared" si="6"/>
        <v>-136</v>
      </c>
      <c r="S15" s="15">
        <f t="shared" si="1"/>
        <v>648</v>
      </c>
      <c r="T15" s="34">
        <f t="shared" si="2"/>
        <v>8.2644628099173278E-3</v>
      </c>
      <c r="U15" s="35">
        <f t="shared" si="3"/>
        <v>-1.7173451863824463E-3</v>
      </c>
      <c r="V15" s="10" t="s">
        <v>78</v>
      </c>
      <c r="W15" s="10">
        <v>0</v>
      </c>
      <c r="X15" s="10">
        <v>0</v>
      </c>
      <c r="Y15" s="10">
        <v>0</v>
      </c>
      <c r="Z15" s="10">
        <v>101</v>
      </c>
      <c r="AA15" s="10">
        <v>0</v>
      </c>
      <c r="AB15" s="10">
        <v>0</v>
      </c>
      <c r="AC15" s="10">
        <v>35</v>
      </c>
      <c r="AD15" s="10">
        <v>0</v>
      </c>
      <c r="AE15" s="10">
        <v>0</v>
      </c>
      <c r="AF15" s="10">
        <v>0</v>
      </c>
      <c r="AG15" s="10">
        <v>0</v>
      </c>
      <c r="AH15" s="10">
        <v>0</v>
      </c>
      <c r="AI15" s="10">
        <v>0</v>
      </c>
      <c r="AJ15" s="15">
        <f t="shared" ref="AJ15:AJ46" si="7">SUM(X15:AI15)</f>
        <v>136</v>
      </c>
      <c r="AK15" s="15">
        <f>R15+AJ15</f>
        <v>0</v>
      </c>
      <c r="AL15" s="81" t="s">
        <v>50</v>
      </c>
      <c r="AM15" s="18">
        <v>1</v>
      </c>
    </row>
    <row r="16" spans="1:39" x14ac:dyDescent="0.3">
      <c r="A16" s="10">
        <v>2024</v>
      </c>
      <c r="B16" s="10" t="s">
        <v>180</v>
      </c>
      <c r="C16" s="11">
        <v>45503</v>
      </c>
      <c r="D16" s="12" t="s">
        <v>44</v>
      </c>
      <c r="E16" s="12" t="s">
        <v>45</v>
      </c>
      <c r="F16" s="10" t="s">
        <v>46</v>
      </c>
      <c r="G16" s="10" t="s">
        <v>63</v>
      </c>
      <c r="H16" s="18" t="s">
        <v>47</v>
      </c>
      <c r="I16" s="13" t="s">
        <v>74</v>
      </c>
      <c r="J16" s="31">
        <v>5158614</v>
      </c>
      <c r="K16" s="18" t="s">
        <v>49</v>
      </c>
      <c r="L16" s="61">
        <v>631</v>
      </c>
      <c r="M16" s="18">
        <v>182971</v>
      </c>
      <c r="N16" s="32">
        <v>1512</v>
      </c>
      <c r="O16" s="32">
        <v>1527</v>
      </c>
      <c r="P16" s="15">
        <v>1522</v>
      </c>
      <c r="Q16" s="33">
        <v>1524</v>
      </c>
      <c r="R16" s="15">
        <f t="shared" si="6"/>
        <v>-3</v>
      </c>
      <c r="S16" s="15">
        <f t="shared" si="1"/>
        <v>12</v>
      </c>
      <c r="T16" s="34">
        <f t="shared" si="2"/>
        <v>7.9365079365079083E-3</v>
      </c>
      <c r="U16" s="35">
        <f t="shared" si="3"/>
        <v>-1.9646365422396617E-3</v>
      </c>
      <c r="V16" s="10" t="s">
        <v>79</v>
      </c>
      <c r="W16" s="10">
        <v>0</v>
      </c>
      <c r="X16" s="10">
        <v>0</v>
      </c>
      <c r="Y16" s="10">
        <v>0</v>
      </c>
      <c r="Z16" s="10">
        <v>1</v>
      </c>
      <c r="AA16" s="10">
        <v>0</v>
      </c>
      <c r="AB16" s="10">
        <v>0</v>
      </c>
      <c r="AC16" s="10">
        <v>2</v>
      </c>
      <c r="AD16" s="10">
        <v>0</v>
      </c>
      <c r="AE16" s="10">
        <v>0</v>
      </c>
      <c r="AF16" s="10">
        <v>0</v>
      </c>
      <c r="AG16" s="10">
        <v>0</v>
      </c>
      <c r="AH16" s="10">
        <v>0</v>
      </c>
      <c r="AI16" s="10">
        <v>0</v>
      </c>
      <c r="AJ16" s="15">
        <f t="shared" si="7"/>
        <v>3</v>
      </c>
      <c r="AK16" s="15">
        <f>R16+AJ16</f>
        <v>0</v>
      </c>
      <c r="AL16" s="81" t="s">
        <v>50</v>
      </c>
      <c r="AM16" s="18">
        <v>1</v>
      </c>
    </row>
    <row r="17" spans="1:39" x14ac:dyDescent="0.3">
      <c r="A17" s="23">
        <v>2024</v>
      </c>
      <c r="B17" s="24" t="s">
        <v>180</v>
      </c>
      <c r="C17" s="25">
        <v>45503</v>
      </c>
      <c r="D17" s="26" t="s">
        <v>39</v>
      </c>
      <c r="E17" s="27" t="s">
        <v>41</v>
      </c>
      <c r="F17" s="27" t="s">
        <v>43</v>
      </c>
      <c r="G17" s="24" t="s">
        <v>62</v>
      </c>
      <c r="H17" s="27" t="s">
        <v>47</v>
      </c>
      <c r="I17" s="24" t="s">
        <v>80</v>
      </c>
      <c r="J17" s="24"/>
      <c r="K17" s="24"/>
      <c r="L17" s="24"/>
      <c r="M17" s="24">
        <v>183003</v>
      </c>
      <c r="N17" s="28">
        <v>5832</v>
      </c>
      <c r="O17" s="36">
        <v>5529</v>
      </c>
      <c r="P17" s="28">
        <v>5496</v>
      </c>
      <c r="Q17" s="28">
        <v>5496</v>
      </c>
      <c r="R17" s="29">
        <f t="shared" si="6"/>
        <v>-33</v>
      </c>
      <c r="S17" s="29">
        <f t="shared" si="1"/>
        <v>-336</v>
      </c>
      <c r="T17" s="30">
        <f t="shared" si="2"/>
        <v>-5.7613168724279795E-2</v>
      </c>
      <c r="U17" s="30">
        <f t="shared" si="3"/>
        <v>-5.9685295713510778E-3</v>
      </c>
      <c r="V17" s="24"/>
      <c r="W17" s="24"/>
      <c r="X17" s="24">
        <v>6</v>
      </c>
      <c r="Y17" s="24"/>
      <c r="Z17" s="23">
        <v>11</v>
      </c>
      <c r="AA17" s="23"/>
      <c r="AB17" s="27"/>
      <c r="AC17" s="27">
        <v>13</v>
      </c>
      <c r="AD17" s="23"/>
      <c r="AE17" s="23">
        <v>3</v>
      </c>
      <c r="AF17" s="24"/>
      <c r="AG17" s="24"/>
      <c r="AH17" s="24"/>
      <c r="AI17" s="24"/>
      <c r="AJ17" s="27">
        <f t="shared" si="7"/>
        <v>33</v>
      </c>
      <c r="AK17" s="79">
        <f t="shared" ref="AK17:AK34" si="8">AJ17+R17</f>
        <v>0</v>
      </c>
      <c r="AL17" s="24"/>
      <c r="AM17" s="27">
        <v>1</v>
      </c>
    </row>
    <row r="18" spans="1:39" x14ac:dyDescent="0.3">
      <c r="A18" s="23">
        <v>2024</v>
      </c>
      <c r="B18" s="24" t="s">
        <v>180</v>
      </c>
      <c r="C18" s="25">
        <v>45503</v>
      </c>
      <c r="D18" s="26" t="s">
        <v>39</v>
      </c>
      <c r="E18" s="27" t="s">
        <v>41</v>
      </c>
      <c r="F18" s="27" t="s">
        <v>43</v>
      </c>
      <c r="G18" s="24" t="s">
        <v>62</v>
      </c>
      <c r="H18" s="27" t="s">
        <v>47</v>
      </c>
      <c r="I18" s="24" t="s">
        <v>81</v>
      </c>
      <c r="J18" s="24"/>
      <c r="K18" s="24"/>
      <c r="L18" s="24"/>
      <c r="M18" s="24">
        <v>183026</v>
      </c>
      <c r="N18" s="28">
        <v>4428</v>
      </c>
      <c r="O18" s="36">
        <v>4561</v>
      </c>
      <c r="P18" s="28">
        <v>4577</v>
      </c>
      <c r="Q18" s="28">
        <v>4371</v>
      </c>
      <c r="R18" s="29">
        <f t="shared" si="6"/>
        <v>-190</v>
      </c>
      <c r="S18" s="29">
        <f t="shared" si="1"/>
        <v>-57</v>
      </c>
      <c r="T18" s="30">
        <f t="shared" si="2"/>
        <v>-1.287262872628725E-2</v>
      </c>
      <c r="U18" s="30">
        <f t="shared" si="3"/>
        <v>-4.1657531243148416E-2</v>
      </c>
      <c r="V18" s="24"/>
      <c r="W18" s="24"/>
      <c r="X18" s="24"/>
      <c r="Y18" s="24"/>
      <c r="Z18" s="27"/>
      <c r="AA18" s="23"/>
      <c r="AB18" s="27">
        <v>110</v>
      </c>
      <c r="AC18" s="27">
        <v>80</v>
      </c>
      <c r="AD18" s="23"/>
      <c r="AE18" s="27"/>
      <c r="AF18" s="24"/>
      <c r="AG18" s="24"/>
      <c r="AH18" s="24"/>
      <c r="AI18" s="24"/>
      <c r="AJ18" s="27">
        <f t="shared" si="7"/>
        <v>190</v>
      </c>
      <c r="AK18" s="79">
        <f t="shared" si="8"/>
        <v>0</v>
      </c>
      <c r="AL18" s="24"/>
      <c r="AM18" s="27">
        <v>1</v>
      </c>
    </row>
    <row r="19" spans="1:39" x14ac:dyDescent="0.3">
      <c r="A19" s="23">
        <v>2024</v>
      </c>
      <c r="B19" s="24" t="s">
        <v>180</v>
      </c>
      <c r="C19" s="25">
        <v>45503</v>
      </c>
      <c r="D19" s="26" t="s">
        <v>39</v>
      </c>
      <c r="E19" s="27" t="s">
        <v>41</v>
      </c>
      <c r="F19" s="27" t="s">
        <v>43</v>
      </c>
      <c r="G19" s="24" t="s">
        <v>62</v>
      </c>
      <c r="H19" s="27" t="s">
        <v>47</v>
      </c>
      <c r="I19" s="24" t="s">
        <v>81</v>
      </c>
      <c r="J19" s="24"/>
      <c r="K19" s="24"/>
      <c r="L19" s="24"/>
      <c r="M19" s="24">
        <v>183027</v>
      </c>
      <c r="N19" s="28">
        <v>1080</v>
      </c>
      <c r="O19" s="36">
        <v>1119</v>
      </c>
      <c r="P19" s="28">
        <v>1091</v>
      </c>
      <c r="Q19" s="28">
        <v>1089</v>
      </c>
      <c r="R19" s="29">
        <f t="shared" si="6"/>
        <v>-30</v>
      </c>
      <c r="S19" s="29">
        <f t="shared" si="1"/>
        <v>9</v>
      </c>
      <c r="T19" s="30">
        <f t="shared" si="2"/>
        <v>8.3333333333333037E-3</v>
      </c>
      <c r="U19" s="30">
        <f t="shared" si="3"/>
        <v>-2.6809651474530849E-2</v>
      </c>
      <c r="V19" s="24"/>
      <c r="W19" s="24"/>
      <c r="X19" s="24"/>
      <c r="Y19" s="24"/>
      <c r="Z19" s="27"/>
      <c r="AA19" s="23"/>
      <c r="AB19" s="27">
        <v>30</v>
      </c>
      <c r="AC19" s="27"/>
      <c r="AD19" s="23"/>
      <c r="AE19" s="27"/>
      <c r="AF19" s="24"/>
      <c r="AG19" s="24"/>
      <c r="AH19" s="24"/>
      <c r="AI19" s="24"/>
      <c r="AJ19" s="27">
        <f t="shared" si="7"/>
        <v>30</v>
      </c>
      <c r="AK19" s="79">
        <f t="shared" si="8"/>
        <v>0</v>
      </c>
      <c r="AL19" s="24"/>
      <c r="AM19" s="27">
        <v>1</v>
      </c>
    </row>
    <row r="20" spans="1:39" x14ac:dyDescent="0.3">
      <c r="A20" s="23">
        <v>2024</v>
      </c>
      <c r="B20" s="24" t="s">
        <v>180</v>
      </c>
      <c r="C20" s="25">
        <v>45503</v>
      </c>
      <c r="D20" s="26" t="s">
        <v>39</v>
      </c>
      <c r="E20" s="27" t="s">
        <v>41</v>
      </c>
      <c r="F20" s="27" t="s">
        <v>43</v>
      </c>
      <c r="G20" s="24" t="s">
        <v>62</v>
      </c>
      <c r="H20" s="27" t="s">
        <v>47</v>
      </c>
      <c r="I20" s="24" t="s">
        <v>82</v>
      </c>
      <c r="J20" s="24"/>
      <c r="K20" s="24"/>
      <c r="L20" s="24"/>
      <c r="M20" s="24">
        <v>183028</v>
      </c>
      <c r="N20" s="28">
        <v>4320</v>
      </c>
      <c r="O20" s="36">
        <v>4516</v>
      </c>
      <c r="P20" s="28">
        <v>4491</v>
      </c>
      <c r="Q20" s="28">
        <v>4401</v>
      </c>
      <c r="R20" s="29">
        <f t="shared" si="6"/>
        <v>-115</v>
      </c>
      <c r="S20" s="29">
        <f t="shared" si="1"/>
        <v>81</v>
      </c>
      <c r="T20" s="30">
        <f t="shared" si="2"/>
        <v>1.8750000000000044E-2</v>
      </c>
      <c r="U20" s="30">
        <f t="shared" si="3"/>
        <v>-2.5465013286093852E-2</v>
      </c>
      <c r="V20" s="24"/>
      <c r="W20" s="24"/>
      <c r="X20" s="24"/>
      <c r="Y20" s="24"/>
      <c r="Z20" s="27">
        <v>7</v>
      </c>
      <c r="AA20" s="23"/>
      <c r="AB20" s="27">
        <v>58</v>
      </c>
      <c r="AC20" s="83">
        <v>50</v>
      </c>
      <c r="AD20" s="23"/>
      <c r="AE20" s="27"/>
      <c r="AF20" s="24"/>
      <c r="AG20" s="24"/>
      <c r="AH20" s="24"/>
      <c r="AI20" s="24"/>
      <c r="AJ20" s="27">
        <f t="shared" si="7"/>
        <v>115</v>
      </c>
      <c r="AK20" s="79">
        <f t="shared" si="8"/>
        <v>0</v>
      </c>
      <c r="AL20" s="24"/>
      <c r="AM20" s="27">
        <v>1</v>
      </c>
    </row>
    <row r="21" spans="1:39" x14ac:dyDescent="0.3">
      <c r="A21" s="23">
        <v>2024</v>
      </c>
      <c r="B21" s="24" t="s">
        <v>180</v>
      </c>
      <c r="C21" s="25">
        <v>45503</v>
      </c>
      <c r="D21" s="26" t="s">
        <v>39</v>
      </c>
      <c r="E21" s="27" t="s">
        <v>41</v>
      </c>
      <c r="F21" s="27" t="s">
        <v>43</v>
      </c>
      <c r="G21" s="24" t="s">
        <v>62</v>
      </c>
      <c r="H21" s="27" t="s">
        <v>47</v>
      </c>
      <c r="I21" s="24" t="s">
        <v>82</v>
      </c>
      <c r="J21" s="24"/>
      <c r="K21" s="24"/>
      <c r="L21" s="24"/>
      <c r="M21" s="24">
        <v>183029</v>
      </c>
      <c r="N21" s="28">
        <v>1080</v>
      </c>
      <c r="O21" s="36">
        <v>1086</v>
      </c>
      <c r="P21" s="28">
        <v>1081</v>
      </c>
      <c r="Q21" s="28">
        <v>1065</v>
      </c>
      <c r="R21" s="29">
        <f t="shared" si="6"/>
        <v>-21</v>
      </c>
      <c r="S21" s="29">
        <f t="shared" si="1"/>
        <v>-15</v>
      </c>
      <c r="T21" s="30">
        <f t="shared" si="2"/>
        <v>-1.388888888888884E-2</v>
      </c>
      <c r="U21" s="30">
        <f t="shared" si="3"/>
        <v>-1.9337016574585641E-2</v>
      </c>
      <c r="V21" s="24"/>
      <c r="W21" s="24"/>
      <c r="X21" s="24"/>
      <c r="Y21" s="24"/>
      <c r="Z21" s="27">
        <v>3</v>
      </c>
      <c r="AA21" s="23"/>
      <c r="AB21" s="27"/>
      <c r="AC21" s="27">
        <v>18</v>
      </c>
      <c r="AD21" s="23"/>
      <c r="AE21" s="27"/>
      <c r="AF21" s="24"/>
      <c r="AG21" s="24"/>
      <c r="AH21" s="24"/>
      <c r="AI21" s="24"/>
      <c r="AJ21" s="27">
        <f t="shared" si="7"/>
        <v>21</v>
      </c>
      <c r="AK21" s="79">
        <f t="shared" si="8"/>
        <v>0</v>
      </c>
      <c r="AL21" s="24"/>
      <c r="AM21" s="27">
        <v>1</v>
      </c>
    </row>
    <row r="22" spans="1:39" x14ac:dyDescent="0.3">
      <c r="A22" s="23">
        <v>2024</v>
      </c>
      <c r="B22" s="24" t="s">
        <v>180</v>
      </c>
      <c r="C22" s="25">
        <v>45503</v>
      </c>
      <c r="D22" s="26" t="s">
        <v>39</v>
      </c>
      <c r="E22" s="27" t="s">
        <v>41</v>
      </c>
      <c r="F22" s="27" t="s">
        <v>43</v>
      </c>
      <c r="G22" s="24" t="s">
        <v>62</v>
      </c>
      <c r="H22" s="27" t="s">
        <v>47</v>
      </c>
      <c r="I22" s="24" t="s">
        <v>83</v>
      </c>
      <c r="J22" s="24"/>
      <c r="K22" s="24"/>
      <c r="L22" s="24"/>
      <c r="M22" s="24">
        <v>183030</v>
      </c>
      <c r="N22" s="28">
        <v>4320</v>
      </c>
      <c r="O22" s="36">
        <v>4440</v>
      </c>
      <c r="P22" s="28">
        <v>4440</v>
      </c>
      <c r="Q22" s="28">
        <v>4344</v>
      </c>
      <c r="R22" s="29">
        <f t="shared" si="6"/>
        <v>-96</v>
      </c>
      <c r="S22" s="29">
        <f t="shared" si="1"/>
        <v>24</v>
      </c>
      <c r="T22" s="30">
        <f t="shared" si="2"/>
        <v>5.5555555555555358E-3</v>
      </c>
      <c r="U22" s="30">
        <f t="shared" si="3"/>
        <v>-2.1621621621621623E-2</v>
      </c>
      <c r="V22" s="24"/>
      <c r="W22" s="24"/>
      <c r="X22" s="24">
        <f>13+2+5+10+2+2+3+4+2</f>
        <v>43</v>
      </c>
      <c r="Y22" s="24"/>
      <c r="Z22" s="23">
        <v>7</v>
      </c>
      <c r="AA22" s="23"/>
      <c r="AB22" s="27"/>
      <c r="AC22" s="27">
        <v>22</v>
      </c>
      <c r="AD22" s="23"/>
      <c r="AE22" s="23">
        <v>1</v>
      </c>
      <c r="AF22" s="24"/>
      <c r="AG22" s="24">
        <f>13+4+6</f>
        <v>23</v>
      </c>
      <c r="AH22" s="24"/>
      <c r="AI22" s="24"/>
      <c r="AJ22" s="27">
        <f t="shared" si="7"/>
        <v>96</v>
      </c>
      <c r="AK22" s="79">
        <f t="shared" si="8"/>
        <v>0</v>
      </c>
      <c r="AL22" s="24"/>
      <c r="AM22" s="27">
        <v>1</v>
      </c>
    </row>
    <row r="23" spans="1:39" x14ac:dyDescent="0.3">
      <c r="A23" s="23">
        <v>2024</v>
      </c>
      <c r="B23" s="24" t="s">
        <v>180</v>
      </c>
      <c r="C23" s="25">
        <v>45503</v>
      </c>
      <c r="D23" s="26" t="s">
        <v>39</v>
      </c>
      <c r="E23" s="27" t="s">
        <v>41</v>
      </c>
      <c r="F23" s="27" t="s">
        <v>43</v>
      </c>
      <c r="G23" s="24" t="s">
        <v>62</v>
      </c>
      <c r="H23" s="27" t="s">
        <v>47</v>
      </c>
      <c r="I23" s="24" t="s">
        <v>84</v>
      </c>
      <c r="J23" s="24"/>
      <c r="K23" s="24"/>
      <c r="L23" s="24"/>
      <c r="M23" s="24">
        <v>183031</v>
      </c>
      <c r="N23" s="28">
        <v>4320</v>
      </c>
      <c r="O23" s="36">
        <v>4537</v>
      </c>
      <c r="P23" s="28">
        <v>4493</v>
      </c>
      <c r="Q23" s="28">
        <v>4422</v>
      </c>
      <c r="R23" s="29">
        <f t="shared" si="6"/>
        <v>-115</v>
      </c>
      <c r="S23" s="29">
        <f t="shared" si="1"/>
        <v>102</v>
      </c>
      <c r="T23" s="30">
        <f t="shared" si="2"/>
        <v>2.3611111111111027E-2</v>
      </c>
      <c r="U23" s="30">
        <f t="shared" si="3"/>
        <v>-2.5347145690985284E-2</v>
      </c>
      <c r="V23" s="24"/>
      <c r="W23" s="24"/>
      <c r="X23" s="24">
        <f>2+8+4+3+10+4+6+5+6</f>
        <v>48</v>
      </c>
      <c r="Y23" s="24"/>
      <c r="Z23" s="23">
        <v>2</v>
      </c>
      <c r="AA23" s="23"/>
      <c r="AB23" s="27">
        <v>30</v>
      </c>
      <c r="AC23" s="27">
        <v>34</v>
      </c>
      <c r="AD23" s="23"/>
      <c r="AE23" s="23">
        <v>1</v>
      </c>
      <c r="AF23" s="24"/>
      <c r="AG23" s="24"/>
      <c r="AH23" s="24"/>
      <c r="AI23" s="24"/>
      <c r="AJ23" s="27">
        <f t="shared" si="7"/>
        <v>115</v>
      </c>
      <c r="AK23" s="79">
        <f t="shared" si="8"/>
        <v>0</v>
      </c>
      <c r="AL23" s="24"/>
      <c r="AM23" s="27">
        <v>1</v>
      </c>
    </row>
    <row r="24" spans="1:39" x14ac:dyDescent="0.3">
      <c r="A24" s="23">
        <v>2024</v>
      </c>
      <c r="B24" s="24" t="s">
        <v>180</v>
      </c>
      <c r="C24" s="25">
        <v>45503</v>
      </c>
      <c r="D24" s="26" t="s">
        <v>39</v>
      </c>
      <c r="E24" s="27" t="s">
        <v>41</v>
      </c>
      <c r="F24" s="27" t="s">
        <v>43</v>
      </c>
      <c r="G24" s="24" t="s">
        <v>62</v>
      </c>
      <c r="H24" s="27" t="s">
        <v>47</v>
      </c>
      <c r="I24" s="24" t="s">
        <v>84</v>
      </c>
      <c r="J24" s="24"/>
      <c r="K24" s="24"/>
      <c r="L24" s="24"/>
      <c r="M24" s="24">
        <v>183032</v>
      </c>
      <c r="N24" s="28">
        <v>1080</v>
      </c>
      <c r="O24" s="36">
        <v>1134</v>
      </c>
      <c r="P24" s="28">
        <v>1113</v>
      </c>
      <c r="Q24" s="28">
        <v>1113</v>
      </c>
      <c r="R24" s="29">
        <f t="shared" si="6"/>
        <v>-21</v>
      </c>
      <c r="S24" s="29">
        <f t="shared" si="1"/>
        <v>33</v>
      </c>
      <c r="T24" s="30">
        <f t="shared" si="2"/>
        <v>3.0555555555555447E-2</v>
      </c>
      <c r="U24" s="30">
        <f t="shared" si="3"/>
        <v>-1.851851851851849E-2</v>
      </c>
      <c r="V24" s="24"/>
      <c r="W24" s="24"/>
      <c r="X24" s="24">
        <v>20</v>
      </c>
      <c r="Y24" s="24"/>
      <c r="Z24" s="23">
        <v>1</v>
      </c>
      <c r="AA24" s="23"/>
      <c r="AB24" s="27"/>
      <c r="AC24" s="27"/>
      <c r="AD24" s="23"/>
      <c r="AE24" s="23"/>
      <c r="AF24" s="24"/>
      <c r="AG24" s="24"/>
      <c r="AH24" s="24"/>
      <c r="AI24" s="24"/>
      <c r="AJ24" s="27">
        <f t="shared" si="7"/>
        <v>21</v>
      </c>
      <c r="AK24" s="79">
        <f t="shared" si="8"/>
        <v>0</v>
      </c>
      <c r="AL24" s="24"/>
      <c r="AM24" s="27">
        <v>1</v>
      </c>
    </row>
    <row r="25" spans="1:39" x14ac:dyDescent="0.3">
      <c r="A25" s="23">
        <v>2024</v>
      </c>
      <c r="B25" s="24" t="s">
        <v>180</v>
      </c>
      <c r="C25" s="25">
        <v>45503</v>
      </c>
      <c r="D25" s="26" t="s">
        <v>39</v>
      </c>
      <c r="E25" s="27" t="s">
        <v>41</v>
      </c>
      <c r="F25" s="27" t="s">
        <v>43</v>
      </c>
      <c r="G25" s="24" t="s">
        <v>62</v>
      </c>
      <c r="H25" s="27" t="s">
        <v>47</v>
      </c>
      <c r="I25" s="24" t="s">
        <v>85</v>
      </c>
      <c r="J25" s="24"/>
      <c r="K25" s="24"/>
      <c r="L25" s="24"/>
      <c r="M25" s="24">
        <v>183033</v>
      </c>
      <c r="N25" s="28">
        <v>4320</v>
      </c>
      <c r="O25" s="36">
        <v>4509</v>
      </c>
      <c r="P25" s="28">
        <v>4461</v>
      </c>
      <c r="Q25" s="28">
        <v>4389</v>
      </c>
      <c r="R25" s="29">
        <f t="shared" si="6"/>
        <v>-120</v>
      </c>
      <c r="S25" s="29">
        <f t="shared" si="1"/>
        <v>69</v>
      </c>
      <c r="T25" s="30">
        <f t="shared" si="2"/>
        <v>1.5972222222222276E-2</v>
      </c>
      <c r="U25" s="30">
        <f t="shared" si="3"/>
        <v>-2.6613439787092519E-2</v>
      </c>
      <c r="V25" s="24"/>
      <c r="W25" s="24"/>
      <c r="X25" s="24">
        <f>4+2+10+2</f>
        <v>18</v>
      </c>
      <c r="Y25" s="24"/>
      <c r="Z25" s="23">
        <v>2</v>
      </c>
      <c r="AA25" s="23"/>
      <c r="AB25" s="27">
        <v>45</v>
      </c>
      <c r="AC25" s="27">
        <v>50</v>
      </c>
      <c r="AD25" s="23"/>
      <c r="AE25" s="23"/>
      <c r="AF25" s="24"/>
      <c r="AG25" s="24">
        <v>10</v>
      </c>
      <c r="AH25" s="24"/>
      <c r="AI25" s="24"/>
      <c r="AJ25" s="27">
        <f t="shared" si="7"/>
        <v>125</v>
      </c>
      <c r="AK25" s="79">
        <f t="shared" si="8"/>
        <v>5</v>
      </c>
      <c r="AL25" s="24"/>
      <c r="AM25" s="27">
        <v>1</v>
      </c>
    </row>
    <row r="26" spans="1:39" x14ac:dyDescent="0.3">
      <c r="A26" s="23">
        <v>2024</v>
      </c>
      <c r="B26" s="24" t="s">
        <v>180</v>
      </c>
      <c r="C26" s="25">
        <v>45503</v>
      </c>
      <c r="D26" s="26" t="s">
        <v>39</v>
      </c>
      <c r="E26" s="27" t="s">
        <v>41</v>
      </c>
      <c r="F26" s="27" t="s">
        <v>43</v>
      </c>
      <c r="G26" s="24" t="s">
        <v>62</v>
      </c>
      <c r="H26" s="27" t="s">
        <v>47</v>
      </c>
      <c r="I26" s="24" t="s">
        <v>85</v>
      </c>
      <c r="J26" s="24"/>
      <c r="K26" s="24"/>
      <c r="L26" s="24"/>
      <c r="M26" s="24">
        <v>183034</v>
      </c>
      <c r="N26" s="28">
        <v>1080</v>
      </c>
      <c r="O26" s="36">
        <v>1130</v>
      </c>
      <c r="P26" s="28">
        <v>1108</v>
      </c>
      <c r="Q26" s="28">
        <v>1080</v>
      </c>
      <c r="R26" s="29">
        <f t="shared" si="6"/>
        <v>-50</v>
      </c>
      <c r="S26" s="29">
        <f t="shared" si="1"/>
        <v>0</v>
      </c>
      <c r="T26" s="30">
        <f t="shared" si="2"/>
        <v>0</v>
      </c>
      <c r="U26" s="30">
        <f t="shared" si="3"/>
        <v>-4.4247787610619427E-2</v>
      </c>
      <c r="V26" s="24"/>
      <c r="W26" s="24"/>
      <c r="X26" s="24">
        <v>3</v>
      </c>
      <c r="Y26" s="24"/>
      <c r="Z26" s="23">
        <v>1</v>
      </c>
      <c r="AA26" s="23"/>
      <c r="AB26" s="27">
        <v>35</v>
      </c>
      <c r="AC26" s="27"/>
      <c r="AD26" s="23"/>
      <c r="AE26" s="23"/>
      <c r="AF26" s="24"/>
      <c r="AG26" s="24">
        <v>11</v>
      </c>
      <c r="AH26" s="24"/>
      <c r="AI26" s="24"/>
      <c r="AJ26" s="27">
        <f t="shared" si="7"/>
        <v>50</v>
      </c>
      <c r="AK26" s="79">
        <f t="shared" si="8"/>
        <v>0</v>
      </c>
      <c r="AL26" s="24"/>
      <c r="AM26" s="27">
        <v>1</v>
      </c>
    </row>
    <row r="27" spans="1:39" x14ac:dyDescent="0.3">
      <c r="A27" s="23">
        <v>2024</v>
      </c>
      <c r="B27" s="24" t="s">
        <v>180</v>
      </c>
      <c r="C27" s="25">
        <v>45503</v>
      </c>
      <c r="D27" s="26" t="s">
        <v>39</v>
      </c>
      <c r="E27" s="27" t="s">
        <v>41</v>
      </c>
      <c r="F27" s="27" t="s">
        <v>43</v>
      </c>
      <c r="G27" s="24" t="s">
        <v>62</v>
      </c>
      <c r="H27" s="27" t="s">
        <v>47</v>
      </c>
      <c r="I27" s="24" t="s">
        <v>52</v>
      </c>
      <c r="J27" s="24"/>
      <c r="K27" s="24"/>
      <c r="L27" s="24"/>
      <c r="M27" s="24">
        <v>183035</v>
      </c>
      <c r="N27" s="28">
        <v>4320</v>
      </c>
      <c r="O27" s="36">
        <v>4496</v>
      </c>
      <c r="P27" s="28">
        <v>4401</v>
      </c>
      <c r="Q27" s="28">
        <v>4401</v>
      </c>
      <c r="R27" s="29">
        <f t="shared" si="6"/>
        <v>-95</v>
      </c>
      <c r="S27" s="29">
        <f t="shared" si="1"/>
        <v>81</v>
      </c>
      <c r="T27" s="30">
        <f t="shared" si="2"/>
        <v>1.8750000000000044E-2</v>
      </c>
      <c r="U27" s="30">
        <f t="shared" si="3"/>
        <v>-2.1129893238434172E-2</v>
      </c>
      <c r="V27" s="24"/>
      <c r="W27" s="24"/>
      <c r="X27" s="24">
        <f>35+1+12</f>
        <v>48</v>
      </c>
      <c r="Y27" s="24"/>
      <c r="Z27" s="23">
        <v>4</v>
      </c>
      <c r="AA27" s="23"/>
      <c r="AB27" s="27">
        <v>43</v>
      </c>
      <c r="AC27" s="27"/>
      <c r="AD27" s="23"/>
      <c r="AE27" s="23"/>
      <c r="AF27" s="24"/>
      <c r="AG27" s="24"/>
      <c r="AH27" s="24"/>
      <c r="AI27" s="24"/>
      <c r="AJ27" s="27">
        <f t="shared" si="7"/>
        <v>95</v>
      </c>
      <c r="AK27" s="79">
        <f t="shared" si="8"/>
        <v>0</v>
      </c>
      <c r="AL27" s="24"/>
      <c r="AM27" s="27">
        <v>1</v>
      </c>
    </row>
    <row r="28" spans="1:39" x14ac:dyDescent="0.3">
      <c r="A28" s="23">
        <v>2024</v>
      </c>
      <c r="B28" s="24" t="s">
        <v>180</v>
      </c>
      <c r="C28" s="25">
        <v>45503</v>
      </c>
      <c r="D28" s="26" t="s">
        <v>39</v>
      </c>
      <c r="E28" s="27" t="s">
        <v>41</v>
      </c>
      <c r="F28" s="27" t="s">
        <v>43</v>
      </c>
      <c r="G28" s="24" t="s">
        <v>62</v>
      </c>
      <c r="H28" s="27" t="s">
        <v>47</v>
      </c>
      <c r="I28" s="24" t="s">
        <v>86</v>
      </c>
      <c r="J28" s="24"/>
      <c r="K28" s="24"/>
      <c r="L28" s="24"/>
      <c r="M28" s="24">
        <v>183036</v>
      </c>
      <c r="N28" s="28">
        <v>4320</v>
      </c>
      <c r="O28" s="36">
        <v>4309</v>
      </c>
      <c r="P28" s="28">
        <v>4310</v>
      </c>
      <c r="Q28" s="28">
        <v>4242</v>
      </c>
      <c r="R28" s="29">
        <f t="shared" si="6"/>
        <v>-67</v>
      </c>
      <c r="S28" s="29">
        <f t="shared" si="1"/>
        <v>-78</v>
      </c>
      <c r="T28" s="30">
        <f t="shared" si="2"/>
        <v>-1.8055555555555602E-2</v>
      </c>
      <c r="U28" s="30">
        <f t="shared" si="3"/>
        <v>-1.5548851241587336E-2</v>
      </c>
      <c r="V28" s="24"/>
      <c r="W28" s="24"/>
      <c r="X28" s="24">
        <f>4+9+6+2+2+5+2+7+5+1+2</f>
        <v>45</v>
      </c>
      <c r="Y28" s="24"/>
      <c r="Z28" s="23">
        <v>2</v>
      </c>
      <c r="AA28" s="23"/>
      <c r="AB28" s="27"/>
      <c r="AC28" s="27">
        <v>20</v>
      </c>
      <c r="AD28" s="23"/>
      <c r="AE28" s="23"/>
      <c r="AF28" s="24"/>
      <c r="AG28" s="24"/>
      <c r="AH28" s="24"/>
      <c r="AI28" s="24"/>
      <c r="AJ28" s="27">
        <f t="shared" si="7"/>
        <v>67</v>
      </c>
      <c r="AK28" s="79">
        <f t="shared" si="8"/>
        <v>0</v>
      </c>
      <c r="AL28" s="24"/>
      <c r="AM28" s="27">
        <v>1</v>
      </c>
    </row>
    <row r="29" spans="1:39" x14ac:dyDescent="0.3">
      <c r="A29" s="23">
        <v>2024</v>
      </c>
      <c r="B29" s="24" t="s">
        <v>180</v>
      </c>
      <c r="C29" s="25">
        <v>45503</v>
      </c>
      <c r="D29" s="26" t="s">
        <v>39</v>
      </c>
      <c r="E29" s="27" t="s">
        <v>41</v>
      </c>
      <c r="F29" s="27" t="s">
        <v>43</v>
      </c>
      <c r="G29" s="24" t="s">
        <v>62</v>
      </c>
      <c r="H29" s="27" t="s">
        <v>47</v>
      </c>
      <c r="I29" s="24" t="s">
        <v>86</v>
      </c>
      <c r="J29" s="24"/>
      <c r="K29" s="24"/>
      <c r="L29" s="24"/>
      <c r="M29" s="24">
        <v>183037</v>
      </c>
      <c r="N29" s="28">
        <v>1080</v>
      </c>
      <c r="O29" s="36">
        <v>1080</v>
      </c>
      <c r="P29" s="28">
        <v>1069</v>
      </c>
      <c r="Q29" s="28">
        <v>1065</v>
      </c>
      <c r="R29" s="29">
        <f t="shared" si="6"/>
        <v>-15</v>
      </c>
      <c r="S29" s="29">
        <f t="shared" si="1"/>
        <v>-15</v>
      </c>
      <c r="T29" s="30">
        <f t="shared" si="2"/>
        <v>-1.388888888888884E-2</v>
      </c>
      <c r="U29" s="30">
        <f t="shared" si="3"/>
        <v>-1.388888888888884E-2</v>
      </c>
      <c r="V29" s="24"/>
      <c r="W29" s="24"/>
      <c r="X29" s="24">
        <f>4+3+3</f>
        <v>10</v>
      </c>
      <c r="Y29" s="24"/>
      <c r="Z29" s="24"/>
      <c r="AA29" s="24"/>
      <c r="AB29" s="27"/>
      <c r="AC29" s="27">
        <v>5</v>
      </c>
      <c r="AD29" s="24"/>
      <c r="AE29" s="24"/>
      <c r="AF29" s="24"/>
      <c r="AG29" s="24"/>
      <c r="AH29" s="24"/>
      <c r="AI29" s="24"/>
      <c r="AJ29" s="27">
        <f t="shared" si="7"/>
        <v>15</v>
      </c>
      <c r="AK29" s="79">
        <f t="shared" si="8"/>
        <v>0</v>
      </c>
      <c r="AL29" s="24"/>
      <c r="AM29" s="27">
        <v>1</v>
      </c>
    </row>
    <row r="30" spans="1:39" x14ac:dyDescent="0.3">
      <c r="A30" s="18">
        <v>2024</v>
      </c>
      <c r="B30" s="10" t="s">
        <v>180</v>
      </c>
      <c r="C30" s="11">
        <v>45503</v>
      </c>
      <c r="D30" s="12" t="s">
        <v>39</v>
      </c>
      <c r="E30" s="18" t="s">
        <v>41</v>
      </c>
      <c r="F30" s="18" t="s">
        <v>43</v>
      </c>
      <c r="G30" s="10" t="s">
        <v>62</v>
      </c>
      <c r="H30" s="18" t="s">
        <v>47</v>
      </c>
      <c r="I30" s="18" t="s">
        <v>87</v>
      </c>
      <c r="J30" s="10"/>
      <c r="K30" s="10"/>
      <c r="L30" s="10"/>
      <c r="M30" s="10">
        <v>183007</v>
      </c>
      <c r="N30" s="19">
        <v>7884</v>
      </c>
      <c r="O30" s="37">
        <v>7987</v>
      </c>
      <c r="P30" s="19">
        <v>7987</v>
      </c>
      <c r="Q30" s="19">
        <v>7977</v>
      </c>
      <c r="R30" s="21">
        <f t="shared" si="6"/>
        <v>-10</v>
      </c>
      <c r="S30" s="21">
        <f t="shared" si="1"/>
        <v>93</v>
      </c>
      <c r="T30" s="22">
        <f t="shared" si="2"/>
        <v>1.1796042617960412E-2</v>
      </c>
      <c r="U30" s="22">
        <f t="shared" si="3"/>
        <v>-1.2520345561537471E-3</v>
      </c>
      <c r="V30" s="10"/>
      <c r="W30" s="10"/>
      <c r="X30" s="10"/>
      <c r="Y30" s="10"/>
      <c r="Z30" s="10">
        <v>9</v>
      </c>
      <c r="AA30" s="10"/>
      <c r="AB30" s="18"/>
      <c r="AC30" s="18"/>
      <c r="AD30" s="10"/>
      <c r="AE30" s="10">
        <v>1</v>
      </c>
      <c r="AF30" s="10"/>
      <c r="AG30" s="10"/>
      <c r="AH30" s="10"/>
      <c r="AI30" s="10"/>
      <c r="AJ30" s="18">
        <f t="shared" si="7"/>
        <v>10</v>
      </c>
      <c r="AK30" s="61">
        <f t="shared" si="8"/>
        <v>0</v>
      </c>
      <c r="AL30" s="10"/>
      <c r="AM30" s="18">
        <v>1</v>
      </c>
    </row>
    <row r="31" spans="1:39" x14ac:dyDescent="0.3">
      <c r="A31" s="27">
        <v>2024</v>
      </c>
      <c r="B31" s="24" t="s">
        <v>180</v>
      </c>
      <c r="C31" s="25">
        <v>45503</v>
      </c>
      <c r="D31" s="26" t="s">
        <v>39</v>
      </c>
      <c r="E31" s="27" t="s">
        <v>41</v>
      </c>
      <c r="F31" s="27" t="s">
        <v>43</v>
      </c>
      <c r="G31" s="24" t="s">
        <v>62</v>
      </c>
      <c r="H31" s="27" t="s">
        <v>47</v>
      </c>
      <c r="I31" s="27" t="s">
        <v>88</v>
      </c>
      <c r="J31" s="24"/>
      <c r="K31" s="24"/>
      <c r="L31" s="24"/>
      <c r="M31" s="24">
        <v>183008</v>
      </c>
      <c r="N31" s="28">
        <v>13068</v>
      </c>
      <c r="O31" s="36">
        <v>13213</v>
      </c>
      <c r="P31" s="28">
        <v>13128</v>
      </c>
      <c r="Q31" s="28">
        <v>13128</v>
      </c>
      <c r="R31" s="29">
        <f t="shared" si="6"/>
        <v>-85</v>
      </c>
      <c r="S31" s="29">
        <f t="shared" si="1"/>
        <v>60</v>
      </c>
      <c r="T31" s="30">
        <f t="shared" si="2"/>
        <v>4.5913682277318735E-3</v>
      </c>
      <c r="U31" s="30">
        <f t="shared" si="3"/>
        <v>-6.4330583516234441E-3</v>
      </c>
      <c r="V31" s="24"/>
      <c r="W31" s="24"/>
      <c r="X31" s="24">
        <v>53</v>
      </c>
      <c r="Y31" s="24"/>
      <c r="Z31" s="24">
        <v>13</v>
      </c>
      <c r="AA31" s="24"/>
      <c r="AB31" s="27"/>
      <c r="AC31" s="27">
        <v>19</v>
      </c>
      <c r="AD31" s="24"/>
      <c r="AE31" s="24"/>
      <c r="AF31" s="24"/>
      <c r="AG31" s="24"/>
      <c r="AH31" s="24"/>
      <c r="AI31" s="24"/>
      <c r="AJ31" s="27">
        <f t="shared" si="7"/>
        <v>85</v>
      </c>
      <c r="AK31" s="79">
        <f t="shared" si="8"/>
        <v>0</v>
      </c>
      <c r="AL31" s="24"/>
      <c r="AM31" s="27">
        <v>1</v>
      </c>
    </row>
    <row r="32" spans="1:39" x14ac:dyDescent="0.3">
      <c r="A32" s="27">
        <v>2024</v>
      </c>
      <c r="B32" s="24" t="s">
        <v>180</v>
      </c>
      <c r="C32" s="25">
        <v>45503</v>
      </c>
      <c r="D32" s="26" t="s">
        <v>39</v>
      </c>
      <c r="E32" s="27" t="s">
        <v>41</v>
      </c>
      <c r="F32" s="27" t="s">
        <v>43</v>
      </c>
      <c r="G32" s="24" t="s">
        <v>62</v>
      </c>
      <c r="H32" s="27" t="s">
        <v>47</v>
      </c>
      <c r="I32" s="27" t="s">
        <v>89</v>
      </c>
      <c r="J32" s="24"/>
      <c r="K32" s="24"/>
      <c r="L32" s="24"/>
      <c r="M32" s="24">
        <v>183009</v>
      </c>
      <c r="N32" s="28">
        <v>5400</v>
      </c>
      <c r="O32" s="36">
        <v>5465</v>
      </c>
      <c r="P32" s="28">
        <v>5400</v>
      </c>
      <c r="Q32" s="28">
        <v>5400</v>
      </c>
      <c r="R32" s="29">
        <f t="shared" si="6"/>
        <v>-65</v>
      </c>
      <c r="S32" s="29">
        <f t="shared" si="1"/>
        <v>0</v>
      </c>
      <c r="T32" s="30">
        <f t="shared" si="2"/>
        <v>0</v>
      </c>
      <c r="U32" s="30">
        <f t="shared" si="3"/>
        <v>-1.1893870082342217E-2</v>
      </c>
      <c r="V32" s="24"/>
      <c r="W32" s="24"/>
      <c r="X32" s="24"/>
      <c r="Y32" s="24"/>
      <c r="Z32" s="27">
        <v>2</v>
      </c>
      <c r="AA32" s="24"/>
      <c r="AB32" s="27">
        <v>30</v>
      </c>
      <c r="AC32" s="27">
        <v>32</v>
      </c>
      <c r="AD32" s="24"/>
      <c r="AE32" s="27">
        <v>1</v>
      </c>
      <c r="AF32" s="24"/>
      <c r="AG32" s="24"/>
      <c r="AH32" s="24"/>
      <c r="AI32" s="24"/>
      <c r="AJ32" s="27">
        <f t="shared" si="7"/>
        <v>65</v>
      </c>
      <c r="AK32" s="79">
        <f t="shared" si="8"/>
        <v>0</v>
      </c>
      <c r="AL32" s="24"/>
      <c r="AM32" s="27">
        <v>1</v>
      </c>
    </row>
    <row r="33" spans="1:39" x14ac:dyDescent="0.3">
      <c r="A33" s="27">
        <v>2024</v>
      </c>
      <c r="B33" s="24" t="s">
        <v>180</v>
      </c>
      <c r="C33" s="25">
        <v>45503</v>
      </c>
      <c r="D33" s="26" t="s">
        <v>39</v>
      </c>
      <c r="E33" s="27" t="s">
        <v>41</v>
      </c>
      <c r="F33" s="27" t="s">
        <v>43</v>
      </c>
      <c r="G33" s="24" t="s">
        <v>62</v>
      </c>
      <c r="H33" s="27" t="s">
        <v>47</v>
      </c>
      <c r="I33" s="27" t="s">
        <v>90</v>
      </c>
      <c r="J33" s="24"/>
      <c r="K33" s="24"/>
      <c r="L33" s="24"/>
      <c r="M33" s="24">
        <v>183010</v>
      </c>
      <c r="N33" s="28">
        <v>22356</v>
      </c>
      <c r="O33" s="36">
        <v>22545</v>
      </c>
      <c r="P33" s="28">
        <v>22476</v>
      </c>
      <c r="Q33" s="28">
        <v>22476</v>
      </c>
      <c r="R33" s="29">
        <f t="shared" si="6"/>
        <v>-69</v>
      </c>
      <c r="S33" s="29">
        <f t="shared" si="1"/>
        <v>120</v>
      </c>
      <c r="T33" s="30">
        <f t="shared" si="2"/>
        <v>5.3676865271068408E-3</v>
      </c>
      <c r="U33" s="30">
        <f t="shared" si="3"/>
        <v>-3.0605455755156052E-3</v>
      </c>
      <c r="V33" s="24"/>
      <c r="W33" s="24"/>
      <c r="X33" s="24"/>
      <c r="Y33" s="24"/>
      <c r="Z33" s="27">
        <v>5</v>
      </c>
      <c r="AA33" s="24"/>
      <c r="AB33" s="27">
        <v>35</v>
      </c>
      <c r="AC33" s="27">
        <v>26</v>
      </c>
      <c r="AD33" s="24"/>
      <c r="AE33" s="27">
        <v>3</v>
      </c>
      <c r="AF33" s="24"/>
      <c r="AG33" s="24"/>
      <c r="AH33" s="24"/>
      <c r="AI33" s="24"/>
      <c r="AJ33" s="27">
        <f t="shared" si="7"/>
        <v>69</v>
      </c>
      <c r="AK33" s="79">
        <f t="shared" si="8"/>
        <v>0</v>
      </c>
      <c r="AL33" s="24"/>
      <c r="AM33" s="27">
        <v>1</v>
      </c>
    </row>
    <row r="34" spans="1:39" x14ac:dyDescent="0.3">
      <c r="A34" s="27">
        <v>2024</v>
      </c>
      <c r="B34" s="24" t="s">
        <v>180</v>
      </c>
      <c r="C34" s="25">
        <v>45503</v>
      </c>
      <c r="D34" s="26" t="s">
        <v>39</v>
      </c>
      <c r="E34" s="27" t="s">
        <v>41</v>
      </c>
      <c r="F34" s="27" t="s">
        <v>43</v>
      </c>
      <c r="G34" s="24" t="s">
        <v>62</v>
      </c>
      <c r="H34" s="27" t="s">
        <v>47</v>
      </c>
      <c r="I34" s="27" t="s">
        <v>90</v>
      </c>
      <c r="J34" s="24"/>
      <c r="K34" s="24"/>
      <c r="L34" s="24"/>
      <c r="M34" s="24">
        <v>183011</v>
      </c>
      <c r="N34" s="28">
        <v>1080</v>
      </c>
      <c r="O34" s="36">
        <v>1092</v>
      </c>
      <c r="P34" s="28">
        <v>1083</v>
      </c>
      <c r="Q34" s="28">
        <v>1083</v>
      </c>
      <c r="R34" s="29">
        <f t="shared" si="6"/>
        <v>-9</v>
      </c>
      <c r="S34" s="29">
        <f t="shared" si="1"/>
        <v>3</v>
      </c>
      <c r="T34" s="30">
        <f t="shared" si="2"/>
        <v>2.7777777777777679E-3</v>
      </c>
      <c r="U34" s="30">
        <f t="shared" si="3"/>
        <v>-8.2417582417582125E-3</v>
      </c>
      <c r="V34" s="24"/>
      <c r="W34" s="24"/>
      <c r="X34" s="24"/>
      <c r="Y34" s="24"/>
      <c r="Z34" s="27"/>
      <c r="AA34" s="24"/>
      <c r="AB34" s="27"/>
      <c r="AC34" s="27">
        <v>9</v>
      </c>
      <c r="AD34" s="24"/>
      <c r="AE34" s="27"/>
      <c r="AF34" s="24"/>
      <c r="AG34" s="24"/>
      <c r="AH34" s="24"/>
      <c r="AI34" s="24"/>
      <c r="AJ34" s="27">
        <f t="shared" si="7"/>
        <v>9</v>
      </c>
      <c r="AK34" s="79">
        <f t="shared" si="8"/>
        <v>0</v>
      </c>
      <c r="AL34" s="24"/>
      <c r="AM34" s="27">
        <v>1</v>
      </c>
    </row>
    <row r="35" spans="1:39" x14ac:dyDescent="0.3">
      <c r="A35" s="10">
        <v>2024</v>
      </c>
      <c r="B35" s="10" t="s">
        <v>180</v>
      </c>
      <c r="C35" s="11">
        <v>45503</v>
      </c>
      <c r="D35" s="12" t="s">
        <v>41</v>
      </c>
      <c r="E35" s="12" t="s">
        <v>41</v>
      </c>
      <c r="F35" s="10" t="s">
        <v>53</v>
      </c>
      <c r="G35" s="10" t="s">
        <v>64</v>
      </c>
      <c r="H35" s="18" t="s">
        <v>47</v>
      </c>
      <c r="I35" s="13" t="s">
        <v>91</v>
      </c>
      <c r="J35" s="13">
        <v>5157980</v>
      </c>
      <c r="K35" s="10"/>
      <c r="L35" s="10"/>
      <c r="M35" s="13">
        <v>182774</v>
      </c>
      <c r="N35" s="13">
        <v>648</v>
      </c>
      <c r="O35" s="15">
        <v>648</v>
      </c>
      <c r="P35" s="16">
        <v>648</v>
      </c>
      <c r="Q35" s="14">
        <v>648</v>
      </c>
      <c r="R35" s="15">
        <f t="shared" si="6"/>
        <v>0</v>
      </c>
      <c r="S35" s="15">
        <f t="shared" si="1"/>
        <v>0</v>
      </c>
      <c r="T35" s="17">
        <f t="shared" si="2"/>
        <v>0</v>
      </c>
      <c r="U35" s="17">
        <f t="shared" si="3"/>
        <v>0</v>
      </c>
      <c r="V35" s="38"/>
      <c r="W35" s="10">
        <v>33</v>
      </c>
      <c r="X35" s="10">
        <v>18</v>
      </c>
      <c r="Y35" s="69"/>
      <c r="Z35" s="10">
        <v>0</v>
      </c>
      <c r="AA35" s="10">
        <v>12</v>
      </c>
      <c r="AB35" s="69"/>
      <c r="AC35" s="10">
        <v>0</v>
      </c>
      <c r="AD35" s="16"/>
      <c r="AE35" s="10">
        <v>3</v>
      </c>
      <c r="AF35" s="16"/>
      <c r="AG35" s="40"/>
      <c r="AH35" s="40"/>
      <c r="AI35" s="18"/>
      <c r="AJ35" s="15">
        <f t="shared" si="7"/>
        <v>33</v>
      </c>
      <c r="AK35" s="15">
        <f t="shared" ref="AK35:AK98" si="9">R35+AJ35</f>
        <v>33</v>
      </c>
      <c r="AL35" s="10" t="s">
        <v>179</v>
      </c>
      <c r="AM35" s="18">
        <v>1</v>
      </c>
    </row>
    <row r="36" spans="1:39" x14ac:dyDescent="0.3">
      <c r="A36" s="10">
        <v>2024</v>
      </c>
      <c r="B36" s="10" t="s">
        <v>180</v>
      </c>
      <c r="C36" s="11">
        <v>45503</v>
      </c>
      <c r="D36" s="12" t="s">
        <v>41</v>
      </c>
      <c r="E36" s="12" t="s">
        <v>41</v>
      </c>
      <c r="F36" s="10" t="s">
        <v>53</v>
      </c>
      <c r="G36" s="10" t="s">
        <v>64</v>
      </c>
      <c r="H36" s="18" t="s">
        <v>47</v>
      </c>
      <c r="I36" s="13" t="s">
        <v>92</v>
      </c>
      <c r="J36" s="13">
        <v>5158614</v>
      </c>
      <c r="K36" s="10"/>
      <c r="L36" s="10"/>
      <c r="M36" s="13">
        <v>182777</v>
      </c>
      <c r="N36" s="13">
        <v>21816</v>
      </c>
      <c r="O36" s="15">
        <v>22254</v>
      </c>
      <c r="P36" s="16">
        <v>22256</v>
      </c>
      <c r="Q36" s="14">
        <v>22137</v>
      </c>
      <c r="R36" s="15">
        <f t="shared" si="6"/>
        <v>-117</v>
      </c>
      <c r="S36" s="15">
        <f t="shared" si="1"/>
        <v>321</v>
      </c>
      <c r="T36" s="17">
        <f t="shared" si="2"/>
        <v>1.4713971397139813E-2</v>
      </c>
      <c r="U36" s="17">
        <f t="shared" si="3"/>
        <v>-5.2574818010245883E-3</v>
      </c>
      <c r="V36" s="84" t="s">
        <v>54</v>
      </c>
      <c r="W36" s="10">
        <v>115</v>
      </c>
      <c r="X36" s="10">
        <v>123</v>
      </c>
      <c r="Y36" s="69"/>
      <c r="Z36" s="10">
        <v>11</v>
      </c>
      <c r="AA36" s="10">
        <v>54</v>
      </c>
      <c r="AB36" s="69"/>
      <c r="AC36" s="10">
        <v>43</v>
      </c>
      <c r="AD36" s="16"/>
      <c r="AE36" s="10">
        <v>1</v>
      </c>
      <c r="AF36" s="16"/>
      <c r="AG36" s="40"/>
      <c r="AH36" s="40"/>
      <c r="AI36" s="18"/>
      <c r="AJ36" s="15">
        <f t="shared" si="7"/>
        <v>232</v>
      </c>
      <c r="AK36" s="15">
        <f t="shared" si="9"/>
        <v>115</v>
      </c>
      <c r="AL36" s="10" t="s">
        <v>93</v>
      </c>
      <c r="AM36" s="18">
        <v>1</v>
      </c>
    </row>
    <row r="37" spans="1:39" x14ac:dyDescent="0.3">
      <c r="A37" s="10">
        <v>2024</v>
      </c>
      <c r="B37" s="10" t="s">
        <v>180</v>
      </c>
      <c r="C37" s="11">
        <v>45503</v>
      </c>
      <c r="D37" s="12" t="s">
        <v>41</v>
      </c>
      <c r="E37" s="12" t="s">
        <v>41</v>
      </c>
      <c r="F37" s="10" t="s">
        <v>53</v>
      </c>
      <c r="G37" s="10" t="s">
        <v>64</v>
      </c>
      <c r="H37" s="18" t="s">
        <v>47</v>
      </c>
      <c r="I37" s="13" t="s">
        <v>92</v>
      </c>
      <c r="J37" s="13">
        <v>5158614</v>
      </c>
      <c r="K37" s="10"/>
      <c r="L37" s="10"/>
      <c r="M37" s="13">
        <v>182778</v>
      </c>
      <c r="N37" s="13">
        <v>540</v>
      </c>
      <c r="O37" s="15">
        <v>552</v>
      </c>
      <c r="P37" s="16">
        <v>552</v>
      </c>
      <c r="Q37" s="14">
        <v>552</v>
      </c>
      <c r="R37" s="15">
        <f t="shared" si="6"/>
        <v>0</v>
      </c>
      <c r="S37" s="15">
        <f t="shared" si="1"/>
        <v>12</v>
      </c>
      <c r="T37" s="17">
        <f t="shared" si="2"/>
        <v>2.2222222222222143E-2</v>
      </c>
      <c r="U37" s="17">
        <f t="shared" si="3"/>
        <v>0</v>
      </c>
      <c r="V37" s="38"/>
      <c r="W37" s="10">
        <v>15</v>
      </c>
      <c r="X37" s="10">
        <v>7</v>
      </c>
      <c r="Y37" s="69"/>
      <c r="Z37" s="10">
        <v>0</v>
      </c>
      <c r="AA37" s="10">
        <v>0</v>
      </c>
      <c r="AB37" s="69"/>
      <c r="AC37" s="10">
        <v>8</v>
      </c>
      <c r="AD37" s="16"/>
      <c r="AE37" s="10">
        <v>0</v>
      </c>
      <c r="AF37" s="16"/>
      <c r="AG37" s="40"/>
      <c r="AH37" s="40"/>
      <c r="AI37" s="18"/>
      <c r="AJ37" s="15">
        <f t="shared" si="7"/>
        <v>15</v>
      </c>
      <c r="AK37" s="15">
        <f t="shared" si="9"/>
        <v>15</v>
      </c>
      <c r="AL37" s="38"/>
      <c r="AM37" s="18">
        <v>1</v>
      </c>
    </row>
    <row r="38" spans="1:39" x14ac:dyDescent="0.3">
      <c r="A38" s="10">
        <v>2024</v>
      </c>
      <c r="B38" s="10" t="s">
        <v>180</v>
      </c>
      <c r="C38" s="11">
        <v>45503</v>
      </c>
      <c r="D38" s="12" t="s">
        <v>41</v>
      </c>
      <c r="E38" s="12" t="s">
        <v>41</v>
      </c>
      <c r="F38" s="10" t="s">
        <v>53</v>
      </c>
      <c r="G38" s="10" t="s">
        <v>64</v>
      </c>
      <c r="H38" s="18" t="s">
        <v>47</v>
      </c>
      <c r="I38" s="13" t="s">
        <v>94</v>
      </c>
      <c r="J38" s="13">
        <v>5158582</v>
      </c>
      <c r="K38" s="10"/>
      <c r="L38" s="10"/>
      <c r="M38" s="13">
        <v>182805</v>
      </c>
      <c r="N38" s="13">
        <v>2448</v>
      </c>
      <c r="O38" s="15">
        <v>2458</v>
      </c>
      <c r="P38" s="16">
        <v>2454</v>
      </c>
      <c r="Q38" s="14">
        <v>2440</v>
      </c>
      <c r="R38" s="15">
        <f t="shared" si="6"/>
        <v>-18</v>
      </c>
      <c r="S38" s="15">
        <f t="shared" si="1"/>
        <v>-8</v>
      </c>
      <c r="T38" s="17">
        <f t="shared" si="2"/>
        <v>-3.2679738562091387E-3</v>
      </c>
      <c r="U38" s="17">
        <f t="shared" si="3"/>
        <v>-7.3230268510984242E-3</v>
      </c>
      <c r="V38" s="84" t="s">
        <v>54</v>
      </c>
      <c r="W38" s="10">
        <v>0</v>
      </c>
      <c r="X38" s="10">
        <v>9</v>
      </c>
      <c r="Y38" s="69"/>
      <c r="Z38" s="10">
        <v>0</v>
      </c>
      <c r="AA38" s="10">
        <v>5</v>
      </c>
      <c r="AB38" s="69"/>
      <c r="AC38" s="10">
        <v>0</v>
      </c>
      <c r="AD38" s="16"/>
      <c r="AE38" s="10">
        <v>4</v>
      </c>
      <c r="AF38" s="16"/>
      <c r="AG38" s="40"/>
      <c r="AH38" s="40"/>
      <c r="AI38" s="18"/>
      <c r="AJ38" s="15">
        <f t="shared" si="7"/>
        <v>18</v>
      </c>
      <c r="AK38" s="15">
        <f t="shared" si="9"/>
        <v>0</v>
      </c>
      <c r="AL38" s="84"/>
      <c r="AM38" s="18">
        <v>1</v>
      </c>
    </row>
    <row r="39" spans="1:39" x14ac:dyDescent="0.3">
      <c r="A39" s="10">
        <v>2024</v>
      </c>
      <c r="B39" s="10" t="s">
        <v>180</v>
      </c>
      <c r="C39" s="11">
        <v>45503</v>
      </c>
      <c r="D39" s="12" t="s">
        <v>41</v>
      </c>
      <c r="E39" s="12" t="s">
        <v>41</v>
      </c>
      <c r="F39" s="10" t="s">
        <v>53</v>
      </c>
      <c r="G39" s="10" t="s">
        <v>64</v>
      </c>
      <c r="H39" s="18" t="s">
        <v>47</v>
      </c>
      <c r="I39" s="13" t="s">
        <v>95</v>
      </c>
      <c r="J39" s="13">
        <v>5158613</v>
      </c>
      <c r="K39" s="10"/>
      <c r="L39" s="10"/>
      <c r="M39" s="13">
        <v>182806</v>
      </c>
      <c r="N39" s="13">
        <v>3024</v>
      </c>
      <c r="O39" s="15">
        <v>3034</v>
      </c>
      <c r="P39" s="16">
        <v>3032</v>
      </c>
      <c r="Q39" s="14">
        <v>3024</v>
      </c>
      <c r="R39" s="15">
        <f t="shared" si="6"/>
        <v>-10</v>
      </c>
      <c r="S39" s="15">
        <f t="shared" si="1"/>
        <v>0</v>
      </c>
      <c r="T39" s="17">
        <f t="shared" si="2"/>
        <v>0</v>
      </c>
      <c r="U39" s="17">
        <f t="shared" si="3"/>
        <v>-3.2959789057349642E-3</v>
      </c>
      <c r="V39" s="38" t="s">
        <v>96</v>
      </c>
      <c r="W39" s="10">
        <v>0</v>
      </c>
      <c r="X39" s="10">
        <v>4</v>
      </c>
      <c r="Y39" s="69"/>
      <c r="Z39" s="10">
        <v>2</v>
      </c>
      <c r="AA39" s="10">
        <v>0</v>
      </c>
      <c r="AB39" s="69"/>
      <c r="AC39" s="10">
        <v>0</v>
      </c>
      <c r="AD39" s="16"/>
      <c r="AE39" s="10">
        <v>4</v>
      </c>
      <c r="AF39" s="16"/>
      <c r="AG39" s="40"/>
      <c r="AH39" s="40"/>
      <c r="AI39" s="18"/>
      <c r="AJ39" s="15">
        <f t="shared" si="7"/>
        <v>10</v>
      </c>
      <c r="AK39" s="15">
        <f t="shared" si="9"/>
        <v>0</v>
      </c>
      <c r="AL39" s="38"/>
      <c r="AM39" s="18">
        <v>1</v>
      </c>
    </row>
    <row r="40" spans="1:39" x14ac:dyDescent="0.3">
      <c r="A40" s="10">
        <v>2024</v>
      </c>
      <c r="B40" s="10" t="s">
        <v>180</v>
      </c>
      <c r="C40" s="11">
        <v>45503</v>
      </c>
      <c r="D40" s="12" t="s">
        <v>41</v>
      </c>
      <c r="E40" s="12" t="s">
        <v>41</v>
      </c>
      <c r="F40" s="10" t="s">
        <v>53</v>
      </c>
      <c r="G40" s="10" t="s">
        <v>64</v>
      </c>
      <c r="H40" s="18" t="s">
        <v>47</v>
      </c>
      <c r="I40" s="13" t="s">
        <v>97</v>
      </c>
      <c r="J40" s="13">
        <v>5158591</v>
      </c>
      <c r="K40" s="10"/>
      <c r="L40" s="10"/>
      <c r="M40" s="13">
        <v>182807</v>
      </c>
      <c r="N40" s="13">
        <v>1296</v>
      </c>
      <c r="O40" s="15">
        <v>1307</v>
      </c>
      <c r="P40" s="16">
        <v>1303</v>
      </c>
      <c r="Q40" s="14">
        <v>1296</v>
      </c>
      <c r="R40" s="15">
        <f t="shared" si="6"/>
        <v>-11</v>
      </c>
      <c r="S40" s="15">
        <f t="shared" si="1"/>
        <v>0</v>
      </c>
      <c r="T40" s="17">
        <f t="shared" si="2"/>
        <v>0</v>
      </c>
      <c r="U40" s="17">
        <f t="shared" si="3"/>
        <v>-8.4162203519509982E-3</v>
      </c>
      <c r="V40" s="38" t="s">
        <v>96</v>
      </c>
      <c r="W40" s="10">
        <v>0</v>
      </c>
      <c r="X40" s="10">
        <v>5</v>
      </c>
      <c r="Y40" s="69"/>
      <c r="Z40" s="10">
        <v>2</v>
      </c>
      <c r="AA40" s="10">
        <v>0</v>
      </c>
      <c r="AB40" s="69"/>
      <c r="AC40" s="10">
        <v>0</v>
      </c>
      <c r="AD40" s="16"/>
      <c r="AE40" s="10">
        <v>4</v>
      </c>
      <c r="AF40" s="16"/>
      <c r="AG40" s="40"/>
      <c r="AH40" s="40"/>
      <c r="AI40" s="18"/>
      <c r="AJ40" s="15">
        <f t="shared" si="7"/>
        <v>11</v>
      </c>
      <c r="AK40" s="15">
        <f t="shared" si="9"/>
        <v>0</v>
      </c>
      <c r="AL40" s="38"/>
      <c r="AM40" s="18">
        <v>1</v>
      </c>
    </row>
    <row r="41" spans="1:39" x14ac:dyDescent="0.3">
      <c r="A41" s="10">
        <v>2024</v>
      </c>
      <c r="B41" s="10" t="s">
        <v>180</v>
      </c>
      <c r="C41" s="11">
        <v>45503</v>
      </c>
      <c r="D41" s="12" t="s">
        <v>41</v>
      </c>
      <c r="E41" s="12" t="s">
        <v>41</v>
      </c>
      <c r="F41" s="10" t="s">
        <v>53</v>
      </c>
      <c r="G41" s="10" t="s">
        <v>64</v>
      </c>
      <c r="H41" s="18" t="s">
        <v>47</v>
      </c>
      <c r="I41" s="13" t="s">
        <v>98</v>
      </c>
      <c r="J41" s="13">
        <v>5158617</v>
      </c>
      <c r="K41" s="10"/>
      <c r="L41" s="10"/>
      <c r="M41" s="13">
        <v>182808</v>
      </c>
      <c r="N41" s="13">
        <v>1008</v>
      </c>
      <c r="O41" s="15">
        <v>1020</v>
      </c>
      <c r="P41" s="16">
        <v>1017</v>
      </c>
      <c r="Q41" s="14">
        <v>1008</v>
      </c>
      <c r="R41" s="15">
        <f t="shared" si="6"/>
        <v>-12</v>
      </c>
      <c r="S41" s="15">
        <f t="shared" si="1"/>
        <v>0</v>
      </c>
      <c r="T41" s="17">
        <f t="shared" si="2"/>
        <v>0</v>
      </c>
      <c r="U41" s="17">
        <f t="shared" si="3"/>
        <v>-1.1764705882352899E-2</v>
      </c>
      <c r="V41" s="38" t="s">
        <v>99</v>
      </c>
      <c r="W41" s="10">
        <v>0</v>
      </c>
      <c r="X41" s="10">
        <v>5</v>
      </c>
      <c r="Y41" s="69"/>
      <c r="Z41" s="10">
        <v>0</v>
      </c>
      <c r="AA41" s="10">
        <v>2</v>
      </c>
      <c r="AB41" s="69"/>
      <c r="AC41" s="10">
        <v>3</v>
      </c>
      <c r="AD41" s="16"/>
      <c r="AE41" s="10">
        <v>2</v>
      </c>
      <c r="AF41" s="16"/>
      <c r="AG41" s="40"/>
      <c r="AH41" s="40"/>
      <c r="AI41" s="18"/>
      <c r="AJ41" s="15">
        <f t="shared" si="7"/>
        <v>12</v>
      </c>
      <c r="AK41" s="15">
        <f t="shared" si="9"/>
        <v>0</v>
      </c>
      <c r="AL41" s="38"/>
      <c r="AM41" s="18">
        <v>1</v>
      </c>
    </row>
    <row r="42" spans="1:39" x14ac:dyDescent="0.3">
      <c r="A42" s="10">
        <v>2024</v>
      </c>
      <c r="B42" s="10" t="s">
        <v>180</v>
      </c>
      <c r="C42" s="11">
        <v>45503</v>
      </c>
      <c r="D42" s="12" t="s">
        <v>41</v>
      </c>
      <c r="E42" s="12" t="s">
        <v>41</v>
      </c>
      <c r="F42" s="10" t="s">
        <v>53</v>
      </c>
      <c r="G42" s="10" t="s">
        <v>64</v>
      </c>
      <c r="H42" s="18" t="s">
        <v>47</v>
      </c>
      <c r="I42" s="13" t="s">
        <v>100</v>
      </c>
      <c r="J42" s="13">
        <v>5158596</v>
      </c>
      <c r="K42" s="10"/>
      <c r="L42" s="10"/>
      <c r="M42" s="13">
        <v>182988</v>
      </c>
      <c r="N42" s="13">
        <v>30240</v>
      </c>
      <c r="O42" s="15">
        <v>30547</v>
      </c>
      <c r="P42" s="16">
        <v>30532</v>
      </c>
      <c r="Q42" s="14">
        <v>30450</v>
      </c>
      <c r="R42" s="15">
        <f t="shared" si="6"/>
        <v>-97</v>
      </c>
      <c r="S42" s="15">
        <f t="shared" si="1"/>
        <v>210</v>
      </c>
      <c r="T42" s="17">
        <f t="shared" si="2"/>
        <v>6.9444444444444198E-3</v>
      </c>
      <c r="U42" s="17">
        <f t="shared" si="3"/>
        <v>-3.175434576226821E-3</v>
      </c>
      <c r="V42" s="84" t="s">
        <v>54</v>
      </c>
      <c r="W42" s="10">
        <v>160</v>
      </c>
      <c r="X42" s="10">
        <v>118</v>
      </c>
      <c r="Y42" s="69"/>
      <c r="Z42" s="10">
        <v>5</v>
      </c>
      <c r="AA42" s="10">
        <v>68</v>
      </c>
      <c r="AB42" s="69"/>
      <c r="AC42" s="10">
        <v>65</v>
      </c>
      <c r="AD42" s="16"/>
      <c r="AE42" s="10">
        <v>1</v>
      </c>
      <c r="AF42" s="16"/>
      <c r="AG42" s="40"/>
      <c r="AH42" s="40"/>
      <c r="AI42" s="18"/>
      <c r="AJ42" s="15">
        <f t="shared" si="7"/>
        <v>257</v>
      </c>
      <c r="AK42" s="15">
        <f t="shared" si="9"/>
        <v>160</v>
      </c>
      <c r="AL42" s="10" t="s">
        <v>93</v>
      </c>
      <c r="AM42" s="18">
        <v>1</v>
      </c>
    </row>
    <row r="43" spans="1:39" x14ac:dyDescent="0.3">
      <c r="A43" s="10">
        <v>2024</v>
      </c>
      <c r="B43" s="10" t="s">
        <v>180</v>
      </c>
      <c r="C43" s="11">
        <v>45503</v>
      </c>
      <c r="D43" s="12" t="s">
        <v>41</v>
      </c>
      <c r="E43" s="12" t="s">
        <v>41</v>
      </c>
      <c r="F43" s="10" t="s">
        <v>53</v>
      </c>
      <c r="G43" s="10" t="s">
        <v>64</v>
      </c>
      <c r="H43" s="18" t="s">
        <v>47</v>
      </c>
      <c r="I43" s="13" t="s">
        <v>101</v>
      </c>
      <c r="J43" s="13">
        <v>5158587</v>
      </c>
      <c r="K43" s="10"/>
      <c r="L43" s="10"/>
      <c r="M43" s="13">
        <v>182990</v>
      </c>
      <c r="N43" s="13">
        <v>4212</v>
      </c>
      <c r="O43" s="15">
        <v>4275</v>
      </c>
      <c r="P43" s="16">
        <v>4273</v>
      </c>
      <c r="Q43" s="14">
        <v>4194</v>
      </c>
      <c r="R43" s="15">
        <f t="shared" si="6"/>
        <v>-81</v>
      </c>
      <c r="S43" s="15">
        <f t="shared" si="1"/>
        <v>-18</v>
      </c>
      <c r="T43" s="17">
        <f t="shared" si="2"/>
        <v>-4.2735042735042583E-3</v>
      </c>
      <c r="U43" s="17">
        <f t="shared" si="3"/>
        <v>-1.8947368421052602E-2</v>
      </c>
      <c r="V43" s="84" t="s">
        <v>54</v>
      </c>
      <c r="W43" s="10">
        <v>76</v>
      </c>
      <c r="X43" s="10">
        <v>88</v>
      </c>
      <c r="Y43" s="40"/>
      <c r="Z43" s="10">
        <v>13</v>
      </c>
      <c r="AA43" s="10">
        <v>33</v>
      </c>
      <c r="AB43" s="40"/>
      <c r="AC43" s="10">
        <v>20</v>
      </c>
      <c r="AD43" s="16"/>
      <c r="AE43" s="10">
        <v>3</v>
      </c>
      <c r="AF43" s="15"/>
      <c r="AG43" s="18"/>
      <c r="AH43" s="18"/>
      <c r="AI43" s="18"/>
      <c r="AJ43" s="15">
        <f t="shared" si="7"/>
        <v>157</v>
      </c>
      <c r="AK43" s="15">
        <f t="shared" si="9"/>
        <v>76</v>
      </c>
      <c r="AL43" s="10" t="s">
        <v>93</v>
      </c>
      <c r="AM43" s="18">
        <v>1</v>
      </c>
    </row>
    <row r="44" spans="1:39" x14ac:dyDescent="0.3">
      <c r="A44" s="38">
        <v>2024</v>
      </c>
      <c r="B44" s="10" t="s">
        <v>180</v>
      </c>
      <c r="C44" s="11">
        <v>45503</v>
      </c>
      <c r="D44" s="12" t="s">
        <v>41</v>
      </c>
      <c r="E44" s="12" t="s">
        <v>41</v>
      </c>
      <c r="F44" s="10" t="s">
        <v>53</v>
      </c>
      <c r="G44" s="10" t="s">
        <v>64</v>
      </c>
      <c r="H44" s="18" t="s">
        <v>47</v>
      </c>
      <c r="I44" s="10" t="s">
        <v>102</v>
      </c>
      <c r="J44" s="39">
        <v>5158041</v>
      </c>
      <c r="K44" s="40"/>
      <c r="L44" s="41"/>
      <c r="M44" s="10">
        <v>182765</v>
      </c>
      <c r="N44" s="10">
        <v>21600</v>
      </c>
      <c r="O44" s="16">
        <v>21811</v>
      </c>
      <c r="P44" s="16">
        <v>21756</v>
      </c>
      <c r="Q44" s="16">
        <v>21420</v>
      </c>
      <c r="R44" s="15">
        <f t="shared" si="6"/>
        <v>-391</v>
      </c>
      <c r="S44" s="15">
        <f t="shared" si="1"/>
        <v>-180</v>
      </c>
      <c r="T44" s="17">
        <f t="shared" si="2"/>
        <v>-8.3333333333333037E-3</v>
      </c>
      <c r="U44" s="17">
        <f t="shared" si="3"/>
        <v>-1.7926734216679674E-2</v>
      </c>
      <c r="V44" s="84" t="s">
        <v>54</v>
      </c>
      <c r="W44" s="69">
        <v>0</v>
      </c>
      <c r="X44" s="69">
        <v>151</v>
      </c>
      <c r="Y44" s="69"/>
      <c r="Z44" s="69">
        <v>0</v>
      </c>
      <c r="AA44" s="69">
        <v>135</v>
      </c>
      <c r="AB44" s="69"/>
      <c r="AC44" s="69">
        <v>102</v>
      </c>
      <c r="AD44" s="16"/>
      <c r="AE44" s="10">
        <v>3</v>
      </c>
      <c r="AF44" s="16"/>
      <c r="AG44" s="40"/>
      <c r="AH44" s="40"/>
      <c r="AI44" s="18"/>
      <c r="AJ44" s="15">
        <f t="shared" si="7"/>
        <v>391</v>
      </c>
      <c r="AK44" s="15">
        <f t="shared" si="9"/>
        <v>0</v>
      </c>
      <c r="AL44" s="10" t="s">
        <v>93</v>
      </c>
      <c r="AM44" s="18">
        <v>1</v>
      </c>
    </row>
    <row r="45" spans="1:39" x14ac:dyDescent="0.3">
      <c r="A45" s="38">
        <v>2024</v>
      </c>
      <c r="B45" s="10" t="s">
        <v>180</v>
      </c>
      <c r="C45" s="11">
        <v>45503</v>
      </c>
      <c r="D45" s="12" t="s">
        <v>41</v>
      </c>
      <c r="E45" s="12" t="s">
        <v>41</v>
      </c>
      <c r="F45" s="10" t="s">
        <v>53</v>
      </c>
      <c r="G45" s="10" t="s">
        <v>64</v>
      </c>
      <c r="H45" s="18" t="s">
        <v>47</v>
      </c>
      <c r="I45" s="10" t="s">
        <v>103</v>
      </c>
      <c r="J45" s="39">
        <v>5158599</v>
      </c>
      <c r="K45" s="40"/>
      <c r="L45" s="41"/>
      <c r="M45" s="10">
        <v>182979</v>
      </c>
      <c r="N45" s="10">
        <v>12420</v>
      </c>
      <c r="O45" s="16">
        <v>12563</v>
      </c>
      <c r="P45" s="16">
        <v>12563</v>
      </c>
      <c r="Q45" s="16">
        <v>12399</v>
      </c>
      <c r="R45" s="15">
        <f t="shared" si="6"/>
        <v>-164</v>
      </c>
      <c r="S45" s="15">
        <f t="shared" si="1"/>
        <v>-21</v>
      </c>
      <c r="T45" s="17">
        <f t="shared" si="2"/>
        <v>-1.6908212560386993E-3</v>
      </c>
      <c r="U45" s="17">
        <f t="shared" si="3"/>
        <v>-1.3054206797739387E-2</v>
      </c>
      <c r="V45" s="84" t="s">
        <v>54</v>
      </c>
      <c r="W45" s="69">
        <v>7</v>
      </c>
      <c r="X45" s="69">
        <v>85</v>
      </c>
      <c r="Y45" s="69"/>
      <c r="Z45" s="69">
        <v>28</v>
      </c>
      <c r="AA45" s="69">
        <v>25</v>
      </c>
      <c r="AB45" s="69"/>
      <c r="AC45" s="69">
        <v>30</v>
      </c>
      <c r="AD45" s="16"/>
      <c r="AE45" s="10">
        <v>3</v>
      </c>
      <c r="AF45" s="16"/>
      <c r="AG45" s="40"/>
      <c r="AH45" s="40"/>
      <c r="AI45" s="18"/>
      <c r="AJ45" s="15">
        <f t="shared" si="7"/>
        <v>171</v>
      </c>
      <c r="AK45" s="15">
        <f t="shared" si="9"/>
        <v>7</v>
      </c>
      <c r="AL45" s="10" t="s">
        <v>104</v>
      </c>
      <c r="AM45" s="18">
        <v>1</v>
      </c>
    </row>
    <row r="46" spans="1:39" x14ac:dyDescent="0.3">
      <c r="A46" s="38">
        <v>2024</v>
      </c>
      <c r="B46" s="10" t="s">
        <v>180</v>
      </c>
      <c r="C46" s="11">
        <v>45503</v>
      </c>
      <c r="D46" s="12" t="s">
        <v>41</v>
      </c>
      <c r="E46" s="12" t="s">
        <v>41</v>
      </c>
      <c r="F46" s="10" t="s">
        <v>53</v>
      </c>
      <c r="G46" s="10" t="s">
        <v>64</v>
      </c>
      <c r="H46" s="18" t="s">
        <v>47</v>
      </c>
      <c r="I46" s="10" t="s">
        <v>103</v>
      </c>
      <c r="J46" s="39">
        <v>5158599</v>
      </c>
      <c r="K46" s="40"/>
      <c r="L46" s="41"/>
      <c r="M46" s="10">
        <v>182980</v>
      </c>
      <c r="N46" s="10">
        <v>1080</v>
      </c>
      <c r="O46" s="16">
        <v>1091</v>
      </c>
      <c r="P46" s="16">
        <v>1092</v>
      </c>
      <c r="Q46" s="16">
        <v>1089</v>
      </c>
      <c r="R46" s="15">
        <f t="shared" si="6"/>
        <v>-2</v>
      </c>
      <c r="S46" s="15">
        <f t="shared" si="1"/>
        <v>9</v>
      </c>
      <c r="T46" s="17">
        <f t="shared" si="2"/>
        <v>8.3333333333333037E-3</v>
      </c>
      <c r="U46" s="17">
        <f t="shared" si="3"/>
        <v>-1.8331805682859637E-3</v>
      </c>
      <c r="V46" s="42"/>
      <c r="W46" s="69">
        <v>1</v>
      </c>
      <c r="X46" s="69">
        <v>0</v>
      </c>
      <c r="Y46" s="69"/>
      <c r="Z46" s="69">
        <v>2</v>
      </c>
      <c r="AA46" s="69">
        <v>1</v>
      </c>
      <c r="AB46" s="69"/>
      <c r="AC46" s="69">
        <v>0</v>
      </c>
      <c r="AD46" s="16"/>
      <c r="AE46" s="10">
        <v>0</v>
      </c>
      <c r="AF46" s="16"/>
      <c r="AG46" s="40"/>
      <c r="AH46" s="40"/>
      <c r="AI46" s="18"/>
      <c r="AJ46" s="15">
        <f t="shared" si="7"/>
        <v>3</v>
      </c>
      <c r="AK46" s="15">
        <f t="shared" si="9"/>
        <v>1</v>
      </c>
      <c r="AL46" s="38"/>
      <c r="AM46" s="18">
        <v>1</v>
      </c>
    </row>
    <row r="47" spans="1:39" x14ac:dyDescent="0.3">
      <c r="A47" s="38">
        <v>2024</v>
      </c>
      <c r="B47" s="10" t="s">
        <v>180</v>
      </c>
      <c r="C47" s="11">
        <v>45503</v>
      </c>
      <c r="D47" s="12" t="s">
        <v>41</v>
      </c>
      <c r="E47" s="12" t="s">
        <v>41</v>
      </c>
      <c r="F47" s="10" t="s">
        <v>53</v>
      </c>
      <c r="G47" s="10" t="s">
        <v>64</v>
      </c>
      <c r="H47" s="18" t="s">
        <v>47</v>
      </c>
      <c r="I47" s="10" t="s">
        <v>105</v>
      </c>
      <c r="J47" s="39">
        <v>5158585</v>
      </c>
      <c r="K47" s="40"/>
      <c r="L47" s="41"/>
      <c r="M47" s="10">
        <v>182986</v>
      </c>
      <c r="N47" s="10">
        <v>2952</v>
      </c>
      <c r="O47" s="16">
        <v>2955</v>
      </c>
      <c r="P47" s="16">
        <v>2952</v>
      </c>
      <c r="Q47" s="16">
        <v>2949</v>
      </c>
      <c r="R47" s="15">
        <f t="shared" si="6"/>
        <v>-6</v>
      </c>
      <c r="S47" s="15">
        <f t="shared" si="1"/>
        <v>-3</v>
      </c>
      <c r="T47" s="17">
        <f t="shared" si="2"/>
        <v>-1.0162601626015899E-3</v>
      </c>
      <c r="U47" s="17">
        <f t="shared" si="3"/>
        <v>-2.0304568527919065E-3</v>
      </c>
      <c r="V47" s="42"/>
      <c r="W47" s="69">
        <v>0</v>
      </c>
      <c r="X47" s="69">
        <v>1</v>
      </c>
      <c r="Y47" s="69"/>
      <c r="Z47" s="69">
        <v>4</v>
      </c>
      <c r="AA47" s="69">
        <v>0</v>
      </c>
      <c r="AB47" s="69"/>
      <c r="AC47" s="69">
        <v>0</v>
      </c>
      <c r="AD47" s="16"/>
      <c r="AE47" s="10">
        <v>1</v>
      </c>
      <c r="AF47" s="16"/>
      <c r="AG47" s="40"/>
      <c r="AH47" s="40"/>
      <c r="AI47" s="18"/>
      <c r="AJ47" s="15">
        <f t="shared" ref="AJ47:AJ106" si="10">SUM(X47:AI47)</f>
        <v>6</v>
      </c>
      <c r="AK47" s="15">
        <f t="shared" si="9"/>
        <v>0</v>
      </c>
      <c r="AL47" s="38"/>
      <c r="AM47" s="18">
        <v>1</v>
      </c>
    </row>
    <row r="48" spans="1:39" x14ac:dyDescent="0.3">
      <c r="A48" s="43">
        <v>2024</v>
      </c>
      <c r="B48" s="24" t="s">
        <v>180</v>
      </c>
      <c r="C48" s="25">
        <v>45503</v>
      </c>
      <c r="D48" s="26" t="s">
        <v>41</v>
      </c>
      <c r="E48" s="26" t="s">
        <v>41</v>
      </c>
      <c r="F48" s="24" t="s">
        <v>53</v>
      </c>
      <c r="G48" s="24" t="s">
        <v>64</v>
      </c>
      <c r="H48" s="27" t="s">
        <v>47</v>
      </c>
      <c r="I48" s="24" t="s">
        <v>106</v>
      </c>
      <c r="J48" s="44">
        <v>5158589</v>
      </c>
      <c r="K48" s="45"/>
      <c r="L48" s="46"/>
      <c r="M48" s="24">
        <v>182987</v>
      </c>
      <c r="N48" s="24">
        <v>1800</v>
      </c>
      <c r="O48" s="47">
        <v>1803</v>
      </c>
      <c r="P48" s="47">
        <v>1803</v>
      </c>
      <c r="Q48" s="47">
        <v>1798</v>
      </c>
      <c r="R48" s="48">
        <f t="shared" si="6"/>
        <v>-5</v>
      </c>
      <c r="S48" s="48">
        <f t="shared" si="1"/>
        <v>-2</v>
      </c>
      <c r="T48" s="49">
        <f t="shared" si="2"/>
        <v>-1.1111111111110628E-3</v>
      </c>
      <c r="U48" s="49">
        <f t="shared" si="3"/>
        <v>-2.7731558513588439E-3</v>
      </c>
      <c r="V48" s="50"/>
      <c r="W48" s="73">
        <v>0</v>
      </c>
      <c r="X48" s="73">
        <v>0</v>
      </c>
      <c r="Y48" s="73"/>
      <c r="Z48" s="73">
        <v>4</v>
      </c>
      <c r="AA48" s="73">
        <v>0</v>
      </c>
      <c r="AB48" s="73"/>
      <c r="AC48" s="73">
        <v>0</v>
      </c>
      <c r="AD48" s="47"/>
      <c r="AE48" s="24">
        <v>1</v>
      </c>
      <c r="AF48" s="47"/>
      <c r="AG48" s="45"/>
      <c r="AH48" s="45"/>
      <c r="AI48" s="27"/>
      <c r="AJ48" s="48">
        <f t="shared" si="10"/>
        <v>5</v>
      </c>
      <c r="AK48" s="48">
        <f t="shared" si="9"/>
        <v>0</v>
      </c>
      <c r="AL48" s="43"/>
      <c r="AM48" s="27">
        <v>1</v>
      </c>
    </row>
    <row r="49" spans="1:39" x14ac:dyDescent="0.3">
      <c r="A49" s="38">
        <v>2024</v>
      </c>
      <c r="B49" s="10" t="s">
        <v>180</v>
      </c>
      <c r="C49" s="11">
        <v>45503</v>
      </c>
      <c r="D49" s="12" t="s">
        <v>41</v>
      </c>
      <c r="E49" s="12" t="s">
        <v>41</v>
      </c>
      <c r="F49" s="10" t="s">
        <v>53</v>
      </c>
      <c r="G49" s="10" t="s">
        <v>64</v>
      </c>
      <c r="H49" s="18" t="s">
        <v>47</v>
      </c>
      <c r="I49" s="10" t="s">
        <v>107</v>
      </c>
      <c r="J49" s="39">
        <v>5158600</v>
      </c>
      <c r="K49" s="40"/>
      <c r="L49" s="41"/>
      <c r="M49" s="10">
        <v>182991</v>
      </c>
      <c r="N49" s="10">
        <v>2484</v>
      </c>
      <c r="O49" s="16">
        <v>2484</v>
      </c>
      <c r="P49" s="16">
        <v>2484</v>
      </c>
      <c r="Q49" s="16">
        <v>2469</v>
      </c>
      <c r="R49" s="15">
        <f t="shared" si="6"/>
        <v>-15</v>
      </c>
      <c r="S49" s="15">
        <f t="shared" si="1"/>
        <v>-15</v>
      </c>
      <c r="T49" s="17">
        <f t="shared" si="2"/>
        <v>-6.0386473429951959E-3</v>
      </c>
      <c r="U49" s="17">
        <f t="shared" si="3"/>
        <v>-6.0386473429951959E-3</v>
      </c>
      <c r="V49" s="38" t="s">
        <v>96</v>
      </c>
      <c r="W49" s="69">
        <v>0</v>
      </c>
      <c r="X49" s="69">
        <v>2</v>
      </c>
      <c r="Y49" s="69"/>
      <c r="Z49" s="69">
        <v>11</v>
      </c>
      <c r="AA49" s="69">
        <v>0</v>
      </c>
      <c r="AB49" s="69"/>
      <c r="AC49" s="69">
        <v>1</v>
      </c>
      <c r="AD49" s="16"/>
      <c r="AE49" s="10">
        <v>1</v>
      </c>
      <c r="AF49" s="16"/>
      <c r="AG49" s="40"/>
      <c r="AH49" s="40"/>
      <c r="AI49" s="18"/>
      <c r="AJ49" s="15">
        <f t="shared" si="10"/>
        <v>15</v>
      </c>
      <c r="AK49" s="15">
        <f t="shared" si="9"/>
        <v>0</v>
      </c>
      <c r="AL49" s="38"/>
      <c r="AM49" s="18">
        <v>1</v>
      </c>
    </row>
    <row r="50" spans="1:39" x14ac:dyDescent="0.3">
      <c r="A50" s="38">
        <v>2024</v>
      </c>
      <c r="B50" s="10" t="s">
        <v>180</v>
      </c>
      <c r="C50" s="11">
        <v>45503</v>
      </c>
      <c r="D50" s="12" t="s">
        <v>41</v>
      </c>
      <c r="E50" s="12" t="s">
        <v>41</v>
      </c>
      <c r="F50" s="10" t="s">
        <v>53</v>
      </c>
      <c r="G50" s="10" t="s">
        <v>64</v>
      </c>
      <c r="H50" s="18" t="s">
        <v>47</v>
      </c>
      <c r="I50" s="10" t="s">
        <v>108</v>
      </c>
      <c r="J50" s="39">
        <v>5158616</v>
      </c>
      <c r="K50" s="40"/>
      <c r="L50" s="41"/>
      <c r="M50" s="10">
        <v>182992</v>
      </c>
      <c r="N50" s="10">
        <v>1224</v>
      </c>
      <c r="O50" s="16">
        <v>1225</v>
      </c>
      <c r="P50" s="16">
        <v>1224</v>
      </c>
      <c r="Q50" s="16">
        <v>1224</v>
      </c>
      <c r="R50" s="15">
        <f t="shared" si="6"/>
        <v>-1</v>
      </c>
      <c r="S50" s="15">
        <f t="shared" si="1"/>
        <v>0</v>
      </c>
      <c r="T50" s="17">
        <f t="shared" si="2"/>
        <v>0</v>
      </c>
      <c r="U50" s="17">
        <f t="shared" si="3"/>
        <v>-8.1632653061225469E-4</v>
      </c>
      <c r="V50" s="42"/>
      <c r="W50" s="69">
        <v>0</v>
      </c>
      <c r="X50" s="69">
        <v>0</v>
      </c>
      <c r="Y50" s="69"/>
      <c r="Z50" s="69">
        <v>0</v>
      </c>
      <c r="AA50" s="69">
        <v>0</v>
      </c>
      <c r="AB50" s="69"/>
      <c r="AC50" s="69">
        <v>0</v>
      </c>
      <c r="AD50" s="16"/>
      <c r="AE50" s="10">
        <v>1</v>
      </c>
      <c r="AF50" s="16"/>
      <c r="AG50" s="40"/>
      <c r="AH50" s="40"/>
      <c r="AI50" s="18"/>
      <c r="AJ50" s="15">
        <f t="shared" si="10"/>
        <v>1</v>
      </c>
      <c r="AK50" s="15">
        <f t="shared" si="9"/>
        <v>0</v>
      </c>
      <c r="AL50" s="38"/>
      <c r="AM50" s="18">
        <v>1</v>
      </c>
    </row>
    <row r="51" spans="1:39" x14ac:dyDescent="0.3">
      <c r="A51" s="38">
        <v>2024</v>
      </c>
      <c r="B51" s="10" t="s">
        <v>180</v>
      </c>
      <c r="C51" s="11">
        <v>45503</v>
      </c>
      <c r="D51" s="12" t="s">
        <v>41</v>
      </c>
      <c r="E51" s="12" t="s">
        <v>41</v>
      </c>
      <c r="F51" s="10" t="s">
        <v>53</v>
      </c>
      <c r="G51" s="10" t="s">
        <v>64</v>
      </c>
      <c r="H51" s="18" t="s">
        <v>47</v>
      </c>
      <c r="I51" s="10" t="s">
        <v>109</v>
      </c>
      <c r="J51" s="39">
        <v>5157977</v>
      </c>
      <c r="K51" s="40"/>
      <c r="L51" s="41"/>
      <c r="M51" s="10">
        <v>182993</v>
      </c>
      <c r="N51" s="10">
        <v>11232</v>
      </c>
      <c r="O51" s="16">
        <v>11241</v>
      </c>
      <c r="P51" s="16">
        <v>11239</v>
      </c>
      <c r="Q51" s="16">
        <v>11232</v>
      </c>
      <c r="R51" s="15">
        <f t="shared" si="6"/>
        <v>-9</v>
      </c>
      <c r="S51" s="15">
        <f t="shared" si="1"/>
        <v>0</v>
      </c>
      <c r="T51" s="17">
        <f t="shared" si="2"/>
        <v>0</v>
      </c>
      <c r="U51" s="17">
        <f t="shared" si="3"/>
        <v>-8.0064051240991141E-4</v>
      </c>
      <c r="V51" s="42"/>
      <c r="W51" s="69">
        <v>20</v>
      </c>
      <c r="X51" s="69">
        <v>18</v>
      </c>
      <c r="Y51" s="69"/>
      <c r="Z51" s="69">
        <v>2</v>
      </c>
      <c r="AA51" s="69">
        <v>4</v>
      </c>
      <c r="AB51" s="69"/>
      <c r="AC51" s="69">
        <v>3</v>
      </c>
      <c r="AD51" s="16"/>
      <c r="AE51" s="10">
        <v>2</v>
      </c>
      <c r="AF51" s="16"/>
      <c r="AG51" s="40"/>
      <c r="AH51" s="40"/>
      <c r="AI51" s="18"/>
      <c r="AJ51" s="15">
        <f t="shared" si="10"/>
        <v>29</v>
      </c>
      <c r="AK51" s="15">
        <f t="shared" si="9"/>
        <v>20</v>
      </c>
      <c r="AL51" s="10" t="s">
        <v>93</v>
      </c>
      <c r="AM51" s="18">
        <v>1</v>
      </c>
    </row>
    <row r="52" spans="1:39" x14ac:dyDescent="0.3">
      <c r="A52" s="38">
        <v>2024</v>
      </c>
      <c r="B52" s="10" t="s">
        <v>180</v>
      </c>
      <c r="C52" s="11">
        <v>45503</v>
      </c>
      <c r="D52" s="12" t="s">
        <v>41</v>
      </c>
      <c r="E52" s="12" t="s">
        <v>41</v>
      </c>
      <c r="F52" s="10" t="s">
        <v>53</v>
      </c>
      <c r="G52" s="10" t="s">
        <v>64</v>
      </c>
      <c r="H52" s="18" t="s">
        <v>47</v>
      </c>
      <c r="I52" s="10" t="s">
        <v>110</v>
      </c>
      <c r="J52" s="39">
        <v>5158004</v>
      </c>
      <c r="K52" s="40"/>
      <c r="L52" s="41"/>
      <c r="M52" s="10">
        <v>182994</v>
      </c>
      <c r="N52" s="10">
        <v>3672</v>
      </c>
      <c r="O52" s="16">
        <v>3681</v>
      </c>
      <c r="P52" s="16">
        <v>3675</v>
      </c>
      <c r="Q52" s="16">
        <v>3648</v>
      </c>
      <c r="R52" s="15">
        <f t="shared" si="6"/>
        <v>-33</v>
      </c>
      <c r="S52" s="15">
        <f t="shared" si="1"/>
        <v>-24</v>
      </c>
      <c r="T52" s="17">
        <f t="shared" si="2"/>
        <v>-6.5359477124182774E-3</v>
      </c>
      <c r="U52" s="17">
        <f t="shared" si="3"/>
        <v>-8.9649551752241097E-3</v>
      </c>
      <c r="V52" s="38" t="s">
        <v>96</v>
      </c>
      <c r="W52" s="69">
        <v>0</v>
      </c>
      <c r="X52" s="69">
        <v>29</v>
      </c>
      <c r="Y52" s="69"/>
      <c r="Z52" s="69">
        <v>0</v>
      </c>
      <c r="AA52" s="69">
        <v>0</v>
      </c>
      <c r="AB52" s="69"/>
      <c r="AC52" s="69">
        <v>1</v>
      </c>
      <c r="AD52" s="16"/>
      <c r="AE52" s="10">
        <v>3</v>
      </c>
      <c r="AF52" s="16"/>
      <c r="AG52" s="40"/>
      <c r="AH52" s="40"/>
      <c r="AI52" s="18"/>
      <c r="AJ52" s="15">
        <f t="shared" si="10"/>
        <v>33</v>
      </c>
      <c r="AK52" s="15">
        <f t="shared" si="9"/>
        <v>0</v>
      </c>
      <c r="AL52" s="10" t="s">
        <v>111</v>
      </c>
      <c r="AM52" s="18">
        <v>1</v>
      </c>
    </row>
    <row r="53" spans="1:39" x14ac:dyDescent="0.3">
      <c r="A53" s="38">
        <v>2024</v>
      </c>
      <c r="B53" s="10" t="s">
        <v>180</v>
      </c>
      <c r="C53" s="11">
        <v>45503</v>
      </c>
      <c r="D53" s="12" t="s">
        <v>41</v>
      </c>
      <c r="E53" s="12" t="s">
        <v>41</v>
      </c>
      <c r="F53" s="10" t="s">
        <v>53</v>
      </c>
      <c r="G53" s="10" t="s">
        <v>64</v>
      </c>
      <c r="H53" s="18" t="s">
        <v>47</v>
      </c>
      <c r="I53" s="10" t="s">
        <v>112</v>
      </c>
      <c r="J53" s="39">
        <v>5157983</v>
      </c>
      <c r="K53" s="40"/>
      <c r="L53" s="41"/>
      <c r="M53" s="10">
        <v>182995</v>
      </c>
      <c r="N53" s="10">
        <v>4968</v>
      </c>
      <c r="O53" s="16">
        <v>4977</v>
      </c>
      <c r="P53" s="16">
        <v>4977</v>
      </c>
      <c r="Q53" s="16">
        <v>4926</v>
      </c>
      <c r="R53" s="15">
        <f t="shared" si="6"/>
        <v>-51</v>
      </c>
      <c r="S53" s="15">
        <f t="shared" si="1"/>
        <v>-42</v>
      </c>
      <c r="T53" s="17">
        <f t="shared" si="2"/>
        <v>-8.4541062801932743E-3</v>
      </c>
      <c r="U53" s="17">
        <f t="shared" si="3"/>
        <v>-1.024713682941536E-2</v>
      </c>
      <c r="V53" s="84" t="s">
        <v>54</v>
      </c>
      <c r="W53" s="69">
        <v>33</v>
      </c>
      <c r="X53" s="69">
        <v>47</v>
      </c>
      <c r="Y53" s="69"/>
      <c r="Z53" s="69">
        <v>1</v>
      </c>
      <c r="AA53" s="69">
        <v>18</v>
      </c>
      <c r="AB53" s="69"/>
      <c r="AC53" s="69">
        <v>15</v>
      </c>
      <c r="AD53" s="16"/>
      <c r="AE53" s="10">
        <v>3</v>
      </c>
      <c r="AF53" s="16"/>
      <c r="AG53" s="40"/>
      <c r="AH53" s="40"/>
      <c r="AI53" s="18"/>
      <c r="AJ53" s="15">
        <f t="shared" si="10"/>
        <v>84</v>
      </c>
      <c r="AK53" s="15">
        <f t="shared" si="9"/>
        <v>33</v>
      </c>
      <c r="AL53" s="10" t="s">
        <v>93</v>
      </c>
      <c r="AM53" s="18">
        <v>1</v>
      </c>
    </row>
    <row r="54" spans="1:39" x14ac:dyDescent="0.3">
      <c r="A54" s="38">
        <v>2024</v>
      </c>
      <c r="B54" s="10" t="s">
        <v>180</v>
      </c>
      <c r="C54" s="11">
        <v>45503</v>
      </c>
      <c r="D54" s="12" t="s">
        <v>41</v>
      </c>
      <c r="E54" s="12" t="s">
        <v>41</v>
      </c>
      <c r="F54" s="10" t="s">
        <v>53</v>
      </c>
      <c r="G54" s="10" t="s">
        <v>64</v>
      </c>
      <c r="H54" s="18" t="s">
        <v>47</v>
      </c>
      <c r="I54" s="10" t="s">
        <v>112</v>
      </c>
      <c r="J54" s="39">
        <v>5157983</v>
      </c>
      <c r="K54" s="40"/>
      <c r="L54" s="41"/>
      <c r="M54" s="10">
        <v>182996</v>
      </c>
      <c r="N54" s="10">
        <v>1188</v>
      </c>
      <c r="O54" s="16">
        <v>1188</v>
      </c>
      <c r="P54" s="16">
        <v>1188</v>
      </c>
      <c r="Q54" s="16">
        <v>1188</v>
      </c>
      <c r="R54" s="15">
        <f t="shared" si="6"/>
        <v>0</v>
      </c>
      <c r="S54" s="15">
        <f t="shared" si="1"/>
        <v>0</v>
      </c>
      <c r="T54" s="17">
        <f t="shared" si="2"/>
        <v>0</v>
      </c>
      <c r="U54" s="17">
        <f t="shared" si="3"/>
        <v>0</v>
      </c>
      <c r="V54" s="42"/>
      <c r="W54" s="69">
        <v>0</v>
      </c>
      <c r="X54" s="69">
        <v>0</v>
      </c>
      <c r="Y54" s="69"/>
      <c r="Z54" s="69">
        <v>0</v>
      </c>
      <c r="AA54" s="69">
        <v>0</v>
      </c>
      <c r="AB54" s="69"/>
      <c r="AC54" s="69">
        <v>0</v>
      </c>
      <c r="AD54" s="16"/>
      <c r="AE54" s="10">
        <v>0</v>
      </c>
      <c r="AF54" s="16"/>
      <c r="AG54" s="40"/>
      <c r="AH54" s="40"/>
      <c r="AI54" s="18"/>
      <c r="AJ54" s="15">
        <f t="shared" si="10"/>
        <v>0</v>
      </c>
      <c r="AK54" s="15">
        <f t="shared" si="9"/>
        <v>0</v>
      </c>
      <c r="AL54" s="38"/>
      <c r="AM54" s="18">
        <v>1</v>
      </c>
    </row>
    <row r="55" spans="1:39" x14ac:dyDescent="0.3">
      <c r="A55" s="38">
        <v>2024</v>
      </c>
      <c r="B55" s="10" t="s">
        <v>180</v>
      </c>
      <c r="C55" s="11">
        <v>45503</v>
      </c>
      <c r="D55" s="12" t="s">
        <v>41</v>
      </c>
      <c r="E55" s="12" t="s">
        <v>41</v>
      </c>
      <c r="F55" s="10" t="s">
        <v>53</v>
      </c>
      <c r="G55" s="10" t="s">
        <v>64</v>
      </c>
      <c r="H55" s="18" t="s">
        <v>47</v>
      </c>
      <c r="I55" s="10" t="s">
        <v>113</v>
      </c>
      <c r="J55" s="39">
        <v>5157991</v>
      </c>
      <c r="K55" s="40"/>
      <c r="L55" s="41"/>
      <c r="M55" s="10">
        <v>182997</v>
      </c>
      <c r="N55" s="10">
        <v>4536</v>
      </c>
      <c r="O55" s="16">
        <v>4545</v>
      </c>
      <c r="P55" s="16">
        <v>4545</v>
      </c>
      <c r="Q55" s="16">
        <v>4536</v>
      </c>
      <c r="R55" s="15">
        <f t="shared" si="6"/>
        <v>-9</v>
      </c>
      <c r="S55" s="15">
        <f t="shared" si="1"/>
        <v>0</v>
      </c>
      <c r="T55" s="17">
        <f t="shared" si="2"/>
        <v>0</v>
      </c>
      <c r="U55" s="17">
        <f t="shared" si="3"/>
        <v>-1.980198019801982E-3</v>
      </c>
      <c r="V55" s="42"/>
      <c r="W55" s="69">
        <v>38</v>
      </c>
      <c r="X55" s="69">
        <v>26</v>
      </c>
      <c r="Y55" s="69"/>
      <c r="Z55" s="69">
        <v>1</v>
      </c>
      <c r="AA55" s="69">
        <v>11</v>
      </c>
      <c r="AB55" s="69"/>
      <c r="AC55" s="69">
        <v>9</v>
      </c>
      <c r="AD55" s="16"/>
      <c r="AE55" s="10">
        <v>0</v>
      </c>
      <c r="AF55" s="16"/>
      <c r="AG55" s="40"/>
      <c r="AH55" s="40"/>
      <c r="AI55" s="18"/>
      <c r="AJ55" s="15">
        <f t="shared" si="10"/>
        <v>47</v>
      </c>
      <c r="AK55" s="15">
        <f t="shared" si="9"/>
        <v>38</v>
      </c>
      <c r="AL55" s="10" t="s">
        <v>179</v>
      </c>
      <c r="AM55" s="18">
        <v>1</v>
      </c>
    </row>
    <row r="56" spans="1:39" x14ac:dyDescent="0.3">
      <c r="A56" s="38">
        <v>2024</v>
      </c>
      <c r="B56" s="10" t="s">
        <v>180</v>
      </c>
      <c r="C56" s="11">
        <v>45503</v>
      </c>
      <c r="D56" s="12" t="s">
        <v>41</v>
      </c>
      <c r="E56" s="12" t="s">
        <v>41</v>
      </c>
      <c r="F56" s="10" t="s">
        <v>53</v>
      </c>
      <c r="G56" s="10" t="s">
        <v>64</v>
      </c>
      <c r="H56" s="18" t="s">
        <v>47</v>
      </c>
      <c r="I56" s="10" t="s">
        <v>113</v>
      </c>
      <c r="J56" s="39">
        <v>5157991</v>
      </c>
      <c r="K56" s="40"/>
      <c r="L56" s="41"/>
      <c r="M56" s="10">
        <v>182998</v>
      </c>
      <c r="N56" s="10">
        <v>2052</v>
      </c>
      <c r="O56" s="16">
        <v>2052</v>
      </c>
      <c r="P56" s="16">
        <v>2052</v>
      </c>
      <c r="Q56" s="16">
        <v>2052</v>
      </c>
      <c r="R56" s="15">
        <f t="shared" si="6"/>
        <v>0</v>
      </c>
      <c r="S56" s="15">
        <f t="shared" si="1"/>
        <v>0</v>
      </c>
      <c r="T56" s="17">
        <f t="shared" si="2"/>
        <v>0</v>
      </c>
      <c r="U56" s="17">
        <f t="shared" si="3"/>
        <v>0</v>
      </c>
      <c r="V56" s="42"/>
      <c r="W56" s="69">
        <v>22</v>
      </c>
      <c r="X56" s="69">
        <v>4</v>
      </c>
      <c r="Y56" s="69"/>
      <c r="Z56" s="69">
        <v>0</v>
      </c>
      <c r="AA56" s="69">
        <v>11</v>
      </c>
      <c r="AB56" s="69"/>
      <c r="AC56" s="69">
        <v>7</v>
      </c>
      <c r="AD56" s="16"/>
      <c r="AE56" s="10">
        <v>0</v>
      </c>
      <c r="AF56" s="16"/>
      <c r="AG56" s="40"/>
      <c r="AH56" s="40"/>
      <c r="AI56" s="18"/>
      <c r="AJ56" s="15">
        <f t="shared" si="10"/>
        <v>22</v>
      </c>
      <c r="AK56" s="15">
        <f t="shared" si="9"/>
        <v>22</v>
      </c>
      <c r="AL56" s="38"/>
      <c r="AM56" s="18">
        <v>1</v>
      </c>
    </row>
    <row r="57" spans="1:39" x14ac:dyDescent="0.3">
      <c r="A57" s="38">
        <v>2024</v>
      </c>
      <c r="B57" s="10" t="s">
        <v>180</v>
      </c>
      <c r="C57" s="11">
        <v>45503</v>
      </c>
      <c r="D57" s="12" t="s">
        <v>41</v>
      </c>
      <c r="E57" s="12" t="s">
        <v>41</v>
      </c>
      <c r="F57" s="10" t="s">
        <v>53</v>
      </c>
      <c r="G57" s="10" t="s">
        <v>64</v>
      </c>
      <c r="H57" s="18" t="s">
        <v>47</v>
      </c>
      <c r="I57" s="10" t="s">
        <v>114</v>
      </c>
      <c r="J57" s="39">
        <v>5158009</v>
      </c>
      <c r="K57" s="40"/>
      <c r="L57" s="41"/>
      <c r="M57" s="10">
        <v>183001</v>
      </c>
      <c r="N57" s="10">
        <v>14040</v>
      </c>
      <c r="O57" s="16">
        <v>14045</v>
      </c>
      <c r="P57" s="16">
        <v>14045</v>
      </c>
      <c r="Q57" s="16">
        <v>13953</v>
      </c>
      <c r="R57" s="15">
        <f t="shared" si="6"/>
        <v>-92</v>
      </c>
      <c r="S57" s="15">
        <f t="shared" si="1"/>
        <v>-87</v>
      </c>
      <c r="T57" s="17">
        <f t="shared" si="2"/>
        <v>-6.1965811965811746E-3</v>
      </c>
      <c r="U57" s="17">
        <f t="shared" si="3"/>
        <v>-6.5503737985047605E-3</v>
      </c>
      <c r="V57" s="84" t="s">
        <v>115</v>
      </c>
      <c r="W57" s="69">
        <v>151</v>
      </c>
      <c r="X57" s="69">
        <v>135</v>
      </c>
      <c r="Y57" s="69"/>
      <c r="Z57" s="69">
        <v>18</v>
      </c>
      <c r="AA57" s="69">
        <v>40</v>
      </c>
      <c r="AB57" s="69"/>
      <c r="AC57" s="69">
        <v>47</v>
      </c>
      <c r="AD57" s="16"/>
      <c r="AE57" s="10">
        <v>3</v>
      </c>
      <c r="AF57" s="16"/>
      <c r="AG57" s="40"/>
      <c r="AH57" s="40"/>
      <c r="AI57" s="18"/>
      <c r="AJ57" s="15">
        <f t="shared" si="10"/>
        <v>243</v>
      </c>
      <c r="AK57" s="15">
        <f t="shared" si="9"/>
        <v>151</v>
      </c>
      <c r="AL57" s="10" t="s">
        <v>111</v>
      </c>
      <c r="AM57" s="18">
        <v>1</v>
      </c>
    </row>
    <row r="58" spans="1:39" x14ac:dyDescent="0.3">
      <c r="A58" s="38">
        <v>2024</v>
      </c>
      <c r="B58" s="10" t="s">
        <v>180</v>
      </c>
      <c r="C58" s="11">
        <v>45503</v>
      </c>
      <c r="D58" s="12" t="s">
        <v>41</v>
      </c>
      <c r="E58" s="12" t="s">
        <v>41</v>
      </c>
      <c r="F58" s="10" t="s">
        <v>53</v>
      </c>
      <c r="G58" s="10" t="s">
        <v>64</v>
      </c>
      <c r="H58" s="18" t="s">
        <v>47</v>
      </c>
      <c r="I58" s="10" t="s">
        <v>98</v>
      </c>
      <c r="J58" s="39">
        <v>5158617</v>
      </c>
      <c r="K58" s="40"/>
      <c r="L58" s="41"/>
      <c r="M58" s="10">
        <v>183016</v>
      </c>
      <c r="N58" s="10">
        <v>5184</v>
      </c>
      <c r="O58" s="16">
        <v>5194</v>
      </c>
      <c r="P58" s="16">
        <v>5195</v>
      </c>
      <c r="Q58" s="16">
        <v>5184</v>
      </c>
      <c r="R58" s="15">
        <f t="shared" si="6"/>
        <v>-10</v>
      </c>
      <c r="S58" s="15">
        <f t="shared" si="1"/>
        <v>0</v>
      </c>
      <c r="T58" s="17">
        <f t="shared" si="2"/>
        <v>0</v>
      </c>
      <c r="U58" s="17">
        <f t="shared" si="3"/>
        <v>-1.9252984212553281E-3</v>
      </c>
      <c r="V58" s="42"/>
      <c r="W58" s="69">
        <v>0</v>
      </c>
      <c r="X58" s="69">
        <v>1</v>
      </c>
      <c r="Y58" s="69"/>
      <c r="Z58" s="69">
        <v>4</v>
      </c>
      <c r="AA58" s="69">
        <v>0</v>
      </c>
      <c r="AB58" s="69"/>
      <c r="AC58" s="69">
        <v>2</v>
      </c>
      <c r="AD58" s="16"/>
      <c r="AE58" s="10">
        <v>3</v>
      </c>
      <c r="AF58" s="16"/>
      <c r="AG58" s="40"/>
      <c r="AH58" s="40"/>
      <c r="AI58" s="18"/>
      <c r="AJ58" s="15">
        <f t="shared" si="10"/>
        <v>10</v>
      </c>
      <c r="AK58" s="15">
        <f t="shared" si="9"/>
        <v>0</v>
      </c>
      <c r="AL58" s="38"/>
      <c r="AM58" s="18">
        <v>1</v>
      </c>
    </row>
    <row r="59" spans="1:39" x14ac:dyDescent="0.3">
      <c r="A59" s="38">
        <v>2024</v>
      </c>
      <c r="B59" s="10" t="s">
        <v>180</v>
      </c>
      <c r="C59" s="11">
        <v>45503</v>
      </c>
      <c r="D59" s="12" t="s">
        <v>41</v>
      </c>
      <c r="E59" s="12" t="s">
        <v>41</v>
      </c>
      <c r="F59" s="10" t="s">
        <v>53</v>
      </c>
      <c r="G59" s="10" t="s">
        <v>64</v>
      </c>
      <c r="H59" s="18" t="s">
        <v>47</v>
      </c>
      <c r="I59" s="10" t="s">
        <v>116</v>
      </c>
      <c r="J59" s="39">
        <v>5158608</v>
      </c>
      <c r="K59" s="40"/>
      <c r="L59" s="40"/>
      <c r="M59" s="10">
        <v>183017</v>
      </c>
      <c r="N59" s="10">
        <v>4608</v>
      </c>
      <c r="O59" s="16">
        <v>4619</v>
      </c>
      <c r="P59" s="16">
        <v>4620</v>
      </c>
      <c r="Q59" s="16">
        <v>4608</v>
      </c>
      <c r="R59" s="15">
        <f t="shared" si="6"/>
        <v>-11</v>
      </c>
      <c r="S59" s="15">
        <f t="shared" si="1"/>
        <v>0</v>
      </c>
      <c r="T59" s="17">
        <f t="shared" si="2"/>
        <v>0</v>
      </c>
      <c r="U59" s="17">
        <f t="shared" si="3"/>
        <v>-2.3814678501840048E-3</v>
      </c>
      <c r="V59" s="18"/>
      <c r="W59" s="69">
        <v>0</v>
      </c>
      <c r="X59" s="69">
        <v>2</v>
      </c>
      <c r="Y59" s="40"/>
      <c r="Z59" s="69">
        <v>4</v>
      </c>
      <c r="AA59" s="69">
        <v>0</v>
      </c>
      <c r="AB59" s="40"/>
      <c r="AC59" s="69">
        <v>1</v>
      </c>
      <c r="AD59" s="16"/>
      <c r="AE59" s="10">
        <v>4</v>
      </c>
      <c r="AF59" s="15"/>
      <c r="AG59" s="18"/>
      <c r="AH59" s="18"/>
      <c r="AI59" s="18"/>
      <c r="AJ59" s="15">
        <f t="shared" si="10"/>
        <v>11</v>
      </c>
      <c r="AK59" s="15">
        <f t="shared" si="9"/>
        <v>0</v>
      </c>
      <c r="AL59" s="51"/>
      <c r="AM59" s="18">
        <v>1</v>
      </c>
    </row>
    <row r="60" spans="1:39" x14ac:dyDescent="0.3">
      <c r="A60" s="38">
        <v>2024</v>
      </c>
      <c r="B60" s="10" t="s">
        <v>180</v>
      </c>
      <c r="C60" s="11">
        <v>45503</v>
      </c>
      <c r="D60" s="12" t="s">
        <v>41</v>
      </c>
      <c r="E60" s="12" t="s">
        <v>41</v>
      </c>
      <c r="F60" s="10" t="s">
        <v>53</v>
      </c>
      <c r="G60" s="10" t="s">
        <v>64</v>
      </c>
      <c r="H60" s="18" t="s">
        <v>47</v>
      </c>
      <c r="I60" s="10" t="s">
        <v>117</v>
      </c>
      <c r="J60" s="39">
        <v>5158598</v>
      </c>
      <c r="K60" s="40"/>
      <c r="L60" s="40"/>
      <c r="M60" s="10">
        <v>183018</v>
      </c>
      <c r="N60" s="10">
        <v>12528</v>
      </c>
      <c r="O60" s="16">
        <v>12537</v>
      </c>
      <c r="P60" s="16">
        <v>12536</v>
      </c>
      <c r="Q60" s="16">
        <v>12528</v>
      </c>
      <c r="R60" s="15">
        <f t="shared" si="6"/>
        <v>-9</v>
      </c>
      <c r="S60" s="15">
        <f t="shared" si="1"/>
        <v>0</v>
      </c>
      <c r="T60" s="17">
        <f t="shared" si="2"/>
        <v>0</v>
      </c>
      <c r="U60" s="17">
        <f t="shared" si="3"/>
        <v>-7.1787508973442105E-4</v>
      </c>
      <c r="V60" s="18"/>
      <c r="W60" s="69">
        <v>38</v>
      </c>
      <c r="X60" s="69">
        <v>26</v>
      </c>
      <c r="Y60" s="40"/>
      <c r="Z60" s="69">
        <v>11</v>
      </c>
      <c r="AA60" s="69">
        <v>5</v>
      </c>
      <c r="AB60" s="40"/>
      <c r="AC60" s="69">
        <v>1</v>
      </c>
      <c r="AD60" s="16"/>
      <c r="AE60" s="10">
        <v>4</v>
      </c>
      <c r="AF60" s="15"/>
      <c r="AG60" s="18"/>
      <c r="AH60" s="18"/>
      <c r="AI60" s="18"/>
      <c r="AJ60" s="15">
        <f t="shared" si="10"/>
        <v>47</v>
      </c>
      <c r="AK60" s="15">
        <f t="shared" si="9"/>
        <v>38</v>
      </c>
      <c r="AL60" s="10" t="s">
        <v>111</v>
      </c>
      <c r="AM60" s="18">
        <v>1</v>
      </c>
    </row>
    <row r="61" spans="1:39" x14ac:dyDescent="0.3">
      <c r="A61" s="38">
        <v>2024</v>
      </c>
      <c r="B61" s="10" t="s">
        <v>180</v>
      </c>
      <c r="C61" s="11">
        <v>45503</v>
      </c>
      <c r="D61" s="12" t="s">
        <v>41</v>
      </c>
      <c r="E61" s="12" t="s">
        <v>41</v>
      </c>
      <c r="F61" s="10" t="s">
        <v>53</v>
      </c>
      <c r="G61" s="10" t="s">
        <v>64</v>
      </c>
      <c r="H61" s="18" t="s">
        <v>47</v>
      </c>
      <c r="I61" s="10" t="s">
        <v>118</v>
      </c>
      <c r="J61" s="39">
        <v>5158609</v>
      </c>
      <c r="K61" s="40"/>
      <c r="L61" s="40"/>
      <c r="M61" s="10">
        <v>183019</v>
      </c>
      <c r="N61" s="10">
        <v>12240</v>
      </c>
      <c r="O61" s="16">
        <v>12255</v>
      </c>
      <c r="P61" s="16">
        <v>12255</v>
      </c>
      <c r="Q61" s="16">
        <v>12240</v>
      </c>
      <c r="R61" s="15">
        <f t="shared" si="6"/>
        <v>-15</v>
      </c>
      <c r="S61" s="15">
        <f t="shared" si="1"/>
        <v>0</v>
      </c>
      <c r="T61" s="17">
        <f t="shared" si="2"/>
        <v>0</v>
      </c>
      <c r="U61" s="17">
        <f t="shared" si="3"/>
        <v>-1.223990208078285E-3</v>
      </c>
      <c r="V61" s="10"/>
      <c r="W61" s="69">
        <v>89</v>
      </c>
      <c r="X61" s="69">
        <v>71</v>
      </c>
      <c r="Y61" s="40"/>
      <c r="Z61" s="69">
        <v>1</v>
      </c>
      <c r="AA61" s="69">
        <v>6</v>
      </c>
      <c r="AB61" s="40"/>
      <c r="AC61" s="69">
        <v>22</v>
      </c>
      <c r="AD61" s="40"/>
      <c r="AE61" s="10">
        <v>4</v>
      </c>
      <c r="AF61" s="40"/>
      <c r="AG61" s="40"/>
      <c r="AH61" s="40"/>
      <c r="AI61" s="18"/>
      <c r="AJ61" s="15">
        <f t="shared" si="10"/>
        <v>104</v>
      </c>
      <c r="AK61" s="15">
        <f t="shared" si="9"/>
        <v>89</v>
      </c>
      <c r="AL61" s="10" t="s">
        <v>93</v>
      </c>
      <c r="AM61" s="18">
        <v>1</v>
      </c>
    </row>
    <row r="62" spans="1:39" x14ac:dyDescent="0.3">
      <c r="A62" s="38">
        <v>2024</v>
      </c>
      <c r="B62" s="10" t="s">
        <v>180</v>
      </c>
      <c r="C62" s="11">
        <v>45503</v>
      </c>
      <c r="D62" s="12" t="s">
        <v>41</v>
      </c>
      <c r="E62" s="12" t="s">
        <v>41</v>
      </c>
      <c r="F62" s="10" t="s">
        <v>53</v>
      </c>
      <c r="G62" s="10" t="s">
        <v>64</v>
      </c>
      <c r="H62" s="18" t="s">
        <v>47</v>
      </c>
      <c r="I62" s="10" t="s">
        <v>94</v>
      </c>
      <c r="J62" s="39">
        <v>5158582</v>
      </c>
      <c r="K62" s="40"/>
      <c r="L62" s="40"/>
      <c r="M62" s="18">
        <v>183020</v>
      </c>
      <c r="N62" s="52">
        <v>9648</v>
      </c>
      <c r="O62" s="16">
        <v>9666</v>
      </c>
      <c r="P62" s="16">
        <v>9666</v>
      </c>
      <c r="Q62" s="16">
        <v>9648</v>
      </c>
      <c r="R62" s="15">
        <f t="shared" si="6"/>
        <v>-18</v>
      </c>
      <c r="S62" s="15">
        <f t="shared" si="1"/>
        <v>0</v>
      </c>
      <c r="T62" s="17">
        <f t="shared" si="2"/>
        <v>0</v>
      </c>
      <c r="U62" s="17">
        <f t="shared" si="3"/>
        <v>-1.8621973929237035E-3</v>
      </c>
      <c r="V62" s="10"/>
      <c r="W62" s="69">
        <v>70</v>
      </c>
      <c r="X62" s="69">
        <v>69</v>
      </c>
      <c r="Y62" s="40"/>
      <c r="Z62" s="69">
        <v>5</v>
      </c>
      <c r="AA62" s="69">
        <v>0</v>
      </c>
      <c r="AB62" s="40"/>
      <c r="AC62" s="69">
        <v>10</v>
      </c>
      <c r="AD62" s="40"/>
      <c r="AE62" s="10">
        <v>4</v>
      </c>
      <c r="AF62" s="40"/>
      <c r="AG62" s="40"/>
      <c r="AH62" s="40"/>
      <c r="AI62" s="18"/>
      <c r="AJ62" s="15">
        <f t="shared" si="10"/>
        <v>88</v>
      </c>
      <c r="AK62" s="15">
        <f t="shared" si="9"/>
        <v>70</v>
      </c>
      <c r="AL62" s="10" t="s">
        <v>93</v>
      </c>
      <c r="AM62" s="18">
        <v>1</v>
      </c>
    </row>
    <row r="63" spans="1:39" x14ac:dyDescent="0.3">
      <c r="A63" s="38">
        <v>2024</v>
      </c>
      <c r="B63" s="10" t="s">
        <v>180</v>
      </c>
      <c r="C63" s="11">
        <v>45503</v>
      </c>
      <c r="D63" s="12" t="s">
        <v>41</v>
      </c>
      <c r="E63" s="12" t="s">
        <v>41</v>
      </c>
      <c r="F63" s="10" t="s">
        <v>53</v>
      </c>
      <c r="G63" s="10" t="s">
        <v>64</v>
      </c>
      <c r="H63" s="18" t="s">
        <v>47</v>
      </c>
      <c r="I63" s="10" t="s">
        <v>95</v>
      </c>
      <c r="J63" s="39">
        <v>5158613</v>
      </c>
      <c r="K63" s="40"/>
      <c r="L63" s="41"/>
      <c r="M63" s="10">
        <v>183021</v>
      </c>
      <c r="N63" s="10">
        <v>17856</v>
      </c>
      <c r="O63" s="16">
        <v>17864</v>
      </c>
      <c r="P63" s="16">
        <v>17833</v>
      </c>
      <c r="Q63" s="16">
        <v>17672</v>
      </c>
      <c r="R63" s="15">
        <f t="shared" si="6"/>
        <v>-192</v>
      </c>
      <c r="S63" s="15">
        <f t="shared" si="1"/>
        <v>-184</v>
      </c>
      <c r="T63" s="17">
        <f t="shared" si="2"/>
        <v>-1.0304659498207913E-2</v>
      </c>
      <c r="U63" s="17">
        <f t="shared" si="3"/>
        <v>-1.0747872816838311E-2</v>
      </c>
      <c r="V63" s="84" t="s">
        <v>119</v>
      </c>
      <c r="W63" s="69">
        <v>18</v>
      </c>
      <c r="X63" s="69">
        <v>114</v>
      </c>
      <c r="Y63" s="69"/>
      <c r="Z63" s="69">
        <v>20</v>
      </c>
      <c r="AA63" s="69">
        <v>40</v>
      </c>
      <c r="AB63" s="69"/>
      <c r="AC63" s="69">
        <v>32</v>
      </c>
      <c r="AD63" s="16"/>
      <c r="AE63" s="10">
        <v>4</v>
      </c>
      <c r="AF63" s="16"/>
      <c r="AG63" s="40"/>
      <c r="AH63" s="40"/>
      <c r="AI63" s="18"/>
      <c r="AJ63" s="15">
        <f t="shared" si="10"/>
        <v>210</v>
      </c>
      <c r="AK63" s="15">
        <f t="shared" si="9"/>
        <v>18</v>
      </c>
      <c r="AL63" s="10" t="s">
        <v>93</v>
      </c>
      <c r="AM63" s="18">
        <v>1</v>
      </c>
    </row>
    <row r="64" spans="1:39" x14ac:dyDescent="0.3">
      <c r="A64" s="38">
        <v>2024</v>
      </c>
      <c r="B64" s="10" t="s">
        <v>180</v>
      </c>
      <c r="C64" s="11">
        <v>45503</v>
      </c>
      <c r="D64" s="12" t="s">
        <v>41</v>
      </c>
      <c r="E64" s="12" t="s">
        <v>41</v>
      </c>
      <c r="F64" s="10" t="s">
        <v>53</v>
      </c>
      <c r="G64" s="10" t="s">
        <v>64</v>
      </c>
      <c r="H64" s="18" t="s">
        <v>47</v>
      </c>
      <c r="I64" s="10" t="s">
        <v>97</v>
      </c>
      <c r="J64" s="39">
        <v>5158591</v>
      </c>
      <c r="K64" s="40"/>
      <c r="L64" s="41"/>
      <c r="M64" s="10">
        <v>183022</v>
      </c>
      <c r="N64" s="10">
        <v>8640</v>
      </c>
      <c r="O64" s="16">
        <v>8640</v>
      </c>
      <c r="P64" s="16">
        <v>8640</v>
      </c>
      <c r="Q64" s="16">
        <v>8628</v>
      </c>
      <c r="R64" s="15">
        <f t="shared" si="6"/>
        <v>-12</v>
      </c>
      <c r="S64" s="15">
        <f t="shared" si="1"/>
        <v>-12</v>
      </c>
      <c r="T64" s="17">
        <f t="shared" si="2"/>
        <v>-1.388888888888884E-3</v>
      </c>
      <c r="U64" s="17">
        <f t="shared" si="3"/>
        <v>-1.388888888888884E-3</v>
      </c>
      <c r="V64" s="84" t="s">
        <v>54</v>
      </c>
      <c r="W64" s="69">
        <v>29</v>
      </c>
      <c r="X64" s="69">
        <v>35</v>
      </c>
      <c r="Y64" s="69"/>
      <c r="Z64" s="69">
        <v>2</v>
      </c>
      <c r="AA64" s="69">
        <v>0</v>
      </c>
      <c r="AB64" s="69"/>
      <c r="AC64" s="69">
        <v>0</v>
      </c>
      <c r="AD64" s="16"/>
      <c r="AE64" s="10">
        <v>4</v>
      </c>
      <c r="AF64" s="16"/>
      <c r="AG64" s="40"/>
      <c r="AH64" s="40"/>
      <c r="AI64" s="18"/>
      <c r="AJ64" s="15">
        <f t="shared" si="10"/>
        <v>41</v>
      </c>
      <c r="AK64" s="15">
        <f t="shared" si="9"/>
        <v>29</v>
      </c>
      <c r="AL64" s="10" t="s">
        <v>120</v>
      </c>
      <c r="AM64" s="18">
        <v>1</v>
      </c>
    </row>
    <row r="65" spans="1:39" x14ac:dyDescent="0.3">
      <c r="A65" s="38">
        <v>2024</v>
      </c>
      <c r="B65" s="10" t="s">
        <v>180</v>
      </c>
      <c r="C65" s="11">
        <v>45503</v>
      </c>
      <c r="D65" s="12" t="s">
        <v>41</v>
      </c>
      <c r="E65" s="12" t="s">
        <v>41</v>
      </c>
      <c r="F65" s="10" t="s">
        <v>53</v>
      </c>
      <c r="G65" s="10" t="s">
        <v>64</v>
      </c>
      <c r="H65" s="18" t="s">
        <v>47</v>
      </c>
      <c r="I65" s="10" t="s">
        <v>121</v>
      </c>
      <c r="J65" s="39">
        <v>5158603</v>
      </c>
      <c r="K65" s="40"/>
      <c r="L65" s="41"/>
      <c r="M65" s="10">
        <v>183023</v>
      </c>
      <c r="N65" s="10">
        <v>8784</v>
      </c>
      <c r="O65" s="16">
        <v>8796</v>
      </c>
      <c r="P65" s="16">
        <v>8796</v>
      </c>
      <c r="Q65" s="16">
        <v>8784</v>
      </c>
      <c r="R65" s="15">
        <f t="shared" si="6"/>
        <v>-12</v>
      </c>
      <c r="S65" s="15">
        <f t="shared" si="1"/>
        <v>0</v>
      </c>
      <c r="T65" s="17">
        <f t="shared" si="2"/>
        <v>0</v>
      </c>
      <c r="U65" s="17">
        <f t="shared" si="3"/>
        <v>-1.3642564802183177E-3</v>
      </c>
      <c r="V65" s="42"/>
      <c r="W65" s="69">
        <v>109</v>
      </c>
      <c r="X65" s="69">
        <v>91</v>
      </c>
      <c r="Y65" s="69"/>
      <c r="Z65" s="69">
        <v>0</v>
      </c>
      <c r="AA65" s="69">
        <v>15</v>
      </c>
      <c r="AB65" s="69"/>
      <c r="AC65" s="69">
        <v>11</v>
      </c>
      <c r="AD65" s="16"/>
      <c r="AE65" s="10">
        <v>4</v>
      </c>
      <c r="AF65" s="16"/>
      <c r="AG65" s="40"/>
      <c r="AH65" s="40"/>
      <c r="AI65" s="18"/>
      <c r="AJ65" s="15">
        <f t="shared" si="10"/>
        <v>121</v>
      </c>
      <c r="AK65" s="15">
        <f t="shared" si="9"/>
        <v>109</v>
      </c>
      <c r="AL65" s="10" t="s">
        <v>122</v>
      </c>
      <c r="AM65" s="18">
        <v>1</v>
      </c>
    </row>
    <row r="66" spans="1:39" x14ac:dyDescent="0.3">
      <c r="A66" s="38">
        <v>2024</v>
      </c>
      <c r="B66" s="10" t="s">
        <v>180</v>
      </c>
      <c r="C66" s="11">
        <v>45503</v>
      </c>
      <c r="D66" s="12" t="s">
        <v>41</v>
      </c>
      <c r="E66" s="12" t="s">
        <v>41</v>
      </c>
      <c r="F66" s="10" t="s">
        <v>53</v>
      </c>
      <c r="G66" s="10" t="s">
        <v>64</v>
      </c>
      <c r="H66" s="18" t="s">
        <v>47</v>
      </c>
      <c r="I66" s="10" t="s">
        <v>123</v>
      </c>
      <c r="J66" s="39">
        <v>5158615</v>
      </c>
      <c r="K66" s="40"/>
      <c r="L66" s="41"/>
      <c r="M66" s="10">
        <v>183024</v>
      </c>
      <c r="N66" s="10">
        <v>4320</v>
      </c>
      <c r="O66" s="16">
        <v>4375</v>
      </c>
      <c r="P66" s="16">
        <v>4375</v>
      </c>
      <c r="Q66" s="16">
        <v>4368</v>
      </c>
      <c r="R66" s="15">
        <f t="shared" si="6"/>
        <v>-7</v>
      </c>
      <c r="S66" s="15">
        <f t="shared" si="1"/>
        <v>48</v>
      </c>
      <c r="T66" s="17">
        <f t="shared" si="2"/>
        <v>1.1111111111111072E-2</v>
      </c>
      <c r="U66" s="17">
        <f t="shared" si="3"/>
        <v>-1.6000000000000458E-3</v>
      </c>
      <c r="V66" s="42"/>
      <c r="W66" s="69">
        <v>41</v>
      </c>
      <c r="X66" s="69">
        <v>0</v>
      </c>
      <c r="Y66" s="69"/>
      <c r="Z66" s="69">
        <v>16</v>
      </c>
      <c r="AA66" s="69">
        <v>19</v>
      </c>
      <c r="AB66" s="69"/>
      <c r="AC66" s="69">
        <v>10</v>
      </c>
      <c r="AD66" s="16"/>
      <c r="AE66" s="10">
        <v>3</v>
      </c>
      <c r="AF66" s="16"/>
      <c r="AG66" s="40"/>
      <c r="AH66" s="40"/>
      <c r="AI66" s="18"/>
      <c r="AJ66" s="15">
        <f t="shared" si="10"/>
        <v>48</v>
      </c>
      <c r="AK66" s="15">
        <f t="shared" si="9"/>
        <v>41</v>
      </c>
      <c r="AL66" s="38"/>
      <c r="AM66" s="18">
        <v>1</v>
      </c>
    </row>
    <row r="67" spans="1:39" x14ac:dyDescent="0.3">
      <c r="A67" s="38">
        <v>2024</v>
      </c>
      <c r="B67" s="10" t="s">
        <v>180</v>
      </c>
      <c r="C67" s="11">
        <v>45503</v>
      </c>
      <c r="D67" s="12" t="s">
        <v>41</v>
      </c>
      <c r="E67" s="12" t="s">
        <v>41</v>
      </c>
      <c r="F67" s="10" t="s">
        <v>53</v>
      </c>
      <c r="G67" s="10" t="s">
        <v>64</v>
      </c>
      <c r="H67" s="18" t="s">
        <v>47</v>
      </c>
      <c r="I67" s="10" t="s">
        <v>123</v>
      </c>
      <c r="J67" s="39">
        <v>5158615</v>
      </c>
      <c r="K67" s="40"/>
      <c r="L67" s="41"/>
      <c r="M67" s="10">
        <v>183025</v>
      </c>
      <c r="N67" s="10">
        <v>540</v>
      </c>
      <c r="O67" s="16">
        <v>547</v>
      </c>
      <c r="P67" s="16">
        <v>558</v>
      </c>
      <c r="Q67" s="16">
        <v>546</v>
      </c>
      <c r="R67" s="15">
        <f t="shared" si="6"/>
        <v>-1</v>
      </c>
      <c r="S67" s="15">
        <f t="shared" ref="S67:S130" si="11">Q67-N67</f>
        <v>6</v>
      </c>
      <c r="T67" s="17">
        <f t="shared" ref="T67:T130" si="12">Q67/N67-1</f>
        <v>1.1111111111111072E-2</v>
      </c>
      <c r="U67" s="17">
        <f t="shared" ref="U67:U130" si="13">Q67/O67-1</f>
        <v>-1.8281535648994041E-3</v>
      </c>
      <c r="V67" s="42"/>
      <c r="W67" s="69">
        <v>0</v>
      </c>
      <c r="X67" s="69">
        <v>0</v>
      </c>
      <c r="Y67" s="69"/>
      <c r="Z67" s="69">
        <v>0</v>
      </c>
      <c r="AA67" s="69">
        <v>1</v>
      </c>
      <c r="AB67" s="69"/>
      <c r="AC67" s="69">
        <v>0</v>
      </c>
      <c r="AD67" s="16"/>
      <c r="AE67" s="10">
        <v>0</v>
      </c>
      <c r="AF67" s="16"/>
      <c r="AG67" s="40"/>
      <c r="AH67" s="40"/>
      <c r="AI67" s="18"/>
      <c r="AJ67" s="15">
        <f t="shared" si="10"/>
        <v>1</v>
      </c>
      <c r="AK67" s="15">
        <f t="shared" si="9"/>
        <v>0</v>
      </c>
      <c r="AL67" s="38"/>
      <c r="AM67" s="18">
        <v>1</v>
      </c>
    </row>
    <row r="68" spans="1:39" x14ac:dyDescent="0.3">
      <c r="A68" s="38">
        <v>2024</v>
      </c>
      <c r="B68" s="10" t="s">
        <v>180</v>
      </c>
      <c r="C68" s="11">
        <v>45502</v>
      </c>
      <c r="D68" s="12" t="s">
        <v>41</v>
      </c>
      <c r="E68" s="12" t="s">
        <v>41</v>
      </c>
      <c r="F68" s="10" t="s">
        <v>53</v>
      </c>
      <c r="G68" s="10" t="s">
        <v>64</v>
      </c>
      <c r="H68" s="18" t="s">
        <v>47</v>
      </c>
      <c r="I68" s="10" t="s">
        <v>124</v>
      </c>
      <c r="J68" s="39">
        <v>5158592</v>
      </c>
      <c r="K68" s="40"/>
      <c r="L68" s="41"/>
      <c r="M68" s="10">
        <v>182972</v>
      </c>
      <c r="N68" s="10">
        <v>23436</v>
      </c>
      <c r="O68" s="16">
        <v>23688</v>
      </c>
      <c r="P68" s="16">
        <v>23689</v>
      </c>
      <c r="Q68" s="16">
        <v>23631</v>
      </c>
      <c r="R68" s="15">
        <f t="shared" si="6"/>
        <v>-57</v>
      </c>
      <c r="S68" s="15">
        <f t="shared" si="11"/>
        <v>195</v>
      </c>
      <c r="T68" s="17">
        <f t="shared" si="12"/>
        <v>8.3205325140809361E-3</v>
      </c>
      <c r="U68" s="17">
        <f t="shared" si="13"/>
        <v>-2.4062816616008398E-3</v>
      </c>
      <c r="V68" s="42"/>
      <c r="W68" s="69">
        <v>77</v>
      </c>
      <c r="X68" s="69">
        <v>108</v>
      </c>
      <c r="Y68" s="69"/>
      <c r="Z68" s="69">
        <v>18</v>
      </c>
      <c r="AA68" s="69">
        <v>5</v>
      </c>
      <c r="AB68" s="69"/>
      <c r="AC68" s="69">
        <v>0</v>
      </c>
      <c r="AD68" s="16"/>
      <c r="AE68" s="10">
        <v>3</v>
      </c>
      <c r="AF68" s="16"/>
      <c r="AG68" s="40"/>
      <c r="AH68" s="40"/>
      <c r="AI68" s="18"/>
      <c r="AJ68" s="15">
        <f t="shared" si="10"/>
        <v>134</v>
      </c>
      <c r="AK68" s="15">
        <f t="shared" si="9"/>
        <v>77</v>
      </c>
      <c r="AL68" s="10" t="s">
        <v>93</v>
      </c>
      <c r="AM68" s="18">
        <v>1</v>
      </c>
    </row>
    <row r="69" spans="1:39" x14ac:dyDescent="0.3">
      <c r="A69" s="38">
        <v>2024</v>
      </c>
      <c r="B69" s="10" t="s">
        <v>180</v>
      </c>
      <c r="C69" s="11">
        <v>45502</v>
      </c>
      <c r="D69" s="12" t="s">
        <v>41</v>
      </c>
      <c r="E69" s="12" t="s">
        <v>41</v>
      </c>
      <c r="F69" s="10" t="s">
        <v>53</v>
      </c>
      <c r="G69" s="10" t="s">
        <v>64</v>
      </c>
      <c r="H69" s="18" t="s">
        <v>47</v>
      </c>
      <c r="I69" s="10" t="s">
        <v>124</v>
      </c>
      <c r="J69" s="39">
        <v>5158592</v>
      </c>
      <c r="K69" s="40"/>
      <c r="L69" s="41"/>
      <c r="M69" s="10">
        <v>182973</v>
      </c>
      <c r="N69" s="10">
        <v>1620</v>
      </c>
      <c r="O69" s="16">
        <v>1636</v>
      </c>
      <c r="P69" s="16">
        <v>1620</v>
      </c>
      <c r="Q69" s="16">
        <v>1632</v>
      </c>
      <c r="R69" s="15">
        <f t="shared" si="6"/>
        <v>-4</v>
      </c>
      <c r="S69" s="15">
        <f t="shared" si="11"/>
        <v>12</v>
      </c>
      <c r="T69" s="17">
        <f t="shared" si="12"/>
        <v>7.4074074074073071E-3</v>
      </c>
      <c r="U69" s="17">
        <f t="shared" si="13"/>
        <v>-2.4449877750610804E-3</v>
      </c>
      <c r="V69" s="42"/>
      <c r="W69" s="69">
        <v>11</v>
      </c>
      <c r="X69" s="69">
        <v>0</v>
      </c>
      <c r="Y69" s="69"/>
      <c r="Z69" s="69">
        <v>2</v>
      </c>
      <c r="AA69" s="69">
        <v>8</v>
      </c>
      <c r="AB69" s="69"/>
      <c r="AC69" s="69">
        <v>5</v>
      </c>
      <c r="AD69" s="16"/>
      <c r="AE69" s="10">
        <v>0</v>
      </c>
      <c r="AF69" s="16"/>
      <c r="AG69" s="40"/>
      <c r="AH69" s="40"/>
      <c r="AI69" s="18"/>
      <c r="AJ69" s="15">
        <f t="shared" si="10"/>
        <v>15</v>
      </c>
      <c r="AK69" s="15">
        <f t="shared" si="9"/>
        <v>11</v>
      </c>
      <c r="AL69" s="38"/>
      <c r="AM69" s="18">
        <v>1</v>
      </c>
    </row>
    <row r="70" spans="1:39" x14ac:dyDescent="0.3">
      <c r="A70" s="38">
        <v>2024</v>
      </c>
      <c r="B70" s="10" t="s">
        <v>180</v>
      </c>
      <c r="C70" s="11">
        <v>45502</v>
      </c>
      <c r="D70" s="12" t="s">
        <v>41</v>
      </c>
      <c r="E70" s="12" t="s">
        <v>41</v>
      </c>
      <c r="F70" s="10" t="s">
        <v>53</v>
      </c>
      <c r="G70" s="10" t="s">
        <v>64</v>
      </c>
      <c r="H70" s="18" t="s">
        <v>47</v>
      </c>
      <c r="I70" s="10" t="s">
        <v>125</v>
      </c>
      <c r="J70" s="39">
        <v>5158590</v>
      </c>
      <c r="K70" s="40"/>
      <c r="L70" s="41"/>
      <c r="M70" s="10">
        <v>182976</v>
      </c>
      <c r="N70" s="10">
        <v>18468</v>
      </c>
      <c r="O70" s="16">
        <v>18673</v>
      </c>
      <c r="P70" s="16">
        <v>18665</v>
      </c>
      <c r="Q70" s="16">
        <v>18585</v>
      </c>
      <c r="R70" s="15">
        <f t="shared" si="6"/>
        <v>-88</v>
      </c>
      <c r="S70" s="15">
        <f t="shared" si="11"/>
        <v>117</v>
      </c>
      <c r="T70" s="17">
        <f t="shared" si="12"/>
        <v>6.3352826510720828E-3</v>
      </c>
      <c r="U70" s="17">
        <f t="shared" si="13"/>
        <v>-4.712686766989771E-3</v>
      </c>
      <c r="V70" s="18" t="s">
        <v>126</v>
      </c>
      <c r="W70" s="69">
        <v>23</v>
      </c>
      <c r="X70" s="69">
        <v>52</v>
      </c>
      <c r="Y70" s="69"/>
      <c r="Z70" s="69">
        <v>4</v>
      </c>
      <c r="AA70" s="69">
        <v>35</v>
      </c>
      <c r="AB70" s="69"/>
      <c r="AC70" s="69">
        <v>17</v>
      </c>
      <c r="AD70" s="16"/>
      <c r="AE70" s="10">
        <v>3</v>
      </c>
      <c r="AF70" s="16"/>
      <c r="AG70" s="40"/>
      <c r="AH70" s="40"/>
      <c r="AI70" s="18"/>
      <c r="AJ70" s="15">
        <f t="shared" si="10"/>
        <v>111</v>
      </c>
      <c r="AK70" s="15">
        <f t="shared" si="9"/>
        <v>23</v>
      </c>
      <c r="AL70" s="10" t="s">
        <v>127</v>
      </c>
      <c r="AM70" s="18">
        <v>1</v>
      </c>
    </row>
    <row r="71" spans="1:39" x14ac:dyDescent="0.3">
      <c r="A71" s="38">
        <v>2024</v>
      </c>
      <c r="B71" s="10" t="s">
        <v>180</v>
      </c>
      <c r="C71" s="11">
        <v>45502</v>
      </c>
      <c r="D71" s="12" t="s">
        <v>41</v>
      </c>
      <c r="E71" s="12" t="s">
        <v>41</v>
      </c>
      <c r="F71" s="10" t="s">
        <v>53</v>
      </c>
      <c r="G71" s="10" t="s">
        <v>64</v>
      </c>
      <c r="H71" s="18" t="s">
        <v>47</v>
      </c>
      <c r="I71" s="10" t="s">
        <v>125</v>
      </c>
      <c r="J71" s="39">
        <v>5158590</v>
      </c>
      <c r="K71" s="40"/>
      <c r="L71" s="41"/>
      <c r="M71" s="10">
        <v>182977</v>
      </c>
      <c r="N71" s="10">
        <v>1944</v>
      </c>
      <c r="O71" s="16">
        <v>1962</v>
      </c>
      <c r="P71" s="16">
        <v>1953</v>
      </c>
      <c r="Q71" s="16">
        <v>1956</v>
      </c>
      <c r="R71" s="15">
        <f t="shared" si="6"/>
        <v>-6</v>
      </c>
      <c r="S71" s="15">
        <f t="shared" si="11"/>
        <v>12</v>
      </c>
      <c r="T71" s="17">
        <f t="shared" si="12"/>
        <v>6.1728395061728669E-3</v>
      </c>
      <c r="U71" s="17">
        <f t="shared" si="13"/>
        <v>-3.0581039755351869E-3</v>
      </c>
      <c r="V71" s="18" t="s">
        <v>126</v>
      </c>
      <c r="W71" s="69">
        <v>6</v>
      </c>
      <c r="X71" s="69">
        <v>1</v>
      </c>
      <c r="Y71" s="69"/>
      <c r="Z71" s="69">
        <v>1</v>
      </c>
      <c r="AA71" s="69">
        <v>7</v>
      </c>
      <c r="AB71" s="69"/>
      <c r="AC71" s="69">
        <v>3</v>
      </c>
      <c r="AD71" s="16"/>
      <c r="AE71" s="10">
        <v>0</v>
      </c>
      <c r="AF71" s="16"/>
      <c r="AG71" s="40"/>
      <c r="AH71" s="40"/>
      <c r="AI71" s="18"/>
      <c r="AJ71" s="15">
        <f t="shared" si="10"/>
        <v>12</v>
      </c>
      <c r="AK71" s="15">
        <f t="shared" si="9"/>
        <v>6</v>
      </c>
      <c r="AL71" s="38"/>
      <c r="AM71" s="18">
        <v>1</v>
      </c>
    </row>
    <row r="72" spans="1:39" x14ac:dyDescent="0.3">
      <c r="A72" s="38">
        <v>2024</v>
      </c>
      <c r="B72" s="10" t="s">
        <v>180</v>
      </c>
      <c r="C72" s="11">
        <v>45502</v>
      </c>
      <c r="D72" s="12" t="s">
        <v>41</v>
      </c>
      <c r="E72" s="12" t="s">
        <v>41</v>
      </c>
      <c r="F72" s="10" t="s">
        <v>53</v>
      </c>
      <c r="G72" s="10" t="s">
        <v>64</v>
      </c>
      <c r="H72" s="18" t="s">
        <v>47</v>
      </c>
      <c r="I72" s="10" t="s">
        <v>128</v>
      </c>
      <c r="J72" s="39">
        <v>5158584</v>
      </c>
      <c r="K72" s="40"/>
      <c r="L72" s="40"/>
      <c r="M72" s="10">
        <v>182981</v>
      </c>
      <c r="N72" s="10">
        <v>18576</v>
      </c>
      <c r="O72" s="16">
        <v>18634</v>
      </c>
      <c r="P72" s="16">
        <v>18607</v>
      </c>
      <c r="Q72" s="16">
        <v>18519</v>
      </c>
      <c r="R72" s="15">
        <f t="shared" si="6"/>
        <v>-115</v>
      </c>
      <c r="S72" s="15">
        <f t="shared" si="11"/>
        <v>-57</v>
      </c>
      <c r="T72" s="17">
        <f t="shared" si="12"/>
        <v>-3.0684754521963509E-3</v>
      </c>
      <c r="U72" s="17">
        <f t="shared" si="13"/>
        <v>-6.1715144359772989E-3</v>
      </c>
      <c r="V72" s="18" t="s">
        <v>129</v>
      </c>
      <c r="W72" s="69">
        <v>109</v>
      </c>
      <c r="X72" s="69">
        <v>102</v>
      </c>
      <c r="Y72" s="40"/>
      <c r="Z72" s="69">
        <v>1</v>
      </c>
      <c r="AA72" s="69">
        <v>61</v>
      </c>
      <c r="AB72" s="40"/>
      <c r="AC72" s="69">
        <v>57</v>
      </c>
      <c r="AD72" s="16"/>
      <c r="AE72" s="10">
        <v>3</v>
      </c>
      <c r="AF72" s="15"/>
      <c r="AG72" s="18"/>
      <c r="AH72" s="18"/>
      <c r="AI72" s="18"/>
      <c r="AJ72" s="15">
        <f t="shared" si="10"/>
        <v>224</v>
      </c>
      <c r="AK72" s="15">
        <f t="shared" si="9"/>
        <v>109</v>
      </c>
      <c r="AL72" s="10" t="s">
        <v>127</v>
      </c>
      <c r="AM72" s="18">
        <v>1</v>
      </c>
    </row>
    <row r="73" spans="1:39" x14ac:dyDescent="0.3">
      <c r="A73" s="38">
        <v>2024</v>
      </c>
      <c r="B73" s="10" t="s">
        <v>180</v>
      </c>
      <c r="C73" s="11">
        <v>45502</v>
      </c>
      <c r="D73" s="12" t="s">
        <v>41</v>
      </c>
      <c r="E73" s="12" t="s">
        <v>41</v>
      </c>
      <c r="F73" s="10" t="s">
        <v>53</v>
      </c>
      <c r="G73" s="10" t="s">
        <v>64</v>
      </c>
      <c r="H73" s="18" t="s">
        <v>47</v>
      </c>
      <c r="I73" s="10" t="s">
        <v>130</v>
      </c>
      <c r="J73" s="39">
        <v>5158610</v>
      </c>
      <c r="K73" s="40"/>
      <c r="L73" s="40"/>
      <c r="M73" s="10">
        <v>182982</v>
      </c>
      <c r="N73" s="10">
        <v>5400</v>
      </c>
      <c r="O73" s="16">
        <v>5457</v>
      </c>
      <c r="P73" s="16">
        <v>5473</v>
      </c>
      <c r="Q73" s="16">
        <v>5448</v>
      </c>
      <c r="R73" s="15">
        <f t="shared" si="6"/>
        <v>-9</v>
      </c>
      <c r="S73" s="15">
        <f t="shared" si="11"/>
        <v>48</v>
      </c>
      <c r="T73" s="17">
        <f t="shared" si="12"/>
        <v>8.8888888888889461E-3</v>
      </c>
      <c r="U73" s="17">
        <f t="shared" si="13"/>
        <v>-1.6492578339747377E-3</v>
      </c>
      <c r="V73" s="18"/>
      <c r="W73" s="69">
        <v>17</v>
      </c>
      <c r="X73" s="69">
        <v>1</v>
      </c>
      <c r="Y73" s="40"/>
      <c r="Z73" s="69">
        <v>9</v>
      </c>
      <c r="AA73" s="69">
        <v>0</v>
      </c>
      <c r="AB73" s="40"/>
      <c r="AC73" s="69">
        <v>13</v>
      </c>
      <c r="AD73" s="16"/>
      <c r="AE73" s="10">
        <v>3</v>
      </c>
      <c r="AF73" s="15"/>
      <c r="AG73" s="18"/>
      <c r="AH73" s="18"/>
      <c r="AI73" s="18"/>
      <c r="AJ73" s="15">
        <f t="shared" si="10"/>
        <v>26</v>
      </c>
      <c r="AK73" s="15">
        <f t="shared" si="9"/>
        <v>17</v>
      </c>
      <c r="AL73" s="51"/>
      <c r="AM73" s="18">
        <v>1</v>
      </c>
    </row>
    <row r="74" spans="1:39" x14ac:dyDescent="0.3">
      <c r="A74" s="38">
        <v>2024</v>
      </c>
      <c r="B74" s="10" t="s">
        <v>180</v>
      </c>
      <c r="C74" s="11">
        <v>45502</v>
      </c>
      <c r="D74" s="12" t="s">
        <v>41</v>
      </c>
      <c r="E74" s="12" t="s">
        <v>41</v>
      </c>
      <c r="F74" s="10" t="s">
        <v>53</v>
      </c>
      <c r="G74" s="10" t="s">
        <v>64</v>
      </c>
      <c r="H74" s="18" t="s">
        <v>47</v>
      </c>
      <c r="I74" s="10" t="s">
        <v>130</v>
      </c>
      <c r="J74" s="13">
        <v>5158610</v>
      </c>
      <c r="K74" s="40"/>
      <c r="L74" s="40"/>
      <c r="M74" s="10">
        <v>182983</v>
      </c>
      <c r="N74" s="10">
        <v>1188</v>
      </c>
      <c r="O74" s="16">
        <v>1200</v>
      </c>
      <c r="P74" s="16">
        <v>1202</v>
      </c>
      <c r="Q74" s="16">
        <v>1197</v>
      </c>
      <c r="R74" s="15">
        <f t="shared" si="6"/>
        <v>-3</v>
      </c>
      <c r="S74" s="15">
        <f t="shared" si="11"/>
        <v>9</v>
      </c>
      <c r="T74" s="17">
        <f t="shared" si="12"/>
        <v>7.575757575757569E-3</v>
      </c>
      <c r="U74" s="17">
        <f t="shared" si="13"/>
        <v>-2.4999999999999467E-3</v>
      </c>
      <c r="V74" s="10"/>
      <c r="W74" s="69">
        <v>14</v>
      </c>
      <c r="X74" s="69">
        <v>12</v>
      </c>
      <c r="Y74" s="40"/>
      <c r="Z74" s="69">
        <v>0</v>
      </c>
      <c r="AA74" s="69">
        <v>5</v>
      </c>
      <c r="AB74" s="40"/>
      <c r="AC74" s="69">
        <v>0</v>
      </c>
      <c r="AD74" s="40"/>
      <c r="AE74" s="10">
        <v>0</v>
      </c>
      <c r="AF74" s="40"/>
      <c r="AG74" s="40"/>
      <c r="AH74" s="40"/>
      <c r="AI74" s="18"/>
      <c r="AJ74" s="15">
        <f t="shared" si="10"/>
        <v>17</v>
      </c>
      <c r="AK74" s="15">
        <f t="shared" si="9"/>
        <v>14</v>
      </c>
      <c r="AL74" s="10" t="s">
        <v>93</v>
      </c>
      <c r="AM74" s="18">
        <v>1</v>
      </c>
    </row>
    <row r="75" spans="1:39" x14ac:dyDescent="0.3">
      <c r="A75" s="43">
        <v>2024</v>
      </c>
      <c r="B75" s="24" t="s">
        <v>180</v>
      </c>
      <c r="C75" s="25">
        <v>45502</v>
      </c>
      <c r="D75" s="26" t="s">
        <v>41</v>
      </c>
      <c r="E75" s="26" t="s">
        <v>41</v>
      </c>
      <c r="F75" s="24" t="s">
        <v>53</v>
      </c>
      <c r="G75" s="24" t="s">
        <v>64</v>
      </c>
      <c r="H75" s="27" t="s">
        <v>47</v>
      </c>
      <c r="I75" s="27" t="s">
        <v>123</v>
      </c>
      <c r="J75" s="53">
        <v>5158615</v>
      </c>
      <c r="K75" s="45"/>
      <c r="L75" s="45"/>
      <c r="M75" s="27">
        <v>182984</v>
      </c>
      <c r="N75" s="54">
        <v>5508</v>
      </c>
      <c r="O75" s="47">
        <v>5579</v>
      </c>
      <c r="P75" s="47">
        <v>5579</v>
      </c>
      <c r="Q75" s="47">
        <v>5565</v>
      </c>
      <c r="R75" s="48">
        <f t="shared" si="6"/>
        <v>-14</v>
      </c>
      <c r="S75" s="48">
        <f t="shared" si="11"/>
        <v>57</v>
      </c>
      <c r="T75" s="49">
        <f t="shared" si="12"/>
        <v>1.0348583877995532E-2</v>
      </c>
      <c r="U75" s="49">
        <f t="shared" si="13"/>
        <v>-2.5094102885822034E-3</v>
      </c>
      <c r="V75" s="24"/>
      <c r="W75" s="73">
        <v>85</v>
      </c>
      <c r="X75" s="73">
        <v>33</v>
      </c>
      <c r="Y75" s="45"/>
      <c r="Z75" s="73">
        <v>6</v>
      </c>
      <c r="AA75" s="73">
        <v>34</v>
      </c>
      <c r="AB75" s="45"/>
      <c r="AC75" s="73">
        <v>23</v>
      </c>
      <c r="AD75" s="45"/>
      <c r="AE75" s="24">
        <v>3</v>
      </c>
      <c r="AF75" s="45"/>
      <c r="AG75" s="45"/>
      <c r="AH75" s="45"/>
      <c r="AI75" s="27"/>
      <c r="AJ75" s="48">
        <f t="shared" si="10"/>
        <v>99</v>
      </c>
      <c r="AK75" s="48">
        <f t="shared" si="9"/>
        <v>85</v>
      </c>
      <c r="AL75" s="24" t="s">
        <v>93</v>
      </c>
      <c r="AM75" s="27">
        <v>1</v>
      </c>
    </row>
    <row r="76" spans="1:39" x14ac:dyDescent="0.3">
      <c r="A76" s="38">
        <v>2024</v>
      </c>
      <c r="B76" s="10" t="s">
        <v>180</v>
      </c>
      <c r="C76" s="11">
        <v>45502</v>
      </c>
      <c r="D76" s="12" t="s">
        <v>41</v>
      </c>
      <c r="E76" s="12" t="s">
        <v>41</v>
      </c>
      <c r="F76" s="10" t="s">
        <v>53</v>
      </c>
      <c r="G76" s="10" t="s">
        <v>64</v>
      </c>
      <c r="H76" s="18" t="s">
        <v>47</v>
      </c>
      <c r="I76" s="10" t="s">
        <v>123</v>
      </c>
      <c r="J76" s="39">
        <v>5158615</v>
      </c>
      <c r="K76" s="40"/>
      <c r="L76" s="41"/>
      <c r="M76" s="10">
        <v>182985</v>
      </c>
      <c r="N76" s="10">
        <v>1080</v>
      </c>
      <c r="O76" s="16">
        <v>1091</v>
      </c>
      <c r="P76" s="16">
        <v>1091</v>
      </c>
      <c r="Q76" s="16">
        <v>1089</v>
      </c>
      <c r="R76" s="15">
        <f t="shared" si="6"/>
        <v>-2</v>
      </c>
      <c r="S76" s="15">
        <f t="shared" si="11"/>
        <v>9</v>
      </c>
      <c r="T76" s="17">
        <f t="shared" si="12"/>
        <v>8.3333333333333037E-3</v>
      </c>
      <c r="U76" s="17">
        <f t="shared" si="13"/>
        <v>-1.8331805682859637E-3</v>
      </c>
      <c r="V76" s="18"/>
      <c r="W76" s="69">
        <v>6</v>
      </c>
      <c r="X76" s="69">
        <v>4</v>
      </c>
      <c r="Y76" s="69"/>
      <c r="Z76" s="69">
        <v>1</v>
      </c>
      <c r="AA76" s="69">
        <v>0</v>
      </c>
      <c r="AB76" s="69"/>
      <c r="AC76" s="69">
        <v>3</v>
      </c>
      <c r="AD76" s="16"/>
      <c r="AE76" s="10">
        <v>0</v>
      </c>
      <c r="AF76" s="16"/>
      <c r="AG76" s="40"/>
      <c r="AH76" s="40"/>
      <c r="AI76" s="18"/>
      <c r="AJ76" s="15">
        <f t="shared" si="10"/>
        <v>8</v>
      </c>
      <c r="AK76" s="15">
        <f t="shared" si="9"/>
        <v>6</v>
      </c>
      <c r="AL76" s="10" t="s">
        <v>93</v>
      </c>
      <c r="AM76" s="18">
        <v>1</v>
      </c>
    </row>
    <row r="77" spans="1:39" x14ac:dyDescent="0.3">
      <c r="A77" s="38">
        <v>2024</v>
      </c>
      <c r="B77" s="10" t="s">
        <v>180</v>
      </c>
      <c r="C77" s="11">
        <v>45502</v>
      </c>
      <c r="D77" s="12" t="s">
        <v>41</v>
      </c>
      <c r="E77" s="12" t="s">
        <v>41</v>
      </c>
      <c r="F77" s="10" t="s">
        <v>53</v>
      </c>
      <c r="G77" s="10" t="s">
        <v>64</v>
      </c>
      <c r="H77" s="18" t="s">
        <v>47</v>
      </c>
      <c r="I77" s="10" t="s">
        <v>131</v>
      </c>
      <c r="J77" s="39">
        <v>5157985</v>
      </c>
      <c r="K77" s="40"/>
      <c r="L77" s="41"/>
      <c r="M77" s="10">
        <v>183012</v>
      </c>
      <c r="N77" s="10">
        <v>6480</v>
      </c>
      <c r="O77" s="16">
        <v>6489</v>
      </c>
      <c r="P77" s="16">
        <v>6489</v>
      </c>
      <c r="Q77" s="16">
        <v>6480</v>
      </c>
      <c r="R77" s="15">
        <f t="shared" si="6"/>
        <v>-9</v>
      </c>
      <c r="S77" s="15">
        <f t="shared" si="11"/>
        <v>0</v>
      </c>
      <c r="T77" s="17">
        <f t="shared" si="12"/>
        <v>0</v>
      </c>
      <c r="U77" s="17">
        <f t="shared" si="13"/>
        <v>-1.3869625520110951E-3</v>
      </c>
      <c r="V77" s="18"/>
      <c r="W77" s="69">
        <v>32</v>
      </c>
      <c r="X77" s="69">
        <v>19</v>
      </c>
      <c r="Y77" s="69"/>
      <c r="Z77" s="69">
        <v>1</v>
      </c>
      <c r="AA77" s="69">
        <v>17</v>
      </c>
      <c r="AB77" s="69"/>
      <c r="AC77" s="69">
        <v>2</v>
      </c>
      <c r="AD77" s="16"/>
      <c r="AE77" s="10">
        <v>2</v>
      </c>
      <c r="AF77" s="16"/>
      <c r="AG77" s="40"/>
      <c r="AH77" s="40"/>
      <c r="AI77" s="18"/>
      <c r="AJ77" s="15">
        <f t="shared" si="10"/>
        <v>41</v>
      </c>
      <c r="AK77" s="15">
        <f t="shared" si="9"/>
        <v>32</v>
      </c>
      <c r="AL77" s="10" t="s">
        <v>93</v>
      </c>
      <c r="AM77" s="18">
        <v>1</v>
      </c>
    </row>
    <row r="78" spans="1:39" x14ac:dyDescent="0.3">
      <c r="A78" s="38">
        <v>2024</v>
      </c>
      <c r="B78" s="10" t="s">
        <v>180</v>
      </c>
      <c r="C78" s="11">
        <v>45502</v>
      </c>
      <c r="D78" s="12" t="s">
        <v>41</v>
      </c>
      <c r="E78" s="12" t="s">
        <v>41</v>
      </c>
      <c r="F78" s="10" t="s">
        <v>53</v>
      </c>
      <c r="G78" s="10" t="s">
        <v>64</v>
      </c>
      <c r="H78" s="18" t="s">
        <v>47</v>
      </c>
      <c r="I78" s="10" t="s">
        <v>132</v>
      </c>
      <c r="J78" s="39">
        <v>5157994</v>
      </c>
      <c r="K78" s="40"/>
      <c r="L78" s="41"/>
      <c r="M78" s="10">
        <v>183013</v>
      </c>
      <c r="N78" s="10">
        <v>5184</v>
      </c>
      <c r="O78" s="16">
        <v>5193</v>
      </c>
      <c r="P78" s="16">
        <v>5172</v>
      </c>
      <c r="Q78" s="16">
        <v>5184</v>
      </c>
      <c r="R78" s="15">
        <f t="shared" ref="R78:R141" si="14">Q78-O78</f>
        <v>-9</v>
      </c>
      <c r="S78" s="15">
        <f t="shared" si="11"/>
        <v>0</v>
      </c>
      <c r="T78" s="17">
        <f t="shared" si="12"/>
        <v>0</v>
      </c>
      <c r="U78" s="17">
        <f t="shared" si="13"/>
        <v>-1.7331022530329143E-3</v>
      </c>
      <c r="V78" s="18"/>
      <c r="W78" s="69">
        <v>7</v>
      </c>
      <c r="X78" s="69">
        <v>8</v>
      </c>
      <c r="Y78" s="69"/>
      <c r="Z78" s="69">
        <v>5</v>
      </c>
      <c r="AA78" s="69">
        <v>0</v>
      </c>
      <c r="AB78" s="69"/>
      <c r="AC78" s="69">
        <v>0</v>
      </c>
      <c r="AD78" s="16"/>
      <c r="AE78" s="10">
        <v>3</v>
      </c>
      <c r="AF78" s="16"/>
      <c r="AG78" s="40"/>
      <c r="AH78" s="40"/>
      <c r="AI78" s="18"/>
      <c r="AJ78" s="15">
        <f t="shared" si="10"/>
        <v>16</v>
      </c>
      <c r="AK78" s="15">
        <f t="shared" si="9"/>
        <v>7</v>
      </c>
      <c r="AL78" s="38"/>
      <c r="AM78" s="18">
        <v>1</v>
      </c>
    </row>
    <row r="79" spans="1:39" x14ac:dyDescent="0.3">
      <c r="A79" s="38">
        <v>2024</v>
      </c>
      <c r="B79" s="10" t="s">
        <v>180</v>
      </c>
      <c r="C79" s="11">
        <v>45502</v>
      </c>
      <c r="D79" s="12" t="s">
        <v>41</v>
      </c>
      <c r="E79" s="12" t="s">
        <v>41</v>
      </c>
      <c r="F79" s="10" t="s">
        <v>53</v>
      </c>
      <c r="G79" s="10" t="s">
        <v>64</v>
      </c>
      <c r="H79" s="18" t="s">
        <v>47</v>
      </c>
      <c r="I79" s="10" t="s">
        <v>133</v>
      </c>
      <c r="J79" s="39">
        <v>5158002</v>
      </c>
      <c r="K79" s="40"/>
      <c r="L79" s="41"/>
      <c r="M79" s="10">
        <v>183014</v>
      </c>
      <c r="N79" s="10">
        <v>12744</v>
      </c>
      <c r="O79" s="16">
        <v>12704</v>
      </c>
      <c r="P79" s="16">
        <v>12698</v>
      </c>
      <c r="Q79" s="16">
        <v>12618</v>
      </c>
      <c r="R79" s="15">
        <f t="shared" si="14"/>
        <v>-86</v>
      </c>
      <c r="S79" s="15">
        <f t="shared" si="11"/>
        <v>-126</v>
      </c>
      <c r="T79" s="17">
        <f t="shared" si="12"/>
        <v>-9.8870056497175618E-3</v>
      </c>
      <c r="U79" s="17">
        <f t="shared" si="13"/>
        <v>-6.7695214105792934E-3</v>
      </c>
      <c r="V79" s="18" t="s">
        <v>134</v>
      </c>
      <c r="W79" s="69">
        <v>7</v>
      </c>
      <c r="X79" s="69">
        <v>68</v>
      </c>
      <c r="Y79" s="69"/>
      <c r="Z79" s="69">
        <v>5</v>
      </c>
      <c r="AA79" s="69">
        <v>7</v>
      </c>
      <c r="AB79" s="69"/>
      <c r="AC79" s="69">
        <v>10</v>
      </c>
      <c r="AD79" s="16"/>
      <c r="AE79" s="10">
        <v>3</v>
      </c>
      <c r="AF79" s="16"/>
      <c r="AG79" s="40"/>
      <c r="AH79" s="40"/>
      <c r="AI79" s="18"/>
      <c r="AJ79" s="15">
        <f t="shared" si="10"/>
        <v>93</v>
      </c>
      <c r="AK79" s="15">
        <f t="shared" si="9"/>
        <v>7</v>
      </c>
      <c r="AL79" s="10" t="s">
        <v>93</v>
      </c>
      <c r="AM79" s="18">
        <v>1</v>
      </c>
    </row>
    <row r="80" spans="1:39" x14ac:dyDescent="0.3">
      <c r="A80" s="10">
        <v>2024</v>
      </c>
      <c r="B80" s="10" t="s">
        <v>180</v>
      </c>
      <c r="C80" s="11">
        <v>45505</v>
      </c>
      <c r="D80" s="10" t="s">
        <v>135</v>
      </c>
      <c r="E80" s="12" t="s">
        <v>66</v>
      </c>
      <c r="F80" s="10" t="s">
        <v>65</v>
      </c>
      <c r="G80" s="10" t="s">
        <v>55</v>
      </c>
      <c r="H80" s="10" t="s">
        <v>136</v>
      </c>
      <c r="I80" s="10" t="s">
        <v>137</v>
      </c>
      <c r="J80" s="10" t="s">
        <v>138</v>
      </c>
      <c r="K80" s="10"/>
      <c r="L80" s="10"/>
      <c r="M80" s="10">
        <v>182097</v>
      </c>
      <c r="N80" s="15">
        <v>350</v>
      </c>
      <c r="O80" s="15">
        <v>372</v>
      </c>
      <c r="P80" s="16">
        <v>372</v>
      </c>
      <c r="Q80" s="14">
        <v>350</v>
      </c>
      <c r="R80" s="15">
        <f t="shared" si="14"/>
        <v>-22</v>
      </c>
      <c r="S80" s="15">
        <f t="shared" si="11"/>
        <v>0</v>
      </c>
      <c r="T80" s="17">
        <f t="shared" si="12"/>
        <v>0</v>
      </c>
      <c r="U80" s="17">
        <f t="shared" si="13"/>
        <v>-5.9139784946236507E-2</v>
      </c>
      <c r="V80" s="10" t="s">
        <v>139</v>
      </c>
      <c r="W80" s="10"/>
      <c r="X80" s="10">
        <v>15</v>
      </c>
      <c r="Y80" s="10"/>
      <c r="Z80" s="10">
        <v>7</v>
      </c>
      <c r="AA80" s="10"/>
      <c r="AB80" s="10"/>
      <c r="AC80" s="10"/>
      <c r="AD80" s="10"/>
      <c r="AE80" s="10"/>
      <c r="AF80" s="10"/>
      <c r="AG80" s="10"/>
      <c r="AH80" s="10"/>
      <c r="AI80" s="10"/>
      <c r="AJ80" s="15">
        <f t="shared" si="10"/>
        <v>22</v>
      </c>
      <c r="AK80" s="15">
        <f t="shared" si="9"/>
        <v>0</v>
      </c>
      <c r="AL80" s="10"/>
      <c r="AM80" s="18">
        <v>1</v>
      </c>
    </row>
    <row r="81" spans="1:39" x14ac:dyDescent="0.3">
      <c r="A81" s="10">
        <v>2024</v>
      </c>
      <c r="B81" s="10" t="s">
        <v>180</v>
      </c>
      <c r="C81" s="11">
        <v>45505</v>
      </c>
      <c r="D81" s="10" t="s">
        <v>135</v>
      </c>
      <c r="E81" s="12" t="s">
        <v>66</v>
      </c>
      <c r="F81" s="10" t="s">
        <v>65</v>
      </c>
      <c r="G81" s="10" t="s">
        <v>55</v>
      </c>
      <c r="H81" s="10" t="s">
        <v>136</v>
      </c>
      <c r="I81" s="10" t="s">
        <v>140</v>
      </c>
      <c r="J81" s="10" t="s">
        <v>138</v>
      </c>
      <c r="K81" s="10"/>
      <c r="L81" s="10"/>
      <c r="M81" s="10">
        <v>182105</v>
      </c>
      <c r="N81" s="15">
        <v>740</v>
      </c>
      <c r="O81" s="15">
        <v>756</v>
      </c>
      <c r="P81" s="16">
        <v>756</v>
      </c>
      <c r="Q81" s="14">
        <v>740</v>
      </c>
      <c r="R81" s="15">
        <f t="shared" si="14"/>
        <v>-16</v>
      </c>
      <c r="S81" s="15">
        <f t="shared" si="11"/>
        <v>0</v>
      </c>
      <c r="T81" s="17">
        <f t="shared" si="12"/>
        <v>0</v>
      </c>
      <c r="U81" s="17">
        <f t="shared" si="13"/>
        <v>-2.1164021164021163E-2</v>
      </c>
      <c r="V81" s="10" t="s">
        <v>139</v>
      </c>
      <c r="W81" s="10"/>
      <c r="X81" s="10">
        <v>14</v>
      </c>
      <c r="Y81" s="10"/>
      <c r="Z81" s="10">
        <v>2</v>
      </c>
      <c r="AA81" s="10"/>
      <c r="AB81" s="10"/>
      <c r="AC81" s="10"/>
      <c r="AD81" s="10"/>
      <c r="AE81" s="10"/>
      <c r="AF81" s="10"/>
      <c r="AG81" s="10"/>
      <c r="AH81" s="10"/>
      <c r="AI81" s="10"/>
      <c r="AJ81" s="15">
        <f t="shared" si="10"/>
        <v>16</v>
      </c>
      <c r="AK81" s="15">
        <f t="shared" si="9"/>
        <v>0</v>
      </c>
      <c r="AL81" s="10"/>
      <c r="AM81" s="18">
        <v>1</v>
      </c>
    </row>
    <row r="82" spans="1:39" x14ac:dyDescent="0.3">
      <c r="A82" s="10">
        <v>2024</v>
      </c>
      <c r="B82" s="10" t="s">
        <v>180</v>
      </c>
      <c r="C82" s="11">
        <v>45505</v>
      </c>
      <c r="D82" s="10" t="s">
        <v>135</v>
      </c>
      <c r="E82" s="12" t="s">
        <v>66</v>
      </c>
      <c r="F82" s="10" t="s">
        <v>65</v>
      </c>
      <c r="G82" s="10" t="s">
        <v>55</v>
      </c>
      <c r="H82" s="10" t="s">
        <v>136</v>
      </c>
      <c r="I82" s="10" t="s">
        <v>141</v>
      </c>
      <c r="J82" s="10" t="s">
        <v>138</v>
      </c>
      <c r="K82" s="10"/>
      <c r="L82" s="10"/>
      <c r="M82" s="10">
        <v>182149</v>
      </c>
      <c r="N82" s="15">
        <v>1940</v>
      </c>
      <c r="O82" s="15">
        <v>1986</v>
      </c>
      <c r="P82" s="16">
        <v>1986</v>
      </c>
      <c r="Q82" s="14">
        <v>1940</v>
      </c>
      <c r="R82" s="15">
        <f t="shared" si="14"/>
        <v>-46</v>
      </c>
      <c r="S82" s="15">
        <f t="shared" si="11"/>
        <v>0</v>
      </c>
      <c r="T82" s="17">
        <f t="shared" si="12"/>
        <v>0</v>
      </c>
      <c r="U82" s="17">
        <f t="shared" si="13"/>
        <v>-2.3162134944612278E-2</v>
      </c>
      <c r="V82" s="10" t="s">
        <v>139</v>
      </c>
      <c r="W82" s="10"/>
      <c r="X82" s="10">
        <v>43</v>
      </c>
      <c r="Y82" s="10"/>
      <c r="Z82" s="10">
        <v>3</v>
      </c>
      <c r="AA82" s="10"/>
      <c r="AB82" s="10"/>
      <c r="AC82" s="10"/>
      <c r="AD82" s="10"/>
      <c r="AE82" s="10"/>
      <c r="AF82" s="10"/>
      <c r="AG82" s="10"/>
      <c r="AH82" s="10"/>
      <c r="AI82" s="10"/>
      <c r="AJ82" s="15">
        <f t="shared" si="10"/>
        <v>46</v>
      </c>
      <c r="AK82" s="15">
        <f t="shared" si="9"/>
        <v>0</v>
      </c>
      <c r="AL82" s="10"/>
      <c r="AM82" s="18">
        <v>1</v>
      </c>
    </row>
    <row r="83" spans="1:39" x14ac:dyDescent="0.3">
      <c r="A83" s="10">
        <v>2024</v>
      </c>
      <c r="B83" s="10" t="s">
        <v>180</v>
      </c>
      <c r="C83" s="11">
        <v>45505</v>
      </c>
      <c r="D83" s="10" t="s">
        <v>135</v>
      </c>
      <c r="E83" s="12" t="s">
        <v>66</v>
      </c>
      <c r="F83" s="10" t="s">
        <v>65</v>
      </c>
      <c r="G83" s="10" t="s">
        <v>55</v>
      </c>
      <c r="H83" s="10" t="s">
        <v>136</v>
      </c>
      <c r="I83" s="10" t="s">
        <v>142</v>
      </c>
      <c r="J83" s="10" t="s">
        <v>143</v>
      </c>
      <c r="K83" s="10"/>
      <c r="L83" s="10"/>
      <c r="M83" s="10">
        <v>182671</v>
      </c>
      <c r="N83" s="15">
        <v>630</v>
      </c>
      <c r="O83" s="15">
        <v>637</v>
      </c>
      <c r="P83" s="16">
        <v>637</v>
      </c>
      <c r="Q83" s="14">
        <v>630</v>
      </c>
      <c r="R83" s="15">
        <f t="shared" si="14"/>
        <v>-7</v>
      </c>
      <c r="S83" s="15">
        <f t="shared" si="11"/>
        <v>0</v>
      </c>
      <c r="T83" s="17">
        <f t="shared" si="12"/>
        <v>0</v>
      </c>
      <c r="U83" s="17">
        <f t="shared" si="13"/>
        <v>-1.098901098901095E-2</v>
      </c>
      <c r="V83" s="10" t="s">
        <v>139</v>
      </c>
      <c r="W83" s="10"/>
      <c r="X83" s="10">
        <v>3</v>
      </c>
      <c r="Y83" s="10"/>
      <c r="Z83" s="10"/>
      <c r="AA83" s="10"/>
      <c r="AB83" s="10">
        <v>3</v>
      </c>
      <c r="AC83" s="10"/>
      <c r="AD83" s="10"/>
      <c r="AE83" s="10"/>
      <c r="AF83" s="10">
        <v>1</v>
      </c>
      <c r="AG83" s="10"/>
      <c r="AH83" s="10"/>
      <c r="AI83" s="10"/>
      <c r="AJ83" s="15">
        <f t="shared" si="10"/>
        <v>7</v>
      </c>
      <c r="AK83" s="15">
        <f t="shared" si="9"/>
        <v>0</v>
      </c>
      <c r="AL83" s="10"/>
      <c r="AM83" s="18">
        <v>1</v>
      </c>
    </row>
    <row r="84" spans="1:39" x14ac:dyDescent="0.3">
      <c r="A84" s="10">
        <v>2024</v>
      </c>
      <c r="B84" s="10" t="s">
        <v>180</v>
      </c>
      <c r="C84" s="11">
        <v>45505</v>
      </c>
      <c r="D84" s="10" t="s">
        <v>135</v>
      </c>
      <c r="E84" s="12" t="s">
        <v>66</v>
      </c>
      <c r="F84" s="10" t="s">
        <v>65</v>
      </c>
      <c r="G84" s="10" t="s">
        <v>55</v>
      </c>
      <c r="H84" s="10" t="s">
        <v>136</v>
      </c>
      <c r="I84" s="10" t="s">
        <v>144</v>
      </c>
      <c r="J84" s="10" t="s">
        <v>145</v>
      </c>
      <c r="K84" s="10"/>
      <c r="L84" s="10"/>
      <c r="M84" s="10">
        <v>182672</v>
      </c>
      <c r="N84" s="15">
        <v>1280</v>
      </c>
      <c r="O84" s="15">
        <v>1292</v>
      </c>
      <c r="P84" s="16">
        <v>1292</v>
      </c>
      <c r="Q84" s="14">
        <v>1280</v>
      </c>
      <c r="R84" s="15">
        <f t="shared" si="14"/>
        <v>-12</v>
      </c>
      <c r="S84" s="15">
        <f t="shared" si="11"/>
        <v>0</v>
      </c>
      <c r="T84" s="17">
        <f t="shared" si="12"/>
        <v>0</v>
      </c>
      <c r="U84" s="17">
        <f t="shared" si="13"/>
        <v>-9.2879256965944235E-3</v>
      </c>
      <c r="V84" s="10" t="s">
        <v>139</v>
      </c>
      <c r="W84" s="10"/>
      <c r="X84" s="10">
        <v>7</v>
      </c>
      <c r="Y84" s="10"/>
      <c r="Z84" s="10">
        <v>3</v>
      </c>
      <c r="AA84" s="10"/>
      <c r="AB84" s="10">
        <v>1</v>
      </c>
      <c r="AC84" s="10"/>
      <c r="AD84" s="10"/>
      <c r="AE84" s="10"/>
      <c r="AF84" s="10">
        <v>1</v>
      </c>
      <c r="AG84" s="10"/>
      <c r="AH84" s="10"/>
      <c r="AI84" s="10"/>
      <c r="AJ84" s="15">
        <f t="shared" si="10"/>
        <v>12</v>
      </c>
      <c r="AK84" s="15">
        <f t="shared" si="9"/>
        <v>0</v>
      </c>
      <c r="AL84" s="10"/>
      <c r="AM84" s="18">
        <v>1</v>
      </c>
    </row>
    <row r="85" spans="1:39" x14ac:dyDescent="0.3">
      <c r="A85" s="10">
        <v>2024</v>
      </c>
      <c r="B85" s="10" t="s">
        <v>180</v>
      </c>
      <c r="C85" s="11">
        <v>45505</v>
      </c>
      <c r="D85" s="10" t="s">
        <v>135</v>
      </c>
      <c r="E85" s="12" t="s">
        <v>66</v>
      </c>
      <c r="F85" s="10" t="s">
        <v>65</v>
      </c>
      <c r="G85" s="10" t="s">
        <v>55</v>
      </c>
      <c r="H85" s="10" t="s">
        <v>136</v>
      </c>
      <c r="I85" s="10" t="s">
        <v>146</v>
      </c>
      <c r="J85" s="10" t="s">
        <v>147</v>
      </c>
      <c r="K85" s="10"/>
      <c r="L85" s="10"/>
      <c r="M85" s="10">
        <v>182668</v>
      </c>
      <c r="N85" s="15">
        <v>4240</v>
      </c>
      <c r="O85" s="15">
        <v>4276</v>
      </c>
      <c r="P85" s="16">
        <v>4276</v>
      </c>
      <c r="Q85" s="14">
        <v>4240</v>
      </c>
      <c r="R85" s="15">
        <f t="shared" si="14"/>
        <v>-36</v>
      </c>
      <c r="S85" s="15">
        <f t="shared" si="11"/>
        <v>0</v>
      </c>
      <c r="T85" s="17">
        <f t="shared" si="12"/>
        <v>0</v>
      </c>
      <c r="U85" s="17">
        <f t="shared" si="13"/>
        <v>-8.4190832553788786E-3</v>
      </c>
      <c r="V85" s="10" t="s">
        <v>139</v>
      </c>
      <c r="W85" s="10"/>
      <c r="X85" s="10">
        <v>28</v>
      </c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>
        <v>8</v>
      </c>
      <c r="AJ85" s="15">
        <f t="shared" si="10"/>
        <v>36</v>
      </c>
      <c r="AK85" s="15">
        <f t="shared" si="9"/>
        <v>0</v>
      </c>
      <c r="AL85" s="10"/>
      <c r="AM85" s="18">
        <v>1</v>
      </c>
    </row>
    <row r="86" spans="1:39" x14ac:dyDescent="0.3">
      <c r="A86" s="10">
        <v>2024</v>
      </c>
      <c r="B86" s="10" t="s">
        <v>180</v>
      </c>
      <c r="C86" s="11">
        <v>45505</v>
      </c>
      <c r="D86" s="10" t="s">
        <v>135</v>
      </c>
      <c r="E86" s="12" t="s">
        <v>66</v>
      </c>
      <c r="F86" s="10" t="s">
        <v>65</v>
      </c>
      <c r="G86" s="10" t="s">
        <v>55</v>
      </c>
      <c r="H86" s="10" t="s">
        <v>136</v>
      </c>
      <c r="I86" s="10" t="s">
        <v>148</v>
      </c>
      <c r="J86" s="10" t="s">
        <v>149</v>
      </c>
      <c r="K86" s="10"/>
      <c r="L86" s="10"/>
      <c r="M86" s="10">
        <v>182663</v>
      </c>
      <c r="N86" s="15">
        <v>600</v>
      </c>
      <c r="O86" s="15">
        <v>630</v>
      </c>
      <c r="P86" s="16">
        <v>630</v>
      </c>
      <c r="Q86" s="14">
        <v>600</v>
      </c>
      <c r="R86" s="15">
        <f t="shared" si="14"/>
        <v>-30</v>
      </c>
      <c r="S86" s="15">
        <f t="shared" si="11"/>
        <v>0</v>
      </c>
      <c r="T86" s="17">
        <f t="shared" si="12"/>
        <v>0</v>
      </c>
      <c r="U86" s="17">
        <f t="shared" si="13"/>
        <v>-4.7619047619047672E-2</v>
      </c>
      <c r="V86" s="10" t="s">
        <v>139</v>
      </c>
      <c r="W86" s="10"/>
      <c r="X86" s="10"/>
      <c r="Y86" s="10"/>
      <c r="Z86" s="10">
        <v>11</v>
      </c>
      <c r="AA86" s="10"/>
      <c r="AB86" s="10">
        <v>19</v>
      </c>
      <c r="AC86" s="10"/>
      <c r="AD86" s="10"/>
      <c r="AE86" s="10"/>
      <c r="AF86" s="10"/>
      <c r="AG86" s="10"/>
      <c r="AH86" s="10"/>
      <c r="AI86" s="10"/>
      <c r="AJ86" s="15">
        <f t="shared" si="10"/>
        <v>30</v>
      </c>
      <c r="AK86" s="15">
        <f t="shared" si="9"/>
        <v>0</v>
      </c>
      <c r="AL86" s="10"/>
      <c r="AM86" s="18">
        <v>1</v>
      </c>
    </row>
    <row r="87" spans="1:39" x14ac:dyDescent="0.3">
      <c r="A87" s="10">
        <v>2024</v>
      </c>
      <c r="B87" s="10" t="s">
        <v>180</v>
      </c>
      <c r="C87" s="11">
        <v>45505</v>
      </c>
      <c r="D87" s="10" t="s">
        <v>150</v>
      </c>
      <c r="E87" s="12" t="s">
        <v>66</v>
      </c>
      <c r="F87" s="10" t="s">
        <v>65</v>
      </c>
      <c r="G87" s="10" t="s">
        <v>151</v>
      </c>
      <c r="H87" s="10" t="s">
        <v>136</v>
      </c>
      <c r="I87" s="10" t="s">
        <v>152</v>
      </c>
      <c r="J87" s="10" t="s">
        <v>153</v>
      </c>
      <c r="K87" s="10"/>
      <c r="L87" s="10"/>
      <c r="M87" s="10">
        <v>182903</v>
      </c>
      <c r="N87" s="15">
        <v>1290</v>
      </c>
      <c r="O87" s="15">
        <v>1306</v>
      </c>
      <c r="P87" s="16">
        <v>1306</v>
      </c>
      <c r="Q87" s="14">
        <v>1290</v>
      </c>
      <c r="R87" s="15">
        <f t="shared" si="14"/>
        <v>-16</v>
      </c>
      <c r="S87" s="15">
        <f t="shared" si="11"/>
        <v>0</v>
      </c>
      <c r="T87" s="17">
        <f t="shared" si="12"/>
        <v>0</v>
      </c>
      <c r="U87" s="17">
        <f t="shared" si="13"/>
        <v>-1.225114854517606E-2</v>
      </c>
      <c r="V87" s="10" t="s">
        <v>139</v>
      </c>
      <c r="W87" s="10"/>
      <c r="X87" s="10"/>
      <c r="Y87" s="10"/>
      <c r="Z87" s="10"/>
      <c r="AA87" s="10"/>
      <c r="AB87" s="10"/>
      <c r="AC87" s="10">
        <v>16</v>
      </c>
      <c r="AD87" s="10"/>
      <c r="AE87" s="10"/>
      <c r="AF87" s="10"/>
      <c r="AG87" s="10"/>
      <c r="AH87" s="10"/>
      <c r="AI87" s="10"/>
      <c r="AJ87" s="15">
        <f t="shared" si="10"/>
        <v>16</v>
      </c>
      <c r="AK87" s="15">
        <f t="shared" si="9"/>
        <v>0</v>
      </c>
      <c r="AL87" s="10"/>
      <c r="AM87" s="18">
        <v>1</v>
      </c>
    </row>
    <row r="88" spans="1:39" x14ac:dyDescent="0.3">
      <c r="A88" s="10">
        <v>2024</v>
      </c>
      <c r="B88" s="10" t="s">
        <v>180</v>
      </c>
      <c r="C88" s="11">
        <v>45505</v>
      </c>
      <c r="D88" s="10" t="s">
        <v>150</v>
      </c>
      <c r="E88" s="12" t="s">
        <v>66</v>
      </c>
      <c r="F88" s="10" t="s">
        <v>65</v>
      </c>
      <c r="G88" s="10" t="s">
        <v>151</v>
      </c>
      <c r="H88" s="10" t="s">
        <v>136</v>
      </c>
      <c r="I88" s="10" t="s">
        <v>154</v>
      </c>
      <c r="J88" s="10" t="s">
        <v>155</v>
      </c>
      <c r="K88" s="10"/>
      <c r="L88" s="10"/>
      <c r="M88" s="10">
        <v>182906</v>
      </c>
      <c r="N88" s="15">
        <v>1050</v>
      </c>
      <c r="O88" s="19">
        <v>1074</v>
      </c>
      <c r="P88" s="19">
        <v>1074</v>
      </c>
      <c r="Q88" s="19">
        <v>1050</v>
      </c>
      <c r="R88" s="15">
        <f t="shared" si="14"/>
        <v>-24</v>
      </c>
      <c r="S88" s="15">
        <f t="shared" si="11"/>
        <v>0</v>
      </c>
      <c r="T88" s="17">
        <f t="shared" si="12"/>
        <v>0</v>
      </c>
      <c r="U88" s="17">
        <f t="shared" si="13"/>
        <v>-2.2346368715083775E-2</v>
      </c>
      <c r="V88" s="10" t="s">
        <v>139</v>
      </c>
      <c r="W88" s="10"/>
      <c r="X88" s="18"/>
      <c r="Y88" s="10"/>
      <c r="Z88" s="18"/>
      <c r="AA88" s="10"/>
      <c r="AB88" s="10"/>
      <c r="AC88" s="10">
        <v>24</v>
      </c>
      <c r="AD88" s="10"/>
      <c r="AE88" s="10"/>
      <c r="AF88" s="10"/>
      <c r="AG88" s="10"/>
      <c r="AH88" s="10"/>
      <c r="AI88" s="10"/>
      <c r="AJ88" s="15">
        <f t="shared" si="10"/>
        <v>24</v>
      </c>
      <c r="AK88" s="15">
        <f t="shared" si="9"/>
        <v>0</v>
      </c>
      <c r="AL88" s="10"/>
      <c r="AM88" s="18">
        <v>1</v>
      </c>
    </row>
    <row r="89" spans="1:39" x14ac:dyDescent="0.3">
      <c r="A89" s="10">
        <v>2024</v>
      </c>
      <c r="B89" s="10" t="s">
        <v>180</v>
      </c>
      <c r="C89" s="11">
        <v>45505</v>
      </c>
      <c r="D89" s="10" t="s">
        <v>150</v>
      </c>
      <c r="E89" s="12" t="s">
        <v>66</v>
      </c>
      <c r="F89" s="10" t="s">
        <v>65</v>
      </c>
      <c r="G89" s="10" t="s">
        <v>151</v>
      </c>
      <c r="H89" s="10" t="s">
        <v>136</v>
      </c>
      <c r="I89" s="10" t="s">
        <v>156</v>
      </c>
      <c r="J89" s="10" t="s">
        <v>157</v>
      </c>
      <c r="K89" s="10"/>
      <c r="L89" s="10"/>
      <c r="M89" s="10">
        <v>182910</v>
      </c>
      <c r="N89" s="15">
        <v>1360</v>
      </c>
      <c r="O89" s="19">
        <v>1388</v>
      </c>
      <c r="P89" s="19">
        <v>1388</v>
      </c>
      <c r="Q89" s="19">
        <v>1360</v>
      </c>
      <c r="R89" s="15">
        <f t="shared" si="14"/>
        <v>-28</v>
      </c>
      <c r="S89" s="15">
        <f t="shared" si="11"/>
        <v>0</v>
      </c>
      <c r="T89" s="17">
        <f t="shared" si="12"/>
        <v>0</v>
      </c>
      <c r="U89" s="17">
        <f t="shared" si="13"/>
        <v>-2.0172910662824228E-2</v>
      </c>
      <c r="V89" s="10" t="s">
        <v>139</v>
      </c>
      <c r="W89" s="10"/>
      <c r="X89" s="18"/>
      <c r="Y89" s="10"/>
      <c r="Z89" s="18"/>
      <c r="AA89" s="10"/>
      <c r="AB89" s="10"/>
      <c r="AC89" s="10">
        <v>28</v>
      </c>
      <c r="AD89" s="10"/>
      <c r="AE89" s="10"/>
      <c r="AF89" s="10"/>
      <c r="AG89" s="10"/>
      <c r="AH89" s="10"/>
      <c r="AI89" s="10"/>
      <c r="AJ89" s="15">
        <f t="shared" si="10"/>
        <v>28</v>
      </c>
      <c r="AK89" s="15">
        <f t="shared" si="9"/>
        <v>0</v>
      </c>
      <c r="AL89" s="10"/>
      <c r="AM89" s="18">
        <v>1</v>
      </c>
    </row>
    <row r="90" spans="1:39" x14ac:dyDescent="0.3">
      <c r="A90" s="10">
        <v>2024</v>
      </c>
      <c r="B90" s="10" t="s">
        <v>180</v>
      </c>
      <c r="C90" s="11">
        <v>45505</v>
      </c>
      <c r="D90" s="10" t="s">
        <v>150</v>
      </c>
      <c r="E90" s="12" t="s">
        <v>66</v>
      </c>
      <c r="F90" s="10" t="s">
        <v>65</v>
      </c>
      <c r="G90" s="10" t="s">
        <v>151</v>
      </c>
      <c r="H90" s="10" t="s">
        <v>136</v>
      </c>
      <c r="I90" s="10" t="s">
        <v>158</v>
      </c>
      <c r="J90" s="10" t="s">
        <v>159</v>
      </c>
      <c r="K90" s="10"/>
      <c r="L90" s="10"/>
      <c r="M90" s="10">
        <v>182916</v>
      </c>
      <c r="N90" s="15">
        <v>3290</v>
      </c>
      <c r="O90" s="19">
        <v>3330</v>
      </c>
      <c r="P90" s="19">
        <v>3330</v>
      </c>
      <c r="Q90" s="19">
        <v>3290</v>
      </c>
      <c r="R90" s="15">
        <f t="shared" si="14"/>
        <v>-40</v>
      </c>
      <c r="S90" s="15">
        <f t="shared" si="11"/>
        <v>0</v>
      </c>
      <c r="T90" s="17">
        <f t="shared" si="12"/>
        <v>0</v>
      </c>
      <c r="U90" s="17">
        <f t="shared" si="13"/>
        <v>-1.2012012012011963E-2</v>
      </c>
      <c r="V90" s="10" t="s">
        <v>139</v>
      </c>
      <c r="W90" s="10"/>
      <c r="X90" s="18"/>
      <c r="Y90" s="10"/>
      <c r="Z90" s="18"/>
      <c r="AA90" s="10"/>
      <c r="AB90" s="18"/>
      <c r="AC90" s="18">
        <v>40</v>
      </c>
      <c r="AD90" s="18"/>
      <c r="AE90" s="18"/>
      <c r="AF90" s="10"/>
      <c r="AG90" s="18"/>
      <c r="AH90" s="10"/>
      <c r="AI90" s="18"/>
      <c r="AJ90" s="15">
        <f t="shared" si="10"/>
        <v>40</v>
      </c>
      <c r="AK90" s="15">
        <f t="shared" si="9"/>
        <v>0</v>
      </c>
      <c r="AL90" s="10"/>
      <c r="AM90" s="18">
        <v>1</v>
      </c>
    </row>
    <row r="91" spans="1:39" x14ac:dyDescent="0.3">
      <c r="A91" s="10">
        <v>2024</v>
      </c>
      <c r="B91" s="10" t="s">
        <v>180</v>
      </c>
      <c r="C91" s="11">
        <v>45505</v>
      </c>
      <c r="D91" s="10" t="s">
        <v>135</v>
      </c>
      <c r="E91" s="12" t="s">
        <v>66</v>
      </c>
      <c r="F91" s="10" t="s">
        <v>65</v>
      </c>
      <c r="G91" s="10" t="s">
        <v>55</v>
      </c>
      <c r="H91" s="10" t="s">
        <v>136</v>
      </c>
      <c r="I91" s="10" t="s">
        <v>141</v>
      </c>
      <c r="J91" s="10" t="s">
        <v>160</v>
      </c>
      <c r="K91" s="10"/>
      <c r="L91" s="10"/>
      <c r="M91" s="10">
        <v>182928</v>
      </c>
      <c r="N91" s="15">
        <v>1690</v>
      </c>
      <c r="O91" s="19">
        <v>1728</v>
      </c>
      <c r="P91" s="19">
        <v>1728</v>
      </c>
      <c r="Q91" s="19">
        <v>1690</v>
      </c>
      <c r="R91" s="15">
        <f t="shared" si="14"/>
        <v>-38</v>
      </c>
      <c r="S91" s="15">
        <f t="shared" si="11"/>
        <v>0</v>
      </c>
      <c r="T91" s="17">
        <f t="shared" si="12"/>
        <v>0</v>
      </c>
      <c r="U91" s="17">
        <f t="shared" si="13"/>
        <v>-2.19907407407407E-2</v>
      </c>
      <c r="V91" s="10" t="s">
        <v>139</v>
      </c>
      <c r="W91" s="10"/>
      <c r="X91" s="10">
        <v>24</v>
      </c>
      <c r="Y91" s="10"/>
      <c r="Z91" s="18">
        <v>10</v>
      </c>
      <c r="AA91" s="10"/>
      <c r="AB91" s="18"/>
      <c r="AC91" s="18">
        <v>4</v>
      </c>
      <c r="AD91" s="18"/>
      <c r="AE91" s="18"/>
      <c r="AF91" s="10"/>
      <c r="AG91" s="18"/>
      <c r="AH91" s="10"/>
      <c r="AI91" s="18"/>
      <c r="AJ91" s="15">
        <f t="shared" si="10"/>
        <v>38</v>
      </c>
      <c r="AK91" s="15">
        <f t="shared" si="9"/>
        <v>0</v>
      </c>
      <c r="AL91" s="10"/>
      <c r="AM91" s="18">
        <v>1</v>
      </c>
    </row>
    <row r="92" spans="1:39" x14ac:dyDescent="0.3">
      <c r="A92" s="10">
        <v>2024</v>
      </c>
      <c r="B92" s="10" t="s">
        <v>180</v>
      </c>
      <c r="C92" s="11">
        <v>45505</v>
      </c>
      <c r="D92" s="10" t="s">
        <v>135</v>
      </c>
      <c r="E92" s="12" t="s">
        <v>66</v>
      </c>
      <c r="F92" s="10" t="s">
        <v>65</v>
      </c>
      <c r="G92" s="10" t="s">
        <v>55</v>
      </c>
      <c r="H92" s="10" t="s">
        <v>136</v>
      </c>
      <c r="I92" s="10" t="s">
        <v>161</v>
      </c>
      <c r="J92" s="10" t="s">
        <v>162</v>
      </c>
      <c r="K92" s="10"/>
      <c r="L92" s="10"/>
      <c r="M92" s="10">
        <v>182661</v>
      </c>
      <c r="N92" s="15">
        <v>3000</v>
      </c>
      <c r="O92" s="19">
        <v>3060</v>
      </c>
      <c r="P92" s="19">
        <v>3060</v>
      </c>
      <c r="Q92" s="19">
        <v>3000</v>
      </c>
      <c r="R92" s="15">
        <f t="shared" si="14"/>
        <v>-60</v>
      </c>
      <c r="S92" s="15">
        <f t="shared" si="11"/>
        <v>0</v>
      </c>
      <c r="T92" s="17">
        <f t="shared" si="12"/>
        <v>0</v>
      </c>
      <c r="U92" s="17">
        <f t="shared" si="13"/>
        <v>-1.9607843137254943E-2</v>
      </c>
      <c r="V92" s="10" t="s">
        <v>139</v>
      </c>
      <c r="W92" s="10"/>
      <c r="X92" s="18"/>
      <c r="Y92" s="10"/>
      <c r="Z92" s="18">
        <v>60</v>
      </c>
      <c r="AA92" s="10"/>
      <c r="AB92" s="18"/>
      <c r="AC92" s="18"/>
      <c r="AD92" s="18"/>
      <c r="AE92" s="18"/>
      <c r="AF92" s="10"/>
      <c r="AG92" s="18"/>
      <c r="AH92" s="10"/>
      <c r="AI92" s="18"/>
      <c r="AJ92" s="15">
        <f t="shared" si="10"/>
        <v>60</v>
      </c>
      <c r="AK92" s="15">
        <f t="shared" si="9"/>
        <v>0</v>
      </c>
      <c r="AL92" s="10"/>
      <c r="AM92" s="18">
        <v>1</v>
      </c>
    </row>
    <row r="93" spans="1:39" x14ac:dyDescent="0.3">
      <c r="A93" s="10">
        <v>2024</v>
      </c>
      <c r="B93" s="10" t="s">
        <v>180</v>
      </c>
      <c r="C93" s="11">
        <v>45505</v>
      </c>
      <c r="D93" s="10" t="s">
        <v>150</v>
      </c>
      <c r="E93" s="12" t="s">
        <v>66</v>
      </c>
      <c r="F93" s="10" t="s">
        <v>65</v>
      </c>
      <c r="G93" s="10" t="s">
        <v>151</v>
      </c>
      <c r="H93" s="10" t="s">
        <v>136</v>
      </c>
      <c r="I93" s="10" t="s">
        <v>163</v>
      </c>
      <c r="J93" s="10" t="s">
        <v>164</v>
      </c>
      <c r="K93" s="10"/>
      <c r="L93" s="10"/>
      <c r="M93" s="10">
        <v>182913</v>
      </c>
      <c r="N93" s="15">
        <v>1680</v>
      </c>
      <c r="O93" s="19">
        <v>1707</v>
      </c>
      <c r="P93" s="19">
        <v>1707</v>
      </c>
      <c r="Q93" s="19">
        <v>1680</v>
      </c>
      <c r="R93" s="15">
        <f t="shared" si="14"/>
        <v>-27</v>
      </c>
      <c r="S93" s="15">
        <f t="shared" si="11"/>
        <v>0</v>
      </c>
      <c r="T93" s="17">
        <f t="shared" si="12"/>
        <v>0</v>
      </c>
      <c r="U93" s="17">
        <f t="shared" si="13"/>
        <v>-1.5817223198594021E-2</v>
      </c>
      <c r="V93" s="10" t="s">
        <v>139</v>
      </c>
      <c r="W93" s="10"/>
      <c r="X93" s="18"/>
      <c r="Y93" s="10"/>
      <c r="Z93" s="18"/>
      <c r="AA93" s="10"/>
      <c r="AB93" s="18"/>
      <c r="AC93" s="18">
        <v>27</v>
      </c>
      <c r="AD93" s="18"/>
      <c r="AE93" s="18"/>
      <c r="AF93" s="10"/>
      <c r="AG93" s="18"/>
      <c r="AH93" s="10"/>
      <c r="AI93" s="18"/>
      <c r="AJ93" s="15">
        <f t="shared" si="10"/>
        <v>27</v>
      </c>
      <c r="AK93" s="15">
        <f t="shared" si="9"/>
        <v>0</v>
      </c>
      <c r="AL93" s="10"/>
      <c r="AM93" s="18">
        <v>1</v>
      </c>
    </row>
    <row r="94" spans="1:39" x14ac:dyDescent="0.3">
      <c r="A94" s="10">
        <v>2024</v>
      </c>
      <c r="B94" s="10" t="s">
        <v>180</v>
      </c>
      <c r="C94" s="11">
        <v>45505</v>
      </c>
      <c r="D94" s="10" t="s">
        <v>135</v>
      </c>
      <c r="E94" s="12" t="s">
        <v>66</v>
      </c>
      <c r="F94" s="10" t="s">
        <v>65</v>
      </c>
      <c r="G94" s="10" t="s">
        <v>55</v>
      </c>
      <c r="H94" s="10" t="s">
        <v>136</v>
      </c>
      <c r="I94" s="10" t="s">
        <v>165</v>
      </c>
      <c r="J94" s="10" t="s">
        <v>166</v>
      </c>
      <c r="K94" s="10"/>
      <c r="L94" s="10"/>
      <c r="M94" s="10">
        <v>183108</v>
      </c>
      <c r="N94" s="15">
        <v>3490</v>
      </c>
      <c r="O94" s="19">
        <v>3521</v>
      </c>
      <c r="P94" s="19">
        <v>3521</v>
      </c>
      <c r="Q94" s="19">
        <v>3490</v>
      </c>
      <c r="R94" s="15">
        <f t="shared" si="14"/>
        <v>-31</v>
      </c>
      <c r="S94" s="15">
        <f t="shared" si="11"/>
        <v>0</v>
      </c>
      <c r="T94" s="17">
        <f t="shared" si="12"/>
        <v>0</v>
      </c>
      <c r="U94" s="17">
        <f t="shared" si="13"/>
        <v>-8.8043169554103962E-3</v>
      </c>
      <c r="V94" s="10" t="s">
        <v>139</v>
      </c>
      <c r="W94" s="10"/>
      <c r="X94" s="18">
        <v>24</v>
      </c>
      <c r="Y94" s="10"/>
      <c r="Z94" s="18"/>
      <c r="AA94" s="10"/>
      <c r="AB94" s="18"/>
      <c r="AC94" s="18"/>
      <c r="AD94" s="18"/>
      <c r="AE94" s="18"/>
      <c r="AF94" s="10">
        <v>1</v>
      </c>
      <c r="AG94" s="18"/>
      <c r="AH94" s="10"/>
      <c r="AI94" s="18">
        <v>6</v>
      </c>
      <c r="AJ94" s="15">
        <f t="shared" si="10"/>
        <v>31</v>
      </c>
      <c r="AK94" s="15">
        <f t="shared" si="9"/>
        <v>0</v>
      </c>
      <c r="AL94" s="10"/>
      <c r="AM94" s="18">
        <v>1</v>
      </c>
    </row>
    <row r="95" spans="1:39" x14ac:dyDescent="0.3">
      <c r="A95" s="10">
        <v>2024</v>
      </c>
      <c r="B95" s="10" t="s">
        <v>180</v>
      </c>
      <c r="C95" s="11">
        <v>45505</v>
      </c>
      <c r="D95" s="10" t="s">
        <v>135</v>
      </c>
      <c r="E95" s="12" t="s">
        <v>66</v>
      </c>
      <c r="F95" s="10" t="s">
        <v>65</v>
      </c>
      <c r="G95" s="10" t="s">
        <v>55</v>
      </c>
      <c r="H95" s="10" t="s">
        <v>136</v>
      </c>
      <c r="I95" s="10" t="s">
        <v>167</v>
      </c>
      <c r="J95" s="10" t="s">
        <v>138</v>
      </c>
      <c r="K95" s="10"/>
      <c r="L95" s="10"/>
      <c r="M95" s="10">
        <v>183222</v>
      </c>
      <c r="N95" s="15">
        <v>200</v>
      </c>
      <c r="O95" s="19">
        <v>208</v>
      </c>
      <c r="P95" s="19">
        <v>208</v>
      </c>
      <c r="Q95" s="19">
        <v>200</v>
      </c>
      <c r="R95" s="15">
        <f t="shared" si="14"/>
        <v>-8</v>
      </c>
      <c r="S95" s="15">
        <f t="shared" si="11"/>
        <v>0</v>
      </c>
      <c r="T95" s="17">
        <f t="shared" si="12"/>
        <v>0</v>
      </c>
      <c r="U95" s="17">
        <f t="shared" si="13"/>
        <v>-3.8461538461538436E-2</v>
      </c>
      <c r="V95" s="10" t="s">
        <v>139</v>
      </c>
      <c r="W95" s="10"/>
      <c r="X95" s="18">
        <v>5</v>
      </c>
      <c r="Y95" s="10"/>
      <c r="Z95" s="18">
        <v>3</v>
      </c>
      <c r="AA95" s="10"/>
      <c r="AB95" s="18"/>
      <c r="AC95" s="18"/>
      <c r="AD95" s="18"/>
      <c r="AE95" s="18"/>
      <c r="AF95" s="10"/>
      <c r="AG95" s="18"/>
      <c r="AH95" s="10"/>
      <c r="AI95" s="18"/>
      <c r="AJ95" s="15">
        <f t="shared" si="10"/>
        <v>8</v>
      </c>
      <c r="AK95" s="15">
        <f t="shared" si="9"/>
        <v>0</v>
      </c>
      <c r="AL95" s="10"/>
      <c r="AM95" s="18">
        <v>1</v>
      </c>
    </row>
    <row r="96" spans="1:39" x14ac:dyDescent="0.3">
      <c r="A96" s="10">
        <v>2024</v>
      </c>
      <c r="B96" s="10" t="s">
        <v>180</v>
      </c>
      <c r="C96" s="11">
        <v>45505</v>
      </c>
      <c r="D96" s="10" t="s">
        <v>135</v>
      </c>
      <c r="E96" s="12" t="s">
        <v>66</v>
      </c>
      <c r="F96" s="10" t="s">
        <v>65</v>
      </c>
      <c r="G96" s="10" t="s">
        <v>55</v>
      </c>
      <c r="H96" s="10" t="s">
        <v>136</v>
      </c>
      <c r="I96" s="55" t="s">
        <v>168</v>
      </c>
      <c r="J96" s="10"/>
      <c r="K96" s="10"/>
      <c r="L96" s="10"/>
      <c r="M96" s="55">
        <v>182670</v>
      </c>
      <c r="N96" s="56">
        <v>6580</v>
      </c>
      <c r="O96" s="19">
        <v>6608</v>
      </c>
      <c r="P96" s="19">
        <v>6608</v>
      </c>
      <c r="Q96" s="19">
        <v>6580</v>
      </c>
      <c r="R96" s="15">
        <f t="shared" si="14"/>
        <v>-28</v>
      </c>
      <c r="S96" s="15">
        <f t="shared" si="11"/>
        <v>0</v>
      </c>
      <c r="T96" s="17">
        <f t="shared" si="12"/>
        <v>0</v>
      </c>
      <c r="U96" s="17">
        <f t="shared" si="13"/>
        <v>-4.237288135593209E-3</v>
      </c>
      <c r="V96" s="10" t="s">
        <v>139</v>
      </c>
      <c r="W96" s="10"/>
      <c r="X96" s="18"/>
      <c r="Y96" s="10"/>
      <c r="Z96" s="18">
        <v>28</v>
      </c>
      <c r="AA96" s="10"/>
      <c r="AB96" s="18"/>
      <c r="AC96" s="18"/>
      <c r="AD96" s="18"/>
      <c r="AE96" s="18"/>
      <c r="AF96" s="10"/>
      <c r="AG96" s="18"/>
      <c r="AH96" s="10"/>
      <c r="AI96" s="18"/>
      <c r="AJ96" s="15">
        <f t="shared" si="10"/>
        <v>28</v>
      </c>
      <c r="AK96" s="15">
        <f t="shared" si="9"/>
        <v>0</v>
      </c>
      <c r="AL96" s="10"/>
      <c r="AM96" s="18">
        <v>1</v>
      </c>
    </row>
    <row r="97" spans="1:39" x14ac:dyDescent="0.3">
      <c r="A97" s="10">
        <v>2024</v>
      </c>
      <c r="B97" s="10" t="s">
        <v>180</v>
      </c>
      <c r="C97" s="11">
        <v>45505</v>
      </c>
      <c r="D97" s="10" t="s">
        <v>135</v>
      </c>
      <c r="E97" s="12" t="s">
        <v>66</v>
      </c>
      <c r="F97" s="10" t="s">
        <v>65</v>
      </c>
      <c r="G97" s="10" t="s">
        <v>55</v>
      </c>
      <c r="H97" s="10" t="s">
        <v>136</v>
      </c>
      <c r="I97" s="55" t="s">
        <v>169</v>
      </c>
      <c r="J97" s="10"/>
      <c r="K97" s="10"/>
      <c r="L97" s="10"/>
      <c r="M97" s="55">
        <v>182921</v>
      </c>
      <c r="N97" s="56">
        <v>330</v>
      </c>
      <c r="O97" s="19">
        <v>342</v>
      </c>
      <c r="P97" s="19">
        <v>342</v>
      </c>
      <c r="Q97" s="19">
        <v>330</v>
      </c>
      <c r="R97" s="15">
        <f t="shared" si="14"/>
        <v>-12</v>
      </c>
      <c r="S97" s="15">
        <f t="shared" si="11"/>
        <v>0</v>
      </c>
      <c r="T97" s="17">
        <f t="shared" si="12"/>
        <v>0</v>
      </c>
      <c r="U97" s="17">
        <f t="shared" si="13"/>
        <v>-3.5087719298245612E-2</v>
      </c>
      <c r="V97" s="10" t="s">
        <v>139</v>
      </c>
      <c r="W97" s="10"/>
      <c r="X97" s="18"/>
      <c r="Y97" s="10"/>
      <c r="Z97" s="18">
        <v>12</v>
      </c>
      <c r="AA97" s="10"/>
      <c r="AB97" s="18"/>
      <c r="AC97" s="18"/>
      <c r="AD97" s="18"/>
      <c r="AE97" s="18"/>
      <c r="AF97" s="10"/>
      <c r="AG97" s="18"/>
      <c r="AH97" s="10"/>
      <c r="AI97" s="18"/>
      <c r="AJ97" s="15">
        <f t="shared" si="10"/>
        <v>12</v>
      </c>
      <c r="AK97" s="15">
        <f t="shared" si="9"/>
        <v>0</v>
      </c>
      <c r="AL97" s="10"/>
      <c r="AM97" s="18">
        <v>1</v>
      </c>
    </row>
    <row r="98" spans="1:39" x14ac:dyDescent="0.3">
      <c r="A98" s="10">
        <v>2024</v>
      </c>
      <c r="B98" s="10" t="s">
        <v>180</v>
      </c>
      <c r="C98" s="11">
        <v>45505</v>
      </c>
      <c r="D98" s="10" t="s">
        <v>135</v>
      </c>
      <c r="E98" s="12" t="s">
        <v>66</v>
      </c>
      <c r="F98" s="10" t="s">
        <v>65</v>
      </c>
      <c r="G98" s="10" t="s">
        <v>55</v>
      </c>
      <c r="H98" s="10" t="s">
        <v>136</v>
      </c>
      <c r="I98" s="55" t="s">
        <v>170</v>
      </c>
      <c r="J98" s="10"/>
      <c r="K98" s="10"/>
      <c r="L98" s="10"/>
      <c r="M98" s="55">
        <v>182927</v>
      </c>
      <c r="N98" s="56">
        <v>310</v>
      </c>
      <c r="O98" s="19">
        <v>323</v>
      </c>
      <c r="P98" s="19">
        <v>323</v>
      </c>
      <c r="Q98" s="19">
        <v>310</v>
      </c>
      <c r="R98" s="15">
        <f t="shared" si="14"/>
        <v>-13</v>
      </c>
      <c r="S98" s="15">
        <f t="shared" si="11"/>
        <v>0</v>
      </c>
      <c r="T98" s="17">
        <f t="shared" si="12"/>
        <v>0</v>
      </c>
      <c r="U98" s="17">
        <f t="shared" si="13"/>
        <v>-4.0247678018575872E-2</v>
      </c>
      <c r="V98" s="10" t="s">
        <v>139</v>
      </c>
      <c r="W98" s="10"/>
      <c r="X98" s="18"/>
      <c r="Y98" s="10"/>
      <c r="Z98" s="18">
        <v>23</v>
      </c>
      <c r="AA98" s="10"/>
      <c r="AB98" s="18"/>
      <c r="AC98" s="18"/>
      <c r="AD98" s="18"/>
      <c r="AE98" s="18"/>
      <c r="AF98" s="10"/>
      <c r="AG98" s="18"/>
      <c r="AH98" s="10"/>
      <c r="AI98" s="18"/>
      <c r="AJ98" s="15">
        <f t="shared" si="10"/>
        <v>23</v>
      </c>
      <c r="AK98" s="15">
        <f t="shared" si="9"/>
        <v>10</v>
      </c>
      <c r="AL98" s="10"/>
      <c r="AM98" s="18">
        <v>1</v>
      </c>
    </row>
    <row r="99" spans="1:39" x14ac:dyDescent="0.3">
      <c r="A99" s="10">
        <v>2024</v>
      </c>
      <c r="B99" s="10" t="s">
        <v>180</v>
      </c>
      <c r="C99" s="11">
        <v>45505</v>
      </c>
      <c r="D99" s="10" t="s">
        <v>135</v>
      </c>
      <c r="E99" s="12" t="s">
        <v>66</v>
      </c>
      <c r="F99" s="10" t="s">
        <v>65</v>
      </c>
      <c r="G99" s="10" t="s">
        <v>55</v>
      </c>
      <c r="H99" s="10" t="s">
        <v>136</v>
      </c>
      <c r="I99" s="55" t="s">
        <v>167</v>
      </c>
      <c r="J99" s="10"/>
      <c r="K99" s="10"/>
      <c r="L99" s="10"/>
      <c r="M99" s="55">
        <v>182102</v>
      </c>
      <c r="N99" s="56">
        <v>650</v>
      </c>
      <c r="O99" s="19">
        <v>666</v>
      </c>
      <c r="P99" s="19">
        <v>666</v>
      </c>
      <c r="Q99" s="19">
        <v>650</v>
      </c>
      <c r="R99" s="15">
        <f t="shared" si="14"/>
        <v>-16</v>
      </c>
      <c r="S99" s="15">
        <f t="shared" si="11"/>
        <v>0</v>
      </c>
      <c r="T99" s="17">
        <f t="shared" si="12"/>
        <v>0</v>
      </c>
      <c r="U99" s="17">
        <f t="shared" si="13"/>
        <v>-2.4024024024024038E-2</v>
      </c>
      <c r="V99" s="10" t="s">
        <v>139</v>
      </c>
      <c r="W99" s="10"/>
      <c r="X99" s="18">
        <v>1</v>
      </c>
      <c r="Y99" s="10"/>
      <c r="Z99" s="18">
        <v>4</v>
      </c>
      <c r="AA99" s="10"/>
      <c r="AB99" s="18">
        <v>11</v>
      </c>
      <c r="AC99" s="18"/>
      <c r="AD99" s="18"/>
      <c r="AE99" s="18"/>
      <c r="AF99" s="10"/>
      <c r="AG99" s="18"/>
      <c r="AH99" s="10"/>
      <c r="AI99" s="18"/>
      <c r="AJ99" s="15">
        <f t="shared" si="10"/>
        <v>16</v>
      </c>
      <c r="AK99" s="15">
        <f t="shared" ref="AK99:AK102" si="15">R99+AJ99</f>
        <v>0</v>
      </c>
      <c r="AL99" s="10"/>
      <c r="AM99" s="18">
        <v>1</v>
      </c>
    </row>
    <row r="100" spans="1:39" x14ac:dyDescent="0.3">
      <c r="A100" s="10">
        <v>2024</v>
      </c>
      <c r="B100" s="10" t="s">
        <v>180</v>
      </c>
      <c r="C100" s="11">
        <v>45505</v>
      </c>
      <c r="D100" s="10" t="s">
        <v>150</v>
      </c>
      <c r="E100" s="12" t="s">
        <v>66</v>
      </c>
      <c r="F100" s="10" t="s">
        <v>65</v>
      </c>
      <c r="G100" s="10" t="s">
        <v>151</v>
      </c>
      <c r="H100" s="10" t="s">
        <v>171</v>
      </c>
      <c r="I100" s="10" t="s">
        <v>172</v>
      </c>
      <c r="J100" s="13"/>
      <c r="K100" s="10"/>
      <c r="L100" s="10"/>
      <c r="M100" s="10">
        <v>182600</v>
      </c>
      <c r="N100" s="15">
        <v>8440</v>
      </c>
      <c r="O100" s="19">
        <v>8510</v>
      </c>
      <c r="P100" s="19">
        <v>8510</v>
      </c>
      <c r="Q100" s="19">
        <v>8440</v>
      </c>
      <c r="R100" s="15">
        <f t="shared" si="14"/>
        <v>-70</v>
      </c>
      <c r="S100" s="15">
        <f t="shared" si="11"/>
        <v>0</v>
      </c>
      <c r="T100" s="17">
        <f t="shared" si="12"/>
        <v>0</v>
      </c>
      <c r="U100" s="17">
        <f t="shared" si="13"/>
        <v>-8.2256169212691077E-3</v>
      </c>
      <c r="V100" s="10" t="s">
        <v>139</v>
      </c>
      <c r="W100" s="10"/>
      <c r="X100" s="10"/>
      <c r="Y100" s="10"/>
      <c r="Z100" s="18">
        <v>70</v>
      </c>
      <c r="AA100" s="10"/>
      <c r="AB100" s="18"/>
      <c r="AC100" s="18"/>
      <c r="AD100" s="18"/>
      <c r="AE100" s="18"/>
      <c r="AF100" s="10"/>
      <c r="AG100" s="18"/>
      <c r="AH100" s="10"/>
      <c r="AI100" s="18"/>
      <c r="AJ100" s="15">
        <f t="shared" si="10"/>
        <v>70</v>
      </c>
      <c r="AK100" s="15">
        <f t="shared" si="15"/>
        <v>0</v>
      </c>
      <c r="AL100" s="10"/>
      <c r="AM100" s="18">
        <v>1</v>
      </c>
    </row>
    <row r="101" spans="1:39" x14ac:dyDescent="0.3">
      <c r="A101" s="10">
        <v>2024</v>
      </c>
      <c r="B101" s="10" t="s">
        <v>180</v>
      </c>
      <c r="C101" s="11">
        <v>45505</v>
      </c>
      <c r="D101" s="10" t="s">
        <v>150</v>
      </c>
      <c r="E101" s="12" t="s">
        <v>66</v>
      </c>
      <c r="F101" s="10" t="s">
        <v>65</v>
      </c>
      <c r="G101" s="10" t="s">
        <v>151</v>
      </c>
      <c r="H101" s="10" t="s">
        <v>171</v>
      </c>
      <c r="I101" s="10" t="s">
        <v>173</v>
      </c>
      <c r="J101" s="13"/>
      <c r="K101" s="10"/>
      <c r="L101" s="10"/>
      <c r="M101" s="10">
        <v>182601</v>
      </c>
      <c r="N101" s="15">
        <v>15120</v>
      </c>
      <c r="O101" s="19">
        <v>15329</v>
      </c>
      <c r="P101" s="19">
        <v>15329</v>
      </c>
      <c r="Q101" s="19">
        <v>15120</v>
      </c>
      <c r="R101" s="15">
        <f t="shared" si="14"/>
        <v>-209</v>
      </c>
      <c r="S101" s="15">
        <f t="shared" si="11"/>
        <v>0</v>
      </c>
      <c r="T101" s="17">
        <f t="shared" si="12"/>
        <v>0</v>
      </c>
      <c r="U101" s="17">
        <f t="shared" si="13"/>
        <v>-1.3634287950942681E-2</v>
      </c>
      <c r="V101" s="10" t="s">
        <v>139</v>
      </c>
      <c r="W101" s="10"/>
      <c r="X101" s="10"/>
      <c r="Y101" s="10"/>
      <c r="Z101" s="18">
        <v>209</v>
      </c>
      <c r="AA101" s="10"/>
      <c r="AB101" s="18"/>
      <c r="AC101" s="18"/>
      <c r="AD101" s="18"/>
      <c r="AE101" s="18"/>
      <c r="AF101" s="10"/>
      <c r="AG101" s="18"/>
      <c r="AH101" s="10"/>
      <c r="AI101" s="18"/>
      <c r="AJ101" s="15">
        <f t="shared" si="10"/>
        <v>209</v>
      </c>
      <c r="AK101" s="15">
        <f t="shared" si="15"/>
        <v>0</v>
      </c>
      <c r="AL101" s="10"/>
      <c r="AM101" s="18">
        <v>1</v>
      </c>
    </row>
    <row r="102" spans="1:39" x14ac:dyDescent="0.3">
      <c r="A102" s="10">
        <v>2024</v>
      </c>
      <c r="B102" s="10" t="s">
        <v>180</v>
      </c>
      <c r="C102" s="11">
        <v>45505</v>
      </c>
      <c r="D102" s="10" t="s">
        <v>150</v>
      </c>
      <c r="E102" s="12" t="s">
        <v>66</v>
      </c>
      <c r="F102" s="10" t="s">
        <v>65</v>
      </c>
      <c r="G102" s="10" t="s">
        <v>151</v>
      </c>
      <c r="H102" s="10" t="s">
        <v>171</v>
      </c>
      <c r="I102" s="10" t="s">
        <v>174</v>
      </c>
      <c r="J102" s="13"/>
      <c r="K102" s="10"/>
      <c r="L102" s="10"/>
      <c r="M102" s="10">
        <v>182602</v>
      </c>
      <c r="N102" s="15">
        <v>3240</v>
      </c>
      <c r="O102" s="19">
        <v>3253</v>
      </c>
      <c r="P102" s="19">
        <v>3280</v>
      </c>
      <c r="Q102" s="19">
        <v>3240</v>
      </c>
      <c r="R102" s="15">
        <f t="shared" si="14"/>
        <v>-13</v>
      </c>
      <c r="S102" s="15">
        <f t="shared" si="11"/>
        <v>0</v>
      </c>
      <c r="T102" s="17">
        <f t="shared" si="12"/>
        <v>0</v>
      </c>
      <c r="U102" s="17">
        <f t="shared" si="13"/>
        <v>-3.9963110974484684E-3</v>
      </c>
      <c r="V102" s="10" t="s">
        <v>139</v>
      </c>
      <c r="W102" s="10"/>
      <c r="X102" s="18"/>
      <c r="Y102" s="10"/>
      <c r="Z102" s="18">
        <v>13</v>
      </c>
      <c r="AA102" s="10"/>
      <c r="AB102" s="10"/>
      <c r="AC102" s="10"/>
      <c r="AD102" s="18"/>
      <c r="AE102" s="10"/>
      <c r="AF102" s="10"/>
      <c r="AG102" s="10"/>
      <c r="AH102" s="10"/>
      <c r="AI102" s="10"/>
      <c r="AJ102" s="15">
        <f t="shared" si="10"/>
        <v>13</v>
      </c>
      <c r="AK102" s="15">
        <f t="shared" si="15"/>
        <v>0</v>
      </c>
      <c r="AL102" s="10"/>
      <c r="AM102" s="18">
        <v>1</v>
      </c>
    </row>
    <row r="103" spans="1:39" x14ac:dyDescent="0.3">
      <c r="A103" s="27">
        <v>2024</v>
      </c>
      <c r="B103" s="24" t="s">
        <v>180</v>
      </c>
      <c r="C103" s="25">
        <v>45505</v>
      </c>
      <c r="D103" s="27" t="s">
        <v>66</v>
      </c>
      <c r="E103" s="27" t="s">
        <v>66</v>
      </c>
      <c r="F103" s="27" t="s">
        <v>175</v>
      </c>
      <c r="G103" s="27" t="s">
        <v>176</v>
      </c>
      <c r="H103" s="24" t="s">
        <v>177</v>
      </c>
      <c r="I103" s="27"/>
      <c r="J103" s="24"/>
      <c r="K103" s="24"/>
      <c r="L103" s="24"/>
      <c r="M103" s="57">
        <v>182853</v>
      </c>
      <c r="N103" s="28">
        <v>1002</v>
      </c>
      <c r="O103" s="28">
        <v>1002</v>
      </c>
      <c r="P103" s="28">
        <v>1002</v>
      </c>
      <c r="Q103" s="28">
        <v>989</v>
      </c>
      <c r="R103" s="29">
        <f t="shared" si="14"/>
        <v>-13</v>
      </c>
      <c r="S103" s="29">
        <f t="shared" si="11"/>
        <v>-13</v>
      </c>
      <c r="T103" s="49">
        <f t="shared" si="12"/>
        <v>-1.2974051896207595E-2</v>
      </c>
      <c r="U103" s="49">
        <f t="shared" si="13"/>
        <v>-1.2974051896207595E-2</v>
      </c>
      <c r="V103" s="24"/>
      <c r="W103" s="24"/>
      <c r="X103" s="24"/>
      <c r="Y103" s="24"/>
      <c r="Z103" s="24">
        <v>8</v>
      </c>
      <c r="AA103" s="24"/>
      <c r="AB103" s="27"/>
      <c r="AC103" s="27">
        <v>5</v>
      </c>
      <c r="AD103" s="24"/>
      <c r="AE103" s="24"/>
      <c r="AF103" s="24"/>
      <c r="AG103" s="24"/>
      <c r="AH103" s="24"/>
      <c r="AI103" s="24"/>
      <c r="AJ103" s="27">
        <f t="shared" si="10"/>
        <v>13</v>
      </c>
      <c r="AK103" s="79">
        <f>AJ103+R103</f>
        <v>0</v>
      </c>
      <c r="AL103" s="24"/>
      <c r="AM103" s="27">
        <v>1</v>
      </c>
    </row>
    <row r="104" spans="1:39" x14ac:dyDescent="0.3">
      <c r="A104" s="27">
        <v>2024</v>
      </c>
      <c r="B104" s="24" t="s">
        <v>180</v>
      </c>
      <c r="C104" s="25">
        <v>45505</v>
      </c>
      <c r="D104" s="26" t="s">
        <v>40</v>
      </c>
      <c r="E104" s="26" t="s">
        <v>66</v>
      </c>
      <c r="F104" s="24" t="s">
        <v>178</v>
      </c>
      <c r="G104" s="24" t="s">
        <v>178</v>
      </c>
      <c r="H104" s="24" t="s">
        <v>177</v>
      </c>
      <c r="I104" s="27"/>
      <c r="J104" s="24"/>
      <c r="K104" s="24"/>
      <c r="L104" s="24"/>
      <c r="M104" s="57">
        <v>182854</v>
      </c>
      <c r="N104" s="48">
        <v>1002</v>
      </c>
      <c r="O104" s="28">
        <v>1002</v>
      </c>
      <c r="P104" s="28">
        <v>1002</v>
      </c>
      <c r="Q104" s="28">
        <v>981</v>
      </c>
      <c r="R104" s="29">
        <f t="shared" si="14"/>
        <v>-21</v>
      </c>
      <c r="S104" s="29">
        <f t="shared" si="11"/>
        <v>-21</v>
      </c>
      <c r="T104" s="30">
        <f t="shared" si="12"/>
        <v>-2.0958083832335328E-2</v>
      </c>
      <c r="U104" s="30">
        <f t="shared" si="13"/>
        <v>-2.0958083832335328E-2</v>
      </c>
      <c r="V104" s="24"/>
      <c r="W104" s="24"/>
      <c r="X104" s="24"/>
      <c r="Y104" s="24"/>
      <c r="Z104" s="24">
        <v>11</v>
      </c>
      <c r="AA104" s="24"/>
      <c r="AB104" s="27"/>
      <c r="AC104" s="27">
        <v>8</v>
      </c>
      <c r="AD104" s="24"/>
      <c r="AE104" s="24"/>
      <c r="AF104" s="24">
        <v>2</v>
      </c>
      <c r="AG104" s="24"/>
      <c r="AH104" s="24"/>
      <c r="AI104" s="24"/>
      <c r="AJ104" s="27">
        <f t="shared" si="10"/>
        <v>21</v>
      </c>
      <c r="AK104" s="79">
        <f>AJ104+R104</f>
        <v>0</v>
      </c>
      <c r="AL104" s="24"/>
      <c r="AM104" s="27">
        <v>1</v>
      </c>
    </row>
    <row r="105" spans="1:39" x14ac:dyDescent="0.3">
      <c r="A105" s="24">
        <v>2024</v>
      </c>
      <c r="B105" s="24" t="s">
        <v>180</v>
      </c>
      <c r="C105" s="58">
        <v>45512</v>
      </c>
      <c r="D105" s="26" t="s">
        <v>40</v>
      </c>
      <c r="E105" s="26" t="s">
        <v>181</v>
      </c>
      <c r="F105" s="24" t="s">
        <v>65</v>
      </c>
      <c r="G105" s="24" t="s">
        <v>55</v>
      </c>
      <c r="H105" s="24" t="s">
        <v>182</v>
      </c>
      <c r="I105" s="24" t="s">
        <v>183</v>
      </c>
      <c r="J105" s="53"/>
      <c r="K105" s="24"/>
      <c r="L105" s="24"/>
      <c r="M105" s="24">
        <v>183319</v>
      </c>
      <c r="N105" s="48">
        <v>1552</v>
      </c>
      <c r="O105" s="48">
        <v>1568</v>
      </c>
      <c r="P105" s="47">
        <v>1552</v>
      </c>
      <c r="Q105" s="59">
        <v>1552</v>
      </c>
      <c r="R105" s="48">
        <f t="shared" si="14"/>
        <v>-16</v>
      </c>
      <c r="S105" s="48">
        <f t="shared" si="11"/>
        <v>0</v>
      </c>
      <c r="T105" s="49">
        <f t="shared" si="12"/>
        <v>0</v>
      </c>
      <c r="U105" s="49">
        <f t="shared" si="13"/>
        <v>-1.0204081632653073E-2</v>
      </c>
      <c r="V105" s="43"/>
      <c r="W105" s="24"/>
      <c r="X105" s="24"/>
      <c r="Y105" s="73">
        <v>11</v>
      </c>
      <c r="Z105" s="24"/>
      <c r="AA105" s="24"/>
      <c r="AB105" s="73">
        <v>5</v>
      </c>
      <c r="AC105" s="24"/>
      <c r="AD105" s="47"/>
      <c r="AE105" s="24"/>
      <c r="AF105" s="47"/>
      <c r="AG105" s="45"/>
      <c r="AH105" s="45"/>
      <c r="AI105" s="27"/>
      <c r="AJ105" s="85">
        <f t="shared" si="10"/>
        <v>16</v>
      </c>
      <c r="AK105" s="85">
        <f>R105+AJ105</f>
        <v>0</v>
      </c>
      <c r="AL105" s="43"/>
      <c r="AM105" s="24">
        <v>2</v>
      </c>
    </row>
    <row r="106" spans="1:39" x14ac:dyDescent="0.3">
      <c r="A106" s="10">
        <v>2024</v>
      </c>
      <c r="B106" s="10" t="s">
        <v>180</v>
      </c>
      <c r="C106" s="60">
        <v>45509</v>
      </c>
      <c r="D106" s="12" t="s">
        <v>40</v>
      </c>
      <c r="E106" s="12" t="s">
        <v>39</v>
      </c>
      <c r="F106" s="10" t="s">
        <v>184</v>
      </c>
      <c r="G106" s="10" t="s">
        <v>184</v>
      </c>
      <c r="H106" s="18" t="s">
        <v>185</v>
      </c>
      <c r="I106" s="13" t="s">
        <v>186</v>
      </c>
      <c r="J106" s="18" t="s">
        <v>187</v>
      </c>
      <c r="K106" s="18"/>
      <c r="L106" s="61"/>
      <c r="M106" s="62">
        <v>182356</v>
      </c>
      <c r="N106" s="63">
        <v>21</v>
      </c>
      <c r="O106" s="64">
        <v>21</v>
      </c>
      <c r="P106" s="15">
        <v>21</v>
      </c>
      <c r="Q106" s="33">
        <v>21</v>
      </c>
      <c r="R106" s="65">
        <f t="shared" si="14"/>
        <v>0</v>
      </c>
      <c r="S106" s="65">
        <f t="shared" si="11"/>
        <v>0</v>
      </c>
      <c r="T106" s="66">
        <f t="shared" si="12"/>
        <v>0</v>
      </c>
      <c r="U106" s="66">
        <f t="shared" si="13"/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65">
        <f t="shared" si="10"/>
        <v>0</v>
      </c>
      <c r="AK106" s="65">
        <f>R106+AJ106</f>
        <v>0</v>
      </c>
      <c r="AL106" s="81"/>
      <c r="AM106" s="10">
        <v>2</v>
      </c>
    </row>
    <row r="107" spans="1:39" x14ac:dyDescent="0.3">
      <c r="A107" s="10">
        <v>2024</v>
      </c>
      <c r="B107" s="10" t="s">
        <v>180</v>
      </c>
      <c r="C107" s="60">
        <v>45509</v>
      </c>
      <c r="D107" s="12" t="s">
        <v>40</v>
      </c>
      <c r="E107" s="12" t="s">
        <v>39</v>
      </c>
      <c r="F107" s="10" t="s">
        <v>184</v>
      </c>
      <c r="G107" s="10" t="s">
        <v>184</v>
      </c>
      <c r="H107" s="18" t="s">
        <v>185</v>
      </c>
      <c r="I107" s="13" t="s">
        <v>188</v>
      </c>
      <c r="J107" s="18" t="s">
        <v>189</v>
      </c>
      <c r="K107" s="18"/>
      <c r="L107" s="61"/>
      <c r="M107" s="62">
        <v>182457</v>
      </c>
      <c r="N107" s="63">
        <v>2406</v>
      </c>
      <c r="O107" s="64">
        <v>2406</v>
      </c>
      <c r="P107" s="15">
        <v>2406</v>
      </c>
      <c r="Q107" s="33">
        <v>2406</v>
      </c>
      <c r="R107" s="65">
        <f t="shared" si="14"/>
        <v>0</v>
      </c>
      <c r="S107" s="65">
        <f t="shared" si="11"/>
        <v>0</v>
      </c>
      <c r="T107" s="66">
        <f t="shared" si="12"/>
        <v>0</v>
      </c>
      <c r="U107" s="66">
        <f t="shared" si="13"/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5">
        <v>0</v>
      </c>
      <c r="AK107" s="15">
        <v>0</v>
      </c>
      <c r="AL107" s="81"/>
      <c r="AM107" s="10">
        <v>2</v>
      </c>
    </row>
    <row r="108" spans="1:39" x14ac:dyDescent="0.3">
      <c r="A108" s="10">
        <v>2024</v>
      </c>
      <c r="B108" s="10" t="s">
        <v>180</v>
      </c>
      <c r="C108" s="60">
        <v>45509</v>
      </c>
      <c r="D108" s="12" t="s">
        <v>40</v>
      </c>
      <c r="E108" s="12" t="s">
        <v>39</v>
      </c>
      <c r="F108" s="10" t="s">
        <v>184</v>
      </c>
      <c r="G108" s="10" t="s">
        <v>184</v>
      </c>
      <c r="H108" s="18" t="s">
        <v>185</v>
      </c>
      <c r="I108" s="13" t="s">
        <v>190</v>
      </c>
      <c r="J108" s="18" t="s">
        <v>189</v>
      </c>
      <c r="K108" s="18"/>
      <c r="L108" s="61"/>
      <c r="M108" s="62">
        <v>182458</v>
      </c>
      <c r="N108" s="63">
        <v>2406</v>
      </c>
      <c r="O108" s="64">
        <v>2406</v>
      </c>
      <c r="P108" s="15">
        <v>2406</v>
      </c>
      <c r="Q108" s="33">
        <v>2406</v>
      </c>
      <c r="R108" s="65">
        <f t="shared" si="14"/>
        <v>0</v>
      </c>
      <c r="S108" s="65">
        <f t="shared" si="11"/>
        <v>0</v>
      </c>
      <c r="T108" s="66">
        <f t="shared" si="12"/>
        <v>0</v>
      </c>
      <c r="U108" s="66">
        <f t="shared" si="13"/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5">
        <v>0</v>
      </c>
      <c r="AK108" s="15">
        <v>0</v>
      </c>
      <c r="AL108" s="81"/>
      <c r="AM108" s="10">
        <v>2</v>
      </c>
    </row>
    <row r="109" spans="1:39" x14ac:dyDescent="0.3">
      <c r="A109" s="10">
        <v>2024</v>
      </c>
      <c r="B109" s="10" t="s">
        <v>180</v>
      </c>
      <c r="C109" s="60">
        <v>45509</v>
      </c>
      <c r="D109" s="12" t="s">
        <v>40</v>
      </c>
      <c r="E109" s="12" t="s">
        <v>39</v>
      </c>
      <c r="F109" s="10" t="s">
        <v>184</v>
      </c>
      <c r="G109" s="10" t="s">
        <v>184</v>
      </c>
      <c r="H109" s="18" t="s">
        <v>185</v>
      </c>
      <c r="I109" s="13" t="s">
        <v>191</v>
      </c>
      <c r="J109" s="18" t="s">
        <v>189</v>
      </c>
      <c r="K109" s="18"/>
      <c r="L109" s="61"/>
      <c r="M109" s="62">
        <v>182467</v>
      </c>
      <c r="N109" s="63">
        <v>71</v>
      </c>
      <c r="O109" s="64">
        <v>71</v>
      </c>
      <c r="P109" s="15">
        <v>71</v>
      </c>
      <c r="Q109" s="33">
        <v>71</v>
      </c>
      <c r="R109" s="65">
        <f t="shared" si="14"/>
        <v>0</v>
      </c>
      <c r="S109" s="65">
        <f t="shared" si="11"/>
        <v>0</v>
      </c>
      <c r="T109" s="66">
        <f t="shared" si="12"/>
        <v>0</v>
      </c>
      <c r="U109" s="66">
        <f t="shared" si="13"/>
        <v>0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5">
        <v>0</v>
      </c>
      <c r="AK109" s="15">
        <v>0</v>
      </c>
      <c r="AL109" s="81"/>
      <c r="AM109" s="10">
        <v>2</v>
      </c>
    </row>
    <row r="110" spans="1:39" x14ac:dyDescent="0.3">
      <c r="A110" s="10">
        <v>2024</v>
      </c>
      <c r="B110" s="10" t="s">
        <v>180</v>
      </c>
      <c r="C110" s="60">
        <v>45509</v>
      </c>
      <c r="D110" s="12" t="s">
        <v>40</v>
      </c>
      <c r="E110" s="12" t="s">
        <v>39</v>
      </c>
      <c r="F110" s="10" t="s">
        <v>184</v>
      </c>
      <c r="G110" s="10" t="s">
        <v>184</v>
      </c>
      <c r="H110" s="18" t="s">
        <v>185</v>
      </c>
      <c r="I110" s="13" t="s">
        <v>192</v>
      </c>
      <c r="J110" s="18" t="s">
        <v>189</v>
      </c>
      <c r="K110" s="18"/>
      <c r="L110" s="61"/>
      <c r="M110" s="62">
        <v>182469</v>
      </c>
      <c r="N110" s="63">
        <v>71</v>
      </c>
      <c r="O110" s="64">
        <v>71</v>
      </c>
      <c r="P110" s="15">
        <v>71</v>
      </c>
      <c r="Q110" s="33">
        <v>71</v>
      </c>
      <c r="R110" s="65">
        <f t="shared" si="14"/>
        <v>0</v>
      </c>
      <c r="S110" s="65">
        <f t="shared" si="11"/>
        <v>0</v>
      </c>
      <c r="T110" s="66">
        <f t="shared" si="12"/>
        <v>0</v>
      </c>
      <c r="U110" s="66">
        <f t="shared" si="13"/>
        <v>0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5">
        <v>0</v>
      </c>
      <c r="AK110" s="15">
        <v>0</v>
      </c>
      <c r="AL110" s="81"/>
      <c r="AM110" s="10">
        <v>2</v>
      </c>
    </row>
    <row r="111" spans="1:39" x14ac:dyDescent="0.3">
      <c r="A111" s="10">
        <v>2024</v>
      </c>
      <c r="B111" s="10" t="s">
        <v>180</v>
      </c>
      <c r="C111" s="60">
        <v>45509</v>
      </c>
      <c r="D111" s="12" t="s">
        <v>40</v>
      </c>
      <c r="E111" s="12" t="s">
        <v>39</v>
      </c>
      <c r="F111" s="10" t="s">
        <v>184</v>
      </c>
      <c r="G111" s="10" t="s">
        <v>184</v>
      </c>
      <c r="H111" s="18" t="s">
        <v>185</v>
      </c>
      <c r="I111" s="13" t="s">
        <v>193</v>
      </c>
      <c r="J111" s="18" t="s">
        <v>189</v>
      </c>
      <c r="K111" s="18"/>
      <c r="L111" s="61"/>
      <c r="M111" s="62">
        <v>182452</v>
      </c>
      <c r="N111" s="63">
        <v>21</v>
      </c>
      <c r="O111" s="64">
        <v>21</v>
      </c>
      <c r="P111" s="15">
        <v>21</v>
      </c>
      <c r="Q111" s="33">
        <v>21</v>
      </c>
      <c r="R111" s="65">
        <f t="shared" si="14"/>
        <v>0</v>
      </c>
      <c r="S111" s="65">
        <f t="shared" si="11"/>
        <v>0</v>
      </c>
      <c r="T111" s="66">
        <f t="shared" si="12"/>
        <v>0</v>
      </c>
      <c r="U111" s="66">
        <f t="shared" si="13"/>
        <v>0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5">
        <v>0</v>
      </c>
      <c r="AK111" s="15">
        <v>0</v>
      </c>
      <c r="AL111" s="81"/>
      <c r="AM111" s="10">
        <v>2</v>
      </c>
    </row>
    <row r="112" spans="1:39" x14ac:dyDescent="0.3">
      <c r="A112" s="10">
        <v>2024</v>
      </c>
      <c r="B112" s="10" t="s">
        <v>180</v>
      </c>
      <c r="C112" s="60">
        <v>45509</v>
      </c>
      <c r="D112" s="12" t="s">
        <v>40</v>
      </c>
      <c r="E112" s="12" t="s">
        <v>39</v>
      </c>
      <c r="F112" s="10" t="s">
        <v>184</v>
      </c>
      <c r="G112" s="10" t="s">
        <v>184</v>
      </c>
      <c r="H112" s="18" t="s">
        <v>185</v>
      </c>
      <c r="I112" s="13" t="s">
        <v>194</v>
      </c>
      <c r="J112" s="18" t="s">
        <v>189</v>
      </c>
      <c r="K112" s="18"/>
      <c r="L112" s="61"/>
      <c r="M112" s="62">
        <v>182454</v>
      </c>
      <c r="N112" s="63">
        <v>21</v>
      </c>
      <c r="O112" s="64">
        <v>21</v>
      </c>
      <c r="P112" s="15">
        <v>21</v>
      </c>
      <c r="Q112" s="33">
        <v>21</v>
      </c>
      <c r="R112" s="65">
        <f t="shared" si="14"/>
        <v>0</v>
      </c>
      <c r="S112" s="65">
        <f t="shared" si="11"/>
        <v>0</v>
      </c>
      <c r="T112" s="66">
        <f t="shared" si="12"/>
        <v>0</v>
      </c>
      <c r="U112" s="66">
        <f t="shared" si="13"/>
        <v>0</v>
      </c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5">
        <v>0</v>
      </c>
      <c r="AK112" s="15">
        <v>0</v>
      </c>
      <c r="AL112" s="81"/>
      <c r="AM112" s="10">
        <v>2</v>
      </c>
    </row>
    <row r="113" spans="1:39" x14ac:dyDescent="0.3">
      <c r="A113" s="10">
        <v>2024</v>
      </c>
      <c r="B113" s="10" t="s">
        <v>180</v>
      </c>
      <c r="C113" s="60">
        <v>45509</v>
      </c>
      <c r="D113" s="12" t="s">
        <v>40</v>
      </c>
      <c r="E113" s="12" t="s">
        <v>39</v>
      </c>
      <c r="F113" s="10" t="s">
        <v>184</v>
      </c>
      <c r="G113" s="10" t="s">
        <v>184</v>
      </c>
      <c r="H113" s="18" t="s">
        <v>185</v>
      </c>
      <c r="I113" s="13" t="s">
        <v>195</v>
      </c>
      <c r="J113" s="18" t="s">
        <v>189</v>
      </c>
      <c r="K113" s="18"/>
      <c r="L113" s="61"/>
      <c r="M113" s="62">
        <v>182486</v>
      </c>
      <c r="N113" s="63">
        <v>594</v>
      </c>
      <c r="O113" s="64">
        <v>594</v>
      </c>
      <c r="P113" s="15">
        <v>594</v>
      </c>
      <c r="Q113" s="33">
        <v>594</v>
      </c>
      <c r="R113" s="65">
        <f t="shared" si="14"/>
        <v>0</v>
      </c>
      <c r="S113" s="65">
        <f t="shared" si="11"/>
        <v>0</v>
      </c>
      <c r="T113" s="66">
        <f t="shared" si="12"/>
        <v>0</v>
      </c>
      <c r="U113" s="66">
        <f t="shared" si="13"/>
        <v>0</v>
      </c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5">
        <v>0</v>
      </c>
      <c r="AK113" s="15">
        <v>0</v>
      </c>
      <c r="AL113" s="81"/>
      <c r="AM113" s="10">
        <v>2</v>
      </c>
    </row>
    <row r="114" spans="1:39" x14ac:dyDescent="0.3">
      <c r="A114" s="10">
        <v>2024</v>
      </c>
      <c r="B114" s="10" t="s">
        <v>180</v>
      </c>
      <c r="C114" s="60">
        <v>45509</v>
      </c>
      <c r="D114" s="12" t="s">
        <v>40</v>
      </c>
      <c r="E114" s="12" t="s">
        <v>39</v>
      </c>
      <c r="F114" s="10" t="s">
        <v>184</v>
      </c>
      <c r="G114" s="10" t="s">
        <v>184</v>
      </c>
      <c r="H114" s="18" t="s">
        <v>185</v>
      </c>
      <c r="I114" s="13" t="s">
        <v>196</v>
      </c>
      <c r="J114" s="18" t="s">
        <v>189</v>
      </c>
      <c r="K114" s="18"/>
      <c r="L114" s="61"/>
      <c r="M114" s="62">
        <v>182488</v>
      </c>
      <c r="N114" s="63">
        <v>594</v>
      </c>
      <c r="O114" s="64">
        <v>594</v>
      </c>
      <c r="P114" s="15">
        <v>594</v>
      </c>
      <c r="Q114" s="33">
        <v>594</v>
      </c>
      <c r="R114" s="65">
        <f t="shared" si="14"/>
        <v>0</v>
      </c>
      <c r="S114" s="65">
        <f t="shared" si="11"/>
        <v>0</v>
      </c>
      <c r="T114" s="66">
        <f t="shared" si="12"/>
        <v>0</v>
      </c>
      <c r="U114" s="66">
        <f t="shared" si="13"/>
        <v>0</v>
      </c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5">
        <v>0</v>
      </c>
      <c r="AK114" s="15">
        <v>0</v>
      </c>
      <c r="AL114" s="81"/>
      <c r="AM114" s="10">
        <v>2</v>
      </c>
    </row>
    <row r="115" spans="1:39" x14ac:dyDescent="0.3">
      <c r="A115" s="10">
        <v>2024</v>
      </c>
      <c r="B115" s="10" t="s">
        <v>180</v>
      </c>
      <c r="C115" s="60">
        <v>45509</v>
      </c>
      <c r="D115" s="12" t="s">
        <v>40</v>
      </c>
      <c r="E115" s="12" t="s">
        <v>39</v>
      </c>
      <c r="F115" s="10" t="s">
        <v>184</v>
      </c>
      <c r="G115" s="10" t="s">
        <v>184</v>
      </c>
      <c r="H115" s="18" t="s">
        <v>185</v>
      </c>
      <c r="I115" s="13" t="s">
        <v>197</v>
      </c>
      <c r="J115" s="18" t="s">
        <v>189</v>
      </c>
      <c r="K115" s="18"/>
      <c r="L115" s="61"/>
      <c r="M115" s="62">
        <v>182500</v>
      </c>
      <c r="N115" s="63">
        <v>135</v>
      </c>
      <c r="O115" s="64">
        <v>135</v>
      </c>
      <c r="P115" s="15">
        <v>135</v>
      </c>
      <c r="Q115" s="33">
        <v>135</v>
      </c>
      <c r="R115" s="65">
        <f t="shared" si="14"/>
        <v>0</v>
      </c>
      <c r="S115" s="65">
        <f t="shared" si="11"/>
        <v>0</v>
      </c>
      <c r="T115" s="66">
        <f t="shared" si="12"/>
        <v>0</v>
      </c>
      <c r="U115" s="66">
        <f t="shared" si="13"/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5">
        <v>0</v>
      </c>
      <c r="AK115" s="15">
        <v>0</v>
      </c>
      <c r="AL115" s="81"/>
      <c r="AM115" s="10">
        <v>2</v>
      </c>
    </row>
    <row r="116" spans="1:39" x14ac:dyDescent="0.3">
      <c r="A116" s="10">
        <v>2024</v>
      </c>
      <c r="B116" s="10" t="s">
        <v>180</v>
      </c>
      <c r="C116" s="60">
        <v>45509</v>
      </c>
      <c r="D116" s="12" t="s">
        <v>40</v>
      </c>
      <c r="E116" s="12" t="s">
        <v>39</v>
      </c>
      <c r="F116" s="10" t="s">
        <v>184</v>
      </c>
      <c r="G116" s="10" t="s">
        <v>184</v>
      </c>
      <c r="H116" s="18" t="s">
        <v>185</v>
      </c>
      <c r="I116" s="13" t="s">
        <v>198</v>
      </c>
      <c r="J116" s="18" t="s">
        <v>189</v>
      </c>
      <c r="K116" s="18"/>
      <c r="L116" s="61"/>
      <c r="M116" s="62">
        <v>182501</v>
      </c>
      <c r="N116" s="63">
        <v>135</v>
      </c>
      <c r="O116" s="64">
        <v>135</v>
      </c>
      <c r="P116" s="15">
        <v>135</v>
      </c>
      <c r="Q116" s="33">
        <v>135</v>
      </c>
      <c r="R116" s="65">
        <f t="shared" si="14"/>
        <v>0</v>
      </c>
      <c r="S116" s="65">
        <f t="shared" si="11"/>
        <v>0</v>
      </c>
      <c r="T116" s="66">
        <f t="shared" si="12"/>
        <v>0</v>
      </c>
      <c r="U116" s="66">
        <f t="shared" si="13"/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5">
        <v>0</v>
      </c>
      <c r="AK116" s="15">
        <v>0</v>
      </c>
      <c r="AL116" s="81"/>
      <c r="AM116" s="10">
        <v>2</v>
      </c>
    </row>
    <row r="117" spans="1:39" x14ac:dyDescent="0.3">
      <c r="A117" s="10">
        <v>2024</v>
      </c>
      <c r="B117" s="10" t="s">
        <v>180</v>
      </c>
      <c r="C117" s="60">
        <v>45509</v>
      </c>
      <c r="D117" s="12" t="s">
        <v>40</v>
      </c>
      <c r="E117" s="12" t="s">
        <v>39</v>
      </c>
      <c r="F117" s="10" t="s">
        <v>184</v>
      </c>
      <c r="G117" s="10" t="s">
        <v>184</v>
      </c>
      <c r="H117" s="18" t="s">
        <v>185</v>
      </c>
      <c r="I117" s="13" t="s">
        <v>199</v>
      </c>
      <c r="J117" s="18" t="s">
        <v>189</v>
      </c>
      <c r="K117" s="18"/>
      <c r="L117" s="61"/>
      <c r="M117" s="62">
        <v>182507</v>
      </c>
      <c r="N117" s="63">
        <v>26</v>
      </c>
      <c r="O117" s="64">
        <v>26</v>
      </c>
      <c r="P117" s="15">
        <v>26</v>
      </c>
      <c r="Q117" s="33">
        <v>26</v>
      </c>
      <c r="R117" s="65">
        <f t="shared" si="14"/>
        <v>0</v>
      </c>
      <c r="S117" s="65">
        <f t="shared" si="11"/>
        <v>0</v>
      </c>
      <c r="T117" s="66">
        <f t="shared" si="12"/>
        <v>0</v>
      </c>
      <c r="U117" s="66">
        <f t="shared" si="13"/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5">
        <v>0</v>
      </c>
      <c r="AK117" s="15">
        <v>0</v>
      </c>
      <c r="AL117" s="81"/>
      <c r="AM117" s="10">
        <v>2</v>
      </c>
    </row>
    <row r="118" spans="1:39" x14ac:dyDescent="0.3">
      <c r="A118" s="10">
        <v>2024</v>
      </c>
      <c r="B118" s="10" t="s">
        <v>180</v>
      </c>
      <c r="C118" s="60">
        <v>45509</v>
      </c>
      <c r="D118" s="12" t="s">
        <v>40</v>
      </c>
      <c r="E118" s="12" t="s">
        <v>39</v>
      </c>
      <c r="F118" s="10" t="s">
        <v>184</v>
      </c>
      <c r="G118" s="10" t="s">
        <v>184</v>
      </c>
      <c r="H118" s="18" t="s">
        <v>185</v>
      </c>
      <c r="I118" s="13" t="s">
        <v>200</v>
      </c>
      <c r="J118" s="18" t="s">
        <v>189</v>
      </c>
      <c r="K118" s="18"/>
      <c r="L118" s="61"/>
      <c r="M118" s="62">
        <v>182508</v>
      </c>
      <c r="N118" s="63">
        <v>26</v>
      </c>
      <c r="O118" s="64">
        <v>26</v>
      </c>
      <c r="P118" s="15">
        <v>26</v>
      </c>
      <c r="Q118" s="33">
        <v>26</v>
      </c>
      <c r="R118" s="65">
        <f t="shared" si="14"/>
        <v>0</v>
      </c>
      <c r="S118" s="65">
        <f t="shared" si="11"/>
        <v>0</v>
      </c>
      <c r="T118" s="66">
        <f t="shared" si="12"/>
        <v>0</v>
      </c>
      <c r="U118" s="66">
        <f t="shared" si="13"/>
        <v>0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5">
        <v>0</v>
      </c>
      <c r="AK118" s="15">
        <v>0</v>
      </c>
      <c r="AL118" s="81"/>
      <c r="AM118" s="10">
        <v>2</v>
      </c>
    </row>
    <row r="119" spans="1:39" x14ac:dyDescent="0.3">
      <c r="A119" s="10">
        <v>2024</v>
      </c>
      <c r="B119" s="10" t="s">
        <v>180</v>
      </c>
      <c r="C119" s="60">
        <v>45509</v>
      </c>
      <c r="D119" s="12" t="s">
        <v>40</v>
      </c>
      <c r="E119" s="12" t="s">
        <v>39</v>
      </c>
      <c r="F119" s="10" t="s">
        <v>184</v>
      </c>
      <c r="G119" s="10" t="s">
        <v>184</v>
      </c>
      <c r="H119" s="18" t="s">
        <v>185</v>
      </c>
      <c r="I119" s="13" t="s">
        <v>201</v>
      </c>
      <c r="J119" s="18" t="s">
        <v>189</v>
      </c>
      <c r="K119" s="18"/>
      <c r="L119" s="61"/>
      <c r="M119" s="62">
        <v>182471</v>
      </c>
      <c r="N119" s="63">
        <v>53</v>
      </c>
      <c r="O119" s="64">
        <v>53</v>
      </c>
      <c r="P119" s="15">
        <v>53</v>
      </c>
      <c r="Q119" s="33">
        <v>53</v>
      </c>
      <c r="R119" s="65">
        <f t="shared" si="14"/>
        <v>0</v>
      </c>
      <c r="S119" s="65">
        <f t="shared" si="11"/>
        <v>0</v>
      </c>
      <c r="T119" s="66">
        <f t="shared" si="12"/>
        <v>0</v>
      </c>
      <c r="U119" s="66">
        <f t="shared" si="13"/>
        <v>0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5">
        <v>0</v>
      </c>
      <c r="AK119" s="15">
        <v>0</v>
      </c>
      <c r="AL119" s="81"/>
      <c r="AM119" s="10">
        <v>2</v>
      </c>
    </row>
    <row r="120" spans="1:39" x14ac:dyDescent="0.3">
      <c r="A120" s="10">
        <v>2024</v>
      </c>
      <c r="B120" s="10" t="s">
        <v>180</v>
      </c>
      <c r="C120" s="60">
        <v>45509</v>
      </c>
      <c r="D120" s="12" t="s">
        <v>40</v>
      </c>
      <c r="E120" s="12" t="s">
        <v>39</v>
      </c>
      <c r="F120" s="10" t="s">
        <v>184</v>
      </c>
      <c r="G120" s="10" t="s">
        <v>184</v>
      </c>
      <c r="H120" s="18" t="s">
        <v>185</v>
      </c>
      <c r="I120" s="13" t="s">
        <v>202</v>
      </c>
      <c r="J120" s="18" t="s">
        <v>189</v>
      </c>
      <c r="K120" s="18"/>
      <c r="L120" s="61"/>
      <c r="M120" s="62">
        <v>182455</v>
      </c>
      <c r="N120" s="63">
        <v>15</v>
      </c>
      <c r="O120" s="64">
        <v>15</v>
      </c>
      <c r="P120" s="15">
        <v>15</v>
      </c>
      <c r="Q120" s="33">
        <v>15</v>
      </c>
      <c r="R120" s="65">
        <f t="shared" si="14"/>
        <v>0</v>
      </c>
      <c r="S120" s="65">
        <f t="shared" si="11"/>
        <v>0</v>
      </c>
      <c r="T120" s="66">
        <f t="shared" si="12"/>
        <v>0</v>
      </c>
      <c r="U120" s="66">
        <f t="shared" si="13"/>
        <v>0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5">
        <v>0</v>
      </c>
      <c r="AK120" s="15">
        <v>0</v>
      </c>
      <c r="AL120" s="81"/>
      <c r="AM120" s="10">
        <v>2</v>
      </c>
    </row>
    <row r="121" spans="1:39" x14ac:dyDescent="0.3">
      <c r="A121" s="10">
        <v>2024</v>
      </c>
      <c r="B121" s="10" t="s">
        <v>180</v>
      </c>
      <c r="C121" s="60">
        <v>45509</v>
      </c>
      <c r="D121" s="12" t="s">
        <v>40</v>
      </c>
      <c r="E121" s="12" t="s">
        <v>39</v>
      </c>
      <c r="F121" s="10" t="s">
        <v>184</v>
      </c>
      <c r="G121" s="10" t="s">
        <v>184</v>
      </c>
      <c r="H121" s="18" t="s">
        <v>185</v>
      </c>
      <c r="I121" s="13" t="s">
        <v>203</v>
      </c>
      <c r="J121" s="18" t="s">
        <v>189</v>
      </c>
      <c r="K121" s="18"/>
      <c r="L121" s="61"/>
      <c r="M121" s="62">
        <v>182504</v>
      </c>
      <c r="N121" s="63">
        <v>15</v>
      </c>
      <c r="O121" s="64">
        <v>15</v>
      </c>
      <c r="P121" s="15">
        <v>15</v>
      </c>
      <c r="Q121" s="33">
        <v>15</v>
      </c>
      <c r="R121" s="65">
        <f t="shared" si="14"/>
        <v>0</v>
      </c>
      <c r="S121" s="65">
        <f t="shared" si="11"/>
        <v>0</v>
      </c>
      <c r="T121" s="66">
        <f t="shared" si="12"/>
        <v>0</v>
      </c>
      <c r="U121" s="66">
        <f t="shared" si="13"/>
        <v>0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5">
        <v>0</v>
      </c>
      <c r="AK121" s="15">
        <v>0</v>
      </c>
      <c r="AL121" s="81"/>
      <c r="AM121" s="10">
        <v>2</v>
      </c>
    </row>
    <row r="122" spans="1:39" x14ac:dyDescent="0.3">
      <c r="A122" s="10">
        <v>2024</v>
      </c>
      <c r="B122" s="10" t="s">
        <v>180</v>
      </c>
      <c r="C122" s="60">
        <v>45509</v>
      </c>
      <c r="D122" s="12" t="s">
        <v>40</v>
      </c>
      <c r="E122" s="12" t="s">
        <v>39</v>
      </c>
      <c r="F122" s="10" t="s">
        <v>184</v>
      </c>
      <c r="G122" s="10" t="s">
        <v>184</v>
      </c>
      <c r="H122" s="18" t="s">
        <v>185</v>
      </c>
      <c r="I122" s="13" t="s">
        <v>204</v>
      </c>
      <c r="J122" s="18" t="s">
        <v>189</v>
      </c>
      <c r="K122" s="18"/>
      <c r="L122" s="61"/>
      <c r="M122" s="62">
        <v>182498</v>
      </c>
      <c r="N122" s="63">
        <v>29</v>
      </c>
      <c r="O122" s="64">
        <v>29</v>
      </c>
      <c r="P122" s="15">
        <v>29</v>
      </c>
      <c r="Q122" s="33">
        <v>29</v>
      </c>
      <c r="R122" s="65">
        <f t="shared" si="14"/>
        <v>0</v>
      </c>
      <c r="S122" s="65">
        <f t="shared" si="11"/>
        <v>0</v>
      </c>
      <c r="T122" s="66">
        <f t="shared" si="12"/>
        <v>0</v>
      </c>
      <c r="U122" s="66">
        <f t="shared" si="13"/>
        <v>0</v>
      </c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5">
        <v>0</v>
      </c>
      <c r="AK122" s="15">
        <v>0</v>
      </c>
      <c r="AL122" s="81"/>
      <c r="AM122" s="10">
        <v>2</v>
      </c>
    </row>
    <row r="123" spans="1:39" x14ac:dyDescent="0.3">
      <c r="A123" s="10">
        <v>2024</v>
      </c>
      <c r="B123" s="10" t="s">
        <v>180</v>
      </c>
      <c r="C123" s="60">
        <v>45509</v>
      </c>
      <c r="D123" s="12" t="s">
        <v>40</v>
      </c>
      <c r="E123" s="12" t="s">
        <v>39</v>
      </c>
      <c r="F123" s="10" t="s">
        <v>184</v>
      </c>
      <c r="G123" s="10" t="s">
        <v>184</v>
      </c>
      <c r="H123" s="18" t="s">
        <v>185</v>
      </c>
      <c r="I123" s="13" t="s">
        <v>205</v>
      </c>
      <c r="J123" s="18" t="s">
        <v>189</v>
      </c>
      <c r="K123" s="18"/>
      <c r="L123" s="61"/>
      <c r="M123" s="62">
        <v>182499</v>
      </c>
      <c r="N123" s="63">
        <v>29</v>
      </c>
      <c r="O123" s="64">
        <v>29</v>
      </c>
      <c r="P123" s="15">
        <v>29</v>
      </c>
      <c r="Q123" s="33">
        <v>29</v>
      </c>
      <c r="R123" s="65">
        <f t="shared" si="14"/>
        <v>0</v>
      </c>
      <c r="S123" s="65">
        <f t="shared" si="11"/>
        <v>0</v>
      </c>
      <c r="T123" s="66">
        <f t="shared" si="12"/>
        <v>0</v>
      </c>
      <c r="U123" s="66">
        <f t="shared" si="13"/>
        <v>0</v>
      </c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5">
        <v>0</v>
      </c>
      <c r="AK123" s="15">
        <v>0</v>
      </c>
      <c r="AL123" s="81"/>
      <c r="AM123" s="10">
        <v>2</v>
      </c>
    </row>
    <row r="124" spans="1:39" x14ac:dyDescent="0.3">
      <c r="A124" s="10">
        <v>2024</v>
      </c>
      <c r="B124" s="10" t="s">
        <v>180</v>
      </c>
      <c r="C124" s="60">
        <v>45509</v>
      </c>
      <c r="D124" s="12" t="s">
        <v>40</v>
      </c>
      <c r="E124" s="12" t="s">
        <v>39</v>
      </c>
      <c r="F124" s="10" t="s">
        <v>184</v>
      </c>
      <c r="G124" s="10" t="s">
        <v>184</v>
      </c>
      <c r="H124" s="18" t="s">
        <v>185</v>
      </c>
      <c r="I124" s="13" t="s">
        <v>206</v>
      </c>
      <c r="J124" s="18" t="s">
        <v>189</v>
      </c>
      <c r="K124" s="18"/>
      <c r="L124" s="61"/>
      <c r="M124" s="62">
        <v>182494</v>
      </c>
      <c r="N124" s="63">
        <v>468</v>
      </c>
      <c r="O124" s="64">
        <v>468</v>
      </c>
      <c r="P124" s="15">
        <v>468</v>
      </c>
      <c r="Q124" s="33">
        <v>468</v>
      </c>
      <c r="R124" s="65">
        <f t="shared" si="14"/>
        <v>0</v>
      </c>
      <c r="S124" s="65">
        <f t="shared" si="11"/>
        <v>0</v>
      </c>
      <c r="T124" s="66">
        <f t="shared" si="12"/>
        <v>0</v>
      </c>
      <c r="U124" s="66">
        <f t="shared" si="13"/>
        <v>0</v>
      </c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5">
        <v>0</v>
      </c>
      <c r="AK124" s="15">
        <v>0</v>
      </c>
      <c r="AL124" s="81"/>
      <c r="AM124" s="10">
        <v>2</v>
      </c>
    </row>
    <row r="125" spans="1:39" x14ac:dyDescent="0.3">
      <c r="A125" s="10">
        <v>2024</v>
      </c>
      <c r="B125" s="10" t="s">
        <v>180</v>
      </c>
      <c r="C125" s="60">
        <v>45509</v>
      </c>
      <c r="D125" s="12" t="s">
        <v>40</v>
      </c>
      <c r="E125" s="12" t="s">
        <v>39</v>
      </c>
      <c r="F125" s="10" t="s">
        <v>184</v>
      </c>
      <c r="G125" s="10" t="s">
        <v>184</v>
      </c>
      <c r="H125" s="18" t="s">
        <v>185</v>
      </c>
      <c r="I125" s="13" t="s">
        <v>207</v>
      </c>
      <c r="J125" s="18" t="s">
        <v>189</v>
      </c>
      <c r="K125" s="18"/>
      <c r="L125" s="61"/>
      <c r="M125" s="62">
        <v>182495</v>
      </c>
      <c r="N125" s="63">
        <v>468</v>
      </c>
      <c r="O125" s="64">
        <v>468</v>
      </c>
      <c r="P125" s="15">
        <v>468</v>
      </c>
      <c r="Q125" s="33">
        <v>468</v>
      </c>
      <c r="R125" s="65">
        <f t="shared" si="14"/>
        <v>0</v>
      </c>
      <c r="S125" s="65">
        <f t="shared" si="11"/>
        <v>0</v>
      </c>
      <c r="T125" s="66">
        <f t="shared" si="12"/>
        <v>0</v>
      </c>
      <c r="U125" s="66">
        <f t="shared" si="13"/>
        <v>0</v>
      </c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5">
        <v>0</v>
      </c>
      <c r="AK125" s="15">
        <v>0</v>
      </c>
      <c r="AL125" s="81"/>
      <c r="AM125" s="10">
        <v>2</v>
      </c>
    </row>
    <row r="126" spans="1:39" x14ac:dyDescent="0.3">
      <c r="A126" s="10">
        <v>2024</v>
      </c>
      <c r="B126" s="10" t="s">
        <v>180</v>
      </c>
      <c r="C126" s="60">
        <v>45509</v>
      </c>
      <c r="D126" s="12" t="s">
        <v>40</v>
      </c>
      <c r="E126" s="12" t="s">
        <v>39</v>
      </c>
      <c r="F126" s="10" t="s">
        <v>184</v>
      </c>
      <c r="G126" s="10" t="s">
        <v>184</v>
      </c>
      <c r="H126" s="18" t="s">
        <v>185</v>
      </c>
      <c r="I126" s="13" t="s">
        <v>208</v>
      </c>
      <c r="J126" s="18" t="s">
        <v>209</v>
      </c>
      <c r="K126" s="18"/>
      <c r="L126" s="61"/>
      <c r="M126" s="62">
        <v>182561</v>
      </c>
      <c r="N126" s="63">
        <v>2943</v>
      </c>
      <c r="O126" s="15">
        <v>2952</v>
      </c>
      <c r="P126" s="15">
        <v>2952</v>
      </c>
      <c r="Q126" s="33">
        <v>2952</v>
      </c>
      <c r="R126" s="65">
        <f t="shared" si="14"/>
        <v>0</v>
      </c>
      <c r="S126" s="65">
        <f t="shared" si="11"/>
        <v>9</v>
      </c>
      <c r="T126" s="66">
        <f t="shared" si="12"/>
        <v>3.0581039755350758E-3</v>
      </c>
      <c r="U126" s="66">
        <f t="shared" si="13"/>
        <v>0</v>
      </c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5">
        <v>0</v>
      </c>
      <c r="AK126" s="15">
        <v>0</v>
      </c>
      <c r="AL126" s="81"/>
      <c r="AM126" s="10">
        <v>2</v>
      </c>
    </row>
    <row r="127" spans="1:39" x14ac:dyDescent="0.3">
      <c r="A127" s="10">
        <v>2024</v>
      </c>
      <c r="B127" s="10" t="s">
        <v>180</v>
      </c>
      <c r="C127" s="60">
        <v>45509</v>
      </c>
      <c r="D127" s="12" t="s">
        <v>40</v>
      </c>
      <c r="E127" s="12" t="s">
        <v>39</v>
      </c>
      <c r="F127" s="10" t="s">
        <v>184</v>
      </c>
      <c r="G127" s="10" t="s">
        <v>184</v>
      </c>
      <c r="H127" s="18" t="s">
        <v>185</v>
      </c>
      <c r="I127" s="13" t="s">
        <v>210</v>
      </c>
      <c r="J127" s="18" t="s">
        <v>209</v>
      </c>
      <c r="K127" s="18"/>
      <c r="L127" s="61"/>
      <c r="M127" s="62">
        <v>182562</v>
      </c>
      <c r="N127" s="63">
        <v>2943</v>
      </c>
      <c r="O127" s="15">
        <v>2952</v>
      </c>
      <c r="P127" s="15">
        <v>2952</v>
      </c>
      <c r="Q127" s="33">
        <v>2952</v>
      </c>
      <c r="R127" s="65">
        <f t="shared" si="14"/>
        <v>0</v>
      </c>
      <c r="S127" s="65">
        <f t="shared" si="11"/>
        <v>9</v>
      </c>
      <c r="T127" s="66">
        <f t="shared" si="12"/>
        <v>3.0581039755350758E-3</v>
      </c>
      <c r="U127" s="66">
        <f t="shared" si="13"/>
        <v>0</v>
      </c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5">
        <v>0</v>
      </c>
      <c r="AK127" s="15">
        <v>0</v>
      </c>
      <c r="AL127" s="81"/>
      <c r="AM127" s="10">
        <v>2</v>
      </c>
    </row>
    <row r="128" spans="1:39" x14ac:dyDescent="0.3">
      <c r="A128" s="10">
        <v>2024</v>
      </c>
      <c r="B128" s="10" t="s">
        <v>180</v>
      </c>
      <c r="C128" s="60">
        <v>45509</v>
      </c>
      <c r="D128" s="12" t="s">
        <v>40</v>
      </c>
      <c r="E128" s="12" t="s">
        <v>39</v>
      </c>
      <c r="F128" s="10" t="s">
        <v>184</v>
      </c>
      <c r="G128" s="10" t="s">
        <v>184</v>
      </c>
      <c r="H128" s="18" t="s">
        <v>185</v>
      </c>
      <c r="I128" s="13" t="s">
        <v>191</v>
      </c>
      <c r="J128" s="18" t="s">
        <v>209</v>
      </c>
      <c r="K128" s="18"/>
      <c r="L128" s="61"/>
      <c r="M128" s="62">
        <v>182567</v>
      </c>
      <c r="N128" s="63">
        <v>112</v>
      </c>
      <c r="O128" s="64">
        <v>112</v>
      </c>
      <c r="P128" s="15">
        <v>112</v>
      </c>
      <c r="Q128" s="33">
        <v>112</v>
      </c>
      <c r="R128" s="65">
        <f t="shared" si="14"/>
        <v>0</v>
      </c>
      <c r="S128" s="65">
        <f t="shared" si="11"/>
        <v>0</v>
      </c>
      <c r="T128" s="66">
        <f t="shared" si="12"/>
        <v>0</v>
      </c>
      <c r="U128" s="66">
        <f t="shared" si="13"/>
        <v>0</v>
      </c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5">
        <v>0</v>
      </c>
      <c r="AK128" s="15">
        <v>0</v>
      </c>
      <c r="AL128" s="81"/>
      <c r="AM128" s="10">
        <v>2</v>
      </c>
    </row>
    <row r="129" spans="1:39" x14ac:dyDescent="0.3">
      <c r="A129" s="10">
        <v>2024</v>
      </c>
      <c r="B129" s="10" t="s">
        <v>180</v>
      </c>
      <c r="C129" s="60">
        <v>45509</v>
      </c>
      <c r="D129" s="12" t="s">
        <v>40</v>
      </c>
      <c r="E129" s="12" t="s">
        <v>39</v>
      </c>
      <c r="F129" s="10" t="s">
        <v>184</v>
      </c>
      <c r="G129" s="10" t="s">
        <v>184</v>
      </c>
      <c r="H129" s="18" t="s">
        <v>185</v>
      </c>
      <c r="I129" s="13" t="s">
        <v>192</v>
      </c>
      <c r="J129" s="18" t="s">
        <v>209</v>
      </c>
      <c r="K129" s="18"/>
      <c r="L129" s="61"/>
      <c r="M129" s="62">
        <v>182568</v>
      </c>
      <c r="N129" s="63">
        <v>112</v>
      </c>
      <c r="O129" s="64">
        <v>112</v>
      </c>
      <c r="P129" s="15">
        <v>112</v>
      </c>
      <c r="Q129" s="33">
        <v>112</v>
      </c>
      <c r="R129" s="65">
        <f t="shared" si="14"/>
        <v>0</v>
      </c>
      <c r="S129" s="65">
        <f t="shared" si="11"/>
        <v>0</v>
      </c>
      <c r="T129" s="66">
        <f t="shared" si="12"/>
        <v>0</v>
      </c>
      <c r="U129" s="66">
        <f t="shared" si="13"/>
        <v>0</v>
      </c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5">
        <v>0</v>
      </c>
      <c r="AK129" s="15">
        <v>0</v>
      </c>
      <c r="AL129" s="81"/>
      <c r="AM129" s="10">
        <v>2</v>
      </c>
    </row>
    <row r="130" spans="1:39" x14ac:dyDescent="0.3">
      <c r="A130" s="10">
        <v>2024</v>
      </c>
      <c r="B130" s="10" t="s">
        <v>180</v>
      </c>
      <c r="C130" s="60">
        <v>45509</v>
      </c>
      <c r="D130" s="12" t="s">
        <v>40</v>
      </c>
      <c r="E130" s="12" t="s">
        <v>39</v>
      </c>
      <c r="F130" s="10" t="s">
        <v>184</v>
      </c>
      <c r="G130" s="10" t="s">
        <v>184</v>
      </c>
      <c r="H130" s="18" t="s">
        <v>185</v>
      </c>
      <c r="I130" s="13" t="s">
        <v>211</v>
      </c>
      <c r="J130" s="18" t="s">
        <v>209</v>
      </c>
      <c r="K130" s="18"/>
      <c r="L130" s="61"/>
      <c r="M130" s="62">
        <v>182571</v>
      </c>
      <c r="N130" s="63">
        <v>780</v>
      </c>
      <c r="O130" s="33">
        <v>780</v>
      </c>
      <c r="P130" s="33">
        <v>780</v>
      </c>
      <c r="Q130" s="33">
        <v>780</v>
      </c>
      <c r="R130" s="65">
        <f t="shared" si="14"/>
        <v>0</v>
      </c>
      <c r="S130" s="65">
        <f t="shared" si="11"/>
        <v>0</v>
      </c>
      <c r="T130" s="66">
        <f t="shared" si="12"/>
        <v>0</v>
      </c>
      <c r="U130" s="66">
        <f t="shared" si="13"/>
        <v>0</v>
      </c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5">
        <v>0</v>
      </c>
      <c r="AK130" s="15">
        <v>0</v>
      </c>
      <c r="AL130" s="81"/>
      <c r="AM130" s="10">
        <v>2</v>
      </c>
    </row>
    <row r="131" spans="1:39" x14ac:dyDescent="0.3">
      <c r="A131" s="10">
        <v>2024</v>
      </c>
      <c r="B131" s="10" t="s">
        <v>180</v>
      </c>
      <c r="C131" s="60">
        <v>45509</v>
      </c>
      <c r="D131" s="12" t="s">
        <v>40</v>
      </c>
      <c r="E131" s="12" t="s">
        <v>39</v>
      </c>
      <c r="F131" s="10" t="s">
        <v>184</v>
      </c>
      <c r="G131" s="10" t="s">
        <v>184</v>
      </c>
      <c r="H131" s="18" t="s">
        <v>185</v>
      </c>
      <c r="I131" s="13" t="s">
        <v>212</v>
      </c>
      <c r="J131" s="18" t="s">
        <v>209</v>
      </c>
      <c r="K131" s="18"/>
      <c r="L131" s="61"/>
      <c r="M131" s="62">
        <v>182572</v>
      </c>
      <c r="N131" s="63">
        <v>780</v>
      </c>
      <c r="O131" s="33">
        <v>780</v>
      </c>
      <c r="P131" s="33">
        <v>780</v>
      </c>
      <c r="Q131" s="33">
        <v>780</v>
      </c>
      <c r="R131" s="65">
        <f t="shared" si="14"/>
        <v>0</v>
      </c>
      <c r="S131" s="65">
        <f t="shared" ref="S131:S180" si="16">Q131-N131</f>
        <v>0</v>
      </c>
      <c r="T131" s="66">
        <f t="shared" ref="T131:T180" si="17">Q131/N131-1</f>
        <v>0</v>
      </c>
      <c r="U131" s="66">
        <f t="shared" ref="U131:U180" si="18">Q131/O131-1</f>
        <v>0</v>
      </c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5">
        <v>0</v>
      </c>
      <c r="AK131" s="15">
        <v>0</v>
      </c>
      <c r="AL131" s="81"/>
      <c r="AM131" s="10">
        <v>2</v>
      </c>
    </row>
    <row r="132" spans="1:39" x14ac:dyDescent="0.3">
      <c r="A132" s="10">
        <v>2024</v>
      </c>
      <c r="B132" s="10" t="s">
        <v>180</v>
      </c>
      <c r="C132" s="60">
        <v>45509</v>
      </c>
      <c r="D132" s="12" t="s">
        <v>40</v>
      </c>
      <c r="E132" s="12" t="s">
        <v>39</v>
      </c>
      <c r="F132" s="10" t="s">
        <v>184</v>
      </c>
      <c r="G132" s="10" t="s">
        <v>184</v>
      </c>
      <c r="H132" s="18" t="s">
        <v>185</v>
      </c>
      <c r="I132" s="13" t="s">
        <v>213</v>
      </c>
      <c r="J132" s="18" t="s">
        <v>209</v>
      </c>
      <c r="K132" s="18"/>
      <c r="L132" s="61"/>
      <c r="M132" s="62">
        <v>182583</v>
      </c>
      <c r="N132" s="63">
        <v>87</v>
      </c>
      <c r="O132" s="64">
        <v>87</v>
      </c>
      <c r="P132" s="15">
        <v>87</v>
      </c>
      <c r="Q132" s="33">
        <v>87</v>
      </c>
      <c r="R132" s="65">
        <f t="shared" si="14"/>
        <v>0</v>
      </c>
      <c r="S132" s="65">
        <f t="shared" si="16"/>
        <v>0</v>
      </c>
      <c r="T132" s="66">
        <f t="shared" si="17"/>
        <v>0</v>
      </c>
      <c r="U132" s="66">
        <f t="shared" si="18"/>
        <v>0</v>
      </c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5">
        <v>0</v>
      </c>
      <c r="AK132" s="15">
        <v>0</v>
      </c>
      <c r="AL132" s="81"/>
      <c r="AM132" s="10">
        <v>2</v>
      </c>
    </row>
    <row r="133" spans="1:39" x14ac:dyDescent="0.3">
      <c r="A133" s="10">
        <v>2024</v>
      </c>
      <c r="B133" s="10" t="s">
        <v>180</v>
      </c>
      <c r="C133" s="60">
        <v>45509</v>
      </c>
      <c r="D133" s="12" t="s">
        <v>40</v>
      </c>
      <c r="E133" s="12" t="s">
        <v>39</v>
      </c>
      <c r="F133" s="10" t="s">
        <v>184</v>
      </c>
      <c r="G133" s="10" t="s">
        <v>184</v>
      </c>
      <c r="H133" s="18" t="s">
        <v>185</v>
      </c>
      <c r="I133" s="13" t="s">
        <v>214</v>
      </c>
      <c r="J133" s="18" t="s">
        <v>209</v>
      </c>
      <c r="K133" s="18"/>
      <c r="L133" s="61"/>
      <c r="M133" s="62">
        <v>182584</v>
      </c>
      <c r="N133" s="63">
        <v>87</v>
      </c>
      <c r="O133" s="64">
        <v>87</v>
      </c>
      <c r="P133" s="15">
        <v>87</v>
      </c>
      <c r="Q133" s="33">
        <v>87</v>
      </c>
      <c r="R133" s="65">
        <f t="shared" si="14"/>
        <v>0</v>
      </c>
      <c r="S133" s="65">
        <f t="shared" si="16"/>
        <v>0</v>
      </c>
      <c r="T133" s="66">
        <f t="shared" si="17"/>
        <v>0</v>
      </c>
      <c r="U133" s="66">
        <f t="shared" si="18"/>
        <v>0</v>
      </c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5">
        <v>0</v>
      </c>
      <c r="AK133" s="15">
        <v>0</v>
      </c>
      <c r="AL133" s="81"/>
      <c r="AM133" s="10">
        <v>2</v>
      </c>
    </row>
    <row r="134" spans="1:39" x14ac:dyDescent="0.3">
      <c r="A134" s="10">
        <v>2024</v>
      </c>
      <c r="B134" s="10" t="s">
        <v>180</v>
      </c>
      <c r="C134" s="60">
        <v>45509</v>
      </c>
      <c r="D134" s="12" t="s">
        <v>40</v>
      </c>
      <c r="E134" s="12" t="s">
        <v>39</v>
      </c>
      <c r="F134" s="10" t="s">
        <v>184</v>
      </c>
      <c r="G134" s="10" t="s">
        <v>184</v>
      </c>
      <c r="H134" s="18" t="s">
        <v>185</v>
      </c>
      <c r="I134" s="13" t="s">
        <v>215</v>
      </c>
      <c r="J134" s="18" t="s">
        <v>209</v>
      </c>
      <c r="K134" s="18"/>
      <c r="L134" s="61"/>
      <c r="M134" s="62">
        <v>182593</v>
      </c>
      <c r="N134" s="63">
        <v>38</v>
      </c>
      <c r="O134" s="64">
        <v>38</v>
      </c>
      <c r="P134" s="15">
        <v>38</v>
      </c>
      <c r="Q134" s="33">
        <v>38</v>
      </c>
      <c r="R134" s="65">
        <f t="shared" si="14"/>
        <v>0</v>
      </c>
      <c r="S134" s="65">
        <f t="shared" si="16"/>
        <v>0</v>
      </c>
      <c r="T134" s="66">
        <f t="shared" si="17"/>
        <v>0</v>
      </c>
      <c r="U134" s="66">
        <f t="shared" si="18"/>
        <v>0</v>
      </c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5">
        <v>0</v>
      </c>
      <c r="AK134" s="15">
        <v>0</v>
      </c>
      <c r="AL134" s="81"/>
      <c r="AM134" s="10">
        <v>2</v>
      </c>
    </row>
    <row r="135" spans="1:39" x14ac:dyDescent="0.3">
      <c r="A135" s="10">
        <v>2024</v>
      </c>
      <c r="B135" s="10" t="s">
        <v>180</v>
      </c>
      <c r="C135" s="60">
        <v>45509</v>
      </c>
      <c r="D135" s="12" t="s">
        <v>40</v>
      </c>
      <c r="E135" s="12" t="s">
        <v>39</v>
      </c>
      <c r="F135" s="10" t="s">
        <v>184</v>
      </c>
      <c r="G135" s="10" t="s">
        <v>184</v>
      </c>
      <c r="H135" s="18" t="s">
        <v>185</v>
      </c>
      <c r="I135" s="13" t="s">
        <v>216</v>
      </c>
      <c r="J135" s="18" t="s">
        <v>209</v>
      </c>
      <c r="K135" s="18"/>
      <c r="L135" s="61"/>
      <c r="M135" s="62">
        <v>182594</v>
      </c>
      <c r="N135" s="63">
        <v>38</v>
      </c>
      <c r="O135" s="64">
        <v>38</v>
      </c>
      <c r="P135" s="15">
        <v>38</v>
      </c>
      <c r="Q135" s="33">
        <v>38</v>
      </c>
      <c r="R135" s="65">
        <f t="shared" si="14"/>
        <v>0</v>
      </c>
      <c r="S135" s="65">
        <f t="shared" si="16"/>
        <v>0</v>
      </c>
      <c r="T135" s="66">
        <f t="shared" si="17"/>
        <v>0</v>
      </c>
      <c r="U135" s="66">
        <f t="shared" si="18"/>
        <v>0</v>
      </c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5">
        <v>0</v>
      </c>
      <c r="AK135" s="15">
        <v>0</v>
      </c>
      <c r="AL135" s="81"/>
      <c r="AM135" s="10">
        <v>2</v>
      </c>
    </row>
    <row r="136" spans="1:39" x14ac:dyDescent="0.3">
      <c r="A136" s="10">
        <v>2024</v>
      </c>
      <c r="B136" s="10" t="s">
        <v>180</v>
      </c>
      <c r="C136" s="60">
        <v>45509</v>
      </c>
      <c r="D136" s="12" t="s">
        <v>40</v>
      </c>
      <c r="E136" s="12" t="s">
        <v>39</v>
      </c>
      <c r="F136" s="10" t="s">
        <v>184</v>
      </c>
      <c r="G136" s="10" t="s">
        <v>184</v>
      </c>
      <c r="H136" s="18" t="s">
        <v>185</v>
      </c>
      <c r="I136" s="13" t="s">
        <v>217</v>
      </c>
      <c r="J136" s="18" t="s">
        <v>209</v>
      </c>
      <c r="K136" s="18"/>
      <c r="L136" s="61"/>
      <c r="M136" s="62">
        <v>182587</v>
      </c>
      <c r="N136" s="63">
        <v>207</v>
      </c>
      <c r="O136" s="64">
        <v>207</v>
      </c>
      <c r="P136" s="15">
        <v>207</v>
      </c>
      <c r="Q136" s="33">
        <v>207</v>
      </c>
      <c r="R136" s="65">
        <f t="shared" si="14"/>
        <v>0</v>
      </c>
      <c r="S136" s="65">
        <f t="shared" si="16"/>
        <v>0</v>
      </c>
      <c r="T136" s="66">
        <f t="shared" si="17"/>
        <v>0</v>
      </c>
      <c r="U136" s="66">
        <f t="shared" si="18"/>
        <v>0</v>
      </c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5">
        <v>0</v>
      </c>
      <c r="AK136" s="15">
        <v>0</v>
      </c>
      <c r="AL136" s="81"/>
      <c r="AM136" s="10">
        <v>2</v>
      </c>
    </row>
    <row r="137" spans="1:39" x14ac:dyDescent="0.3">
      <c r="A137" s="10">
        <v>2024</v>
      </c>
      <c r="B137" s="10" t="s">
        <v>180</v>
      </c>
      <c r="C137" s="60">
        <v>45509</v>
      </c>
      <c r="D137" s="12" t="s">
        <v>40</v>
      </c>
      <c r="E137" s="12" t="s">
        <v>39</v>
      </c>
      <c r="F137" s="10" t="s">
        <v>184</v>
      </c>
      <c r="G137" s="10" t="s">
        <v>184</v>
      </c>
      <c r="H137" s="18" t="s">
        <v>185</v>
      </c>
      <c r="I137" s="13" t="s">
        <v>218</v>
      </c>
      <c r="J137" s="18" t="s">
        <v>209</v>
      </c>
      <c r="K137" s="18"/>
      <c r="L137" s="61"/>
      <c r="M137" s="62">
        <v>182588</v>
      </c>
      <c r="N137" s="63">
        <v>207</v>
      </c>
      <c r="O137" s="64">
        <v>207</v>
      </c>
      <c r="P137" s="15">
        <v>207</v>
      </c>
      <c r="Q137" s="33">
        <v>207</v>
      </c>
      <c r="R137" s="65">
        <f t="shared" si="14"/>
        <v>0</v>
      </c>
      <c r="S137" s="65">
        <f t="shared" si="16"/>
        <v>0</v>
      </c>
      <c r="T137" s="66">
        <f t="shared" si="17"/>
        <v>0</v>
      </c>
      <c r="U137" s="66">
        <f t="shared" si="18"/>
        <v>0</v>
      </c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5">
        <v>0</v>
      </c>
      <c r="AK137" s="15">
        <v>0</v>
      </c>
      <c r="AL137" s="81"/>
      <c r="AM137" s="10">
        <v>2</v>
      </c>
    </row>
    <row r="138" spans="1:39" x14ac:dyDescent="0.3">
      <c r="A138" s="10">
        <v>2024</v>
      </c>
      <c r="B138" s="10" t="s">
        <v>180</v>
      </c>
      <c r="C138" s="60">
        <v>45509</v>
      </c>
      <c r="D138" s="12" t="s">
        <v>40</v>
      </c>
      <c r="E138" s="12" t="s">
        <v>39</v>
      </c>
      <c r="F138" s="10" t="s">
        <v>184</v>
      </c>
      <c r="G138" s="10" t="s">
        <v>184</v>
      </c>
      <c r="H138" s="18" t="s">
        <v>185</v>
      </c>
      <c r="I138" s="13" t="s">
        <v>219</v>
      </c>
      <c r="J138" s="18" t="s">
        <v>209</v>
      </c>
      <c r="K138" s="18"/>
      <c r="L138" s="61"/>
      <c r="M138" s="62">
        <v>182566</v>
      </c>
      <c r="N138" s="63">
        <v>2633</v>
      </c>
      <c r="O138" s="64">
        <v>2636</v>
      </c>
      <c r="P138" s="15">
        <v>2636</v>
      </c>
      <c r="Q138" s="33">
        <v>2636</v>
      </c>
      <c r="R138" s="65">
        <f t="shared" si="14"/>
        <v>0</v>
      </c>
      <c r="S138" s="65">
        <f t="shared" si="16"/>
        <v>3</v>
      </c>
      <c r="T138" s="66">
        <f t="shared" si="17"/>
        <v>1.1393847322445083E-3</v>
      </c>
      <c r="U138" s="66">
        <f t="shared" si="18"/>
        <v>0</v>
      </c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5">
        <v>0</v>
      </c>
      <c r="AK138" s="15">
        <v>0</v>
      </c>
      <c r="AL138" s="81"/>
      <c r="AM138" s="10">
        <v>2</v>
      </c>
    </row>
    <row r="139" spans="1:39" x14ac:dyDescent="0.3">
      <c r="A139" s="10">
        <v>2024</v>
      </c>
      <c r="B139" s="10" t="s">
        <v>180</v>
      </c>
      <c r="C139" s="60">
        <v>45509</v>
      </c>
      <c r="D139" s="12" t="s">
        <v>40</v>
      </c>
      <c r="E139" s="12" t="s">
        <v>39</v>
      </c>
      <c r="F139" s="10" t="s">
        <v>184</v>
      </c>
      <c r="G139" s="10" t="s">
        <v>184</v>
      </c>
      <c r="H139" s="18" t="s">
        <v>185</v>
      </c>
      <c r="I139" s="13" t="s">
        <v>220</v>
      </c>
      <c r="J139" s="18" t="s">
        <v>209</v>
      </c>
      <c r="K139" s="18"/>
      <c r="L139" s="61"/>
      <c r="M139" s="62">
        <v>182569</v>
      </c>
      <c r="N139" s="63">
        <v>106</v>
      </c>
      <c r="O139" s="64">
        <v>106</v>
      </c>
      <c r="P139" s="15">
        <v>106</v>
      </c>
      <c r="Q139" s="33">
        <v>106</v>
      </c>
      <c r="R139" s="65">
        <f t="shared" si="14"/>
        <v>0</v>
      </c>
      <c r="S139" s="65">
        <f t="shared" si="16"/>
        <v>0</v>
      </c>
      <c r="T139" s="66">
        <f t="shared" si="17"/>
        <v>0</v>
      </c>
      <c r="U139" s="66">
        <f t="shared" si="18"/>
        <v>0</v>
      </c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5">
        <v>0</v>
      </c>
      <c r="AK139" s="15">
        <v>0</v>
      </c>
      <c r="AL139" s="81"/>
      <c r="AM139" s="10">
        <v>2</v>
      </c>
    </row>
    <row r="140" spans="1:39" x14ac:dyDescent="0.3">
      <c r="A140" s="10">
        <v>2024</v>
      </c>
      <c r="B140" s="10" t="s">
        <v>180</v>
      </c>
      <c r="C140" s="60">
        <v>45509</v>
      </c>
      <c r="D140" s="12" t="s">
        <v>40</v>
      </c>
      <c r="E140" s="12" t="s">
        <v>39</v>
      </c>
      <c r="F140" s="10" t="s">
        <v>184</v>
      </c>
      <c r="G140" s="10" t="s">
        <v>184</v>
      </c>
      <c r="H140" s="18" t="s">
        <v>185</v>
      </c>
      <c r="I140" s="13" t="s">
        <v>221</v>
      </c>
      <c r="J140" s="18" t="s">
        <v>209</v>
      </c>
      <c r="K140" s="18"/>
      <c r="L140" s="61"/>
      <c r="M140" s="62">
        <v>182575</v>
      </c>
      <c r="N140" s="63">
        <v>726</v>
      </c>
      <c r="O140" s="64">
        <v>726</v>
      </c>
      <c r="P140" s="15">
        <v>726</v>
      </c>
      <c r="Q140" s="33">
        <v>726</v>
      </c>
      <c r="R140" s="65">
        <f t="shared" si="14"/>
        <v>0</v>
      </c>
      <c r="S140" s="65">
        <f t="shared" si="16"/>
        <v>0</v>
      </c>
      <c r="T140" s="66">
        <f t="shared" si="17"/>
        <v>0</v>
      </c>
      <c r="U140" s="66">
        <f t="shared" si="18"/>
        <v>0</v>
      </c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5">
        <v>0</v>
      </c>
      <c r="AK140" s="15">
        <v>0</v>
      </c>
      <c r="AL140" s="81"/>
      <c r="AM140" s="10">
        <v>2</v>
      </c>
    </row>
    <row r="141" spans="1:39" x14ac:dyDescent="0.3">
      <c r="A141" s="10">
        <v>2024</v>
      </c>
      <c r="B141" s="10" t="s">
        <v>180</v>
      </c>
      <c r="C141" s="60">
        <v>45509</v>
      </c>
      <c r="D141" s="12" t="s">
        <v>40</v>
      </c>
      <c r="E141" s="12" t="s">
        <v>39</v>
      </c>
      <c r="F141" s="10" t="s">
        <v>184</v>
      </c>
      <c r="G141" s="10" t="s">
        <v>184</v>
      </c>
      <c r="H141" s="18" t="s">
        <v>185</v>
      </c>
      <c r="I141" s="13" t="s">
        <v>222</v>
      </c>
      <c r="J141" s="18" t="s">
        <v>209</v>
      </c>
      <c r="K141" s="18"/>
      <c r="L141" s="61"/>
      <c r="M141" s="62">
        <v>182576</v>
      </c>
      <c r="N141" s="63">
        <v>726</v>
      </c>
      <c r="O141" s="64">
        <v>726</v>
      </c>
      <c r="P141" s="15">
        <v>726</v>
      </c>
      <c r="Q141" s="33">
        <v>726</v>
      </c>
      <c r="R141" s="65">
        <f t="shared" si="14"/>
        <v>0</v>
      </c>
      <c r="S141" s="65">
        <f t="shared" si="16"/>
        <v>0</v>
      </c>
      <c r="T141" s="66">
        <f t="shared" si="17"/>
        <v>0</v>
      </c>
      <c r="U141" s="66">
        <f t="shared" si="18"/>
        <v>0</v>
      </c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5">
        <v>0</v>
      </c>
      <c r="AK141" s="15">
        <v>0</v>
      </c>
      <c r="AL141" s="81"/>
      <c r="AM141" s="10">
        <v>2</v>
      </c>
    </row>
    <row r="142" spans="1:39" x14ac:dyDescent="0.3">
      <c r="A142" s="10">
        <v>2024</v>
      </c>
      <c r="B142" s="10" t="s">
        <v>180</v>
      </c>
      <c r="C142" s="60">
        <v>45509</v>
      </c>
      <c r="D142" s="12" t="s">
        <v>40</v>
      </c>
      <c r="E142" s="12" t="s">
        <v>39</v>
      </c>
      <c r="F142" s="10" t="s">
        <v>184</v>
      </c>
      <c r="G142" s="10" t="s">
        <v>184</v>
      </c>
      <c r="H142" s="18" t="s">
        <v>185</v>
      </c>
      <c r="I142" s="13" t="s">
        <v>223</v>
      </c>
      <c r="J142" s="18" t="s">
        <v>209</v>
      </c>
      <c r="K142" s="18"/>
      <c r="L142" s="61"/>
      <c r="M142" s="62">
        <v>182582</v>
      </c>
      <c r="N142" s="63">
        <v>636</v>
      </c>
      <c r="O142" s="64">
        <v>636</v>
      </c>
      <c r="P142" s="15">
        <v>636</v>
      </c>
      <c r="Q142" s="33">
        <v>636</v>
      </c>
      <c r="R142" s="65">
        <f t="shared" ref="R142:R180" si="19">Q142-O142</f>
        <v>0</v>
      </c>
      <c r="S142" s="65">
        <f t="shared" si="16"/>
        <v>0</v>
      </c>
      <c r="T142" s="66">
        <f t="shared" si="17"/>
        <v>0</v>
      </c>
      <c r="U142" s="66">
        <f t="shared" si="18"/>
        <v>0</v>
      </c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5">
        <v>0</v>
      </c>
      <c r="AK142" s="15">
        <v>0</v>
      </c>
      <c r="AL142" s="81"/>
      <c r="AM142" s="10">
        <v>2</v>
      </c>
    </row>
    <row r="143" spans="1:39" x14ac:dyDescent="0.3">
      <c r="A143" s="10">
        <v>2024</v>
      </c>
      <c r="B143" s="10" t="s">
        <v>180</v>
      </c>
      <c r="C143" s="60">
        <v>45509</v>
      </c>
      <c r="D143" s="12" t="s">
        <v>40</v>
      </c>
      <c r="E143" s="12" t="s">
        <v>39</v>
      </c>
      <c r="F143" s="10" t="s">
        <v>184</v>
      </c>
      <c r="G143" s="10" t="s">
        <v>184</v>
      </c>
      <c r="H143" s="18" t="s">
        <v>185</v>
      </c>
      <c r="I143" s="13" t="s">
        <v>224</v>
      </c>
      <c r="J143" s="18" t="s">
        <v>209</v>
      </c>
      <c r="K143" s="18"/>
      <c r="L143" s="61"/>
      <c r="M143" s="62">
        <v>182585</v>
      </c>
      <c r="N143" s="63">
        <v>81</v>
      </c>
      <c r="O143" s="64">
        <v>81</v>
      </c>
      <c r="P143" s="15">
        <v>81</v>
      </c>
      <c r="Q143" s="33">
        <v>81</v>
      </c>
      <c r="R143" s="65">
        <f t="shared" si="19"/>
        <v>0</v>
      </c>
      <c r="S143" s="65">
        <f t="shared" si="16"/>
        <v>0</v>
      </c>
      <c r="T143" s="66">
        <f t="shared" si="17"/>
        <v>0</v>
      </c>
      <c r="U143" s="66">
        <f t="shared" si="18"/>
        <v>0</v>
      </c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5">
        <v>0</v>
      </c>
      <c r="AK143" s="15">
        <v>0</v>
      </c>
      <c r="AL143" s="81"/>
      <c r="AM143" s="10">
        <v>2</v>
      </c>
    </row>
    <row r="144" spans="1:39" x14ac:dyDescent="0.3">
      <c r="A144" s="10">
        <v>2024</v>
      </c>
      <c r="B144" s="10" t="s">
        <v>180</v>
      </c>
      <c r="C144" s="60">
        <v>45509</v>
      </c>
      <c r="D144" s="12" t="s">
        <v>40</v>
      </c>
      <c r="E144" s="12" t="s">
        <v>39</v>
      </c>
      <c r="F144" s="10" t="s">
        <v>184</v>
      </c>
      <c r="G144" s="10" t="s">
        <v>184</v>
      </c>
      <c r="H144" s="18" t="s">
        <v>185</v>
      </c>
      <c r="I144" s="13" t="s">
        <v>225</v>
      </c>
      <c r="J144" s="18" t="s">
        <v>209</v>
      </c>
      <c r="K144" s="18"/>
      <c r="L144" s="61"/>
      <c r="M144" s="62">
        <v>182592</v>
      </c>
      <c r="N144" s="63">
        <v>123</v>
      </c>
      <c r="O144" s="64">
        <v>123</v>
      </c>
      <c r="P144" s="15">
        <v>123</v>
      </c>
      <c r="Q144" s="33">
        <v>123</v>
      </c>
      <c r="R144" s="65">
        <f t="shared" si="19"/>
        <v>0</v>
      </c>
      <c r="S144" s="65">
        <f t="shared" si="16"/>
        <v>0</v>
      </c>
      <c r="T144" s="66">
        <f t="shared" si="17"/>
        <v>0</v>
      </c>
      <c r="U144" s="66">
        <f t="shared" si="18"/>
        <v>0</v>
      </c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5">
        <v>0</v>
      </c>
      <c r="AK144" s="15">
        <v>0</v>
      </c>
      <c r="AL144" s="81"/>
      <c r="AM144" s="10">
        <v>2</v>
      </c>
    </row>
    <row r="145" spans="1:39" x14ac:dyDescent="0.3">
      <c r="A145" s="10">
        <v>2024</v>
      </c>
      <c r="B145" s="10" t="s">
        <v>180</v>
      </c>
      <c r="C145" s="60">
        <v>45509</v>
      </c>
      <c r="D145" s="12" t="s">
        <v>40</v>
      </c>
      <c r="E145" s="12" t="s">
        <v>39</v>
      </c>
      <c r="F145" s="10" t="s">
        <v>184</v>
      </c>
      <c r="G145" s="10" t="s">
        <v>184</v>
      </c>
      <c r="H145" s="18" t="s">
        <v>185</v>
      </c>
      <c r="I145" s="13" t="s">
        <v>226</v>
      </c>
      <c r="J145" s="18" t="s">
        <v>209</v>
      </c>
      <c r="K145" s="18"/>
      <c r="L145" s="61"/>
      <c r="M145" s="10">
        <v>182595</v>
      </c>
      <c r="N145" s="63">
        <v>27</v>
      </c>
      <c r="O145" s="64">
        <v>27</v>
      </c>
      <c r="P145" s="15">
        <v>27</v>
      </c>
      <c r="Q145" s="33">
        <v>27</v>
      </c>
      <c r="R145" s="65">
        <f t="shared" si="19"/>
        <v>0</v>
      </c>
      <c r="S145" s="65">
        <f t="shared" si="16"/>
        <v>0</v>
      </c>
      <c r="T145" s="66">
        <f t="shared" si="17"/>
        <v>0</v>
      </c>
      <c r="U145" s="66">
        <f t="shared" si="18"/>
        <v>0</v>
      </c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5">
        <v>0</v>
      </c>
      <c r="AK145" s="15">
        <v>0</v>
      </c>
      <c r="AL145" s="81"/>
      <c r="AM145" s="10">
        <v>2</v>
      </c>
    </row>
    <row r="146" spans="1:39" x14ac:dyDescent="0.3">
      <c r="A146" s="10">
        <v>2024</v>
      </c>
      <c r="B146" s="10" t="s">
        <v>180</v>
      </c>
      <c r="C146" s="60">
        <v>45509</v>
      </c>
      <c r="D146" s="12" t="s">
        <v>40</v>
      </c>
      <c r="E146" s="12" t="s">
        <v>39</v>
      </c>
      <c r="F146" s="10" t="s">
        <v>184</v>
      </c>
      <c r="G146" s="10" t="s">
        <v>184</v>
      </c>
      <c r="H146" s="18" t="s">
        <v>185</v>
      </c>
      <c r="I146" s="13" t="s">
        <v>227</v>
      </c>
      <c r="J146" s="18" t="s">
        <v>209</v>
      </c>
      <c r="K146" s="18"/>
      <c r="L146" s="61"/>
      <c r="M146" s="10">
        <v>182596</v>
      </c>
      <c r="N146" s="63">
        <v>27</v>
      </c>
      <c r="O146" s="64">
        <v>27</v>
      </c>
      <c r="P146" s="15">
        <v>27</v>
      </c>
      <c r="Q146" s="33">
        <v>27</v>
      </c>
      <c r="R146" s="65">
        <f t="shared" si="19"/>
        <v>0</v>
      </c>
      <c r="S146" s="65">
        <f t="shared" si="16"/>
        <v>0</v>
      </c>
      <c r="T146" s="66">
        <f t="shared" si="17"/>
        <v>0</v>
      </c>
      <c r="U146" s="66">
        <f t="shared" si="18"/>
        <v>0</v>
      </c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5">
        <v>0</v>
      </c>
      <c r="AK146" s="15">
        <v>0</v>
      </c>
      <c r="AL146" s="81"/>
      <c r="AM146" s="10">
        <v>2</v>
      </c>
    </row>
    <row r="147" spans="1:39" x14ac:dyDescent="0.3">
      <c r="A147" s="10">
        <v>2024</v>
      </c>
      <c r="B147" s="10" t="s">
        <v>180</v>
      </c>
      <c r="C147" s="60">
        <v>45513</v>
      </c>
      <c r="D147" s="12" t="s">
        <v>44</v>
      </c>
      <c r="E147" s="12" t="s">
        <v>45</v>
      </c>
      <c r="F147" s="10" t="s">
        <v>46</v>
      </c>
      <c r="G147" s="10" t="s">
        <v>63</v>
      </c>
      <c r="H147" s="18" t="s">
        <v>47</v>
      </c>
      <c r="I147" s="13" t="s">
        <v>228</v>
      </c>
      <c r="J147" s="31">
        <v>5158037</v>
      </c>
      <c r="K147" s="18" t="s">
        <v>49</v>
      </c>
      <c r="L147" s="111">
        <v>10600.3</v>
      </c>
      <c r="M147" s="18">
        <v>183042</v>
      </c>
      <c r="N147" s="15">
        <v>25920</v>
      </c>
      <c r="O147" s="21">
        <v>25920</v>
      </c>
      <c r="P147" s="15">
        <v>25911</v>
      </c>
      <c r="Q147" s="21">
        <v>25908</v>
      </c>
      <c r="R147" s="15">
        <f t="shared" si="19"/>
        <v>-12</v>
      </c>
      <c r="S147" s="15">
        <f t="shared" si="16"/>
        <v>-12</v>
      </c>
      <c r="T147" s="35">
        <f t="shared" si="17"/>
        <v>-4.6296296296299833E-4</v>
      </c>
      <c r="U147" s="35">
        <f t="shared" si="18"/>
        <v>-4.6296296296299833E-4</v>
      </c>
      <c r="V147" s="10" t="s">
        <v>229</v>
      </c>
      <c r="W147" s="10">
        <v>0</v>
      </c>
      <c r="X147" s="18">
        <v>4</v>
      </c>
      <c r="Y147" s="18">
        <v>0</v>
      </c>
      <c r="Z147" s="18">
        <v>8</v>
      </c>
      <c r="AA147" s="18">
        <v>0</v>
      </c>
      <c r="AB147" s="18">
        <v>0</v>
      </c>
      <c r="AC147" s="18">
        <v>0</v>
      </c>
      <c r="AD147" s="18">
        <v>0</v>
      </c>
      <c r="AE147" s="18">
        <v>0</v>
      </c>
      <c r="AF147" s="18">
        <v>0</v>
      </c>
      <c r="AG147" s="18">
        <v>0</v>
      </c>
      <c r="AH147" s="18">
        <v>0</v>
      </c>
      <c r="AI147" s="18">
        <v>0</v>
      </c>
      <c r="AJ147" s="15">
        <f>SUM(X147:AH147)</f>
        <v>12</v>
      </c>
      <c r="AK147" s="15">
        <f t="shared" ref="AK147:AK153" si="20">R147+AJ147</f>
        <v>0</v>
      </c>
      <c r="AL147" s="10" t="s">
        <v>230</v>
      </c>
      <c r="AM147" s="10">
        <v>2</v>
      </c>
    </row>
    <row r="148" spans="1:39" x14ac:dyDescent="0.3">
      <c r="A148" s="10">
        <v>2024</v>
      </c>
      <c r="B148" s="10" t="s">
        <v>180</v>
      </c>
      <c r="C148" s="60">
        <v>45513</v>
      </c>
      <c r="D148" s="12" t="s">
        <v>44</v>
      </c>
      <c r="E148" s="12" t="s">
        <v>45</v>
      </c>
      <c r="F148" s="10" t="s">
        <v>46</v>
      </c>
      <c r="G148" s="10" t="s">
        <v>63</v>
      </c>
      <c r="H148" s="18" t="s">
        <v>47</v>
      </c>
      <c r="I148" s="13" t="s">
        <v>231</v>
      </c>
      <c r="J148" s="31">
        <v>5158037</v>
      </c>
      <c r="K148" s="18" t="s">
        <v>49</v>
      </c>
      <c r="L148" s="111"/>
      <c r="M148" s="18">
        <v>183043</v>
      </c>
      <c r="N148" s="15">
        <v>4320</v>
      </c>
      <c r="O148" s="21">
        <v>4320</v>
      </c>
      <c r="P148" s="15">
        <v>4310</v>
      </c>
      <c r="Q148" s="21">
        <v>4314</v>
      </c>
      <c r="R148" s="15">
        <f t="shared" si="19"/>
        <v>-6</v>
      </c>
      <c r="S148" s="15">
        <f t="shared" si="16"/>
        <v>-6</v>
      </c>
      <c r="T148" s="35">
        <f t="shared" si="17"/>
        <v>-1.388888888888884E-3</v>
      </c>
      <c r="U148" s="35">
        <f t="shared" si="18"/>
        <v>-1.388888888888884E-3</v>
      </c>
      <c r="V148" s="10" t="s">
        <v>232</v>
      </c>
      <c r="W148" s="10">
        <v>0</v>
      </c>
      <c r="X148" s="18">
        <v>1</v>
      </c>
      <c r="Y148" s="18">
        <v>0</v>
      </c>
      <c r="Z148" s="18">
        <v>5</v>
      </c>
      <c r="AA148" s="18">
        <v>0</v>
      </c>
      <c r="AB148" s="18">
        <v>0</v>
      </c>
      <c r="AC148" s="18">
        <v>0</v>
      </c>
      <c r="AD148" s="18">
        <v>0</v>
      </c>
      <c r="AE148" s="18">
        <v>0</v>
      </c>
      <c r="AF148" s="18">
        <v>0</v>
      </c>
      <c r="AG148" s="18">
        <v>0</v>
      </c>
      <c r="AH148" s="18">
        <v>0</v>
      </c>
      <c r="AI148" s="18">
        <v>0</v>
      </c>
      <c r="AJ148" s="15">
        <f t="shared" ref="AJ148:AJ179" si="21">SUM(X148:AI148)</f>
        <v>6</v>
      </c>
      <c r="AK148" s="15">
        <f t="shared" si="20"/>
        <v>0</v>
      </c>
      <c r="AL148" s="10" t="s">
        <v>233</v>
      </c>
      <c r="AM148" s="10">
        <v>2</v>
      </c>
    </row>
    <row r="149" spans="1:39" x14ac:dyDescent="0.3">
      <c r="A149" s="10">
        <v>2024</v>
      </c>
      <c r="B149" s="10" t="s">
        <v>180</v>
      </c>
      <c r="C149" s="60">
        <v>45513</v>
      </c>
      <c r="D149" s="12" t="s">
        <v>44</v>
      </c>
      <c r="E149" s="12" t="s">
        <v>45</v>
      </c>
      <c r="F149" s="10" t="s">
        <v>46</v>
      </c>
      <c r="G149" s="10" t="s">
        <v>63</v>
      </c>
      <c r="H149" s="18" t="s">
        <v>47</v>
      </c>
      <c r="I149" s="13" t="s">
        <v>234</v>
      </c>
      <c r="J149" s="31">
        <v>5158060</v>
      </c>
      <c r="K149" s="18" t="s">
        <v>49</v>
      </c>
      <c r="L149" s="111">
        <v>5105</v>
      </c>
      <c r="M149" s="18">
        <v>183044</v>
      </c>
      <c r="N149" s="15">
        <v>13716</v>
      </c>
      <c r="O149" s="21">
        <v>13716</v>
      </c>
      <c r="P149" s="15">
        <v>13715</v>
      </c>
      <c r="Q149" s="21">
        <v>13692</v>
      </c>
      <c r="R149" s="15">
        <f t="shared" si="19"/>
        <v>-24</v>
      </c>
      <c r="S149" s="15">
        <f t="shared" si="16"/>
        <v>-24</v>
      </c>
      <c r="T149" s="35">
        <f t="shared" si="17"/>
        <v>-1.7497812773403787E-3</v>
      </c>
      <c r="U149" s="35">
        <f t="shared" si="18"/>
        <v>-1.7497812773403787E-3</v>
      </c>
      <c r="V149" s="10" t="s">
        <v>235</v>
      </c>
      <c r="W149" s="10">
        <v>0</v>
      </c>
      <c r="X149" s="18">
        <v>17</v>
      </c>
      <c r="Y149" s="18">
        <v>0</v>
      </c>
      <c r="Z149" s="18">
        <v>7</v>
      </c>
      <c r="AA149" s="18">
        <v>0</v>
      </c>
      <c r="AB149" s="18">
        <v>0</v>
      </c>
      <c r="AC149" s="18">
        <v>0</v>
      </c>
      <c r="AD149" s="18">
        <v>0</v>
      </c>
      <c r="AE149" s="18">
        <v>0</v>
      </c>
      <c r="AF149" s="18">
        <v>0</v>
      </c>
      <c r="AG149" s="18">
        <v>0</v>
      </c>
      <c r="AH149" s="18">
        <v>0</v>
      </c>
      <c r="AI149" s="18">
        <v>0</v>
      </c>
      <c r="AJ149" s="15">
        <f t="shared" si="21"/>
        <v>24</v>
      </c>
      <c r="AK149" s="15">
        <f t="shared" si="20"/>
        <v>0</v>
      </c>
      <c r="AL149" s="10" t="s">
        <v>230</v>
      </c>
      <c r="AM149" s="10">
        <v>2</v>
      </c>
    </row>
    <row r="150" spans="1:39" x14ac:dyDescent="0.3">
      <c r="A150" s="10">
        <v>2024</v>
      </c>
      <c r="B150" s="10" t="s">
        <v>180</v>
      </c>
      <c r="C150" s="60">
        <v>45513</v>
      </c>
      <c r="D150" s="12" t="s">
        <v>44</v>
      </c>
      <c r="E150" s="12" t="s">
        <v>45</v>
      </c>
      <c r="F150" s="10" t="s">
        <v>46</v>
      </c>
      <c r="G150" s="10" t="s">
        <v>63</v>
      </c>
      <c r="H150" s="18" t="s">
        <v>47</v>
      </c>
      <c r="I150" s="13" t="s">
        <v>236</v>
      </c>
      <c r="J150" s="31">
        <v>5158060</v>
      </c>
      <c r="K150" s="18" t="s">
        <v>49</v>
      </c>
      <c r="L150" s="111"/>
      <c r="M150" s="18">
        <v>183045</v>
      </c>
      <c r="N150" s="15">
        <v>1080</v>
      </c>
      <c r="O150" s="21">
        <v>1080</v>
      </c>
      <c r="P150" s="15">
        <v>1080</v>
      </c>
      <c r="Q150" s="67">
        <v>1080</v>
      </c>
      <c r="R150" s="15">
        <f t="shared" si="19"/>
        <v>0</v>
      </c>
      <c r="S150" s="15">
        <f t="shared" si="16"/>
        <v>0</v>
      </c>
      <c r="T150" s="34">
        <f t="shared" si="17"/>
        <v>0</v>
      </c>
      <c r="U150" s="34">
        <f t="shared" si="18"/>
        <v>0</v>
      </c>
      <c r="V150" s="10" t="s">
        <v>237</v>
      </c>
      <c r="W150" s="10">
        <v>0</v>
      </c>
      <c r="X150" s="18">
        <v>0</v>
      </c>
      <c r="Y150" s="18">
        <v>0</v>
      </c>
      <c r="Z150" s="18">
        <v>0</v>
      </c>
      <c r="AA150" s="18">
        <v>0</v>
      </c>
      <c r="AB150" s="18">
        <v>0</v>
      </c>
      <c r="AC150" s="18">
        <v>0</v>
      </c>
      <c r="AD150" s="18">
        <v>0</v>
      </c>
      <c r="AE150" s="18">
        <v>0</v>
      </c>
      <c r="AF150" s="18">
        <v>0</v>
      </c>
      <c r="AG150" s="18">
        <v>0</v>
      </c>
      <c r="AH150" s="18">
        <v>0</v>
      </c>
      <c r="AI150" s="18">
        <v>0</v>
      </c>
      <c r="AJ150" s="15">
        <f t="shared" si="21"/>
        <v>0</v>
      </c>
      <c r="AK150" s="15">
        <f t="shared" si="20"/>
        <v>0</v>
      </c>
      <c r="AL150" s="10" t="s">
        <v>233</v>
      </c>
      <c r="AM150" s="10">
        <v>2</v>
      </c>
    </row>
    <row r="151" spans="1:39" x14ac:dyDescent="0.3">
      <c r="A151" s="10">
        <v>2024</v>
      </c>
      <c r="B151" s="10" t="s">
        <v>180</v>
      </c>
      <c r="C151" s="60">
        <v>45513</v>
      </c>
      <c r="D151" s="12" t="s">
        <v>44</v>
      </c>
      <c r="E151" s="12" t="s">
        <v>45</v>
      </c>
      <c r="F151" s="10" t="s">
        <v>46</v>
      </c>
      <c r="G151" s="10" t="s">
        <v>63</v>
      </c>
      <c r="H151" s="18" t="s">
        <v>47</v>
      </c>
      <c r="I151" s="13" t="s">
        <v>238</v>
      </c>
      <c r="J151" s="31">
        <v>5158723</v>
      </c>
      <c r="K151" s="18" t="s">
        <v>49</v>
      </c>
      <c r="L151" s="111">
        <v>7135</v>
      </c>
      <c r="M151" s="18">
        <v>183046</v>
      </c>
      <c r="N151" s="15">
        <v>17496</v>
      </c>
      <c r="O151" s="21">
        <v>17496</v>
      </c>
      <c r="P151" s="15">
        <v>17494</v>
      </c>
      <c r="Q151" s="21">
        <v>17463</v>
      </c>
      <c r="R151" s="15">
        <f t="shared" si="19"/>
        <v>-33</v>
      </c>
      <c r="S151" s="15">
        <f t="shared" si="16"/>
        <v>-33</v>
      </c>
      <c r="T151" s="35">
        <f t="shared" si="17"/>
        <v>-1.8861454046639192E-3</v>
      </c>
      <c r="U151" s="35">
        <f t="shared" si="18"/>
        <v>-1.8861454046639192E-3</v>
      </c>
      <c r="V151" s="10" t="s">
        <v>239</v>
      </c>
      <c r="W151" s="10">
        <v>0</v>
      </c>
      <c r="X151" s="18">
        <v>8</v>
      </c>
      <c r="Y151" s="18">
        <v>0</v>
      </c>
      <c r="Z151" s="18">
        <v>25</v>
      </c>
      <c r="AA151" s="18">
        <v>0</v>
      </c>
      <c r="AB151" s="18">
        <v>0</v>
      </c>
      <c r="AC151" s="18">
        <v>0</v>
      </c>
      <c r="AD151" s="18">
        <v>0</v>
      </c>
      <c r="AE151" s="18">
        <v>0</v>
      </c>
      <c r="AF151" s="18">
        <v>0</v>
      </c>
      <c r="AG151" s="18">
        <v>0</v>
      </c>
      <c r="AH151" s="18">
        <v>0</v>
      </c>
      <c r="AI151" s="18">
        <v>0</v>
      </c>
      <c r="AJ151" s="15">
        <f t="shared" si="21"/>
        <v>33</v>
      </c>
      <c r="AK151" s="15">
        <f t="shared" si="20"/>
        <v>0</v>
      </c>
      <c r="AL151" s="10" t="s">
        <v>233</v>
      </c>
      <c r="AM151" s="10">
        <v>2</v>
      </c>
    </row>
    <row r="152" spans="1:39" x14ac:dyDescent="0.3">
      <c r="A152" s="10">
        <v>2024</v>
      </c>
      <c r="B152" s="10" t="s">
        <v>180</v>
      </c>
      <c r="C152" s="60">
        <v>45513</v>
      </c>
      <c r="D152" s="12" t="s">
        <v>44</v>
      </c>
      <c r="E152" s="12" t="s">
        <v>45</v>
      </c>
      <c r="F152" s="10" t="s">
        <v>46</v>
      </c>
      <c r="G152" s="10" t="s">
        <v>63</v>
      </c>
      <c r="H152" s="18" t="s">
        <v>47</v>
      </c>
      <c r="I152" s="13" t="s">
        <v>240</v>
      </c>
      <c r="J152" s="31">
        <v>5158723</v>
      </c>
      <c r="K152" s="18" t="s">
        <v>49</v>
      </c>
      <c r="L152" s="111"/>
      <c r="M152" s="18">
        <v>183047</v>
      </c>
      <c r="N152" s="15">
        <v>2916</v>
      </c>
      <c r="O152" s="21">
        <v>2916</v>
      </c>
      <c r="P152" s="15">
        <v>2912</v>
      </c>
      <c r="Q152" s="21">
        <v>2910</v>
      </c>
      <c r="R152" s="15">
        <f t="shared" si="19"/>
        <v>-6</v>
      </c>
      <c r="S152" s="15">
        <f t="shared" si="16"/>
        <v>-6</v>
      </c>
      <c r="T152" s="35">
        <f t="shared" si="17"/>
        <v>-2.057613168724326E-3</v>
      </c>
      <c r="U152" s="35">
        <f t="shared" si="18"/>
        <v>-2.057613168724326E-3</v>
      </c>
      <c r="V152" s="10" t="s">
        <v>241</v>
      </c>
      <c r="W152" s="10">
        <v>0</v>
      </c>
      <c r="X152" s="18">
        <v>3</v>
      </c>
      <c r="Y152" s="18">
        <v>0</v>
      </c>
      <c r="Z152" s="18">
        <v>3</v>
      </c>
      <c r="AA152" s="18">
        <v>0</v>
      </c>
      <c r="AB152" s="18">
        <v>0</v>
      </c>
      <c r="AC152" s="18">
        <v>0</v>
      </c>
      <c r="AD152" s="18">
        <v>0</v>
      </c>
      <c r="AE152" s="18">
        <v>0</v>
      </c>
      <c r="AF152" s="18">
        <v>0</v>
      </c>
      <c r="AG152" s="18">
        <v>0</v>
      </c>
      <c r="AH152" s="18">
        <v>0</v>
      </c>
      <c r="AI152" s="18">
        <v>0</v>
      </c>
      <c r="AJ152" s="15">
        <f t="shared" si="21"/>
        <v>6</v>
      </c>
      <c r="AK152" s="15">
        <f t="shared" si="20"/>
        <v>0</v>
      </c>
      <c r="AL152" s="10" t="s">
        <v>233</v>
      </c>
      <c r="AM152" s="10">
        <v>2</v>
      </c>
    </row>
    <row r="153" spans="1:39" x14ac:dyDescent="0.3">
      <c r="A153" s="10">
        <v>2024</v>
      </c>
      <c r="B153" s="10" t="s">
        <v>180</v>
      </c>
      <c r="C153" s="60">
        <v>45513</v>
      </c>
      <c r="D153" s="12" t="s">
        <v>44</v>
      </c>
      <c r="E153" s="12" t="s">
        <v>45</v>
      </c>
      <c r="F153" s="10" t="s">
        <v>46</v>
      </c>
      <c r="G153" s="10" t="s">
        <v>63</v>
      </c>
      <c r="H153" s="18" t="s">
        <v>47</v>
      </c>
      <c r="I153" s="13" t="s">
        <v>242</v>
      </c>
      <c r="J153" s="31">
        <v>5158059</v>
      </c>
      <c r="K153" s="18" t="s">
        <v>49</v>
      </c>
      <c r="L153" s="61">
        <v>3274</v>
      </c>
      <c r="M153" s="18">
        <v>183053</v>
      </c>
      <c r="N153" s="15">
        <v>9504</v>
      </c>
      <c r="O153" s="21">
        <v>9504</v>
      </c>
      <c r="P153" s="15">
        <v>9495</v>
      </c>
      <c r="Q153" s="21">
        <v>9484</v>
      </c>
      <c r="R153" s="15">
        <f t="shared" si="19"/>
        <v>-20</v>
      </c>
      <c r="S153" s="15">
        <f t="shared" si="16"/>
        <v>-20</v>
      </c>
      <c r="T153" s="35">
        <f t="shared" si="17"/>
        <v>-2.1043771043770532E-3</v>
      </c>
      <c r="U153" s="35">
        <f t="shared" si="18"/>
        <v>-2.1043771043770532E-3</v>
      </c>
      <c r="V153" s="10" t="s">
        <v>243</v>
      </c>
      <c r="W153" s="10">
        <v>0</v>
      </c>
      <c r="X153" s="18">
        <v>16</v>
      </c>
      <c r="Y153" s="18">
        <v>0</v>
      </c>
      <c r="Z153" s="18">
        <v>4</v>
      </c>
      <c r="AA153" s="18">
        <v>0</v>
      </c>
      <c r="AB153" s="18">
        <v>0</v>
      </c>
      <c r="AC153" s="18">
        <v>0</v>
      </c>
      <c r="AD153" s="18">
        <v>0</v>
      </c>
      <c r="AE153" s="18">
        <v>0</v>
      </c>
      <c r="AF153" s="18">
        <v>0</v>
      </c>
      <c r="AG153" s="18">
        <v>0</v>
      </c>
      <c r="AH153" s="18">
        <v>0</v>
      </c>
      <c r="AI153" s="18">
        <v>0</v>
      </c>
      <c r="AJ153" s="15">
        <f t="shared" si="21"/>
        <v>20</v>
      </c>
      <c r="AK153" s="15">
        <f t="shared" si="20"/>
        <v>0</v>
      </c>
      <c r="AL153" s="10" t="s">
        <v>230</v>
      </c>
      <c r="AM153" s="10">
        <v>2</v>
      </c>
    </row>
    <row r="154" spans="1:39" x14ac:dyDescent="0.3">
      <c r="A154" s="18">
        <v>2024</v>
      </c>
      <c r="B154" s="18" t="s">
        <v>180</v>
      </c>
      <c r="C154" s="60">
        <v>45513</v>
      </c>
      <c r="D154" s="12" t="s">
        <v>44</v>
      </c>
      <c r="E154" s="12" t="s">
        <v>45</v>
      </c>
      <c r="F154" s="10" t="s">
        <v>46</v>
      </c>
      <c r="G154" s="10" t="s">
        <v>63</v>
      </c>
      <c r="H154" s="18" t="s">
        <v>47</v>
      </c>
      <c r="I154" s="39" t="s">
        <v>244</v>
      </c>
      <c r="J154" s="31" t="s">
        <v>51</v>
      </c>
      <c r="K154" s="18" t="s">
        <v>49</v>
      </c>
      <c r="L154" s="82">
        <v>17927.2</v>
      </c>
      <c r="M154" s="18">
        <v>183156</v>
      </c>
      <c r="N154" s="52">
        <v>52920</v>
      </c>
      <c r="O154" s="61">
        <v>53979</v>
      </c>
      <c r="P154" s="65">
        <v>53974</v>
      </c>
      <c r="Q154" s="61">
        <v>53889</v>
      </c>
      <c r="R154" s="65">
        <f t="shared" si="19"/>
        <v>-90</v>
      </c>
      <c r="S154" s="65">
        <f t="shared" si="16"/>
        <v>969</v>
      </c>
      <c r="T154" s="35">
        <f t="shared" si="17"/>
        <v>1.8310657596371849E-2</v>
      </c>
      <c r="U154" s="35">
        <f t="shared" si="18"/>
        <v>-1.6673150669704873E-3</v>
      </c>
      <c r="V154" s="18" t="s">
        <v>245</v>
      </c>
      <c r="W154" s="18">
        <v>0</v>
      </c>
      <c r="X154" s="18">
        <v>18</v>
      </c>
      <c r="Y154" s="18">
        <v>0</v>
      </c>
      <c r="Z154" s="18">
        <v>41</v>
      </c>
      <c r="AA154" s="18">
        <v>0</v>
      </c>
      <c r="AB154" s="18">
        <v>0</v>
      </c>
      <c r="AC154" s="18">
        <v>31</v>
      </c>
      <c r="AD154" s="18">
        <v>0</v>
      </c>
      <c r="AE154" s="18">
        <v>0</v>
      </c>
      <c r="AF154" s="18">
        <v>0</v>
      </c>
      <c r="AG154" s="18">
        <v>0</v>
      </c>
      <c r="AH154" s="18">
        <v>0</v>
      </c>
      <c r="AI154" s="18">
        <v>0</v>
      </c>
      <c r="AJ154" s="65">
        <f t="shared" si="21"/>
        <v>90</v>
      </c>
      <c r="AK154" s="65">
        <f>AJ154+R154</f>
        <v>0</v>
      </c>
      <c r="AL154" s="18" t="s">
        <v>246</v>
      </c>
      <c r="AM154" s="10">
        <v>2</v>
      </c>
    </row>
    <row r="155" spans="1:39" x14ac:dyDescent="0.3">
      <c r="A155" s="18">
        <v>2024</v>
      </c>
      <c r="B155" s="18" t="s">
        <v>180</v>
      </c>
      <c r="C155" s="60">
        <v>45513</v>
      </c>
      <c r="D155" s="12" t="s">
        <v>44</v>
      </c>
      <c r="E155" s="12" t="s">
        <v>45</v>
      </c>
      <c r="F155" s="10" t="s">
        <v>46</v>
      </c>
      <c r="G155" s="10" t="s">
        <v>63</v>
      </c>
      <c r="H155" s="18" t="s">
        <v>47</v>
      </c>
      <c r="I155" s="39" t="s">
        <v>247</v>
      </c>
      <c r="J155" s="31" t="s">
        <v>51</v>
      </c>
      <c r="K155" s="18" t="s">
        <v>49</v>
      </c>
      <c r="L155" s="82">
        <v>856</v>
      </c>
      <c r="M155" s="18">
        <v>183157</v>
      </c>
      <c r="N155" s="52">
        <v>2052</v>
      </c>
      <c r="O155" s="61">
        <v>2093</v>
      </c>
      <c r="P155" s="65">
        <v>2093</v>
      </c>
      <c r="Q155" s="61">
        <v>2091</v>
      </c>
      <c r="R155" s="65">
        <f t="shared" si="19"/>
        <v>-2</v>
      </c>
      <c r="S155" s="65">
        <f t="shared" si="16"/>
        <v>39</v>
      </c>
      <c r="T155" s="35">
        <f t="shared" si="17"/>
        <v>1.900584795321647E-2</v>
      </c>
      <c r="U155" s="35">
        <f t="shared" si="18"/>
        <v>-9.5556617295744495E-4</v>
      </c>
      <c r="V155" s="18" t="s">
        <v>248</v>
      </c>
      <c r="W155" s="18">
        <v>0</v>
      </c>
      <c r="X155" s="18">
        <v>0</v>
      </c>
      <c r="Y155" s="18">
        <v>0</v>
      </c>
      <c r="Z155" s="18">
        <v>1</v>
      </c>
      <c r="AA155" s="18">
        <v>0</v>
      </c>
      <c r="AB155" s="18">
        <v>0</v>
      </c>
      <c r="AC155" s="18">
        <v>1</v>
      </c>
      <c r="AD155" s="18">
        <v>0</v>
      </c>
      <c r="AE155" s="18">
        <v>0</v>
      </c>
      <c r="AF155" s="18">
        <v>0</v>
      </c>
      <c r="AG155" s="18">
        <v>0</v>
      </c>
      <c r="AH155" s="18">
        <v>0</v>
      </c>
      <c r="AI155" s="18">
        <v>0</v>
      </c>
      <c r="AJ155" s="65">
        <f t="shared" si="21"/>
        <v>2</v>
      </c>
      <c r="AK155" s="65">
        <f>AJ155+R155</f>
        <v>0</v>
      </c>
      <c r="AL155" s="18"/>
      <c r="AM155" s="10">
        <v>2</v>
      </c>
    </row>
    <row r="156" spans="1:39" x14ac:dyDescent="0.3">
      <c r="A156" s="18">
        <v>2024</v>
      </c>
      <c r="B156" s="18" t="s">
        <v>180</v>
      </c>
      <c r="C156" s="60">
        <v>45513</v>
      </c>
      <c r="D156" s="12" t="s">
        <v>44</v>
      </c>
      <c r="E156" s="12" t="s">
        <v>45</v>
      </c>
      <c r="F156" s="10" t="s">
        <v>46</v>
      </c>
      <c r="G156" s="10" t="s">
        <v>63</v>
      </c>
      <c r="H156" s="18" t="s">
        <v>47</v>
      </c>
      <c r="I156" s="39" t="s">
        <v>249</v>
      </c>
      <c r="J156" s="31" t="s">
        <v>250</v>
      </c>
      <c r="K156" s="18" t="s">
        <v>49</v>
      </c>
      <c r="L156" s="82">
        <v>3452.4</v>
      </c>
      <c r="M156" s="18">
        <v>183171</v>
      </c>
      <c r="N156" s="65">
        <v>10152</v>
      </c>
      <c r="O156" s="61">
        <v>10362</v>
      </c>
      <c r="P156" s="65">
        <v>10339</v>
      </c>
      <c r="Q156" s="61">
        <v>10347</v>
      </c>
      <c r="R156" s="65">
        <f t="shared" si="19"/>
        <v>-15</v>
      </c>
      <c r="S156" s="65">
        <f t="shared" si="16"/>
        <v>195</v>
      </c>
      <c r="T156" s="35">
        <f t="shared" si="17"/>
        <v>1.9208037825059199E-2</v>
      </c>
      <c r="U156" s="35">
        <f t="shared" si="18"/>
        <v>-1.4475969889982121E-3</v>
      </c>
      <c r="V156" s="18" t="s">
        <v>251</v>
      </c>
      <c r="W156" s="18">
        <v>0</v>
      </c>
      <c r="X156" s="18">
        <v>0</v>
      </c>
      <c r="Y156" s="18">
        <v>0</v>
      </c>
      <c r="Z156" s="18">
        <v>15</v>
      </c>
      <c r="AA156" s="18">
        <v>0</v>
      </c>
      <c r="AB156" s="18">
        <v>0</v>
      </c>
      <c r="AC156" s="18">
        <v>0</v>
      </c>
      <c r="AD156" s="18">
        <v>0</v>
      </c>
      <c r="AE156" s="18">
        <v>0</v>
      </c>
      <c r="AF156" s="18">
        <v>0</v>
      </c>
      <c r="AG156" s="18">
        <v>0</v>
      </c>
      <c r="AH156" s="18">
        <v>0</v>
      </c>
      <c r="AI156" s="18">
        <v>0</v>
      </c>
      <c r="AJ156" s="65">
        <f t="shared" si="21"/>
        <v>15</v>
      </c>
      <c r="AK156" s="65">
        <f>AJ156+R156</f>
        <v>0</v>
      </c>
      <c r="AL156" s="18"/>
      <c r="AM156" s="10">
        <v>2</v>
      </c>
    </row>
    <row r="157" spans="1:39" x14ac:dyDescent="0.3">
      <c r="A157" s="18">
        <v>2024</v>
      </c>
      <c r="B157" s="18" t="s">
        <v>180</v>
      </c>
      <c r="C157" s="60">
        <v>45513</v>
      </c>
      <c r="D157" s="12" t="s">
        <v>44</v>
      </c>
      <c r="E157" s="12" t="s">
        <v>45</v>
      </c>
      <c r="F157" s="10" t="s">
        <v>46</v>
      </c>
      <c r="G157" s="10" t="s">
        <v>63</v>
      </c>
      <c r="H157" s="18" t="s">
        <v>47</v>
      </c>
      <c r="I157" s="39" t="s">
        <v>252</v>
      </c>
      <c r="J157" s="31" t="s">
        <v>48</v>
      </c>
      <c r="K157" s="18" t="s">
        <v>49</v>
      </c>
      <c r="L157" s="82">
        <v>5446.2</v>
      </c>
      <c r="M157" s="18">
        <v>183169</v>
      </c>
      <c r="N157" s="65">
        <v>15984</v>
      </c>
      <c r="O157" s="61">
        <v>16305</v>
      </c>
      <c r="P157" s="65">
        <v>16304</v>
      </c>
      <c r="Q157" s="68">
        <f>16287-3</f>
        <v>16284</v>
      </c>
      <c r="R157" s="65">
        <f t="shared" si="19"/>
        <v>-21</v>
      </c>
      <c r="S157" s="65">
        <f t="shared" si="16"/>
        <v>300</v>
      </c>
      <c r="T157" s="35">
        <f t="shared" si="17"/>
        <v>1.8768768768768762E-2</v>
      </c>
      <c r="U157" s="35">
        <f t="shared" si="18"/>
        <v>-1.2879484820607079E-3</v>
      </c>
      <c r="V157" s="18" t="s">
        <v>253</v>
      </c>
      <c r="W157" s="18">
        <v>0</v>
      </c>
      <c r="X157" s="18">
        <v>2</v>
      </c>
      <c r="Y157" s="18">
        <v>0</v>
      </c>
      <c r="Z157" s="18">
        <v>19</v>
      </c>
      <c r="AA157" s="18">
        <v>0</v>
      </c>
      <c r="AB157" s="18">
        <v>0</v>
      </c>
      <c r="AC157" s="18">
        <v>0</v>
      </c>
      <c r="AD157" s="18">
        <v>0</v>
      </c>
      <c r="AE157" s="18">
        <v>0</v>
      </c>
      <c r="AF157" s="18">
        <v>0</v>
      </c>
      <c r="AG157" s="18">
        <v>0</v>
      </c>
      <c r="AH157" s="18">
        <v>0</v>
      </c>
      <c r="AI157" s="18">
        <v>0</v>
      </c>
      <c r="AJ157" s="65">
        <f t="shared" si="21"/>
        <v>21</v>
      </c>
      <c r="AK157" s="65">
        <f>AJ157+R157</f>
        <v>0</v>
      </c>
      <c r="AL157" s="18" t="s">
        <v>254</v>
      </c>
      <c r="AM157" s="10">
        <v>2</v>
      </c>
    </row>
    <row r="158" spans="1:39" x14ac:dyDescent="0.3">
      <c r="A158" s="18">
        <v>2024</v>
      </c>
      <c r="B158" s="18" t="s">
        <v>180</v>
      </c>
      <c r="C158" s="60">
        <v>45513</v>
      </c>
      <c r="D158" s="12" t="s">
        <v>44</v>
      </c>
      <c r="E158" s="12" t="s">
        <v>45</v>
      </c>
      <c r="F158" s="10" t="s">
        <v>46</v>
      </c>
      <c r="G158" s="10" t="s">
        <v>63</v>
      </c>
      <c r="H158" s="18" t="s">
        <v>47</v>
      </c>
      <c r="I158" s="39" t="s">
        <v>255</v>
      </c>
      <c r="J158" s="31" t="s">
        <v>48</v>
      </c>
      <c r="K158" s="18" t="s">
        <v>49</v>
      </c>
      <c r="L158" s="82">
        <v>861.2</v>
      </c>
      <c r="M158" s="18">
        <v>183170</v>
      </c>
      <c r="N158" s="65">
        <v>2052</v>
      </c>
      <c r="O158" s="61">
        <v>2094</v>
      </c>
      <c r="P158" s="65">
        <v>2090</v>
      </c>
      <c r="Q158" s="61">
        <v>2094</v>
      </c>
      <c r="R158" s="65">
        <f t="shared" si="19"/>
        <v>0</v>
      </c>
      <c r="S158" s="65">
        <f t="shared" si="16"/>
        <v>42</v>
      </c>
      <c r="T158" s="35">
        <f t="shared" si="17"/>
        <v>2.0467836257309857E-2</v>
      </c>
      <c r="U158" s="35">
        <f t="shared" si="18"/>
        <v>0</v>
      </c>
      <c r="V158" s="18" t="s">
        <v>256</v>
      </c>
      <c r="W158" s="18">
        <v>0</v>
      </c>
      <c r="X158" s="18">
        <v>0</v>
      </c>
      <c r="Y158" s="18">
        <v>0</v>
      </c>
      <c r="Z158" s="18">
        <v>0</v>
      </c>
      <c r="AA158" s="18">
        <v>0</v>
      </c>
      <c r="AB158" s="18">
        <v>0</v>
      </c>
      <c r="AC158" s="18">
        <v>0</v>
      </c>
      <c r="AD158" s="18">
        <v>0</v>
      </c>
      <c r="AE158" s="18">
        <v>0</v>
      </c>
      <c r="AF158" s="18">
        <v>0</v>
      </c>
      <c r="AG158" s="18">
        <v>0</v>
      </c>
      <c r="AH158" s="18">
        <v>0</v>
      </c>
      <c r="AI158" s="18">
        <v>0</v>
      </c>
      <c r="AJ158" s="65">
        <f t="shared" si="21"/>
        <v>0</v>
      </c>
      <c r="AK158" s="65">
        <f>AJ158+R158</f>
        <v>0</v>
      </c>
      <c r="AL158" s="18"/>
      <c r="AM158" s="10">
        <v>2</v>
      </c>
    </row>
    <row r="159" spans="1:39" x14ac:dyDescent="0.3">
      <c r="A159" s="18">
        <v>2024</v>
      </c>
      <c r="B159" s="18" t="s">
        <v>180</v>
      </c>
      <c r="C159" s="60">
        <v>45511</v>
      </c>
      <c r="D159" s="12" t="s">
        <v>181</v>
      </c>
      <c r="E159" s="18" t="s">
        <v>41</v>
      </c>
      <c r="F159" s="12" t="s">
        <v>43</v>
      </c>
      <c r="G159" s="18" t="s">
        <v>62</v>
      </c>
      <c r="H159" s="18" t="s">
        <v>47</v>
      </c>
      <c r="I159" s="38" t="s">
        <v>52</v>
      </c>
      <c r="J159" s="38"/>
      <c r="K159" s="69"/>
      <c r="L159" s="69"/>
      <c r="M159" s="38">
        <v>183122</v>
      </c>
      <c r="N159" s="70">
        <v>28944</v>
      </c>
      <c r="O159" s="70">
        <v>30393</v>
      </c>
      <c r="P159" s="71">
        <v>30393</v>
      </c>
      <c r="Q159" s="71">
        <v>29811</v>
      </c>
      <c r="R159" s="16">
        <f t="shared" si="19"/>
        <v>-582</v>
      </c>
      <c r="S159" s="72">
        <f t="shared" si="16"/>
        <v>867</v>
      </c>
      <c r="T159" s="35">
        <f t="shared" si="17"/>
        <v>2.9954394693200603E-2</v>
      </c>
      <c r="U159" s="35">
        <f t="shared" si="18"/>
        <v>-1.9149146184976762E-2</v>
      </c>
      <c r="V159" s="38" t="s">
        <v>257</v>
      </c>
      <c r="W159" s="40"/>
      <c r="X159" s="69">
        <v>571</v>
      </c>
      <c r="Y159" s="40"/>
      <c r="Z159" s="69">
        <v>8</v>
      </c>
      <c r="AA159" s="40"/>
      <c r="AB159" s="40"/>
      <c r="AC159" s="40"/>
      <c r="AD159" s="40"/>
      <c r="AE159" s="40">
        <v>3</v>
      </c>
      <c r="AF159" s="40"/>
      <c r="AG159" s="40"/>
      <c r="AH159" s="40"/>
      <c r="AI159" s="40"/>
      <c r="AJ159" s="65">
        <f t="shared" si="21"/>
        <v>582</v>
      </c>
      <c r="AK159" s="65">
        <f t="shared" ref="AK159:AK179" si="22">R159+AJ159</f>
        <v>0</v>
      </c>
      <c r="AL159" s="40"/>
      <c r="AM159" s="10">
        <v>2</v>
      </c>
    </row>
    <row r="160" spans="1:39" x14ac:dyDescent="0.3">
      <c r="A160" s="27">
        <v>2024</v>
      </c>
      <c r="B160" s="27" t="s">
        <v>180</v>
      </c>
      <c r="C160" s="58">
        <v>45511</v>
      </c>
      <c r="D160" s="26" t="s">
        <v>181</v>
      </c>
      <c r="E160" s="27" t="s">
        <v>41</v>
      </c>
      <c r="F160" s="26" t="s">
        <v>43</v>
      </c>
      <c r="G160" s="27" t="s">
        <v>62</v>
      </c>
      <c r="H160" s="27" t="s">
        <v>47</v>
      </c>
      <c r="I160" s="43" t="s">
        <v>52</v>
      </c>
      <c r="J160" s="43"/>
      <c r="K160" s="73"/>
      <c r="L160" s="73"/>
      <c r="M160" s="43">
        <v>183123</v>
      </c>
      <c r="N160" s="74">
        <v>1728</v>
      </c>
      <c r="O160" s="74">
        <v>1815</v>
      </c>
      <c r="P160" s="74">
        <v>1814</v>
      </c>
      <c r="Q160" s="75">
        <v>1779</v>
      </c>
      <c r="R160" s="47">
        <f t="shared" si="19"/>
        <v>-36</v>
      </c>
      <c r="S160" s="76">
        <f t="shared" si="16"/>
        <v>51</v>
      </c>
      <c r="T160" s="86">
        <f t="shared" si="17"/>
        <v>2.951388888888884E-2</v>
      </c>
      <c r="U160" s="86">
        <f t="shared" si="18"/>
        <v>-1.9834710743801609E-2</v>
      </c>
      <c r="V160" s="77"/>
      <c r="W160" s="45"/>
      <c r="X160" s="45"/>
      <c r="Y160" s="45"/>
      <c r="Z160" s="73">
        <v>3</v>
      </c>
      <c r="AA160" s="45"/>
      <c r="AB160" s="45"/>
      <c r="AC160" s="73">
        <v>33</v>
      </c>
      <c r="AD160" s="45"/>
      <c r="AE160" s="45"/>
      <c r="AF160" s="45"/>
      <c r="AG160" s="45"/>
      <c r="AH160" s="45"/>
      <c r="AI160" s="45"/>
      <c r="AJ160" s="85">
        <f t="shared" si="21"/>
        <v>36</v>
      </c>
      <c r="AK160" s="85">
        <f t="shared" si="22"/>
        <v>0</v>
      </c>
      <c r="AL160" s="45"/>
      <c r="AM160" s="24">
        <v>2</v>
      </c>
    </row>
    <row r="161" spans="1:39" x14ac:dyDescent="0.3">
      <c r="A161" s="18">
        <v>2024</v>
      </c>
      <c r="B161" s="18" t="s">
        <v>180</v>
      </c>
      <c r="C161" s="60">
        <v>45512</v>
      </c>
      <c r="D161" s="12" t="s">
        <v>181</v>
      </c>
      <c r="E161" s="18" t="s">
        <v>41</v>
      </c>
      <c r="F161" s="12" t="s">
        <v>43</v>
      </c>
      <c r="G161" s="18" t="s">
        <v>62</v>
      </c>
      <c r="H161" s="18" t="s">
        <v>47</v>
      </c>
      <c r="I161" s="10" t="s">
        <v>258</v>
      </c>
      <c r="J161" s="10"/>
      <c r="K161" s="10"/>
      <c r="L161" s="10"/>
      <c r="M161" s="10">
        <v>183038</v>
      </c>
      <c r="N161" s="19">
        <v>16740</v>
      </c>
      <c r="O161" s="19">
        <v>16744</v>
      </c>
      <c r="P161" s="19">
        <v>16744</v>
      </c>
      <c r="Q161" s="19">
        <v>16740</v>
      </c>
      <c r="R161" s="16">
        <f t="shared" si="19"/>
        <v>-4</v>
      </c>
      <c r="S161" s="72">
        <f t="shared" si="16"/>
        <v>0</v>
      </c>
      <c r="T161" s="35">
        <f t="shared" si="17"/>
        <v>0</v>
      </c>
      <c r="U161" s="35">
        <f t="shared" si="18"/>
        <v>-2.3889154323941675E-4</v>
      </c>
      <c r="V161" s="10"/>
      <c r="W161" s="10"/>
      <c r="X161" s="10"/>
      <c r="Y161" s="10"/>
      <c r="Z161" s="10">
        <v>3</v>
      </c>
      <c r="AA161" s="10"/>
      <c r="AB161" s="10"/>
      <c r="AC161" s="10"/>
      <c r="AD161" s="10"/>
      <c r="AE161" s="18">
        <v>1</v>
      </c>
      <c r="AF161" s="10"/>
      <c r="AG161" s="10"/>
      <c r="AH161" s="10"/>
      <c r="AI161" s="10"/>
      <c r="AJ161" s="65">
        <f t="shared" si="21"/>
        <v>4</v>
      </c>
      <c r="AK161" s="65">
        <f t="shared" si="22"/>
        <v>0</v>
      </c>
      <c r="AL161" s="10"/>
      <c r="AM161" s="10">
        <v>2</v>
      </c>
    </row>
    <row r="162" spans="1:39" x14ac:dyDescent="0.3">
      <c r="A162" s="18">
        <v>2024</v>
      </c>
      <c r="B162" s="18" t="s">
        <v>180</v>
      </c>
      <c r="C162" s="60">
        <v>45512</v>
      </c>
      <c r="D162" s="12" t="s">
        <v>181</v>
      </c>
      <c r="E162" s="18" t="s">
        <v>41</v>
      </c>
      <c r="F162" s="12" t="s">
        <v>43</v>
      </c>
      <c r="G162" s="18" t="s">
        <v>62</v>
      </c>
      <c r="H162" s="18" t="s">
        <v>47</v>
      </c>
      <c r="I162" s="10" t="s">
        <v>258</v>
      </c>
      <c r="J162" s="10"/>
      <c r="K162" s="10"/>
      <c r="L162" s="10"/>
      <c r="M162" s="10">
        <v>183039</v>
      </c>
      <c r="N162" s="19">
        <v>2916</v>
      </c>
      <c r="O162" s="19">
        <v>2917</v>
      </c>
      <c r="P162" s="19">
        <v>2917</v>
      </c>
      <c r="Q162" s="19">
        <v>2916</v>
      </c>
      <c r="R162" s="16">
        <f t="shared" si="19"/>
        <v>-1</v>
      </c>
      <c r="S162" s="72">
        <f t="shared" si="16"/>
        <v>0</v>
      </c>
      <c r="T162" s="35">
        <f t="shared" si="17"/>
        <v>0</v>
      </c>
      <c r="U162" s="35">
        <f t="shared" si="18"/>
        <v>-3.4281796366131267E-4</v>
      </c>
      <c r="V162" s="10"/>
      <c r="W162" s="10"/>
      <c r="X162" s="10"/>
      <c r="Y162" s="10"/>
      <c r="Z162" s="10">
        <v>1</v>
      </c>
      <c r="AA162" s="10"/>
      <c r="AB162" s="10"/>
      <c r="AC162" s="10"/>
      <c r="AD162" s="10"/>
      <c r="AE162" s="10"/>
      <c r="AF162" s="10"/>
      <c r="AG162" s="10"/>
      <c r="AH162" s="10"/>
      <c r="AI162" s="10"/>
      <c r="AJ162" s="65">
        <f t="shared" si="21"/>
        <v>1</v>
      </c>
      <c r="AK162" s="65">
        <f t="shared" si="22"/>
        <v>0</v>
      </c>
      <c r="AL162" s="10"/>
      <c r="AM162" s="10">
        <v>2</v>
      </c>
    </row>
    <row r="163" spans="1:39" x14ac:dyDescent="0.3">
      <c r="A163" s="18">
        <v>2024</v>
      </c>
      <c r="B163" s="18" t="s">
        <v>180</v>
      </c>
      <c r="C163" s="60">
        <v>45512</v>
      </c>
      <c r="D163" s="12" t="s">
        <v>181</v>
      </c>
      <c r="E163" s="18" t="s">
        <v>41</v>
      </c>
      <c r="F163" s="12" t="s">
        <v>43</v>
      </c>
      <c r="G163" s="18" t="s">
        <v>62</v>
      </c>
      <c r="H163" s="18" t="s">
        <v>47</v>
      </c>
      <c r="I163" s="10" t="s">
        <v>259</v>
      </c>
      <c r="J163" s="10"/>
      <c r="K163" s="10"/>
      <c r="L163" s="10"/>
      <c r="M163" s="10">
        <v>183040</v>
      </c>
      <c r="N163" s="19">
        <v>25272</v>
      </c>
      <c r="O163" s="19">
        <v>25285</v>
      </c>
      <c r="P163" s="78">
        <v>25285</v>
      </c>
      <c r="Q163" s="19">
        <v>25272</v>
      </c>
      <c r="R163" s="16">
        <f t="shared" si="19"/>
        <v>-13</v>
      </c>
      <c r="S163" s="72">
        <f t="shared" si="16"/>
        <v>0</v>
      </c>
      <c r="T163" s="35">
        <f t="shared" si="17"/>
        <v>0</v>
      </c>
      <c r="U163" s="35">
        <f t="shared" si="18"/>
        <v>-5.1413881748074708E-4</v>
      </c>
      <c r="V163" s="10"/>
      <c r="W163" s="10"/>
      <c r="X163" s="18">
        <v>4</v>
      </c>
      <c r="Y163" s="10"/>
      <c r="Z163" s="10">
        <v>7</v>
      </c>
      <c r="AA163" s="10"/>
      <c r="AB163" s="10"/>
      <c r="AC163" s="10"/>
      <c r="AD163" s="10"/>
      <c r="AE163" s="18">
        <v>2</v>
      </c>
      <c r="AF163" s="10"/>
      <c r="AG163" s="10"/>
      <c r="AH163" s="10"/>
      <c r="AI163" s="10"/>
      <c r="AJ163" s="65">
        <f t="shared" si="21"/>
        <v>13</v>
      </c>
      <c r="AK163" s="65">
        <f t="shared" si="22"/>
        <v>0</v>
      </c>
      <c r="AL163" s="10"/>
      <c r="AM163" s="10">
        <v>2</v>
      </c>
    </row>
    <row r="164" spans="1:39" x14ac:dyDescent="0.3">
      <c r="A164" s="18">
        <v>2024</v>
      </c>
      <c r="B164" s="18" t="s">
        <v>180</v>
      </c>
      <c r="C164" s="60">
        <v>45512</v>
      </c>
      <c r="D164" s="12" t="s">
        <v>181</v>
      </c>
      <c r="E164" s="18" t="s">
        <v>41</v>
      </c>
      <c r="F164" s="12" t="s">
        <v>43</v>
      </c>
      <c r="G164" s="18" t="s">
        <v>62</v>
      </c>
      <c r="H164" s="18" t="s">
        <v>47</v>
      </c>
      <c r="I164" s="10" t="s">
        <v>259</v>
      </c>
      <c r="J164" s="10"/>
      <c r="K164" s="10"/>
      <c r="L164" s="10"/>
      <c r="M164" s="10">
        <v>183041</v>
      </c>
      <c r="N164" s="19">
        <v>4320</v>
      </c>
      <c r="O164" s="19">
        <v>4324</v>
      </c>
      <c r="P164" s="19">
        <v>4320</v>
      </c>
      <c r="Q164" s="19">
        <v>4320</v>
      </c>
      <c r="R164" s="16">
        <f t="shared" si="19"/>
        <v>-4</v>
      </c>
      <c r="S164" s="72">
        <f t="shared" si="16"/>
        <v>0</v>
      </c>
      <c r="T164" s="35">
        <f t="shared" si="17"/>
        <v>0</v>
      </c>
      <c r="U164" s="35">
        <f t="shared" si="18"/>
        <v>-9.2506938020353591E-4</v>
      </c>
      <c r="V164" s="10"/>
      <c r="W164" s="10"/>
      <c r="X164" s="10"/>
      <c r="Y164" s="10"/>
      <c r="Z164" s="10">
        <v>3</v>
      </c>
      <c r="AA164" s="10"/>
      <c r="AB164" s="10"/>
      <c r="AC164" s="10">
        <v>1</v>
      </c>
      <c r="AD164" s="10"/>
      <c r="AE164" s="10"/>
      <c r="AF164" s="10"/>
      <c r="AG164" s="10"/>
      <c r="AH164" s="10"/>
      <c r="AI164" s="10"/>
      <c r="AJ164" s="65">
        <f t="shared" si="21"/>
        <v>4</v>
      </c>
      <c r="AK164" s="65">
        <f t="shared" si="22"/>
        <v>0</v>
      </c>
      <c r="AL164" s="10"/>
      <c r="AM164" s="10">
        <v>2</v>
      </c>
    </row>
    <row r="165" spans="1:39" x14ac:dyDescent="0.3">
      <c r="A165" s="38">
        <v>2024</v>
      </c>
      <c r="B165" s="10" t="s">
        <v>180</v>
      </c>
      <c r="C165" s="60">
        <v>45513</v>
      </c>
      <c r="D165" s="12" t="s">
        <v>45</v>
      </c>
      <c r="E165" s="12" t="s">
        <v>45</v>
      </c>
      <c r="F165" s="10" t="s">
        <v>53</v>
      </c>
      <c r="G165" s="10" t="s">
        <v>64</v>
      </c>
      <c r="H165" s="18" t="s">
        <v>47</v>
      </c>
      <c r="I165" s="13" t="s">
        <v>260</v>
      </c>
      <c r="J165" s="13">
        <v>5158040</v>
      </c>
      <c r="K165" s="40"/>
      <c r="L165" s="41"/>
      <c r="M165" s="13">
        <v>183048</v>
      </c>
      <c r="N165" s="14">
        <v>38448</v>
      </c>
      <c r="O165" s="15">
        <v>38451</v>
      </c>
      <c r="P165" s="16">
        <v>38434</v>
      </c>
      <c r="Q165" s="14">
        <v>38448</v>
      </c>
      <c r="R165" s="65">
        <f t="shared" si="19"/>
        <v>-3</v>
      </c>
      <c r="S165" s="65">
        <f t="shared" si="16"/>
        <v>0</v>
      </c>
      <c r="T165" s="66">
        <f t="shared" si="17"/>
        <v>0</v>
      </c>
      <c r="U165" s="66">
        <f t="shared" si="18"/>
        <v>-7.8021377857506735E-5</v>
      </c>
      <c r="V165" s="38"/>
      <c r="W165" s="10">
        <v>0</v>
      </c>
      <c r="X165" s="10">
        <v>0</v>
      </c>
      <c r="Y165" s="69"/>
      <c r="Z165" s="10">
        <v>2</v>
      </c>
      <c r="AA165" s="10"/>
      <c r="AB165" s="69"/>
      <c r="AC165" s="10"/>
      <c r="AD165" s="16"/>
      <c r="AE165" s="10">
        <v>1</v>
      </c>
      <c r="AF165" s="16"/>
      <c r="AG165" s="40"/>
      <c r="AH165" s="40"/>
      <c r="AI165" s="18"/>
      <c r="AJ165" s="65">
        <f t="shared" si="21"/>
        <v>3</v>
      </c>
      <c r="AK165" s="65">
        <f t="shared" si="22"/>
        <v>0</v>
      </c>
      <c r="AL165" s="10"/>
      <c r="AM165" s="10">
        <v>2</v>
      </c>
    </row>
    <row r="166" spans="1:39" x14ac:dyDescent="0.3">
      <c r="A166" s="38">
        <v>2024</v>
      </c>
      <c r="B166" s="10" t="s">
        <v>180</v>
      </c>
      <c r="C166" s="60">
        <v>45513</v>
      </c>
      <c r="D166" s="12" t="s">
        <v>45</v>
      </c>
      <c r="E166" s="12" t="s">
        <v>45</v>
      </c>
      <c r="F166" s="10" t="s">
        <v>53</v>
      </c>
      <c r="G166" s="10" t="s">
        <v>64</v>
      </c>
      <c r="H166" s="18" t="s">
        <v>47</v>
      </c>
      <c r="I166" s="13" t="s">
        <v>260</v>
      </c>
      <c r="J166" s="13">
        <v>5158039</v>
      </c>
      <c r="K166" s="40"/>
      <c r="L166" s="41"/>
      <c r="M166" s="13">
        <v>183049</v>
      </c>
      <c r="N166" s="14">
        <v>42048</v>
      </c>
      <c r="O166" s="15">
        <v>42067</v>
      </c>
      <c r="P166" s="16">
        <v>42184</v>
      </c>
      <c r="Q166" s="14">
        <v>42048</v>
      </c>
      <c r="R166" s="65">
        <f t="shared" si="19"/>
        <v>-19</v>
      </c>
      <c r="S166" s="65">
        <f t="shared" si="16"/>
        <v>0</v>
      </c>
      <c r="T166" s="66">
        <f t="shared" si="17"/>
        <v>0</v>
      </c>
      <c r="U166" s="66">
        <f t="shared" si="18"/>
        <v>-4.516604464307461E-4</v>
      </c>
      <c r="V166" s="84" t="s">
        <v>261</v>
      </c>
      <c r="W166" s="10">
        <v>101</v>
      </c>
      <c r="X166" s="10">
        <v>64</v>
      </c>
      <c r="Y166" s="69"/>
      <c r="Z166" s="10">
        <v>33</v>
      </c>
      <c r="AA166" s="10"/>
      <c r="AB166" s="69"/>
      <c r="AC166" s="10">
        <v>20</v>
      </c>
      <c r="AD166" s="16"/>
      <c r="AE166" s="10">
        <v>3</v>
      </c>
      <c r="AF166" s="16"/>
      <c r="AG166" s="40"/>
      <c r="AH166" s="40"/>
      <c r="AI166" s="18"/>
      <c r="AJ166" s="65">
        <f t="shared" si="21"/>
        <v>120</v>
      </c>
      <c r="AK166" s="65">
        <f t="shared" si="22"/>
        <v>101</v>
      </c>
      <c r="AL166" s="10" t="s">
        <v>262</v>
      </c>
      <c r="AM166" s="10">
        <v>2</v>
      </c>
    </row>
    <row r="167" spans="1:39" x14ac:dyDescent="0.3">
      <c r="A167" s="38">
        <v>2024</v>
      </c>
      <c r="B167" s="10" t="s">
        <v>180</v>
      </c>
      <c r="C167" s="60">
        <v>45513</v>
      </c>
      <c r="D167" s="12" t="s">
        <v>45</v>
      </c>
      <c r="E167" s="12" t="s">
        <v>45</v>
      </c>
      <c r="F167" s="10" t="s">
        <v>53</v>
      </c>
      <c r="G167" s="10" t="s">
        <v>64</v>
      </c>
      <c r="H167" s="18" t="s">
        <v>47</v>
      </c>
      <c r="I167" s="13" t="s">
        <v>260</v>
      </c>
      <c r="J167" s="13">
        <v>5158039</v>
      </c>
      <c r="K167" s="40"/>
      <c r="L167" s="41"/>
      <c r="M167" s="13">
        <v>183050</v>
      </c>
      <c r="N167" s="14">
        <v>2448</v>
      </c>
      <c r="O167" s="15">
        <v>2448</v>
      </c>
      <c r="P167" s="16">
        <v>2473</v>
      </c>
      <c r="Q167" s="14">
        <v>2448</v>
      </c>
      <c r="R167" s="65">
        <f t="shared" si="19"/>
        <v>0</v>
      </c>
      <c r="S167" s="65">
        <f t="shared" si="16"/>
        <v>0</v>
      </c>
      <c r="T167" s="66">
        <f t="shared" si="17"/>
        <v>0</v>
      </c>
      <c r="U167" s="66">
        <f t="shared" si="18"/>
        <v>0</v>
      </c>
      <c r="V167" s="38"/>
      <c r="W167" s="10">
        <v>0</v>
      </c>
      <c r="X167" s="10">
        <v>0</v>
      </c>
      <c r="Y167" s="69"/>
      <c r="Z167" s="10">
        <v>0</v>
      </c>
      <c r="AA167" s="10"/>
      <c r="AB167" s="69"/>
      <c r="AC167" s="10"/>
      <c r="AD167" s="16"/>
      <c r="AE167" s="10">
        <v>0</v>
      </c>
      <c r="AF167" s="16"/>
      <c r="AG167" s="40"/>
      <c r="AH167" s="40"/>
      <c r="AI167" s="18"/>
      <c r="AJ167" s="65">
        <f t="shared" si="21"/>
        <v>0</v>
      </c>
      <c r="AK167" s="65">
        <f t="shared" si="22"/>
        <v>0</v>
      </c>
      <c r="AL167" s="38"/>
      <c r="AM167" s="10">
        <v>2</v>
      </c>
    </row>
    <row r="168" spans="1:39" x14ac:dyDescent="0.3">
      <c r="A168" s="38">
        <v>2024</v>
      </c>
      <c r="B168" s="10" t="s">
        <v>180</v>
      </c>
      <c r="C168" s="60">
        <v>45513</v>
      </c>
      <c r="D168" s="12" t="s">
        <v>45</v>
      </c>
      <c r="E168" s="12" t="s">
        <v>45</v>
      </c>
      <c r="F168" s="10" t="s">
        <v>53</v>
      </c>
      <c r="G168" s="10" t="s">
        <v>64</v>
      </c>
      <c r="H168" s="18" t="s">
        <v>47</v>
      </c>
      <c r="I168" s="13" t="s">
        <v>260</v>
      </c>
      <c r="J168" s="13">
        <v>5158038</v>
      </c>
      <c r="K168" s="40"/>
      <c r="L168" s="41"/>
      <c r="M168" s="13">
        <v>183051</v>
      </c>
      <c r="N168" s="14">
        <v>14256</v>
      </c>
      <c r="O168" s="15">
        <v>14262</v>
      </c>
      <c r="P168" s="16">
        <v>14268</v>
      </c>
      <c r="Q168" s="14">
        <v>14256</v>
      </c>
      <c r="R168" s="65">
        <f t="shared" si="19"/>
        <v>-6</v>
      </c>
      <c r="S168" s="65">
        <f t="shared" si="16"/>
        <v>0</v>
      </c>
      <c r="T168" s="66">
        <f t="shared" si="17"/>
        <v>0</v>
      </c>
      <c r="U168" s="66">
        <f t="shared" si="18"/>
        <v>-4.2069835927638355E-4</v>
      </c>
      <c r="V168" s="84" t="s">
        <v>54</v>
      </c>
      <c r="W168" s="10">
        <v>181</v>
      </c>
      <c r="X168" s="10">
        <v>66</v>
      </c>
      <c r="Y168" s="69"/>
      <c r="Z168" s="10">
        <v>7</v>
      </c>
      <c r="AA168" s="10">
        <v>62</v>
      </c>
      <c r="AB168" s="69"/>
      <c r="AC168" s="10">
        <v>48</v>
      </c>
      <c r="AD168" s="16"/>
      <c r="AE168" s="10">
        <v>4</v>
      </c>
      <c r="AF168" s="16"/>
      <c r="AG168" s="40"/>
      <c r="AH168" s="40"/>
      <c r="AI168" s="18"/>
      <c r="AJ168" s="65">
        <f t="shared" si="21"/>
        <v>187</v>
      </c>
      <c r="AK168" s="65">
        <f t="shared" si="22"/>
        <v>181</v>
      </c>
      <c r="AL168" s="10" t="s">
        <v>263</v>
      </c>
      <c r="AM168" s="10">
        <v>2</v>
      </c>
    </row>
    <row r="169" spans="1:39" x14ac:dyDescent="0.3">
      <c r="A169" s="38">
        <v>2024</v>
      </c>
      <c r="B169" s="10" t="s">
        <v>180</v>
      </c>
      <c r="C169" s="60">
        <v>45513</v>
      </c>
      <c r="D169" s="12" t="s">
        <v>45</v>
      </c>
      <c r="E169" s="12" t="s">
        <v>45</v>
      </c>
      <c r="F169" s="10" t="s">
        <v>53</v>
      </c>
      <c r="G169" s="10" t="s">
        <v>64</v>
      </c>
      <c r="H169" s="18" t="s">
        <v>47</v>
      </c>
      <c r="I169" s="13" t="s">
        <v>260</v>
      </c>
      <c r="J169" s="13">
        <v>5158038</v>
      </c>
      <c r="K169" s="40"/>
      <c r="L169" s="40"/>
      <c r="M169" s="13">
        <v>183052</v>
      </c>
      <c r="N169" s="14">
        <v>2448</v>
      </c>
      <c r="O169" s="15">
        <v>2448</v>
      </c>
      <c r="P169" s="16">
        <v>2448</v>
      </c>
      <c r="Q169" s="14">
        <v>2448</v>
      </c>
      <c r="R169" s="65">
        <f t="shared" si="19"/>
        <v>0</v>
      </c>
      <c r="S169" s="65">
        <f t="shared" si="16"/>
        <v>0</v>
      </c>
      <c r="T169" s="66">
        <f t="shared" si="17"/>
        <v>0</v>
      </c>
      <c r="U169" s="66">
        <f t="shared" si="18"/>
        <v>0</v>
      </c>
      <c r="V169" s="38"/>
      <c r="W169" s="10">
        <v>3</v>
      </c>
      <c r="X169" s="10">
        <v>0</v>
      </c>
      <c r="Y169" s="69"/>
      <c r="Z169" s="10">
        <v>0</v>
      </c>
      <c r="AA169" s="10"/>
      <c r="AB169" s="69"/>
      <c r="AC169" s="10">
        <v>3</v>
      </c>
      <c r="AD169" s="16"/>
      <c r="AE169" s="10">
        <v>0</v>
      </c>
      <c r="AF169" s="16"/>
      <c r="AG169" s="40"/>
      <c r="AH169" s="40"/>
      <c r="AI169" s="18"/>
      <c r="AJ169" s="65">
        <f t="shared" si="21"/>
        <v>3</v>
      </c>
      <c r="AK169" s="65">
        <f t="shared" si="22"/>
        <v>3</v>
      </c>
      <c r="AL169" s="38"/>
      <c r="AM169" s="10">
        <v>2</v>
      </c>
    </row>
    <row r="170" spans="1:39" x14ac:dyDescent="0.3">
      <c r="A170" s="38">
        <v>2024</v>
      </c>
      <c r="B170" s="10" t="s">
        <v>180</v>
      </c>
      <c r="C170" s="60">
        <v>45513</v>
      </c>
      <c r="D170" s="12" t="s">
        <v>45</v>
      </c>
      <c r="E170" s="12" t="s">
        <v>45</v>
      </c>
      <c r="F170" s="10" t="s">
        <v>53</v>
      </c>
      <c r="G170" s="10" t="s">
        <v>64</v>
      </c>
      <c r="H170" s="18" t="s">
        <v>47</v>
      </c>
      <c r="I170" s="13" t="s">
        <v>260</v>
      </c>
      <c r="J170" s="13">
        <v>5158722</v>
      </c>
      <c r="K170" s="40"/>
      <c r="L170" s="40"/>
      <c r="M170" s="13">
        <v>183054</v>
      </c>
      <c r="N170" s="14">
        <v>19296</v>
      </c>
      <c r="O170" s="15">
        <v>19314</v>
      </c>
      <c r="P170" s="16">
        <v>19314</v>
      </c>
      <c r="Q170" s="14">
        <v>19296</v>
      </c>
      <c r="R170" s="65">
        <f t="shared" si="19"/>
        <v>-18</v>
      </c>
      <c r="S170" s="65">
        <f t="shared" si="16"/>
        <v>0</v>
      </c>
      <c r="T170" s="66">
        <f t="shared" si="17"/>
        <v>0</v>
      </c>
      <c r="U170" s="66">
        <f t="shared" si="18"/>
        <v>-9.3196644920778837E-4</v>
      </c>
      <c r="V170" s="84" t="s">
        <v>264</v>
      </c>
      <c r="W170" s="10">
        <v>26</v>
      </c>
      <c r="X170" s="10">
        <v>23</v>
      </c>
      <c r="Y170" s="69"/>
      <c r="Z170" s="10">
        <v>17</v>
      </c>
      <c r="AA170" s="10"/>
      <c r="AB170" s="69"/>
      <c r="AC170" s="10"/>
      <c r="AD170" s="16"/>
      <c r="AE170" s="10">
        <v>4</v>
      </c>
      <c r="AF170" s="16"/>
      <c r="AG170" s="40"/>
      <c r="AH170" s="40"/>
      <c r="AI170" s="18"/>
      <c r="AJ170" s="65">
        <f t="shared" si="21"/>
        <v>44</v>
      </c>
      <c r="AK170" s="65">
        <f t="shared" si="22"/>
        <v>26</v>
      </c>
      <c r="AL170" s="10" t="s">
        <v>265</v>
      </c>
      <c r="AM170" s="10">
        <v>2</v>
      </c>
    </row>
    <row r="171" spans="1:39" x14ac:dyDescent="0.3">
      <c r="A171" s="38">
        <v>2024</v>
      </c>
      <c r="B171" s="10" t="s">
        <v>180</v>
      </c>
      <c r="C171" s="60">
        <v>45513</v>
      </c>
      <c r="D171" s="12" t="s">
        <v>45</v>
      </c>
      <c r="E171" s="12" t="s">
        <v>45</v>
      </c>
      <c r="F171" s="10" t="s">
        <v>53</v>
      </c>
      <c r="G171" s="10" t="s">
        <v>64</v>
      </c>
      <c r="H171" s="18" t="s">
        <v>47</v>
      </c>
      <c r="I171" s="13" t="s">
        <v>266</v>
      </c>
      <c r="J171" s="13">
        <v>5159305</v>
      </c>
      <c r="K171" s="40"/>
      <c r="L171" s="40"/>
      <c r="M171" s="13">
        <v>183116</v>
      </c>
      <c r="N171" s="14">
        <v>35856</v>
      </c>
      <c r="O171" s="15">
        <v>37657</v>
      </c>
      <c r="P171" s="16">
        <f>37588+69</f>
        <v>37657</v>
      </c>
      <c r="Q171" s="14">
        <v>37497</v>
      </c>
      <c r="R171" s="65">
        <f t="shared" si="19"/>
        <v>-160</v>
      </c>
      <c r="S171" s="65">
        <f t="shared" si="16"/>
        <v>1641</v>
      </c>
      <c r="T171" s="66">
        <f t="shared" si="17"/>
        <v>4.5766398929049545E-2</v>
      </c>
      <c r="U171" s="66">
        <f t="shared" si="18"/>
        <v>-4.248878030644998E-3</v>
      </c>
      <c r="V171" s="38" t="s">
        <v>267</v>
      </c>
      <c r="W171" s="10">
        <v>31</v>
      </c>
      <c r="X171" s="10">
        <v>101</v>
      </c>
      <c r="Y171" s="69"/>
      <c r="Z171" s="10">
        <v>27</v>
      </c>
      <c r="AA171" s="10">
        <v>31</v>
      </c>
      <c r="AB171" s="69"/>
      <c r="AC171" s="10">
        <v>30</v>
      </c>
      <c r="AD171" s="16"/>
      <c r="AE171" s="10">
        <v>2</v>
      </c>
      <c r="AF171" s="16"/>
      <c r="AG171" s="40"/>
      <c r="AH171" s="40"/>
      <c r="AI171" s="18"/>
      <c r="AJ171" s="65">
        <f t="shared" si="21"/>
        <v>191</v>
      </c>
      <c r="AK171" s="65">
        <f t="shared" si="22"/>
        <v>31</v>
      </c>
      <c r="AL171" s="10" t="s">
        <v>268</v>
      </c>
      <c r="AM171" s="10">
        <v>2</v>
      </c>
    </row>
    <row r="172" spans="1:39" x14ac:dyDescent="0.3">
      <c r="A172" s="38">
        <v>2024</v>
      </c>
      <c r="B172" s="10" t="s">
        <v>180</v>
      </c>
      <c r="C172" s="60">
        <v>45513</v>
      </c>
      <c r="D172" s="12" t="s">
        <v>45</v>
      </c>
      <c r="E172" s="12" t="s">
        <v>45</v>
      </c>
      <c r="F172" s="10" t="s">
        <v>53</v>
      </c>
      <c r="G172" s="10" t="s">
        <v>64</v>
      </c>
      <c r="H172" s="18" t="s">
        <v>47</v>
      </c>
      <c r="I172" s="13" t="s">
        <v>266</v>
      </c>
      <c r="J172" s="13">
        <v>5159305</v>
      </c>
      <c r="K172" s="40"/>
      <c r="L172" s="40"/>
      <c r="M172" s="13">
        <v>183117</v>
      </c>
      <c r="N172" s="14">
        <v>4212</v>
      </c>
      <c r="O172" s="15">
        <v>4431</v>
      </c>
      <c r="P172" s="16">
        <v>4431</v>
      </c>
      <c r="Q172" s="14">
        <v>4368</v>
      </c>
      <c r="R172" s="65">
        <f t="shared" si="19"/>
        <v>-63</v>
      </c>
      <c r="S172" s="65">
        <f t="shared" si="16"/>
        <v>156</v>
      </c>
      <c r="T172" s="66">
        <f t="shared" si="17"/>
        <v>3.7037037037036979E-2</v>
      </c>
      <c r="U172" s="66">
        <f t="shared" si="18"/>
        <v>-1.4218009478673022E-2</v>
      </c>
      <c r="V172" s="84" t="s">
        <v>269</v>
      </c>
      <c r="W172" s="10">
        <v>9</v>
      </c>
      <c r="X172" s="10">
        <v>49</v>
      </c>
      <c r="Y172" s="69"/>
      <c r="Z172" s="10">
        <v>0</v>
      </c>
      <c r="AA172" s="10">
        <v>12</v>
      </c>
      <c r="AB172" s="69"/>
      <c r="AC172" s="10">
        <v>11</v>
      </c>
      <c r="AD172" s="16"/>
      <c r="AE172" s="10"/>
      <c r="AF172" s="16"/>
      <c r="AG172" s="40"/>
      <c r="AH172" s="40"/>
      <c r="AI172" s="18"/>
      <c r="AJ172" s="65">
        <f t="shared" si="21"/>
        <v>72</v>
      </c>
      <c r="AK172" s="65">
        <f t="shared" si="22"/>
        <v>9</v>
      </c>
      <c r="AL172" s="10" t="s">
        <v>268</v>
      </c>
      <c r="AM172" s="10">
        <v>2</v>
      </c>
    </row>
    <row r="173" spans="1:39" x14ac:dyDescent="0.3">
      <c r="A173" s="38">
        <v>2024</v>
      </c>
      <c r="B173" s="10" t="s">
        <v>180</v>
      </c>
      <c r="C173" s="60">
        <v>45513</v>
      </c>
      <c r="D173" s="12" t="s">
        <v>45</v>
      </c>
      <c r="E173" s="12" t="s">
        <v>45</v>
      </c>
      <c r="F173" s="10" t="s">
        <v>53</v>
      </c>
      <c r="G173" s="10" t="s">
        <v>64</v>
      </c>
      <c r="H173" s="18" t="s">
        <v>47</v>
      </c>
      <c r="I173" s="13" t="s">
        <v>266</v>
      </c>
      <c r="J173" s="13">
        <v>5159296</v>
      </c>
      <c r="K173" s="40"/>
      <c r="L173" s="41"/>
      <c r="M173" s="13">
        <v>183118</v>
      </c>
      <c r="N173" s="14">
        <v>32508</v>
      </c>
      <c r="O173" s="15">
        <v>34006</v>
      </c>
      <c r="P173" s="16">
        <v>33972</v>
      </c>
      <c r="Q173" s="14">
        <v>33540</v>
      </c>
      <c r="R173" s="65">
        <f t="shared" si="19"/>
        <v>-466</v>
      </c>
      <c r="S173" s="65">
        <f t="shared" si="16"/>
        <v>1032</v>
      </c>
      <c r="T173" s="66">
        <f t="shared" si="17"/>
        <v>3.1746031746031855E-2</v>
      </c>
      <c r="U173" s="66">
        <f t="shared" si="18"/>
        <v>-1.3703464094571571E-2</v>
      </c>
      <c r="V173" s="84" t="s">
        <v>54</v>
      </c>
      <c r="W173" s="10">
        <v>94</v>
      </c>
      <c r="X173" s="10">
        <v>284</v>
      </c>
      <c r="Y173" s="40"/>
      <c r="Z173" s="10">
        <v>15</v>
      </c>
      <c r="AA173" s="10">
        <v>132</v>
      </c>
      <c r="AB173" s="40"/>
      <c r="AC173" s="10">
        <v>126</v>
      </c>
      <c r="AD173" s="16"/>
      <c r="AE173" s="10">
        <v>3</v>
      </c>
      <c r="AF173" s="15"/>
      <c r="AG173" s="18"/>
      <c r="AH173" s="18"/>
      <c r="AI173" s="18"/>
      <c r="AJ173" s="65">
        <f t="shared" si="21"/>
        <v>560</v>
      </c>
      <c r="AK173" s="65">
        <f t="shared" si="22"/>
        <v>94</v>
      </c>
      <c r="AL173" s="10" t="s">
        <v>270</v>
      </c>
      <c r="AM173" s="10">
        <v>2</v>
      </c>
    </row>
    <row r="174" spans="1:39" x14ac:dyDescent="0.3">
      <c r="A174" s="38">
        <v>2024</v>
      </c>
      <c r="B174" s="10" t="s">
        <v>180</v>
      </c>
      <c r="C174" s="60">
        <v>45513</v>
      </c>
      <c r="D174" s="12" t="s">
        <v>45</v>
      </c>
      <c r="E174" s="12" t="s">
        <v>45</v>
      </c>
      <c r="F174" s="10" t="s">
        <v>53</v>
      </c>
      <c r="G174" s="10" t="s">
        <v>64</v>
      </c>
      <c r="H174" s="18" t="s">
        <v>47</v>
      </c>
      <c r="I174" s="13" t="s">
        <v>266</v>
      </c>
      <c r="J174" s="13">
        <v>5159296</v>
      </c>
      <c r="K174" s="40"/>
      <c r="L174" s="41"/>
      <c r="M174" s="13">
        <v>183119</v>
      </c>
      <c r="N174" s="14">
        <v>4212</v>
      </c>
      <c r="O174" s="16">
        <v>4424</v>
      </c>
      <c r="P174" s="16">
        <v>4424</v>
      </c>
      <c r="Q174" s="16">
        <v>4422</v>
      </c>
      <c r="R174" s="65">
        <f t="shared" si="19"/>
        <v>-2</v>
      </c>
      <c r="S174" s="65">
        <f t="shared" si="16"/>
        <v>210</v>
      </c>
      <c r="T174" s="66">
        <f t="shared" si="17"/>
        <v>4.9857549857549754E-2</v>
      </c>
      <c r="U174" s="66">
        <f t="shared" si="18"/>
        <v>-4.5207956600357146E-4</v>
      </c>
      <c r="V174" s="84" t="s">
        <v>54</v>
      </c>
      <c r="W174" s="69">
        <v>10</v>
      </c>
      <c r="X174" s="69">
        <v>5</v>
      </c>
      <c r="Y174" s="69"/>
      <c r="Z174" s="69">
        <v>3</v>
      </c>
      <c r="AA174" s="69">
        <v>4</v>
      </c>
      <c r="AB174" s="69"/>
      <c r="AC174" s="69"/>
      <c r="AD174" s="16"/>
      <c r="AE174" s="10"/>
      <c r="AF174" s="16"/>
      <c r="AG174" s="40"/>
      <c r="AH174" s="40"/>
      <c r="AI174" s="18"/>
      <c r="AJ174" s="65">
        <f t="shared" si="21"/>
        <v>12</v>
      </c>
      <c r="AK174" s="65">
        <f t="shared" si="22"/>
        <v>10</v>
      </c>
      <c r="AL174" s="10"/>
      <c r="AM174" s="10">
        <v>2</v>
      </c>
    </row>
    <row r="175" spans="1:39" x14ac:dyDescent="0.3">
      <c r="A175" s="38">
        <v>2024</v>
      </c>
      <c r="B175" s="10" t="s">
        <v>180</v>
      </c>
      <c r="C175" s="60">
        <v>45513</v>
      </c>
      <c r="D175" s="12" t="s">
        <v>45</v>
      </c>
      <c r="E175" s="12" t="s">
        <v>45</v>
      </c>
      <c r="F175" s="10" t="s">
        <v>53</v>
      </c>
      <c r="G175" s="10" t="s">
        <v>64</v>
      </c>
      <c r="H175" s="18" t="s">
        <v>47</v>
      </c>
      <c r="I175" s="13" t="s">
        <v>266</v>
      </c>
      <c r="J175" s="13">
        <v>5159307</v>
      </c>
      <c r="K175" s="40"/>
      <c r="L175" s="41"/>
      <c r="M175" s="13">
        <v>183120</v>
      </c>
      <c r="N175" s="14">
        <v>32508</v>
      </c>
      <c r="O175" s="16">
        <v>33981</v>
      </c>
      <c r="P175" s="16">
        <v>33957</v>
      </c>
      <c r="Q175" s="16">
        <v>33765</v>
      </c>
      <c r="R175" s="65">
        <f t="shared" si="19"/>
        <v>-216</v>
      </c>
      <c r="S175" s="65">
        <f t="shared" si="16"/>
        <v>1257</v>
      </c>
      <c r="T175" s="66">
        <f t="shared" si="17"/>
        <v>3.8667404946474804E-2</v>
      </c>
      <c r="U175" s="66">
        <f t="shared" si="18"/>
        <v>-6.3564933345104935E-3</v>
      </c>
      <c r="V175" s="84" t="s">
        <v>54</v>
      </c>
      <c r="W175" s="69">
        <v>31</v>
      </c>
      <c r="X175" s="69">
        <v>170</v>
      </c>
      <c r="Y175" s="69"/>
      <c r="Z175" s="69">
        <v>52</v>
      </c>
      <c r="AA175" s="69">
        <v>4</v>
      </c>
      <c r="AB175" s="69"/>
      <c r="AC175" s="69">
        <v>18</v>
      </c>
      <c r="AD175" s="16"/>
      <c r="AE175" s="10">
        <v>3</v>
      </c>
      <c r="AF175" s="16"/>
      <c r="AG175" s="40"/>
      <c r="AH175" s="40"/>
      <c r="AI175" s="18"/>
      <c r="AJ175" s="65">
        <f t="shared" si="21"/>
        <v>247</v>
      </c>
      <c r="AK175" s="65">
        <f t="shared" si="22"/>
        <v>31</v>
      </c>
      <c r="AL175" s="10" t="s">
        <v>268</v>
      </c>
      <c r="AM175" s="10">
        <v>2</v>
      </c>
    </row>
    <row r="176" spans="1:39" x14ac:dyDescent="0.3">
      <c r="A176" s="38">
        <v>2024</v>
      </c>
      <c r="B176" s="10" t="s">
        <v>180</v>
      </c>
      <c r="C176" s="60">
        <v>45513</v>
      </c>
      <c r="D176" s="12" t="s">
        <v>45</v>
      </c>
      <c r="E176" s="12" t="s">
        <v>45</v>
      </c>
      <c r="F176" s="10" t="s">
        <v>53</v>
      </c>
      <c r="G176" s="10" t="s">
        <v>64</v>
      </c>
      <c r="H176" s="18" t="s">
        <v>47</v>
      </c>
      <c r="I176" s="13" t="s">
        <v>266</v>
      </c>
      <c r="J176" s="13">
        <v>5159307</v>
      </c>
      <c r="K176" s="40"/>
      <c r="L176" s="41"/>
      <c r="M176" s="13">
        <v>183121</v>
      </c>
      <c r="N176" s="14">
        <v>5292</v>
      </c>
      <c r="O176" s="16">
        <v>5556</v>
      </c>
      <c r="P176" s="16">
        <v>5558</v>
      </c>
      <c r="Q176" s="16">
        <v>5508</v>
      </c>
      <c r="R176" s="65">
        <f t="shared" si="19"/>
        <v>-48</v>
      </c>
      <c r="S176" s="65">
        <f t="shared" si="16"/>
        <v>216</v>
      </c>
      <c r="T176" s="66">
        <f t="shared" si="17"/>
        <v>4.081632653061229E-2</v>
      </c>
      <c r="U176" s="66">
        <f t="shared" si="18"/>
        <v>-8.6393088552916275E-3</v>
      </c>
      <c r="V176" s="84" t="s">
        <v>54</v>
      </c>
      <c r="W176" s="69"/>
      <c r="X176" s="69">
        <v>24</v>
      </c>
      <c r="Y176" s="69"/>
      <c r="Z176" s="69">
        <v>13</v>
      </c>
      <c r="AA176" s="69">
        <v>11</v>
      </c>
      <c r="AB176" s="69"/>
      <c r="AC176" s="69"/>
      <c r="AD176" s="16"/>
      <c r="AE176" s="10"/>
      <c r="AF176" s="16"/>
      <c r="AG176" s="40"/>
      <c r="AH176" s="40"/>
      <c r="AI176" s="18"/>
      <c r="AJ176" s="65">
        <f t="shared" si="21"/>
        <v>48</v>
      </c>
      <c r="AK176" s="65">
        <f t="shared" si="22"/>
        <v>0</v>
      </c>
      <c r="AL176" s="10" t="s">
        <v>268</v>
      </c>
      <c r="AM176" s="10">
        <v>2</v>
      </c>
    </row>
    <row r="177" spans="1:39" x14ac:dyDescent="0.3">
      <c r="A177" s="10">
        <v>2024</v>
      </c>
      <c r="B177" s="10" t="s">
        <v>180</v>
      </c>
      <c r="C177" s="60">
        <v>45513</v>
      </c>
      <c r="D177" s="12" t="s">
        <v>45</v>
      </c>
      <c r="E177" s="12" t="s">
        <v>45</v>
      </c>
      <c r="F177" s="10" t="s">
        <v>53</v>
      </c>
      <c r="G177" s="10" t="s">
        <v>64</v>
      </c>
      <c r="H177" s="18" t="s">
        <v>47</v>
      </c>
      <c r="I177" s="13" t="s">
        <v>260</v>
      </c>
      <c r="J177" s="13">
        <v>5158040</v>
      </c>
      <c r="K177" s="10"/>
      <c r="L177" s="10"/>
      <c r="M177" s="13">
        <v>183152</v>
      </c>
      <c r="N177" s="14">
        <v>45072</v>
      </c>
      <c r="O177" s="16">
        <v>46889</v>
      </c>
      <c r="P177" s="16">
        <f>46759+45</f>
        <v>46804</v>
      </c>
      <c r="Q177" s="16">
        <v>46336</v>
      </c>
      <c r="R177" s="65">
        <f t="shared" si="19"/>
        <v>-553</v>
      </c>
      <c r="S177" s="65">
        <f t="shared" si="16"/>
        <v>1264</v>
      </c>
      <c r="T177" s="66">
        <f t="shared" si="17"/>
        <v>2.8044018459354003E-2</v>
      </c>
      <c r="U177" s="66">
        <f t="shared" si="18"/>
        <v>-1.1793810915139979E-2</v>
      </c>
      <c r="V177" s="84" t="s">
        <v>271</v>
      </c>
      <c r="W177" s="69">
        <v>19</v>
      </c>
      <c r="X177" s="69">
        <v>74</v>
      </c>
      <c r="Y177" s="69"/>
      <c r="Z177" s="69">
        <v>60</v>
      </c>
      <c r="AA177" s="69">
        <v>189</v>
      </c>
      <c r="AB177" s="69"/>
      <c r="AC177" s="69">
        <v>248</v>
      </c>
      <c r="AD177" s="16"/>
      <c r="AE177" s="10">
        <v>1</v>
      </c>
      <c r="AF177" s="16"/>
      <c r="AG177" s="40"/>
      <c r="AH177" s="40"/>
      <c r="AI177" s="10"/>
      <c r="AJ177" s="65">
        <f t="shared" si="21"/>
        <v>572</v>
      </c>
      <c r="AK177" s="65">
        <f t="shared" si="22"/>
        <v>19</v>
      </c>
      <c r="AL177" s="10" t="s">
        <v>272</v>
      </c>
      <c r="AM177" s="10">
        <v>2</v>
      </c>
    </row>
    <row r="178" spans="1:39" x14ac:dyDescent="0.3">
      <c r="A178" s="10">
        <v>2024</v>
      </c>
      <c r="B178" s="10" t="s">
        <v>180</v>
      </c>
      <c r="C178" s="60">
        <v>45513</v>
      </c>
      <c r="D178" s="12" t="s">
        <v>45</v>
      </c>
      <c r="E178" s="12" t="s">
        <v>45</v>
      </c>
      <c r="F178" s="10" t="s">
        <v>53</v>
      </c>
      <c r="G178" s="10" t="s">
        <v>64</v>
      </c>
      <c r="H178" s="18" t="s">
        <v>47</v>
      </c>
      <c r="I178" s="13" t="s">
        <v>260</v>
      </c>
      <c r="J178" s="13">
        <v>5158040</v>
      </c>
      <c r="K178" s="10"/>
      <c r="L178" s="10"/>
      <c r="M178" s="13">
        <v>183153</v>
      </c>
      <c r="N178" s="14">
        <v>1440</v>
      </c>
      <c r="O178" s="16">
        <v>1498</v>
      </c>
      <c r="P178" s="16">
        <v>1484</v>
      </c>
      <c r="Q178" s="16">
        <v>1472</v>
      </c>
      <c r="R178" s="65">
        <f t="shared" si="19"/>
        <v>-26</v>
      </c>
      <c r="S178" s="65">
        <f t="shared" si="16"/>
        <v>32</v>
      </c>
      <c r="T178" s="66">
        <f t="shared" si="17"/>
        <v>2.2222222222222143E-2</v>
      </c>
      <c r="U178" s="66">
        <f t="shared" si="18"/>
        <v>-1.735647530040052E-2</v>
      </c>
      <c r="V178" s="84" t="s">
        <v>273</v>
      </c>
      <c r="W178" s="69"/>
      <c r="X178" s="69">
        <v>2</v>
      </c>
      <c r="Y178" s="69"/>
      <c r="Z178" s="69">
        <v>0</v>
      </c>
      <c r="AA178" s="69">
        <v>12</v>
      </c>
      <c r="AB178" s="69"/>
      <c r="AC178" s="69">
        <v>12</v>
      </c>
      <c r="AD178" s="16"/>
      <c r="AE178" s="10"/>
      <c r="AF178" s="16"/>
      <c r="AG178" s="40"/>
      <c r="AH178" s="40"/>
      <c r="AI178" s="10"/>
      <c r="AJ178" s="65">
        <f t="shared" si="21"/>
        <v>26</v>
      </c>
      <c r="AK178" s="65">
        <f t="shared" si="22"/>
        <v>0</v>
      </c>
      <c r="AL178" s="38"/>
      <c r="AM178" s="10">
        <v>2</v>
      </c>
    </row>
    <row r="179" spans="1:39" x14ac:dyDescent="0.3">
      <c r="A179" s="10">
        <v>2024</v>
      </c>
      <c r="B179" s="10" t="s">
        <v>180</v>
      </c>
      <c r="C179" s="60">
        <v>45513</v>
      </c>
      <c r="D179" s="12" t="s">
        <v>45</v>
      </c>
      <c r="E179" s="12" t="s">
        <v>45</v>
      </c>
      <c r="F179" s="10" t="s">
        <v>53</v>
      </c>
      <c r="G179" s="10" t="s">
        <v>64</v>
      </c>
      <c r="H179" s="18" t="s">
        <v>47</v>
      </c>
      <c r="I179" s="13" t="s">
        <v>274</v>
      </c>
      <c r="J179" s="13">
        <v>5158594</v>
      </c>
      <c r="K179" s="10"/>
      <c r="L179" s="10"/>
      <c r="M179" s="13">
        <v>183165</v>
      </c>
      <c r="N179" s="14">
        <v>23544</v>
      </c>
      <c r="O179" s="16">
        <v>23993</v>
      </c>
      <c r="P179" s="16">
        <v>23994</v>
      </c>
      <c r="Q179" s="16">
        <v>23817</v>
      </c>
      <c r="R179" s="65">
        <f t="shared" si="19"/>
        <v>-176</v>
      </c>
      <c r="S179" s="65">
        <f t="shared" si="16"/>
        <v>273</v>
      </c>
      <c r="T179" s="66">
        <f t="shared" si="17"/>
        <v>1.1595310907237533E-2</v>
      </c>
      <c r="U179" s="66">
        <f t="shared" si="18"/>
        <v>-7.3354728462468044E-3</v>
      </c>
      <c r="V179" s="84" t="s">
        <v>275</v>
      </c>
      <c r="W179" s="69">
        <v>72</v>
      </c>
      <c r="X179" s="69">
        <v>82</v>
      </c>
      <c r="Y179" s="69"/>
      <c r="Z179" s="69">
        <v>5</v>
      </c>
      <c r="AA179" s="69">
        <v>80</v>
      </c>
      <c r="AB179" s="69"/>
      <c r="AC179" s="69">
        <v>78</v>
      </c>
      <c r="AD179" s="16"/>
      <c r="AE179" s="10">
        <v>3</v>
      </c>
      <c r="AF179" s="16"/>
      <c r="AG179" s="40"/>
      <c r="AH179" s="40"/>
      <c r="AI179" s="10"/>
      <c r="AJ179" s="65">
        <f t="shared" si="21"/>
        <v>248</v>
      </c>
      <c r="AK179" s="65">
        <f t="shared" si="22"/>
        <v>72</v>
      </c>
      <c r="AL179" s="10" t="s">
        <v>276</v>
      </c>
      <c r="AM179" s="10">
        <v>2</v>
      </c>
    </row>
    <row r="180" spans="1:39" x14ac:dyDescent="0.3">
      <c r="A180" s="24">
        <v>2024</v>
      </c>
      <c r="B180" s="24" t="s">
        <v>180</v>
      </c>
      <c r="C180" s="58">
        <v>45520</v>
      </c>
      <c r="D180" s="26" t="s">
        <v>45</v>
      </c>
      <c r="E180" s="26" t="s">
        <v>45</v>
      </c>
      <c r="F180" s="24" t="s">
        <v>53</v>
      </c>
      <c r="G180" s="24" t="s">
        <v>64</v>
      </c>
      <c r="H180" s="27" t="s">
        <v>47</v>
      </c>
      <c r="I180" s="53" t="str">
        <f>CONCATENATE('[1]LOADING 16 AGUSTUS(BY AIR)'!$B$3," / ",'[1]LOADING 16 AGUSTUS(BY AIR)'!$C$3," / ",'[1]LOADING 16 AGUSTUS(BY AIR)'!$D$3)</f>
        <v>ID2136 / PO-0000247 / 983462 – C</v>
      </c>
      <c r="J180" s="53">
        <v>5158619</v>
      </c>
      <c r="K180" s="27"/>
      <c r="L180" s="79"/>
      <c r="M180" s="53">
        <v>182974</v>
      </c>
      <c r="N180" s="87">
        <v>36180</v>
      </c>
      <c r="O180" s="88">
        <v>36508</v>
      </c>
      <c r="P180" s="88">
        <v>36508</v>
      </c>
      <c r="Q180" s="89">
        <v>36207</v>
      </c>
      <c r="R180" s="85">
        <f t="shared" si="19"/>
        <v>-301</v>
      </c>
      <c r="S180" s="85">
        <f t="shared" si="16"/>
        <v>27</v>
      </c>
      <c r="T180" s="90">
        <f t="shared" si="17"/>
        <v>7.4626865671634235E-4</v>
      </c>
      <c r="U180" s="90">
        <f t="shared" si="18"/>
        <v>-8.2447682699682279E-3</v>
      </c>
      <c r="V180" s="24"/>
      <c r="W180" s="24">
        <v>39</v>
      </c>
      <c r="X180" s="24">
        <v>0</v>
      </c>
      <c r="Y180" s="73"/>
      <c r="Z180" s="24">
        <v>4</v>
      </c>
      <c r="AA180" s="24">
        <v>158</v>
      </c>
      <c r="AB180" s="73"/>
      <c r="AC180" s="24">
        <v>175</v>
      </c>
      <c r="AD180" s="47"/>
      <c r="AE180" s="24">
        <v>3</v>
      </c>
      <c r="AF180" s="47"/>
      <c r="AG180" s="45"/>
      <c r="AH180" s="45"/>
      <c r="AI180" s="27"/>
      <c r="AJ180" s="48">
        <f>SUM(W180:AI180)</f>
        <v>379</v>
      </c>
      <c r="AK180" s="48">
        <f>S180+AJ180</f>
        <v>406</v>
      </c>
      <c r="AL180" s="92"/>
      <c r="AM180" s="27">
        <v>3</v>
      </c>
    </row>
    <row r="181" spans="1:39" x14ac:dyDescent="0.3">
      <c r="A181" s="27">
        <v>2024</v>
      </c>
      <c r="B181" s="27" t="s">
        <v>278</v>
      </c>
      <c r="C181" s="25">
        <v>45517</v>
      </c>
      <c r="D181" s="27" t="s">
        <v>279</v>
      </c>
      <c r="E181" s="27" t="s">
        <v>41</v>
      </c>
      <c r="F181" s="27" t="s">
        <v>280</v>
      </c>
      <c r="G181" s="27" t="s">
        <v>62</v>
      </c>
      <c r="H181" s="27" t="s">
        <v>47</v>
      </c>
      <c r="I181" s="27" t="s">
        <v>281</v>
      </c>
      <c r="J181" s="27">
        <v>5157986</v>
      </c>
      <c r="K181" s="27"/>
      <c r="L181" s="27"/>
      <c r="M181" s="27">
        <v>183004</v>
      </c>
      <c r="N181" s="91">
        <v>7992</v>
      </c>
      <c r="O181" s="91">
        <v>8018</v>
      </c>
      <c r="P181" s="91">
        <v>8018</v>
      </c>
      <c r="Q181" s="91">
        <v>7992</v>
      </c>
      <c r="R181" s="83">
        <f>Q181-O181</f>
        <v>-26</v>
      </c>
      <c r="S181" s="83">
        <f>Q181-N181</f>
        <v>0</v>
      </c>
      <c r="T181" s="30">
        <f>Q181/N181-1</f>
        <v>0</v>
      </c>
      <c r="U181" s="30">
        <f>Q181/O181-1</f>
        <v>-3.2427039161885274E-3</v>
      </c>
      <c r="V181" s="27"/>
      <c r="W181" s="27"/>
      <c r="X181" s="27"/>
      <c r="Y181" s="27"/>
      <c r="Z181" s="27">
        <v>23</v>
      </c>
      <c r="AA181" s="27"/>
      <c r="AB181" s="27"/>
      <c r="AC181" s="27"/>
      <c r="AD181" s="27"/>
      <c r="AE181" s="27">
        <v>3</v>
      </c>
      <c r="AF181" s="27"/>
      <c r="AG181" s="27"/>
      <c r="AH181" s="27"/>
      <c r="AI181" s="27"/>
      <c r="AJ181" s="85">
        <f>SUM(X181:AI181)</f>
        <v>26</v>
      </c>
      <c r="AK181" s="85">
        <f>AJ181+R181</f>
        <v>0</v>
      </c>
      <c r="AL181" s="85"/>
      <c r="AM181" s="27">
        <v>3</v>
      </c>
    </row>
    <row r="182" spans="1:39" x14ac:dyDescent="0.3">
      <c r="A182" s="27">
        <v>2024</v>
      </c>
      <c r="B182" s="27" t="s">
        <v>278</v>
      </c>
      <c r="C182" s="25">
        <v>45517</v>
      </c>
      <c r="D182" s="27" t="s">
        <v>279</v>
      </c>
      <c r="E182" s="27" t="s">
        <v>41</v>
      </c>
      <c r="F182" s="27" t="s">
        <v>280</v>
      </c>
      <c r="G182" s="27" t="s">
        <v>62</v>
      </c>
      <c r="H182" s="27" t="s">
        <v>47</v>
      </c>
      <c r="I182" s="27" t="s">
        <v>281</v>
      </c>
      <c r="J182" s="27">
        <v>5157986</v>
      </c>
      <c r="K182" s="27"/>
      <c r="L182" s="27"/>
      <c r="M182" s="27">
        <v>183005</v>
      </c>
      <c r="N182" s="91">
        <v>540</v>
      </c>
      <c r="O182" s="91">
        <v>542</v>
      </c>
      <c r="P182" s="91">
        <v>542</v>
      </c>
      <c r="Q182" s="91">
        <v>540</v>
      </c>
      <c r="R182" s="83">
        <f t="shared" ref="R182:R219" si="23">Q182-O182</f>
        <v>-2</v>
      </c>
      <c r="S182" s="83">
        <f t="shared" ref="S182:S219" si="24">Q182-N182</f>
        <v>0</v>
      </c>
      <c r="T182" s="30">
        <f t="shared" ref="T182:T219" si="25">Q182/N182-1</f>
        <v>0</v>
      </c>
      <c r="U182" s="30">
        <f t="shared" ref="U182:U219" si="26">Q182/O182-1</f>
        <v>-3.6900369003689537E-3</v>
      </c>
      <c r="V182" s="27"/>
      <c r="W182" s="27"/>
      <c r="X182" s="27"/>
      <c r="Y182" s="27"/>
      <c r="Z182" s="27">
        <v>2</v>
      </c>
      <c r="AA182" s="27"/>
      <c r="AB182" s="27"/>
      <c r="AC182" s="27"/>
      <c r="AD182" s="27"/>
      <c r="AE182" s="27"/>
      <c r="AF182" s="27"/>
      <c r="AG182" s="27"/>
      <c r="AH182" s="27"/>
      <c r="AI182" s="27"/>
      <c r="AJ182" s="85">
        <f t="shared" ref="AJ182:AJ203" si="27">SUM(X182:AI182)</f>
        <v>2</v>
      </c>
      <c r="AK182" s="85">
        <f t="shared" ref="AK182:AK183" si="28">AJ182+R182</f>
        <v>0</v>
      </c>
      <c r="AL182" s="85"/>
      <c r="AM182" s="27">
        <v>3</v>
      </c>
    </row>
    <row r="183" spans="1:39" x14ac:dyDescent="0.3">
      <c r="A183" s="27">
        <v>2024</v>
      </c>
      <c r="B183" s="27" t="s">
        <v>278</v>
      </c>
      <c r="C183" s="25">
        <v>45517</v>
      </c>
      <c r="D183" s="27" t="s">
        <v>279</v>
      </c>
      <c r="E183" s="27" t="s">
        <v>66</v>
      </c>
      <c r="F183" s="27" t="s">
        <v>280</v>
      </c>
      <c r="G183" s="27" t="s">
        <v>62</v>
      </c>
      <c r="H183" s="27" t="s">
        <v>282</v>
      </c>
      <c r="I183" s="27" t="s">
        <v>283</v>
      </c>
      <c r="J183" s="27"/>
      <c r="K183" s="27"/>
      <c r="L183" s="27"/>
      <c r="M183" s="27">
        <v>183265</v>
      </c>
      <c r="N183" s="91">
        <v>374</v>
      </c>
      <c r="O183" s="91">
        <v>377</v>
      </c>
      <c r="P183" s="91">
        <v>377</v>
      </c>
      <c r="Q183" s="91">
        <v>374</v>
      </c>
      <c r="R183" s="83">
        <f t="shared" si="23"/>
        <v>-3</v>
      </c>
      <c r="S183" s="83">
        <f t="shared" si="24"/>
        <v>0</v>
      </c>
      <c r="T183" s="30">
        <f t="shared" si="25"/>
        <v>0</v>
      </c>
      <c r="U183" s="30">
        <f t="shared" si="26"/>
        <v>-7.9575596816976457E-3</v>
      </c>
      <c r="V183" s="27"/>
      <c r="W183" s="27"/>
      <c r="X183" s="27"/>
      <c r="Y183" s="27"/>
      <c r="Z183" s="27"/>
      <c r="AA183" s="27"/>
      <c r="AB183" s="27"/>
      <c r="AC183" s="27">
        <v>3</v>
      </c>
      <c r="AD183" s="27"/>
      <c r="AE183" s="27"/>
      <c r="AF183" s="27"/>
      <c r="AG183" s="27"/>
      <c r="AH183" s="27"/>
      <c r="AI183" s="27"/>
      <c r="AJ183" s="85">
        <f t="shared" si="27"/>
        <v>3</v>
      </c>
      <c r="AK183" s="85">
        <f t="shared" si="28"/>
        <v>0</v>
      </c>
      <c r="AL183" s="85"/>
      <c r="AM183" s="27">
        <v>3</v>
      </c>
    </row>
    <row r="184" spans="1:39" x14ac:dyDescent="0.3">
      <c r="A184" s="10">
        <v>2024</v>
      </c>
      <c r="B184" s="10" t="s">
        <v>180</v>
      </c>
      <c r="C184" s="60">
        <v>45527</v>
      </c>
      <c r="D184" s="10" t="s">
        <v>150</v>
      </c>
      <c r="E184" s="12" t="s">
        <v>66</v>
      </c>
      <c r="F184" s="10" t="s">
        <v>65</v>
      </c>
      <c r="G184" s="10" t="s">
        <v>151</v>
      </c>
      <c r="H184" s="10" t="s">
        <v>136</v>
      </c>
      <c r="I184" s="10" t="s">
        <v>284</v>
      </c>
      <c r="J184" s="18"/>
      <c r="K184" s="18"/>
      <c r="L184" s="61"/>
      <c r="M184" s="10">
        <v>182905</v>
      </c>
      <c r="N184" s="15">
        <v>710</v>
      </c>
      <c r="O184" s="64">
        <v>710</v>
      </c>
      <c r="P184" s="15">
        <v>710</v>
      </c>
      <c r="Q184" s="33">
        <v>710</v>
      </c>
      <c r="R184" s="65">
        <f t="shared" si="23"/>
        <v>0</v>
      </c>
      <c r="S184" s="65">
        <f t="shared" si="24"/>
        <v>0</v>
      </c>
      <c r="T184" s="66">
        <f t="shared" si="25"/>
        <v>0</v>
      </c>
      <c r="U184" s="66">
        <f t="shared" si="26"/>
        <v>0</v>
      </c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65">
        <f t="shared" si="27"/>
        <v>0</v>
      </c>
      <c r="AK184" s="65">
        <f t="shared" ref="AK184:AK219" si="29">R184+AJ184</f>
        <v>0</v>
      </c>
      <c r="AL184" s="81"/>
      <c r="AM184" s="18">
        <v>4</v>
      </c>
    </row>
    <row r="185" spans="1:39" x14ac:dyDescent="0.3">
      <c r="A185" s="10">
        <v>2024</v>
      </c>
      <c r="B185" s="10" t="s">
        <v>180</v>
      </c>
      <c r="C185" s="60">
        <v>45527</v>
      </c>
      <c r="D185" s="10" t="s">
        <v>150</v>
      </c>
      <c r="E185" s="12" t="s">
        <v>66</v>
      </c>
      <c r="F185" s="10" t="s">
        <v>65</v>
      </c>
      <c r="G185" s="10" t="s">
        <v>151</v>
      </c>
      <c r="H185" s="10" t="s">
        <v>136</v>
      </c>
      <c r="I185" s="10" t="s">
        <v>285</v>
      </c>
      <c r="J185" s="18"/>
      <c r="K185" s="18"/>
      <c r="L185" s="61"/>
      <c r="M185" s="10">
        <v>182908</v>
      </c>
      <c r="N185" s="15">
        <v>590</v>
      </c>
      <c r="O185" s="64">
        <v>590</v>
      </c>
      <c r="P185" s="15">
        <v>590</v>
      </c>
      <c r="Q185" s="33">
        <v>590</v>
      </c>
      <c r="R185" s="65">
        <f t="shared" si="23"/>
        <v>0</v>
      </c>
      <c r="S185" s="65">
        <f t="shared" si="24"/>
        <v>0</v>
      </c>
      <c r="T185" s="66">
        <f t="shared" si="25"/>
        <v>0</v>
      </c>
      <c r="U185" s="66">
        <f t="shared" si="26"/>
        <v>0</v>
      </c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65">
        <f t="shared" si="27"/>
        <v>0</v>
      </c>
      <c r="AK185" s="65">
        <f t="shared" si="29"/>
        <v>0</v>
      </c>
      <c r="AL185" s="81"/>
      <c r="AM185" s="18">
        <v>4</v>
      </c>
    </row>
    <row r="186" spans="1:39" x14ac:dyDescent="0.3">
      <c r="A186" s="10">
        <v>2024</v>
      </c>
      <c r="B186" s="10" t="s">
        <v>180</v>
      </c>
      <c r="C186" s="60">
        <v>45527</v>
      </c>
      <c r="D186" s="10" t="s">
        <v>150</v>
      </c>
      <c r="E186" s="12" t="s">
        <v>66</v>
      </c>
      <c r="F186" s="10" t="s">
        <v>65</v>
      </c>
      <c r="G186" s="10" t="s">
        <v>151</v>
      </c>
      <c r="H186" s="10" t="s">
        <v>136</v>
      </c>
      <c r="I186" s="10" t="s">
        <v>286</v>
      </c>
      <c r="J186" s="18"/>
      <c r="K186" s="18"/>
      <c r="L186" s="61"/>
      <c r="M186" s="10">
        <v>182909</v>
      </c>
      <c r="N186" s="15">
        <v>1600</v>
      </c>
      <c r="O186" s="64">
        <v>1600</v>
      </c>
      <c r="P186" s="15">
        <v>1600</v>
      </c>
      <c r="Q186" s="33">
        <v>1600</v>
      </c>
      <c r="R186" s="65">
        <f t="shared" si="23"/>
        <v>0</v>
      </c>
      <c r="S186" s="65">
        <f t="shared" si="24"/>
        <v>0</v>
      </c>
      <c r="T186" s="66">
        <f t="shared" si="25"/>
        <v>0</v>
      </c>
      <c r="U186" s="66">
        <f t="shared" si="26"/>
        <v>0</v>
      </c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65">
        <f t="shared" si="27"/>
        <v>0</v>
      </c>
      <c r="AK186" s="65">
        <f t="shared" si="29"/>
        <v>0</v>
      </c>
      <c r="AL186" s="81"/>
      <c r="AM186" s="18">
        <v>4</v>
      </c>
    </row>
    <row r="187" spans="1:39" x14ac:dyDescent="0.3">
      <c r="A187" s="10">
        <v>2024</v>
      </c>
      <c r="B187" s="10" t="s">
        <v>180</v>
      </c>
      <c r="C187" s="60">
        <v>45527</v>
      </c>
      <c r="D187" s="10" t="s">
        <v>150</v>
      </c>
      <c r="E187" s="12" t="s">
        <v>66</v>
      </c>
      <c r="F187" s="10" t="s">
        <v>65</v>
      </c>
      <c r="G187" s="10" t="s">
        <v>151</v>
      </c>
      <c r="H187" s="10" t="s">
        <v>136</v>
      </c>
      <c r="I187" s="10" t="s">
        <v>287</v>
      </c>
      <c r="J187" s="18"/>
      <c r="K187" s="18"/>
      <c r="L187" s="61"/>
      <c r="M187" s="10">
        <v>182918</v>
      </c>
      <c r="N187" s="15">
        <v>1560</v>
      </c>
      <c r="O187" s="64">
        <v>1560</v>
      </c>
      <c r="P187" s="15">
        <v>1560</v>
      </c>
      <c r="Q187" s="33">
        <v>1560</v>
      </c>
      <c r="R187" s="65">
        <f t="shared" si="23"/>
        <v>0</v>
      </c>
      <c r="S187" s="65">
        <f t="shared" si="24"/>
        <v>0</v>
      </c>
      <c r="T187" s="66">
        <f t="shared" si="25"/>
        <v>0</v>
      </c>
      <c r="U187" s="66">
        <f t="shared" si="26"/>
        <v>0</v>
      </c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65">
        <f t="shared" si="27"/>
        <v>0</v>
      </c>
      <c r="AK187" s="65">
        <f t="shared" si="29"/>
        <v>0</v>
      </c>
      <c r="AL187" s="81"/>
      <c r="AM187" s="18">
        <v>4</v>
      </c>
    </row>
    <row r="188" spans="1:39" x14ac:dyDescent="0.3">
      <c r="A188" s="24">
        <v>2024</v>
      </c>
      <c r="B188" s="24" t="s">
        <v>180</v>
      </c>
      <c r="C188" s="58">
        <v>45527</v>
      </c>
      <c r="D188" s="24" t="s">
        <v>135</v>
      </c>
      <c r="E188" s="26" t="s">
        <v>66</v>
      </c>
      <c r="F188" s="24" t="s">
        <v>65</v>
      </c>
      <c r="G188" s="24" t="s">
        <v>55</v>
      </c>
      <c r="H188" s="24" t="s">
        <v>136</v>
      </c>
      <c r="I188" s="24" t="s">
        <v>288</v>
      </c>
      <c r="J188" s="27"/>
      <c r="K188" s="27"/>
      <c r="L188" s="79"/>
      <c r="M188" s="24">
        <v>182919</v>
      </c>
      <c r="N188" s="48">
        <v>500</v>
      </c>
      <c r="O188" s="88">
        <v>514</v>
      </c>
      <c r="P188" s="48">
        <v>514</v>
      </c>
      <c r="Q188" s="89">
        <v>500</v>
      </c>
      <c r="R188" s="85">
        <f t="shared" si="23"/>
        <v>-14</v>
      </c>
      <c r="S188" s="85">
        <f t="shared" si="24"/>
        <v>0</v>
      </c>
      <c r="T188" s="90">
        <f t="shared" si="25"/>
        <v>0</v>
      </c>
      <c r="U188" s="90">
        <f t="shared" si="26"/>
        <v>-2.7237354085603127E-2</v>
      </c>
      <c r="V188" s="24"/>
      <c r="W188" s="24"/>
      <c r="X188" s="24">
        <v>12</v>
      </c>
      <c r="Y188" s="24"/>
      <c r="Z188" s="24">
        <v>2</v>
      </c>
      <c r="AA188" s="24"/>
      <c r="AB188" s="24"/>
      <c r="AC188" s="24"/>
      <c r="AD188" s="24"/>
      <c r="AE188" s="24"/>
      <c r="AF188" s="24"/>
      <c r="AG188" s="24"/>
      <c r="AH188" s="24"/>
      <c r="AI188" s="24"/>
      <c r="AJ188" s="85">
        <f t="shared" si="27"/>
        <v>14</v>
      </c>
      <c r="AK188" s="85">
        <f t="shared" si="29"/>
        <v>0</v>
      </c>
      <c r="AL188" s="95"/>
      <c r="AM188" s="27">
        <v>4</v>
      </c>
    </row>
    <row r="189" spans="1:39" x14ac:dyDescent="0.3">
      <c r="A189" s="24">
        <v>2024</v>
      </c>
      <c r="B189" s="24" t="s">
        <v>180</v>
      </c>
      <c r="C189" s="58">
        <v>45527</v>
      </c>
      <c r="D189" s="24" t="s">
        <v>135</v>
      </c>
      <c r="E189" s="26" t="s">
        <v>66</v>
      </c>
      <c r="F189" s="24" t="s">
        <v>65</v>
      </c>
      <c r="G189" s="24" t="s">
        <v>55</v>
      </c>
      <c r="H189" s="24" t="s">
        <v>136</v>
      </c>
      <c r="I189" s="24" t="s">
        <v>289</v>
      </c>
      <c r="J189" s="27"/>
      <c r="K189" s="27"/>
      <c r="L189" s="79"/>
      <c r="M189" s="24">
        <v>182920</v>
      </c>
      <c r="N189" s="48">
        <v>650</v>
      </c>
      <c r="O189" s="88">
        <v>666</v>
      </c>
      <c r="P189" s="48">
        <v>666</v>
      </c>
      <c r="Q189" s="89">
        <v>650</v>
      </c>
      <c r="R189" s="85">
        <f t="shared" si="23"/>
        <v>-16</v>
      </c>
      <c r="S189" s="85">
        <f t="shared" si="24"/>
        <v>0</v>
      </c>
      <c r="T189" s="90">
        <f t="shared" si="25"/>
        <v>0</v>
      </c>
      <c r="U189" s="90">
        <f t="shared" si="26"/>
        <v>-2.4024024024024038E-2</v>
      </c>
      <c r="V189" s="24"/>
      <c r="W189" s="24"/>
      <c r="X189" s="24">
        <v>11</v>
      </c>
      <c r="Y189" s="24"/>
      <c r="Z189" s="24">
        <v>4</v>
      </c>
      <c r="AA189" s="24">
        <v>1</v>
      </c>
      <c r="AB189" s="24"/>
      <c r="AC189" s="24"/>
      <c r="AD189" s="24"/>
      <c r="AE189" s="24"/>
      <c r="AF189" s="24"/>
      <c r="AG189" s="24"/>
      <c r="AH189" s="24"/>
      <c r="AI189" s="24"/>
      <c r="AJ189" s="85">
        <f t="shared" si="27"/>
        <v>16</v>
      </c>
      <c r="AK189" s="85">
        <f t="shared" si="29"/>
        <v>0</v>
      </c>
      <c r="AL189" s="95"/>
      <c r="AM189" s="27">
        <v>4</v>
      </c>
    </row>
    <row r="190" spans="1:39" x14ac:dyDescent="0.3">
      <c r="A190" s="24">
        <v>2024</v>
      </c>
      <c r="B190" s="24" t="s">
        <v>180</v>
      </c>
      <c r="C190" s="58">
        <v>45527</v>
      </c>
      <c r="D190" s="24" t="s">
        <v>135</v>
      </c>
      <c r="E190" s="26" t="s">
        <v>66</v>
      </c>
      <c r="F190" s="24" t="s">
        <v>65</v>
      </c>
      <c r="G190" s="24" t="s">
        <v>55</v>
      </c>
      <c r="H190" s="24" t="s">
        <v>136</v>
      </c>
      <c r="I190" s="24" t="s">
        <v>290</v>
      </c>
      <c r="J190" s="27"/>
      <c r="K190" s="27"/>
      <c r="L190" s="79"/>
      <c r="M190" s="24">
        <v>182922</v>
      </c>
      <c r="N190" s="48">
        <v>1460</v>
      </c>
      <c r="O190" s="88">
        <v>1504</v>
      </c>
      <c r="P190" s="48">
        <v>1504</v>
      </c>
      <c r="Q190" s="89">
        <v>1460</v>
      </c>
      <c r="R190" s="85">
        <f t="shared" si="23"/>
        <v>-44</v>
      </c>
      <c r="S190" s="85">
        <f t="shared" si="24"/>
        <v>0</v>
      </c>
      <c r="T190" s="90">
        <f t="shared" si="25"/>
        <v>0</v>
      </c>
      <c r="U190" s="90">
        <f t="shared" si="26"/>
        <v>-2.9255319148936199E-2</v>
      </c>
      <c r="V190" s="24"/>
      <c r="W190" s="24"/>
      <c r="X190" s="24">
        <v>42</v>
      </c>
      <c r="Y190" s="24"/>
      <c r="Z190" s="24">
        <v>2</v>
      </c>
      <c r="AA190" s="24"/>
      <c r="AB190" s="24"/>
      <c r="AC190" s="24"/>
      <c r="AD190" s="24"/>
      <c r="AE190" s="24"/>
      <c r="AF190" s="24"/>
      <c r="AG190" s="24"/>
      <c r="AH190" s="24"/>
      <c r="AI190" s="24"/>
      <c r="AJ190" s="85">
        <f t="shared" si="27"/>
        <v>44</v>
      </c>
      <c r="AK190" s="85">
        <f t="shared" si="29"/>
        <v>0</v>
      </c>
      <c r="AL190" s="95"/>
      <c r="AM190" s="27">
        <v>4</v>
      </c>
    </row>
    <row r="191" spans="1:39" x14ac:dyDescent="0.3">
      <c r="A191" s="24">
        <v>2024</v>
      </c>
      <c r="B191" s="24" t="s">
        <v>180</v>
      </c>
      <c r="C191" s="58">
        <v>45527</v>
      </c>
      <c r="D191" s="24" t="s">
        <v>135</v>
      </c>
      <c r="E191" s="26" t="s">
        <v>66</v>
      </c>
      <c r="F191" s="24" t="s">
        <v>65</v>
      </c>
      <c r="G191" s="24" t="s">
        <v>55</v>
      </c>
      <c r="H191" s="24" t="s">
        <v>136</v>
      </c>
      <c r="I191" s="24" t="s">
        <v>291</v>
      </c>
      <c r="J191" s="27"/>
      <c r="K191" s="27"/>
      <c r="L191" s="79"/>
      <c r="M191" s="24">
        <v>182923</v>
      </c>
      <c r="N191" s="48">
        <v>200</v>
      </c>
      <c r="O191" s="88">
        <v>208</v>
      </c>
      <c r="P191" s="48">
        <v>208</v>
      </c>
      <c r="Q191" s="89">
        <v>200</v>
      </c>
      <c r="R191" s="85">
        <f t="shared" si="23"/>
        <v>-8</v>
      </c>
      <c r="S191" s="85">
        <f t="shared" si="24"/>
        <v>0</v>
      </c>
      <c r="T191" s="90">
        <f t="shared" si="25"/>
        <v>0</v>
      </c>
      <c r="U191" s="90">
        <f t="shared" si="26"/>
        <v>-3.8461538461538436E-2</v>
      </c>
      <c r="V191" s="24"/>
      <c r="W191" s="24"/>
      <c r="X191" s="24">
        <v>7</v>
      </c>
      <c r="Y191" s="24"/>
      <c r="Z191" s="24">
        <v>1</v>
      </c>
      <c r="AA191" s="24"/>
      <c r="AB191" s="24"/>
      <c r="AC191" s="24"/>
      <c r="AD191" s="24"/>
      <c r="AE191" s="24"/>
      <c r="AF191" s="24"/>
      <c r="AG191" s="24"/>
      <c r="AH191" s="24"/>
      <c r="AI191" s="24"/>
      <c r="AJ191" s="85">
        <f t="shared" si="27"/>
        <v>8</v>
      </c>
      <c r="AK191" s="85">
        <f t="shared" si="29"/>
        <v>0</v>
      </c>
      <c r="AL191" s="95"/>
      <c r="AM191" s="27">
        <v>4</v>
      </c>
    </row>
    <row r="192" spans="1:39" x14ac:dyDescent="0.3">
      <c r="A192" s="24">
        <v>2024</v>
      </c>
      <c r="B192" s="24" t="s">
        <v>180</v>
      </c>
      <c r="C192" s="58">
        <v>45527</v>
      </c>
      <c r="D192" s="24" t="s">
        <v>135</v>
      </c>
      <c r="E192" s="26" t="s">
        <v>66</v>
      </c>
      <c r="F192" s="24" t="s">
        <v>65</v>
      </c>
      <c r="G192" s="24" t="s">
        <v>55</v>
      </c>
      <c r="H192" s="24" t="s">
        <v>136</v>
      </c>
      <c r="I192" s="24" t="s">
        <v>292</v>
      </c>
      <c r="J192" s="27"/>
      <c r="K192" s="27"/>
      <c r="L192" s="79"/>
      <c r="M192" s="24">
        <v>182924</v>
      </c>
      <c r="N192" s="48">
        <v>1400</v>
      </c>
      <c r="O192" s="88">
        <v>1432</v>
      </c>
      <c r="P192" s="48">
        <v>1432</v>
      </c>
      <c r="Q192" s="89">
        <v>1400</v>
      </c>
      <c r="R192" s="85">
        <f t="shared" si="23"/>
        <v>-32</v>
      </c>
      <c r="S192" s="85">
        <f t="shared" si="24"/>
        <v>0</v>
      </c>
      <c r="T192" s="90">
        <f t="shared" si="25"/>
        <v>0</v>
      </c>
      <c r="U192" s="90">
        <f t="shared" si="26"/>
        <v>-2.2346368715083775E-2</v>
      </c>
      <c r="V192" s="24"/>
      <c r="W192" s="24"/>
      <c r="X192" s="24">
        <v>31</v>
      </c>
      <c r="Y192" s="24"/>
      <c r="Z192" s="24">
        <v>1</v>
      </c>
      <c r="AA192" s="24"/>
      <c r="AB192" s="24"/>
      <c r="AC192" s="24"/>
      <c r="AD192" s="24"/>
      <c r="AE192" s="24"/>
      <c r="AF192" s="24"/>
      <c r="AG192" s="24"/>
      <c r="AH192" s="24"/>
      <c r="AI192" s="24"/>
      <c r="AJ192" s="85">
        <f t="shared" si="27"/>
        <v>32</v>
      </c>
      <c r="AK192" s="85">
        <f t="shared" si="29"/>
        <v>0</v>
      </c>
      <c r="AL192" s="95"/>
      <c r="AM192" s="27">
        <v>4</v>
      </c>
    </row>
    <row r="193" spans="1:39" x14ac:dyDescent="0.3">
      <c r="A193" s="24">
        <v>2024</v>
      </c>
      <c r="B193" s="24" t="s">
        <v>180</v>
      </c>
      <c r="C193" s="58">
        <v>45527</v>
      </c>
      <c r="D193" s="24" t="s">
        <v>135</v>
      </c>
      <c r="E193" s="26" t="s">
        <v>66</v>
      </c>
      <c r="F193" s="24" t="s">
        <v>65</v>
      </c>
      <c r="G193" s="24" t="s">
        <v>55</v>
      </c>
      <c r="H193" s="24" t="s">
        <v>136</v>
      </c>
      <c r="I193" s="24" t="s">
        <v>167</v>
      </c>
      <c r="J193" s="27"/>
      <c r="K193" s="27"/>
      <c r="L193" s="79"/>
      <c r="M193" s="24">
        <v>182925</v>
      </c>
      <c r="N193" s="48">
        <v>540</v>
      </c>
      <c r="O193" s="88">
        <v>560</v>
      </c>
      <c r="P193" s="48">
        <v>560</v>
      </c>
      <c r="Q193" s="89">
        <v>540</v>
      </c>
      <c r="R193" s="85">
        <f t="shared" si="23"/>
        <v>-20</v>
      </c>
      <c r="S193" s="85">
        <f t="shared" si="24"/>
        <v>0</v>
      </c>
      <c r="T193" s="90">
        <f t="shared" si="25"/>
        <v>0</v>
      </c>
      <c r="U193" s="90">
        <f t="shared" si="26"/>
        <v>-3.5714285714285698E-2</v>
      </c>
      <c r="V193" s="24"/>
      <c r="W193" s="24"/>
      <c r="X193" s="24">
        <v>18</v>
      </c>
      <c r="Y193" s="24"/>
      <c r="Z193" s="24">
        <v>2</v>
      </c>
      <c r="AA193" s="24"/>
      <c r="AB193" s="24"/>
      <c r="AC193" s="24"/>
      <c r="AD193" s="24"/>
      <c r="AE193" s="24"/>
      <c r="AF193" s="24"/>
      <c r="AG193" s="24"/>
      <c r="AH193" s="24"/>
      <c r="AI193" s="24"/>
      <c r="AJ193" s="85">
        <f t="shared" si="27"/>
        <v>20</v>
      </c>
      <c r="AK193" s="85">
        <f t="shared" si="29"/>
        <v>0</v>
      </c>
      <c r="AL193" s="95"/>
      <c r="AM193" s="27">
        <v>4</v>
      </c>
    </row>
    <row r="194" spans="1:39" x14ac:dyDescent="0.3">
      <c r="A194" s="24">
        <v>2024</v>
      </c>
      <c r="B194" s="24" t="s">
        <v>180</v>
      </c>
      <c r="C194" s="58">
        <v>45527</v>
      </c>
      <c r="D194" s="24" t="s">
        <v>135</v>
      </c>
      <c r="E194" s="26" t="s">
        <v>66</v>
      </c>
      <c r="F194" s="24" t="s">
        <v>65</v>
      </c>
      <c r="G194" s="24" t="s">
        <v>55</v>
      </c>
      <c r="H194" s="24" t="s">
        <v>136</v>
      </c>
      <c r="I194" s="24" t="s">
        <v>140</v>
      </c>
      <c r="J194" s="27"/>
      <c r="K194" s="27"/>
      <c r="L194" s="79"/>
      <c r="M194" s="24">
        <v>182930</v>
      </c>
      <c r="N194" s="48">
        <v>970</v>
      </c>
      <c r="O194" s="88">
        <v>1016</v>
      </c>
      <c r="P194" s="48">
        <v>1016</v>
      </c>
      <c r="Q194" s="89">
        <v>970</v>
      </c>
      <c r="R194" s="85">
        <f t="shared" si="23"/>
        <v>-46</v>
      </c>
      <c r="S194" s="85">
        <f t="shared" si="24"/>
        <v>0</v>
      </c>
      <c r="T194" s="90">
        <f t="shared" si="25"/>
        <v>0</v>
      </c>
      <c r="U194" s="90">
        <f t="shared" si="26"/>
        <v>-4.5275590551181133E-2</v>
      </c>
      <c r="V194" s="24"/>
      <c r="W194" s="24"/>
      <c r="X194" s="24">
        <v>42</v>
      </c>
      <c r="Y194" s="24"/>
      <c r="Z194" s="24">
        <v>3</v>
      </c>
      <c r="AA194" s="24"/>
      <c r="AB194" s="24"/>
      <c r="AC194" s="24">
        <v>1</v>
      </c>
      <c r="AD194" s="24"/>
      <c r="AE194" s="24"/>
      <c r="AF194" s="24"/>
      <c r="AG194" s="24"/>
      <c r="AH194" s="24"/>
      <c r="AI194" s="24"/>
      <c r="AJ194" s="85">
        <f t="shared" si="27"/>
        <v>46</v>
      </c>
      <c r="AK194" s="85">
        <f t="shared" si="29"/>
        <v>0</v>
      </c>
      <c r="AL194" s="95"/>
      <c r="AM194" s="27">
        <v>4</v>
      </c>
    </row>
    <row r="195" spans="1:39" x14ac:dyDescent="0.3">
      <c r="A195" s="10">
        <v>2024</v>
      </c>
      <c r="B195" s="10" t="s">
        <v>180</v>
      </c>
      <c r="C195" s="60">
        <v>45527</v>
      </c>
      <c r="D195" s="10" t="s">
        <v>150</v>
      </c>
      <c r="E195" s="12" t="s">
        <v>66</v>
      </c>
      <c r="F195" s="10" t="s">
        <v>65</v>
      </c>
      <c r="G195" s="10" t="s">
        <v>151</v>
      </c>
      <c r="H195" s="10" t="s">
        <v>136</v>
      </c>
      <c r="I195" s="10" t="s">
        <v>293</v>
      </c>
      <c r="J195" s="18"/>
      <c r="K195" s="18"/>
      <c r="L195" s="61"/>
      <c r="M195" s="10">
        <v>182912</v>
      </c>
      <c r="N195" s="15">
        <v>1030</v>
      </c>
      <c r="O195" s="64">
        <v>1030</v>
      </c>
      <c r="P195" s="15">
        <v>1030</v>
      </c>
      <c r="Q195" s="33">
        <v>1030</v>
      </c>
      <c r="R195" s="65">
        <f t="shared" si="23"/>
        <v>0</v>
      </c>
      <c r="S195" s="65">
        <f t="shared" si="24"/>
        <v>0</v>
      </c>
      <c r="T195" s="66">
        <f t="shared" si="25"/>
        <v>0</v>
      </c>
      <c r="U195" s="66">
        <f t="shared" si="26"/>
        <v>0</v>
      </c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65">
        <f t="shared" si="27"/>
        <v>0</v>
      </c>
      <c r="AK195" s="65">
        <f t="shared" si="29"/>
        <v>0</v>
      </c>
      <c r="AL195" s="81"/>
      <c r="AM195" s="18">
        <v>4</v>
      </c>
    </row>
    <row r="196" spans="1:39" x14ac:dyDescent="0.3">
      <c r="A196" s="10">
        <v>2024</v>
      </c>
      <c r="B196" s="10" t="s">
        <v>180</v>
      </c>
      <c r="C196" s="60">
        <v>45527</v>
      </c>
      <c r="D196" s="10" t="s">
        <v>150</v>
      </c>
      <c r="E196" s="12" t="s">
        <v>66</v>
      </c>
      <c r="F196" s="10" t="s">
        <v>65</v>
      </c>
      <c r="G196" s="10" t="s">
        <v>151</v>
      </c>
      <c r="H196" s="10" t="s">
        <v>136</v>
      </c>
      <c r="I196" s="10" t="s">
        <v>294</v>
      </c>
      <c r="J196" s="31"/>
      <c r="K196" s="18"/>
      <c r="L196" s="61"/>
      <c r="M196" s="10">
        <v>182915</v>
      </c>
      <c r="N196" s="15">
        <v>820</v>
      </c>
      <c r="O196" s="21">
        <v>820</v>
      </c>
      <c r="P196" s="15">
        <v>820</v>
      </c>
      <c r="Q196" s="21">
        <v>820</v>
      </c>
      <c r="R196" s="15">
        <f t="shared" si="23"/>
        <v>0</v>
      </c>
      <c r="S196" s="15">
        <f t="shared" si="24"/>
        <v>0</v>
      </c>
      <c r="T196" s="35">
        <f t="shared" si="25"/>
        <v>0</v>
      </c>
      <c r="U196" s="35">
        <f t="shared" si="26"/>
        <v>0</v>
      </c>
      <c r="V196" s="10"/>
      <c r="W196" s="10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65">
        <f t="shared" si="27"/>
        <v>0</v>
      </c>
      <c r="AK196" s="65">
        <f t="shared" si="29"/>
        <v>0</v>
      </c>
      <c r="AL196" s="10"/>
      <c r="AM196" s="18">
        <v>4</v>
      </c>
    </row>
    <row r="197" spans="1:39" x14ac:dyDescent="0.3">
      <c r="A197" s="24">
        <v>2024</v>
      </c>
      <c r="B197" s="24" t="s">
        <v>180</v>
      </c>
      <c r="C197" s="58">
        <v>45527</v>
      </c>
      <c r="D197" s="24" t="s">
        <v>135</v>
      </c>
      <c r="E197" s="26" t="s">
        <v>66</v>
      </c>
      <c r="F197" s="24" t="s">
        <v>65</v>
      </c>
      <c r="G197" s="24" t="s">
        <v>55</v>
      </c>
      <c r="H197" s="24" t="s">
        <v>136</v>
      </c>
      <c r="I197" s="24" t="s">
        <v>295</v>
      </c>
      <c r="J197" s="93"/>
      <c r="K197" s="27"/>
      <c r="L197" s="79"/>
      <c r="M197" s="24">
        <v>183106</v>
      </c>
      <c r="N197" s="48">
        <v>3000</v>
      </c>
      <c r="O197" s="29">
        <v>3017</v>
      </c>
      <c r="P197" s="48">
        <v>3008</v>
      </c>
      <c r="Q197" s="29">
        <v>3000</v>
      </c>
      <c r="R197" s="48">
        <f t="shared" si="23"/>
        <v>-17</v>
      </c>
      <c r="S197" s="48">
        <f t="shared" si="24"/>
        <v>0</v>
      </c>
      <c r="T197" s="86">
        <f t="shared" si="25"/>
        <v>0</v>
      </c>
      <c r="U197" s="86">
        <f t="shared" si="26"/>
        <v>-5.6347364932051169E-3</v>
      </c>
      <c r="V197" s="24"/>
      <c r="W197" s="24"/>
      <c r="X197" s="27">
        <v>3</v>
      </c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>
        <v>14</v>
      </c>
      <c r="AJ197" s="85">
        <f t="shared" si="27"/>
        <v>17</v>
      </c>
      <c r="AK197" s="85">
        <f t="shared" si="29"/>
        <v>0</v>
      </c>
      <c r="AL197" s="24"/>
      <c r="AM197" s="27">
        <v>4</v>
      </c>
    </row>
    <row r="198" spans="1:39" x14ac:dyDescent="0.3">
      <c r="A198" s="24">
        <v>2024</v>
      </c>
      <c r="B198" s="24" t="s">
        <v>180</v>
      </c>
      <c r="C198" s="58">
        <v>45527</v>
      </c>
      <c r="D198" s="24" t="s">
        <v>135</v>
      </c>
      <c r="E198" s="26" t="s">
        <v>66</v>
      </c>
      <c r="F198" s="24" t="s">
        <v>65</v>
      </c>
      <c r="G198" s="24" t="s">
        <v>55</v>
      </c>
      <c r="H198" s="24" t="s">
        <v>136</v>
      </c>
      <c r="I198" s="24" t="s">
        <v>296</v>
      </c>
      <c r="J198" s="93"/>
      <c r="K198" s="27"/>
      <c r="L198" s="79"/>
      <c r="M198" s="24">
        <v>183107</v>
      </c>
      <c r="N198" s="48">
        <v>3000</v>
      </c>
      <c r="O198" s="29">
        <v>3051</v>
      </c>
      <c r="P198" s="48">
        <v>3051</v>
      </c>
      <c r="Q198" s="29">
        <v>3000</v>
      </c>
      <c r="R198" s="48">
        <f t="shared" si="23"/>
        <v>-51</v>
      </c>
      <c r="S198" s="48">
        <f t="shared" si="24"/>
        <v>0</v>
      </c>
      <c r="T198" s="86">
        <f t="shared" si="25"/>
        <v>0</v>
      </c>
      <c r="U198" s="86">
        <f t="shared" si="26"/>
        <v>-1.6715830875122961E-2</v>
      </c>
      <c r="V198" s="24"/>
      <c r="W198" s="24"/>
      <c r="X198" s="27">
        <v>22</v>
      </c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>
        <v>29</v>
      </c>
      <c r="AJ198" s="85">
        <f t="shared" si="27"/>
        <v>51</v>
      </c>
      <c r="AK198" s="85">
        <f t="shared" si="29"/>
        <v>0</v>
      </c>
      <c r="AL198" s="24"/>
      <c r="AM198" s="27">
        <v>4</v>
      </c>
    </row>
    <row r="199" spans="1:39" x14ac:dyDescent="0.3">
      <c r="A199" s="24">
        <v>2024</v>
      </c>
      <c r="B199" s="24" t="s">
        <v>180</v>
      </c>
      <c r="C199" s="58">
        <v>45527</v>
      </c>
      <c r="D199" s="24" t="s">
        <v>135</v>
      </c>
      <c r="E199" s="26" t="s">
        <v>66</v>
      </c>
      <c r="F199" s="24" t="s">
        <v>65</v>
      </c>
      <c r="G199" s="24" t="s">
        <v>55</v>
      </c>
      <c r="H199" s="24" t="s">
        <v>136</v>
      </c>
      <c r="I199" s="24" t="s">
        <v>168</v>
      </c>
      <c r="J199" s="93"/>
      <c r="K199" s="27"/>
      <c r="L199" s="79"/>
      <c r="M199" s="24">
        <v>183058</v>
      </c>
      <c r="N199" s="48">
        <v>6190</v>
      </c>
      <c r="O199" s="29">
        <v>6222</v>
      </c>
      <c r="P199" s="48">
        <v>6222</v>
      </c>
      <c r="Q199" s="94">
        <v>6190</v>
      </c>
      <c r="R199" s="48">
        <f t="shared" si="23"/>
        <v>-32</v>
      </c>
      <c r="S199" s="48">
        <f t="shared" si="24"/>
        <v>0</v>
      </c>
      <c r="T199" s="86">
        <f t="shared" si="25"/>
        <v>0</v>
      </c>
      <c r="U199" s="86">
        <f t="shared" si="26"/>
        <v>-5.1430408228865243E-3</v>
      </c>
      <c r="V199" s="24"/>
      <c r="W199" s="24"/>
      <c r="X199" s="27">
        <v>32</v>
      </c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85">
        <f t="shared" si="27"/>
        <v>32</v>
      </c>
      <c r="AK199" s="85">
        <f t="shared" si="29"/>
        <v>0</v>
      </c>
      <c r="AL199" s="24"/>
      <c r="AM199" s="27">
        <v>4</v>
      </c>
    </row>
    <row r="200" spans="1:39" x14ac:dyDescent="0.3">
      <c r="A200" s="24">
        <v>2024</v>
      </c>
      <c r="B200" s="24" t="s">
        <v>180</v>
      </c>
      <c r="C200" s="58">
        <v>45527</v>
      </c>
      <c r="D200" s="26" t="s">
        <v>135</v>
      </c>
      <c r="E200" s="26" t="s">
        <v>66</v>
      </c>
      <c r="F200" s="24" t="s">
        <v>65</v>
      </c>
      <c r="G200" s="24" t="s">
        <v>55</v>
      </c>
      <c r="H200" s="24" t="s">
        <v>171</v>
      </c>
      <c r="I200" s="24" t="s">
        <v>297</v>
      </c>
      <c r="J200" s="27"/>
      <c r="K200" s="27"/>
      <c r="L200" s="79"/>
      <c r="M200" s="24">
        <v>183084</v>
      </c>
      <c r="N200" s="87">
        <v>1125</v>
      </c>
      <c r="O200" s="88">
        <v>1125</v>
      </c>
      <c r="P200" s="48">
        <v>1125</v>
      </c>
      <c r="Q200" s="89">
        <v>1120</v>
      </c>
      <c r="R200" s="85">
        <f t="shared" si="23"/>
        <v>-5</v>
      </c>
      <c r="S200" s="85">
        <f t="shared" si="24"/>
        <v>-5</v>
      </c>
      <c r="T200" s="90">
        <f t="shared" si="25"/>
        <v>-4.4444444444444731E-3</v>
      </c>
      <c r="U200" s="90">
        <f t="shared" si="26"/>
        <v>-4.4444444444444731E-3</v>
      </c>
      <c r="V200" s="24"/>
      <c r="W200" s="24"/>
      <c r="X200" s="24">
        <v>1</v>
      </c>
      <c r="Y200" s="24"/>
      <c r="Z200" s="24"/>
      <c r="AA200" s="24"/>
      <c r="AB200" s="24"/>
      <c r="AC200" s="24"/>
      <c r="AD200" s="24">
        <v>4</v>
      </c>
      <c r="AE200" s="24"/>
      <c r="AF200" s="24"/>
      <c r="AG200" s="24"/>
      <c r="AH200" s="24"/>
      <c r="AI200" s="24"/>
      <c r="AJ200" s="85">
        <f t="shared" si="27"/>
        <v>5</v>
      </c>
      <c r="AK200" s="85">
        <f t="shared" si="29"/>
        <v>0</v>
      </c>
      <c r="AL200" s="95"/>
      <c r="AM200" s="27">
        <v>4</v>
      </c>
    </row>
    <row r="201" spans="1:39" x14ac:dyDescent="0.3">
      <c r="A201" s="24">
        <v>2024</v>
      </c>
      <c r="B201" s="24" t="s">
        <v>180</v>
      </c>
      <c r="C201" s="58">
        <v>45527</v>
      </c>
      <c r="D201" s="26" t="s">
        <v>135</v>
      </c>
      <c r="E201" s="26" t="s">
        <v>181</v>
      </c>
      <c r="F201" s="24" t="s">
        <v>65</v>
      </c>
      <c r="G201" s="24" t="s">
        <v>55</v>
      </c>
      <c r="H201" s="24" t="s">
        <v>182</v>
      </c>
      <c r="I201" s="24" t="s">
        <v>298</v>
      </c>
      <c r="J201" s="27"/>
      <c r="K201" s="27"/>
      <c r="L201" s="79"/>
      <c r="M201" s="24">
        <v>183357</v>
      </c>
      <c r="N201" s="87">
        <v>1260</v>
      </c>
      <c r="O201" s="88">
        <v>1284</v>
      </c>
      <c r="P201" s="48">
        <v>1260</v>
      </c>
      <c r="Q201" s="89">
        <v>1260</v>
      </c>
      <c r="R201" s="85">
        <f t="shared" si="23"/>
        <v>-24</v>
      </c>
      <c r="S201" s="85">
        <f t="shared" si="24"/>
        <v>0</v>
      </c>
      <c r="T201" s="90">
        <f t="shared" si="25"/>
        <v>0</v>
      </c>
      <c r="U201" s="90">
        <f t="shared" si="26"/>
        <v>-1.8691588785046731E-2</v>
      </c>
      <c r="V201" s="24"/>
      <c r="W201" s="24"/>
      <c r="X201" s="24"/>
      <c r="Y201" s="24">
        <v>24</v>
      </c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85">
        <f t="shared" si="27"/>
        <v>24</v>
      </c>
      <c r="AK201" s="85">
        <f t="shared" si="29"/>
        <v>0</v>
      </c>
      <c r="AL201" s="95"/>
      <c r="AM201" s="27">
        <v>4</v>
      </c>
    </row>
    <row r="202" spans="1:39" x14ac:dyDescent="0.3">
      <c r="A202" s="24">
        <v>2024</v>
      </c>
      <c r="B202" s="24" t="s">
        <v>180</v>
      </c>
      <c r="C202" s="58">
        <v>45527</v>
      </c>
      <c r="D202" s="26" t="s">
        <v>40</v>
      </c>
      <c r="E202" s="26" t="s">
        <v>181</v>
      </c>
      <c r="F202" s="24" t="s">
        <v>184</v>
      </c>
      <c r="G202" s="24" t="s">
        <v>184</v>
      </c>
      <c r="H202" s="24" t="s">
        <v>182</v>
      </c>
      <c r="I202" s="24" t="s">
        <v>299</v>
      </c>
      <c r="J202" s="27"/>
      <c r="K202" s="27"/>
      <c r="L202" s="79"/>
      <c r="M202" s="24">
        <v>183293</v>
      </c>
      <c r="N202" s="87">
        <v>1977</v>
      </c>
      <c r="O202" s="88">
        <v>1983</v>
      </c>
      <c r="P202" s="48">
        <v>1982</v>
      </c>
      <c r="Q202" s="89">
        <v>1978</v>
      </c>
      <c r="R202" s="85">
        <f t="shared" si="23"/>
        <v>-5</v>
      </c>
      <c r="S202" s="85">
        <f t="shared" si="24"/>
        <v>1</v>
      </c>
      <c r="T202" s="90">
        <f t="shared" si="25"/>
        <v>5.0581689428419452E-4</v>
      </c>
      <c r="U202" s="90">
        <f t="shared" si="26"/>
        <v>-2.5214321734745582E-3</v>
      </c>
      <c r="V202" s="24"/>
      <c r="W202" s="24"/>
      <c r="X202" s="24"/>
      <c r="Y202" s="24"/>
      <c r="Z202" s="24">
        <v>5</v>
      </c>
      <c r="AA202" s="24"/>
      <c r="AB202" s="24"/>
      <c r="AC202" s="24"/>
      <c r="AD202" s="24"/>
      <c r="AE202" s="24"/>
      <c r="AF202" s="24"/>
      <c r="AG202" s="24"/>
      <c r="AH202" s="24"/>
      <c r="AI202" s="24"/>
      <c r="AJ202" s="85">
        <f t="shared" si="27"/>
        <v>5</v>
      </c>
      <c r="AK202" s="85">
        <f t="shared" si="29"/>
        <v>0</v>
      </c>
      <c r="AL202" s="95"/>
      <c r="AM202" s="27">
        <v>4</v>
      </c>
    </row>
    <row r="203" spans="1:39" x14ac:dyDescent="0.3">
      <c r="A203" s="24">
        <v>2024</v>
      </c>
      <c r="B203" s="24" t="s">
        <v>180</v>
      </c>
      <c r="C203" s="58">
        <v>45523</v>
      </c>
      <c r="D203" s="26" t="s">
        <v>300</v>
      </c>
      <c r="E203" s="26" t="s">
        <v>66</v>
      </c>
      <c r="F203" s="24" t="s">
        <v>301</v>
      </c>
      <c r="G203" s="24" t="s">
        <v>302</v>
      </c>
      <c r="H203" s="24" t="s">
        <v>303</v>
      </c>
      <c r="I203" s="24" t="s">
        <v>304</v>
      </c>
      <c r="J203" s="27"/>
      <c r="K203" s="27"/>
      <c r="L203" s="79"/>
      <c r="M203" s="24">
        <v>181822</v>
      </c>
      <c r="N203" s="87">
        <v>54000</v>
      </c>
      <c r="O203" s="88">
        <v>54386</v>
      </c>
      <c r="P203" s="48">
        <f>54239+147</f>
        <v>54386</v>
      </c>
      <c r="Q203" s="89">
        <v>54239</v>
      </c>
      <c r="R203" s="85">
        <f t="shared" si="23"/>
        <v>-147</v>
      </c>
      <c r="S203" s="85">
        <f t="shared" si="24"/>
        <v>239</v>
      </c>
      <c r="T203" s="90">
        <f t="shared" si="25"/>
        <v>4.4259259259258332E-3</v>
      </c>
      <c r="U203" s="90">
        <f t="shared" si="26"/>
        <v>-2.7029014819990316E-3</v>
      </c>
      <c r="V203" s="24"/>
      <c r="W203" s="24"/>
      <c r="X203" s="24">
        <v>1</v>
      </c>
      <c r="Y203" s="24"/>
      <c r="Z203" s="24">
        <v>146</v>
      </c>
      <c r="AA203" s="24"/>
      <c r="AB203" s="24"/>
      <c r="AC203" s="24"/>
      <c r="AD203" s="24"/>
      <c r="AE203" s="24"/>
      <c r="AF203" s="24"/>
      <c r="AG203" s="24"/>
      <c r="AH203" s="24"/>
      <c r="AI203" s="24"/>
      <c r="AJ203" s="85">
        <f t="shared" si="27"/>
        <v>147</v>
      </c>
      <c r="AK203" s="85">
        <f t="shared" si="29"/>
        <v>0</v>
      </c>
      <c r="AL203" s="95"/>
      <c r="AM203" s="27">
        <v>4</v>
      </c>
    </row>
    <row r="204" spans="1:39" x14ac:dyDescent="0.3">
      <c r="A204" s="24">
        <v>2024</v>
      </c>
      <c r="B204" s="24" t="s">
        <v>180</v>
      </c>
      <c r="C204" s="58">
        <v>45523</v>
      </c>
      <c r="D204" s="26" t="s">
        <v>300</v>
      </c>
      <c r="E204" s="26" t="s">
        <v>66</v>
      </c>
      <c r="F204" s="24" t="s">
        <v>301</v>
      </c>
      <c r="G204" s="24" t="s">
        <v>302</v>
      </c>
      <c r="H204" s="24" t="s">
        <v>303</v>
      </c>
      <c r="I204" s="24" t="s">
        <v>305</v>
      </c>
      <c r="J204" s="27"/>
      <c r="K204" s="27"/>
      <c r="L204" s="79"/>
      <c r="M204" s="24">
        <v>181867</v>
      </c>
      <c r="N204" s="87">
        <v>34500</v>
      </c>
      <c r="O204" s="88">
        <f>34963+64</f>
        <v>35027</v>
      </c>
      <c r="P204" s="48">
        <f>34963+64</f>
        <v>35027</v>
      </c>
      <c r="Q204" s="89">
        <v>34689</v>
      </c>
      <c r="R204" s="85">
        <f t="shared" si="23"/>
        <v>-338</v>
      </c>
      <c r="S204" s="85">
        <f t="shared" si="24"/>
        <v>189</v>
      </c>
      <c r="T204" s="90">
        <f t="shared" si="25"/>
        <v>5.4782608695651547E-3</v>
      </c>
      <c r="U204" s="90">
        <f t="shared" si="26"/>
        <v>-9.6496988037799714E-3</v>
      </c>
      <c r="V204" s="24"/>
      <c r="W204" s="24"/>
      <c r="X204" s="24">
        <v>64</v>
      </c>
      <c r="Y204" s="24"/>
      <c r="Z204" s="24">
        <v>266</v>
      </c>
      <c r="AA204" s="24"/>
      <c r="AB204" s="24"/>
      <c r="AC204" s="24"/>
      <c r="AD204" s="24"/>
      <c r="AE204" s="24"/>
      <c r="AF204" s="24">
        <v>8</v>
      </c>
      <c r="AG204" s="24"/>
      <c r="AH204" s="24"/>
      <c r="AI204" s="24"/>
      <c r="AJ204" s="85">
        <f t="shared" ref="AJ204:AJ219" si="30">SUM(X204:AI204)</f>
        <v>338</v>
      </c>
      <c r="AK204" s="85">
        <f t="shared" si="29"/>
        <v>0</v>
      </c>
      <c r="AL204" s="95"/>
      <c r="AM204" s="27">
        <v>4</v>
      </c>
    </row>
    <row r="205" spans="1:39" x14ac:dyDescent="0.3">
      <c r="A205" s="10">
        <v>2024</v>
      </c>
      <c r="B205" s="10" t="s">
        <v>180</v>
      </c>
      <c r="C205" s="60">
        <v>45523</v>
      </c>
      <c r="D205" s="12" t="s">
        <v>300</v>
      </c>
      <c r="E205" s="12" t="s">
        <v>66</v>
      </c>
      <c r="F205" s="10" t="s">
        <v>301</v>
      </c>
      <c r="G205" s="10" t="s">
        <v>302</v>
      </c>
      <c r="H205" s="10" t="s">
        <v>303</v>
      </c>
      <c r="I205" s="10" t="s">
        <v>306</v>
      </c>
      <c r="J205" s="18"/>
      <c r="K205" s="18"/>
      <c r="L205" s="61"/>
      <c r="M205" s="10">
        <v>182007</v>
      </c>
      <c r="N205" s="63">
        <v>33000</v>
      </c>
      <c r="O205" s="64">
        <v>33254</v>
      </c>
      <c r="P205" s="15">
        <v>33254</v>
      </c>
      <c r="Q205" s="33">
        <v>33185</v>
      </c>
      <c r="R205" s="65">
        <f t="shared" si="23"/>
        <v>-69</v>
      </c>
      <c r="S205" s="65">
        <f t="shared" si="24"/>
        <v>185</v>
      </c>
      <c r="T205" s="66">
        <f t="shared" si="25"/>
        <v>5.6060606060606144E-3</v>
      </c>
      <c r="U205" s="66">
        <f t="shared" si="26"/>
        <v>-2.0749383532807641E-3</v>
      </c>
      <c r="V205" s="10"/>
      <c r="W205" s="10"/>
      <c r="X205" s="10"/>
      <c r="Y205" s="10"/>
      <c r="Z205" s="10">
        <v>69</v>
      </c>
      <c r="AA205" s="10"/>
      <c r="AB205" s="10"/>
      <c r="AC205" s="10"/>
      <c r="AD205" s="10"/>
      <c r="AE205" s="10"/>
      <c r="AF205" s="10"/>
      <c r="AG205" s="10"/>
      <c r="AH205" s="10"/>
      <c r="AI205" s="10"/>
      <c r="AJ205" s="65">
        <f t="shared" si="30"/>
        <v>69</v>
      </c>
      <c r="AK205" s="65">
        <f t="shared" si="29"/>
        <v>0</v>
      </c>
      <c r="AL205" s="81"/>
      <c r="AM205" s="18">
        <v>4</v>
      </c>
    </row>
    <row r="206" spans="1:39" x14ac:dyDescent="0.3">
      <c r="A206" s="24">
        <v>2024</v>
      </c>
      <c r="B206" s="24" t="s">
        <v>180</v>
      </c>
      <c r="C206" s="58">
        <v>45523</v>
      </c>
      <c r="D206" s="26" t="s">
        <v>300</v>
      </c>
      <c r="E206" s="26" t="s">
        <v>66</v>
      </c>
      <c r="F206" s="24" t="s">
        <v>301</v>
      </c>
      <c r="G206" s="24" t="s">
        <v>302</v>
      </c>
      <c r="H206" s="24" t="s">
        <v>303</v>
      </c>
      <c r="I206" s="24" t="s">
        <v>307</v>
      </c>
      <c r="J206" s="27"/>
      <c r="K206" s="27"/>
      <c r="L206" s="79"/>
      <c r="M206" s="24">
        <v>182683</v>
      </c>
      <c r="N206" s="87">
        <v>6500</v>
      </c>
      <c r="O206" s="88">
        <v>6501</v>
      </c>
      <c r="P206" s="48">
        <v>6498</v>
      </c>
      <c r="Q206" s="89">
        <v>6457</v>
      </c>
      <c r="R206" s="85">
        <f t="shared" si="23"/>
        <v>-44</v>
      </c>
      <c r="S206" s="85">
        <f t="shared" si="24"/>
        <v>-43</v>
      </c>
      <c r="T206" s="90">
        <f t="shared" si="25"/>
        <v>-6.6153846153845786E-3</v>
      </c>
      <c r="U206" s="90">
        <f t="shared" si="26"/>
        <v>-6.7681895093062439E-3</v>
      </c>
      <c r="V206" s="24"/>
      <c r="W206" s="24"/>
      <c r="X206" s="24"/>
      <c r="Y206" s="24"/>
      <c r="Z206" s="24">
        <v>24</v>
      </c>
      <c r="AA206" s="24">
        <v>5</v>
      </c>
      <c r="AB206" s="24"/>
      <c r="AC206" s="24">
        <v>3</v>
      </c>
      <c r="AD206" s="24"/>
      <c r="AE206" s="24"/>
      <c r="AF206" s="24">
        <v>12</v>
      </c>
      <c r="AG206" s="24"/>
      <c r="AH206" s="24"/>
      <c r="AI206" s="24"/>
      <c r="AJ206" s="85">
        <f t="shared" si="30"/>
        <v>44</v>
      </c>
      <c r="AK206" s="85">
        <f t="shared" si="29"/>
        <v>0</v>
      </c>
      <c r="AL206" s="95"/>
      <c r="AM206" s="27">
        <v>4</v>
      </c>
    </row>
    <row r="207" spans="1:39" x14ac:dyDescent="0.3">
      <c r="A207" s="24">
        <v>2024</v>
      </c>
      <c r="B207" s="24" t="s">
        <v>180</v>
      </c>
      <c r="C207" s="58">
        <v>45523</v>
      </c>
      <c r="D207" s="26" t="s">
        <v>300</v>
      </c>
      <c r="E207" s="26" t="s">
        <v>66</v>
      </c>
      <c r="F207" s="24" t="s">
        <v>301</v>
      </c>
      <c r="G207" s="24" t="s">
        <v>302</v>
      </c>
      <c r="H207" s="24" t="s">
        <v>303</v>
      </c>
      <c r="I207" s="24" t="s">
        <v>308</v>
      </c>
      <c r="J207" s="27"/>
      <c r="K207" s="27"/>
      <c r="L207" s="79"/>
      <c r="M207" s="24">
        <v>182684</v>
      </c>
      <c r="N207" s="87">
        <v>7500</v>
      </c>
      <c r="O207" s="88">
        <v>7500</v>
      </c>
      <c r="P207" s="48">
        <v>7500</v>
      </c>
      <c r="Q207" s="89">
        <v>7293</v>
      </c>
      <c r="R207" s="85">
        <f t="shared" si="23"/>
        <v>-207</v>
      </c>
      <c r="S207" s="85">
        <f t="shared" si="24"/>
        <v>-207</v>
      </c>
      <c r="T207" s="90">
        <f t="shared" si="25"/>
        <v>-2.7599999999999958E-2</v>
      </c>
      <c r="U207" s="90">
        <f t="shared" si="26"/>
        <v>-2.7599999999999958E-2</v>
      </c>
      <c r="V207" s="24"/>
      <c r="W207" s="24"/>
      <c r="X207" s="24"/>
      <c r="Y207" s="24"/>
      <c r="Z207" s="24">
        <f>36+142</f>
        <v>178</v>
      </c>
      <c r="AA207" s="24">
        <v>3</v>
      </c>
      <c r="AB207" s="24"/>
      <c r="AC207" s="24">
        <v>14</v>
      </c>
      <c r="AD207" s="24"/>
      <c r="AE207" s="24"/>
      <c r="AF207" s="24">
        <v>12</v>
      </c>
      <c r="AG207" s="24"/>
      <c r="AH207" s="24"/>
      <c r="AI207" s="24"/>
      <c r="AJ207" s="85">
        <f t="shared" si="30"/>
        <v>207</v>
      </c>
      <c r="AK207" s="85">
        <f t="shared" si="29"/>
        <v>0</v>
      </c>
      <c r="AL207" s="95"/>
      <c r="AM207" s="27">
        <v>4</v>
      </c>
    </row>
    <row r="208" spans="1:39" x14ac:dyDescent="0.3">
      <c r="A208" s="24">
        <v>2024</v>
      </c>
      <c r="B208" s="24" t="s">
        <v>180</v>
      </c>
      <c r="C208" s="58">
        <v>45523</v>
      </c>
      <c r="D208" s="26" t="s">
        <v>300</v>
      </c>
      <c r="E208" s="26" t="s">
        <v>66</v>
      </c>
      <c r="F208" s="24" t="s">
        <v>301</v>
      </c>
      <c r="G208" s="24" t="s">
        <v>302</v>
      </c>
      <c r="H208" s="24" t="s">
        <v>303</v>
      </c>
      <c r="I208" s="24" t="s">
        <v>309</v>
      </c>
      <c r="J208" s="27"/>
      <c r="K208" s="27"/>
      <c r="L208" s="79"/>
      <c r="M208" s="24">
        <v>182682</v>
      </c>
      <c r="N208" s="87">
        <v>28000</v>
      </c>
      <c r="O208" s="88">
        <v>28000</v>
      </c>
      <c r="P208" s="48">
        <v>27949</v>
      </c>
      <c r="Q208" s="89">
        <f>17307+10530</f>
        <v>27837</v>
      </c>
      <c r="R208" s="85">
        <f t="shared" si="23"/>
        <v>-163</v>
      </c>
      <c r="S208" s="85">
        <f t="shared" si="24"/>
        <v>-163</v>
      </c>
      <c r="T208" s="90">
        <f t="shared" si="25"/>
        <v>-5.821428571428533E-3</v>
      </c>
      <c r="U208" s="90">
        <f t="shared" si="26"/>
        <v>-5.821428571428533E-3</v>
      </c>
      <c r="V208" s="24"/>
      <c r="W208" s="24"/>
      <c r="X208" s="24">
        <f>2+3+1</f>
        <v>6</v>
      </c>
      <c r="Y208" s="24"/>
      <c r="Z208" s="24">
        <v>74</v>
      </c>
      <c r="AA208" s="24">
        <v>51</v>
      </c>
      <c r="AB208" s="24"/>
      <c r="AC208" s="24"/>
      <c r="AD208" s="24"/>
      <c r="AE208" s="24"/>
      <c r="AF208" s="24">
        <v>32</v>
      </c>
      <c r="AG208" s="24"/>
      <c r="AH208" s="24"/>
      <c r="AI208" s="24"/>
      <c r="AJ208" s="85">
        <f t="shared" si="30"/>
        <v>163</v>
      </c>
      <c r="AK208" s="85">
        <f t="shared" si="29"/>
        <v>0</v>
      </c>
      <c r="AL208" s="95"/>
      <c r="AM208" s="27">
        <v>4</v>
      </c>
    </row>
    <row r="209" spans="1:39" x14ac:dyDescent="0.3">
      <c r="A209" s="24">
        <v>2024</v>
      </c>
      <c r="B209" s="24" t="s">
        <v>180</v>
      </c>
      <c r="C209" s="58">
        <v>45523</v>
      </c>
      <c r="D209" s="26" t="s">
        <v>300</v>
      </c>
      <c r="E209" s="26" t="s">
        <v>66</v>
      </c>
      <c r="F209" s="24" t="s">
        <v>301</v>
      </c>
      <c r="G209" s="24" t="s">
        <v>302</v>
      </c>
      <c r="H209" s="24" t="s">
        <v>303</v>
      </c>
      <c r="I209" s="24" t="s">
        <v>310</v>
      </c>
      <c r="J209" s="27"/>
      <c r="K209" s="27"/>
      <c r="L209" s="79"/>
      <c r="M209" s="24">
        <v>181823</v>
      </c>
      <c r="N209" s="87">
        <v>21000</v>
      </c>
      <c r="O209" s="88">
        <f>21000+505</f>
        <v>21505</v>
      </c>
      <c r="P209" s="48">
        <f>20931+505</f>
        <v>21436</v>
      </c>
      <c r="Q209" s="89">
        <f>20386+947</f>
        <v>21333</v>
      </c>
      <c r="R209" s="85">
        <f t="shared" si="23"/>
        <v>-172</v>
      </c>
      <c r="S209" s="85">
        <f t="shared" si="24"/>
        <v>333</v>
      </c>
      <c r="T209" s="90">
        <f t="shared" si="25"/>
        <v>1.5857142857142792E-2</v>
      </c>
      <c r="U209" s="90">
        <f t="shared" si="26"/>
        <v>-7.9981399674494691E-3</v>
      </c>
      <c r="V209" s="24"/>
      <c r="W209" s="24"/>
      <c r="X209" s="24">
        <v>1</v>
      </c>
      <c r="Y209" s="24"/>
      <c r="Z209" s="24">
        <v>102</v>
      </c>
      <c r="AA209" s="24">
        <v>69</v>
      </c>
      <c r="AB209" s="24"/>
      <c r="AC209" s="24"/>
      <c r="AD209" s="24"/>
      <c r="AE209" s="24"/>
      <c r="AF209" s="24"/>
      <c r="AG209" s="24"/>
      <c r="AH209" s="24"/>
      <c r="AI209" s="24"/>
      <c r="AJ209" s="85">
        <f t="shared" si="30"/>
        <v>172</v>
      </c>
      <c r="AK209" s="85">
        <f t="shared" si="29"/>
        <v>0</v>
      </c>
      <c r="AL209" s="95"/>
      <c r="AM209" s="27">
        <v>4</v>
      </c>
    </row>
    <row r="210" spans="1:39" x14ac:dyDescent="0.3">
      <c r="A210" s="24">
        <v>2024</v>
      </c>
      <c r="B210" s="24" t="s">
        <v>180</v>
      </c>
      <c r="C210" s="58">
        <v>45523</v>
      </c>
      <c r="D210" s="26" t="s">
        <v>300</v>
      </c>
      <c r="E210" s="26" t="s">
        <v>66</v>
      </c>
      <c r="F210" s="24" t="s">
        <v>301</v>
      </c>
      <c r="G210" s="24" t="s">
        <v>302</v>
      </c>
      <c r="H210" s="24" t="s">
        <v>303</v>
      </c>
      <c r="I210" s="24" t="s">
        <v>311</v>
      </c>
      <c r="J210" s="27"/>
      <c r="K210" s="27"/>
      <c r="L210" s="79"/>
      <c r="M210" s="24">
        <v>182009</v>
      </c>
      <c r="N210" s="87">
        <v>40000</v>
      </c>
      <c r="O210" s="88">
        <f>40000+800</f>
        <v>40800</v>
      </c>
      <c r="P210" s="48">
        <f>39996+800</f>
        <v>40796</v>
      </c>
      <c r="Q210" s="89">
        <f>38841+1728</f>
        <v>40569</v>
      </c>
      <c r="R210" s="85">
        <f t="shared" si="23"/>
        <v>-231</v>
      </c>
      <c r="S210" s="85">
        <f t="shared" si="24"/>
        <v>569</v>
      </c>
      <c r="T210" s="90">
        <f t="shared" si="25"/>
        <v>1.4224999999999932E-2</v>
      </c>
      <c r="U210" s="90">
        <f t="shared" si="26"/>
        <v>-5.6617647058823106E-3</v>
      </c>
      <c r="V210" s="24"/>
      <c r="W210" s="24"/>
      <c r="X210" s="24"/>
      <c r="Y210" s="24"/>
      <c r="Z210" s="24">
        <v>225</v>
      </c>
      <c r="AA210" s="24">
        <v>4</v>
      </c>
      <c r="AB210" s="24"/>
      <c r="AC210" s="24"/>
      <c r="AD210" s="24"/>
      <c r="AE210" s="24"/>
      <c r="AF210" s="24">
        <v>2</v>
      </c>
      <c r="AG210" s="24"/>
      <c r="AH210" s="24"/>
      <c r="AI210" s="24"/>
      <c r="AJ210" s="85">
        <f t="shared" si="30"/>
        <v>231</v>
      </c>
      <c r="AK210" s="85">
        <f t="shared" si="29"/>
        <v>0</v>
      </c>
      <c r="AL210" s="95"/>
      <c r="AM210" s="27">
        <v>4</v>
      </c>
    </row>
    <row r="211" spans="1:39" x14ac:dyDescent="0.3">
      <c r="A211" s="24">
        <v>2024</v>
      </c>
      <c r="B211" s="24" t="s">
        <v>180</v>
      </c>
      <c r="C211" s="58">
        <v>45523</v>
      </c>
      <c r="D211" s="26" t="s">
        <v>300</v>
      </c>
      <c r="E211" s="26" t="s">
        <v>66</v>
      </c>
      <c r="F211" s="24" t="s">
        <v>301</v>
      </c>
      <c r="G211" s="24" t="s">
        <v>302</v>
      </c>
      <c r="H211" s="24" t="s">
        <v>303</v>
      </c>
      <c r="I211" s="24" t="s">
        <v>312</v>
      </c>
      <c r="J211" s="27"/>
      <c r="K211" s="27"/>
      <c r="L211" s="79"/>
      <c r="M211" s="24">
        <v>182011</v>
      </c>
      <c r="N211" s="87">
        <v>6500</v>
      </c>
      <c r="O211" s="88">
        <v>6500</v>
      </c>
      <c r="P211" s="48">
        <v>6491</v>
      </c>
      <c r="Q211" s="89">
        <f>5689+657</f>
        <v>6346</v>
      </c>
      <c r="R211" s="85">
        <f t="shared" si="23"/>
        <v>-154</v>
      </c>
      <c r="S211" s="85">
        <f t="shared" si="24"/>
        <v>-154</v>
      </c>
      <c r="T211" s="90">
        <f t="shared" si="25"/>
        <v>-2.3692307692307679E-2</v>
      </c>
      <c r="U211" s="90">
        <f t="shared" si="26"/>
        <v>-2.3692307692307679E-2</v>
      </c>
      <c r="V211" s="24"/>
      <c r="W211" s="24"/>
      <c r="X211" s="24"/>
      <c r="Y211" s="24"/>
      <c r="Z211" s="24">
        <v>136</v>
      </c>
      <c r="AA211" s="24">
        <v>9</v>
      </c>
      <c r="AB211" s="24"/>
      <c r="AC211" s="24"/>
      <c r="AD211" s="24"/>
      <c r="AE211" s="24"/>
      <c r="AF211" s="24">
        <v>9</v>
      </c>
      <c r="AG211" s="24"/>
      <c r="AH211" s="24"/>
      <c r="AI211" s="24"/>
      <c r="AJ211" s="85">
        <f t="shared" si="30"/>
        <v>154</v>
      </c>
      <c r="AK211" s="85">
        <f t="shared" si="29"/>
        <v>0</v>
      </c>
      <c r="AL211" s="95"/>
      <c r="AM211" s="27">
        <v>4</v>
      </c>
    </row>
    <row r="212" spans="1:39" x14ac:dyDescent="0.3">
      <c r="A212" s="24">
        <v>2024</v>
      </c>
      <c r="B212" s="24" t="s">
        <v>180</v>
      </c>
      <c r="C212" s="58">
        <v>45523</v>
      </c>
      <c r="D212" s="26" t="s">
        <v>300</v>
      </c>
      <c r="E212" s="26" t="s">
        <v>66</v>
      </c>
      <c r="F212" s="24" t="s">
        <v>301</v>
      </c>
      <c r="G212" s="24" t="s">
        <v>302</v>
      </c>
      <c r="H212" s="24" t="s">
        <v>303</v>
      </c>
      <c r="I212" s="24" t="s">
        <v>313</v>
      </c>
      <c r="J212" s="27"/>
      <c r="K212" s="27"/>
      <c r="L212" s="79"/>
      <c r="M212" s="24">
        <v>181878</v>
      </c>
      <c r="N212" s="87">
        <v>5000</v>
      </c>
      <c r="O212" s="88">
        <v>5000</v>
      </c>
      <c r="P212" s="48">
        <v>4999</v>
      </c>
      <c r="Q212" s="89">
        <f>4682+159</f>
        <v>4841</v>
      </c>
      <c r="R212" s="85">
        <f t="shared" si="23"/>
        <v>-159</v>
      </c>
      <c r="S212" s="85">
        <f t="shared" si="24"/>
        <v>-159</v>
      </c>
      <c r="T212" s="90">
        <f t="shared" si="25"/>
        <v>-3.180000000000005E-2</v>
      </c>
      <c r="U212" s="90">
        <f t="shared" si="26"/>
        <v>-3.180000000000005E-2</v>
      </c>
      <c r="V212" s="24"/>
      <c r="W212" s="24"/>
      <c r="X212" s="24"/>
      <c r="Y212" s="24"/>
      <c r="Z212" s="24">
        <v>104</v>
      </c>
      <c r="AA212" s="24">
        <v>50</v>
      </c>
      <c r="AB212" s="24"/>
      <c r="AC212" s="24"/>
      <c r="AD212" s="24"/>
      <c r="AE212" s="24"/>
      <c r="AF212" s="24">
        <v>5</v>
      </c>
      <c r="AG212" s="24"/>
      <c r="AH212" s="24"/>
      <c r="AI212" s="24"/>
      <c r="AJ212" s="85">
        <f t="shared" si="30"/>
        <v>159</v>
      </c>
      <c r="AK212" s="85">
        <f t="shared" si="29"/>
        <v>0</v>
      </c>
      <c r="AL212" s="95"/>
      <c r="AM212" s="27">
        <v>4</v>
      </c>
    </row>
    <row r="213" spans="1:39" x14ac:dyDescent="0.3">
      <c r="A213" s="24">
        <v>2024</v>
      </c>
      <c r="B213" s="24" t="s">
        <v>180</v>
      </c>
      <c r="C213" s="58">
        <v>45523</v>
      </c>
      <c r="D213" s="26" t="s">
        <v>300</v>
      </c>
      <c r="E213" s="26" t="s">
        <v>66</v>
      </c>
      <c r="F213" s="24" t="s">
        <v>301</v>
      </c>
      <c r="G213" s="24" t="s">
        <v>302</v>
      </c>
      <c r="H213" s="24" t="s">
        <v>303</v>
      </c>
      <c r="I213" s="24" t="s">
        <v>314</v>
      </c>
      <c r="J213" s="27"/>
      <c r="K213" s="27"/>
      <c r="L213" s="79"/>
      <c r="M213" s="24">
        <v>182077</v>
      </c>
      <c r="N213" s="87">
        <v>8000</v>
      </c>
      <c r="O213" s="88">
        <v>7683</v>
      </c>
      <c r="P213" s="48">
        <v>7683</v>
      </c>
      <c r="Q213" s="89">
        <v>7600</v>
      </c>
      <c r="R213" s="85">
        <f t="shared" si="23"/>
        <v>-83</v>
      </c>
      <c r="S213" s="85">
        <f t="shared" si="24"/>
        <v>-400</v>
      </c>
      <c r="T213" s="90">
        <f t="shared" si="25"/>
        <v>-5.0000000000000044E-2</v>
      </c>
      <c r="U213" s="90">
        <f t="shared" si="26"/>
        <v>-1.0803071716777302E-2</v>
      </c>
      <c r="V213" s="24"/>
      <c r="W213" s="24"/>
      <c r="X213" s="24"/>
      <c r="Y213" s="24"/>
      <c r="Z213" s="24">
        <v>55</v>
      </c>
      <c r="AA213" s="24">
        <v>18</v>
      </c>
      <c r="AB213" s="24"/>
      <c r="AC213" s="24"/>
      <c r="AD213" s="24"/>
      <c r="AE213" s="24"/>
      <c r="AF213" s="24">
        <v>10</v>
      </c>
      <c r="AG213" s="24"/>
      <c r="AH213" s="24"/>
      <c r="AI213" s="24"/>
      <c r="AJ213" s="85">
        <f t="shared" si="30"/>
        <v>83</v>
      </c>
      <c r="AK213" s="85">
        <f t="shared" si="29"/>
        <v>0</v>
      </c>
      <c r="AL213" s="95"/>
      <c r="AM213" s="27">
        <v>4</v>
      </c>
    </row>
    <row r="214" spans="1:39" x14ac:dyDescent="0.3">
      <c r="A214" s="24">
        <v>2024</v>
      </c>
      <c r="B214" s="24" t="s">
        <v>180</v>
      </c>
      <c r="C214" s="58">
        <v>45523</v>
      </c>
      <c r="D214" s="26" t="s">
        <v>300</v>
      </c>
      <c r="E214" s="26" t="s">
        <v>66</v>
      </c>
      <c r="F214" s="24" t="s">
        <v>301</v>
      </c>
      <c r="G214" s="24" t="s">
        <v>302</v>
      </c>
      <c r="H214" s="24" t="s">
        <v>303</v>
      </c>
      <c r="I214" s="24" t="s">
        <v>315</v>
      </c>
      <c r="J214" s="27"/>
      <c r="K214" s="27"/>
      <c r="L214" s="79"/>
      <c r="M214" s="24">
        <v>182078</v>
      </c>
      <c r="N214" s="87">
        <v>10000</v>
      </c>
      <c r="O214" s="88">
        <v>9605</v>
      </c>
      <c r="P214" s="48">
        <v>9605</v>
      </c>
      <c r="Q214" s="89">
        <f>9109+379</f>
        <v>9488</v>
      </c>
      <c r="R214" s="85">
        <f t="shared" si="23"/>
        <v>-117</v>
      </c>
      <c r="S214" s="85">
        <f t="shared" si="24"/>
        <v>-512</v>
      </c>
      <c r="T214" s="90">
        <f t="shared" si="25"/>
        <v>-5.1200000000000023E-2</v>
      </c>
      <c r="U214" s="90">
        <f t="shared" si="26"/>
        <v>-1.2181155648099962E-2</v>
      </c>
      <c r="V214" s="24"/>
      <c r="W214" s="24"/>
      <c r="X214" s="24"/>
      <c r="Y214" s="24"/>
      <c r="Z214" s="24">
        <v>64</v>
      </c>
      <c r="AA214" s="24">
        <v>29</v>
      </c>
      <c r="AB214" s="24"/>
      <c r="AC214" s="24"/>
      <c r="AD214" s="24"/>
      <c r="AE214" s="24"/>
      <c r="AF214" s="24">
        <v>24</v>
      </c>
      <c r="AG214" s="24"/>
      <c r="AH214" s="24"/>
      <c r="AI214" s="24"/>
      <c r="AJ214" s="85">
        <f t="shared" si="30"/>
        <v>117</v>
      </c>
      <c r="AK214" s="85">
        <f t="shared" si="29"/>
        <v>0</v>
      </c>
      <c r="AL214" s="95"/>
      <c r="AM214" s="27">
        <v>4</v>
      </c>
    </row>
    <row r="215" spans="1:39" x14ac:dyDescent="0.3">
      <c r="A215" s="24">
        <v>2024</v>
      </c>
      <c r="B215" s="24" t="s">
        <v>180</v>
      </c>
      <c r="C215" s="58">
        <v>45523</v>
      </c>
      <c r="D215" s="26" t="s">
        <v>300</v>
      </c>
      <c r="E215" s="26" t="s">
        <v>66</v>
      </c>
      <c r="F215" s="24" t="s">
        <v>301</v>
      </c>
      <c r="G215" s="24" t="s">
        <v>302</v>
      </c>
      <c r="H215" s="24" t="s">
        <v>303</v>
      </c>
      <c r="I215" s="24" t="s">
        <v>316</v>
      </c>
      <c r="J215" s="27"/>
      <c r="K215" s="27"/>
      <c r="L215" s="79"/>
      <c r="M215" s="24">
        <v>181862</v>
      </c>
      <c r="N215" s="87">
        <v>26000</v>
      </c>
      <c r="O215" s="88">
        <f>26000+874</f>
        <v>26874</v>
      </c>
      <c r="P215" s="48">
        <v>26874</v>
      </c>
      <c r="Q215" s="89">
        <f>25325+1438</f>
        <v>26763</v>
      </c>
      <c r="R215" s="85">
        <f t="shared" si="23"/>
        <v>-111</v>
      </c>
      <c r="S215" s="85">
        <f t="shared" si="24"/>
        <v>763</v>
      </c>
      <c r="T215" s="90">
        <f t="shared" si="25"/>
        <v>2.9346153846153911E-2</v>
      </c>
      <c r="U215" s="90">
        <f t="shared" si="26"/>
        <v>-4.1303862469300734E-3</v>
      </c>
      <c r="V215" s="24"/>
      <c r="W215" s="24"/>
      <c r="X215" s="24">
        <v>35</v>
      </c>
      <c r="Y215" s="24"/>
      <c r="Z215" s="24">
        <v>76</v>
      </c>
      <c r="AA215" s="24"/>
      <c r="AB215" s="24"/>
      <c r="AC215" s="24"/>
      <c r="AD215" s="24"/>
      <c r="AE215" s="24"/>
      <c r="AF215" s="24"/>
      <c r="AG215" s="24"/>
      <c r="AH215" s="24"/>
      <c r="AI215" s="24"/>
      <c r="AJ215" s="85">
        <f t="shared" si="30"/>
        <v>111</v>
      </c>
      <c r="AK215" s="85">
        <f t="shared" si="29"/>
        <v>0</v>
      </c>
      <c r="AL215" s="95"/>
      <c r="AM215" s="27">
        <v>4</v>
      </c>
    </row>
    <row r="216" spans="1:39" x14ac:dyDescent="0.3">
      <c r="A216" s="24">
        <v>2024</v>
      </c>
      <c r="B216" s="24" t="s">
        <v>180</v>
      </c>
      <c r="C216" s="58">
        <v>45523</v>
      </c>
      <c r="D216" s="26" t="s">
        <v>300</v>
      </c>
      <c r="E216" s="26" t="s">
        <v>66</v>
      </c>
      <c r="F216" s="24" t="s">
        <v>301</v>
      </c>
      <c r="G216" s="24" t="s">
        <v>302</v>
      </c>
      <c r="H216" s="24" t="s">
        <v>303</v>
      </c>
      <c r="I216" s="24" t="s">
        <v>317</v>
      </c>
      <c r="J216" s="27"/>
      <c r="K216" s="27"/>
      <c r="L216" s="79"/>
      <c r="M216" s="24">
        <v>181869</v>
      </c>
      <c r="N216" s="87">
        <v>34500</v>
      </c>
      <c r="O216" s="88">
        <f>34571+26</f>
        <v>34597</v>
      </c>
      <c r="P216" s="48">
        <f>34563+26</f>
        <v>34589</v>
      </c>
      <c r="Q216" s="89">
        <f>33511+947</f>
        <v>34458</v>
      </c>
      <c r="R216" s="85">
        <f t="shared" si="23"/>
        <v>-139</v>
      </c>
      <c r="S216" s="85">
        <f t="shared" si="24"/>
        <v>-42</v>
      </c>
      <c r="T216" s="90">
        <f t="shared" si="25"/>
        <v>-1.2173913043478368E-3</v>
      </c>
      <c r="U216" s="90">
        <f t="shared" si="26"/>
        <v>-4.0176893950342185E-3</v>
      </c>
      <c r="V216" s="24"/>
      <c r="W216" s="24"/>
      <c r="X216" s="24"/>
      <c r="Y216" s="24"/>
      <c r="Z216" s="24">
        <v>137</v>
      </c>
      <c r="AA216" s="24"/>
      <c r="AB216" s="24"/>
      <c r="AC216" s="24"/>
      <c r="AD216" s="24"/>
      <c r="AE216" s="24"/>
      <c r="AF216" s="24">
        <v>2</v>
      </c>
      <c r="AG216" s="24"/>
      <c r="AH216" s="24"/>
      <c r="AI216" s="24"/>
      <c r="AJ216" s="85">
        <f t="shared" si="30"/>
        <v>139</v>
      </c>
      <c r="AK216" s="85">
        <f t="shared" si="29"/>
        <v>0</v>
      </c>
      <c r="AL216" s="95"/>
      <c r="AM216" s="27">
        <v>4</v>
      </c>
    </row>
    <row r="217" spans="1:39" x14ac:dyDescent="0.3">
      <c r="A217" s="24">
        <v>2024</v>
      </c>
      <c r="B217" s="24" t="s">
        <v>180</v>
      </c>
      <c r="C217" s="58">
        <v>45523</v>
      </c>
      <c r="D217" s="26" t="s">
        <v>300</v>
      </c>
      <c r="E217" s="26" t="s">
        <v>66</v>
      </c>
      <c r="F217" s="24" t="s">
        <v>301</v>
      </c>
      <c r="G217" s="24" t="s">
        <v>302</v>
      </c>
      <c r="H217" s="24" t="s">
        <v>303</v>
      </c>
      <c r="I217" s="24" t="s">
        <v>318</v>
      </c>
      <c r="J217" s="27"/>
      <c r="K217" s="27"/>
      <c r="L217" s="79"/>
      <c r="M217" s="24">
        <v>182680</v>
      </c>
      <c r="N217" s="87">
        <v>6500</v>
      </c>
      <c r="O217" s="88">
        <f>5926+314</f>
        <v>6240</v>
      </c>
      <c r="P217" s="48">
        <f>5926+314</f>
        <v>6240</v>
      </c>
      <c r="Q217" s="89">
        <f>5747+345</f>
        <v>6092</v>
      </c>
      <c r="R217" s="85">
        <f t="shared" si="23"/>
        <v>-148</v>
      </c>
      <c r="S217" s="85">
        <f t="shared" si="24"/>
        <v>-408</v>
      </c>
      <c r="T217" s="90">
        <f t="shared" si="25"/>
        <v>-6.2769230769230799E-2</v>
      </c>
      <c r="U217" s="90">
        <f t="shared" si="26"/>
        <v>-2.3717948717948745E-2</v>
      </c>
      <c r="V217" s="24"/>
      <c r="W217" s="24"/>
      <c r="X217" s="24">
        <v>2</v>
      </c>
      <c r="Y217" s="24"/>
      <c r="Z217" s="24">
        <v>118</v>
      </c>
      <c r="AA217" s="24"/>
      <c r="AB217" s="24"/>
      <c r="AC217" s="24"/>
      <c r="AD217" s="24"/>
      <c r="AE217" s="24"/>
      <c r="AF217" s="24">
        <v>28</v>
      </c>
      <c r="AG217" s="24"/>
      <c r="AH217" s="24"/>
      <c r="AI217" s="24"/>
      <c r="AJ217" s="85">
        <f t="shared" si="30"/>
        <v>148</v>
      </c>
      <c r="AK217" s="85">
        <f t="shared" si="29"/>
        <v>0</v>
      </c>
      <c r="AL217" s="95"/>
      <c r="AM217" s="27">
        <v>4</v>
      </c>
    </row>
    <row r="218" spans="1:39" x14ac:dyDescent="0.3">
      <c r="A218" s="24">
        <v>2024</v>
      </c>
      <c r="B218" s="24" t="s">
        <v>180</v>
      </c>
      <c r="C218" s="58">
        <v>45523</v>
      </c>
      <c r="D218" s="26" t="s">
        <v>300</v>
      </c>
      <c r="E218" s="26" t="s">
        <v>66</v>
      </c>
      <c r="F218" s="24" t="s">
        <v>301</v>
      </c>
      <c r="G218" s="24" t="s">
        <v>302</v>
      </c>
      <c r="H218" s="24" t="s">
        <v>303</v>
      </c>
      <c r="I218" s="24" t="s">
        <v>319</v>
      </c>
      <c r="J218" s="27"/>
      <c r="K218" s="27"/>
      <c r="L218" s="79"/>
      <c r="M218" s="24">
        <v>182681</v>
      </c>
      <c r="N218" s="87">
        <v>9000</v>
      </c>
      <c r="O218" s="88">
        <f>8687+57</f>
        <v>8744</v>
      </c>
      <c r="P218" s="48">
        <f>8687+57</f>
        <v>8744</v>
      </c>
      <c r="Q218" s="89">
        <f>8069+449+116</f>
        <v>8634</v>
      </c>
      <c r="R218" s="85">
        <f t="shared" si="23"/>
        <v>-110</v>
      </c>
      <c r="S218" s="85">
        <f t="shared" si="24"/>
        <v>-366</v>
      </c>
      <c r="T218" s="90">
        <f t="shared" si="25"/>
        <v>-4.0666666666666629E-2</v>
      </c>
      <c r="U218" s="90">
        <f t="shared" si="26"/>
        <v>-1.2580054894784976E-2</v>
      </c>
      <c r="V218" s="24"/>
      <c r="W218" s="24"/>
      <c r="X218" s="24">
        <v>1</v>
      </c>
      <c r="Y218" s="24"/>
      <c r="Z218" s="24">
        <v>85</v>
      </c>
      <c r="AA218" s="24"/>
      <c r="AB218" s="24"/>
      <c r="AC218" s="24"/>
      <c r="AD218" s="24"/>
      <c r="AE218" s="24"/>
      <c r="AF218" s="24">
        <v>24</v>
      </c>
      <c r="AG218" s="24"/>
      <c r="AH218" s="24"/>
      <c r="AI218" s="24"/>
      <c r="AJ218" s="85">
        <f t="shared" si="30"/>
        <v>110</v>
      </c>
      <c r="AK218" s="85">
        <f t="shared" si="29"/>
        <v>0</v>
      </c>
      <c r="AL218" s="95"/>
      <c r="AM218" s="27">
        <v>4</v>
      </c>
    </row>
    <row r="219" spans="1:39" x14ac:dyDescent="0.3">
      <c r="A219" s="98">
        <v>2024</v>
      </c>
      <c r="B219" s="98" t="s">
        <v>180</v>
      </c>
      <c r="C219" s="108">
        <v>45523</v>
      </c>
      <c r="D219" s="99" t="s">
        <v>135</v>
      </c>
      <c r="E219" s="99" t="s">
        <v>66</v>
      </c>
      <c r="F219" s="98" t="s">
        <v>65</v>
      </c>
      <c r="G219" s="98" t="s">
        <v>55</v>
      </c>
      <c r="H219" s="98" t="s">
        <v>303</v>
      </c>
      <c r="I219" s="98" t="s">
        <v>320</v>
      </c>
      <c r="J219" s="100"/>
      <c r="K219" s="100"/>
      <c r="L219" s="101"/>
      <c r="M219" s="98">
        <v>181863</v>
      </c>
      <c r="N219" s="102">
        <v>1526</v>
      </c>
      <c r="O219" s="103">
        <v>1526</v>
      </c>
      <c r="P219" s="104">
        <v>1526</v>
      </c>
      <c r="Q219" s="105">
        <v>1526</v>
      </c>
      <c r="R219" s="106">
        <f t="shared" si="23"/>
        <v>0</v>
      </c>
      <c r="S219" s="106">
        <f t="shared" si="24"/>
        <v>0</v>
      </c>
      <c r="T219" s="107">
        <f t="shared" si="25"/>
        <v>0</v>
      </c>
      <c r="U219" s="107">
        <f t="shared" si="26"/>
        <v>0</v>
      </c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  <c r="AH219" s="98"/>
      <c r="AI219" s="98"/>
      <c r="AJ219" s="106">
        <f t="shared" si="30"/>
        <v>0</v>
      </c>
      <c r="AK219" s="106">
        <f t="shared" si="29"/>
        <v>0</v>
      </c>
      <c r="AL219" s="109"/>
      <c r="AM219" s="100">
        <v>4</v>
      </c>
    </row>
  </sheetData>
  <autoFilter ref="A2:AM219" xr:uid="{9AFA735A-4C11-4BB1-A7A3-6C16B484FDD6}"/>
  <mergeCells count="4">
    <mergeCell ref="L147:L148"/>
    <mergeCell ref="L149:L150"/>
    <mergeCell ref="L151:L152"/>
    <mergeCell ref="A1:AM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hadi</cp:lastModifiedBy>
  <dcterms:created xsi:type="dcterms:W3CDTF">2024-06-26T08:39:04Z</dcterms:created>
  <dcterms:modified xsi:type="dcterms:W3CDTF">2024-09-10T01:28:33Z</dcterms:modified>
</cp:coreProperties>
</file>