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1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10.8.0.35\Bersama\IT\RPA 00\Monitoring Performance Shipment\Backup\20240910\New folder\"/>
    </mc:Choice>
  </mc:AlternateContent>
  <xr:revisionPtr revIDLastSave="0" documentId="13_ncr:1_{AF2434F0-58F2-40EC-BB81-C708D760FEF1}" xr6:coauthVersionLast="47" xr6:coauthVersionMax="47" xr10:uidLastSave="{00000000-0000-0000-0000-000000000000}"/>
  <bookViews>
    <workbookView xWindow="20370" yWindow="-120" windowWidth="20730" windowHeight="11160" activeTab="1" xr2:uid="{BFB33DAB-B956-401A-93AD-3738362D6D09}"/>
  </bookViews>
  <sheets>
    <sheet name="{HOME}" sheetId="1" r:id="rId1"/>
    <sheet name="DATA" sheetId="108" r:id="rId2"/>
  </sheets>
  <functionGroups builtInGroupCount="19"/>
  <definedNames>
    <definedName name="_xlnm._FilterDatabase" localSheetId="1" hidden="1">DATA!$A$2:$AL$27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I27" i="108" l="1"/>
  <c r="AA27" i="108"/>
  <c r="U27" i="108"/>
  <c r="T27" i="108"/>
  <c r="S27" i="108"/>
  <c r="R27" i="108"/>
  <c r="AJ27" i="108" s="1"/>
  <c r="AA26" i="108"/>
  <c r="X26" i="108"/>
  <c r="AI26" i="108" s="1"/>
  <c r="AJ26" i="108" s="1"/>
  <c r="U26" i="108"/>
  <c r="T26" i="108"/>
  <c r="S26" i="108"/>
  <c r="R26" i="108"/>
  <c r="AA25" i="108"/>
  <c r="X25" i="108"/>
  <c r="AI25" i="108" s="1"/>
  <c r="U25" i="108"/>
  <c r="T25" i="108"/>
  <c r="S25" i="108"/>
  <c r="R25" i="108"/>
  <c r="AJ25" i="108" s="1"/>
  <c r="AJ24" i="108"/>
  <c r="AI24" i="108"/>
  <c r="AA24" i="108"/>
  <c r="U24" i="108"/>
  <c r="T24" i="108"/>
  <c r="S24" i="108"/>
  <c r="R24" i="108"/>
  <c r="AA23" i="108"/>
  <c r="AI23" i="108" s="1"/>
  <c r="AJ23" i="108" s="1"/>
  <c r="U23" i="108"/>
  <c r="T23" i="108"/>
  <c r="S23" i="108"/>
  <c r="R23" i="108"/>
  <c r="AA22" i="108"/>
  <c r="AI22" i="108" s="1"/>
  <c r="U22" i="108"/>
  <c r="T22" i="108"/>
  <c r="S22" i="108"/>
  <c r="R22" i="108"/>
  <c r="AJ22" i="108" s="1"/>
  <c r="AA21" i="108"/>
  <c r="AI21" i="108" s="1"/>
  <c r="AJ21" i="108" s="1"/>
  <c r="U21" i="108"/>
  <c r="T21" i="108"/>
  <c r="S21" i="108"/>
  <c r="R21" i="108"/>
  <c r="AA20" i="108"/>
  <c r="AI20" i="108" s="1"/>
  <c r="U20" i="108"/>
  <c r="T20" i="108"/>
  <c r="S20" i="108"/>
  <c r="R20" i="108"/>
  <c r="AJ20" i="108" s="1"/>
  <c r="AI19" i="108"/>
  <c r="AJ19" i="108" s="1"/>
  <c r="AA19" i="108"/>
  <c r="U19" i="108"/>
  <c r="T19" i="108"/>
  <c r="S19" i="108"/>
  <c r="R19" i="108"/>
  <c r="AA18" i="108"/>
  <c r="AI18" i="108" s="1"/>
  <c r="U18" i="108"/>
  <c r="T18" i="108"/>
  <c r="S18" i="108"/>
  <c r="R18" i="108"/>
  <c r="AJ18" i="108" s="1"/>
  <c r="AI17" i="108"/>
  <c r="AA17" i="108"/>
  <c r="U17" i="108"/>
  <c r="T17" i="108"/>
  <c r="S17" i="108"/>
  <c r="R17" i="108"/>
  <c r="AJ17" i="108" s="1"/>
  <c r="AA16" i="108"/>
  <c r="AI16" i="108" s="1"/>
  <c r="U16" i="108"/>
  <c r="T16" i="108"/>
  <c r="S16" i="108"/>
  <c r="R16" i="108"/>
  <c r="AJ16" i="108" s="1"/>
  <c r="AA15" i="108"/>
  <c r="AI15" i="108" s="1"/>
  <c r="Q15" i="108"/>
  <c r="U15" i="108" s="1"/>
  <c r="AI14" i="108"/>
  <c r="AJ14" i="108" s="1"/>
  <c r="AA14" i="108"/>
  <c r="U14" i="108"/>
  <c r="T14" i="108"/>
  <c r="S14" i="108"/>
  <c r="R14" i="108"/>
  <c r="AA13" i="108"/>
  <c r="AI13" i="108" s="1"/>
  <c r="U13" i="108"/>
  <c r="T13" i="108"/>
  <c r="S13" i="108"/>
  <c r="R13" i="108"/>
  <c r="AJ13" i="108" s="1"/>
  <c r="AI12" i="108"/>
  <c r="AA12" i="108"/>
  <c r="X12" i="108"/>
  <c r="U12" i="108"/>
  <c r="T12" i="108"/>
  <c r="S12" i="108"/>
  <c r="R12" i="108"/>
  <c r="AJ12" i="108" s="1"/>
  <c r="AA11" i="108"/>
  <c r="AI11" i="108" s="1"/>
  <c r="AJ11" i="108" s="1"/>
  <c r="U11" i="108"/>
  <c r="T11" i="108"/>
  <c r="S11" i="108"/>
  <c r="R11" i="108"/>
  <c r="AA10" i="108"/>
  <c r="AI10" i="108" s="1"/>
  <c r="AJ10" i="108" s="1"/>
  <c r="U10" i="108"/>
  <c r="T10" i="108"/>
  <c r="S10" i="108"/>
  <c r="R10" i="108"/>
  <c r="AI9" i="108"/>
  <c r="AJ9" i="108" s="1"/>
  <c r="AA9" i="108"/>
  <c r="U9" i="108"/>
  <c r="T9" i="108"/>
  <c r="S9" i="108"/>
  <c r="R9" i="108"/>
  <c r="AA8" i="108"/>
  <c r="AI8" i="108" s="1"/>
  <c r="AJ8" i="108" s="1"/>
  <c r="U8" i="108"/>
  <c r="T8" i="108"/>
  <c r="S8" i="108"/>
  <c r="R8" i="108"/>
  <c r="AI7" i="108"/>
  <c r="AJ7" i="108" s="1"/>
  <c r="AA7" i="108"/>
  <c r="U7" i="108"/>
  <c r="T7" i="108"/>
  <c r="S7" i="108"/>
  <c r="R7" i="108"/>
  <c r="AA6" i="108"/>
  <c r="AI6" i="108" s="1"/>
  <c r="AJ6" i="108" s="1"/>
  <c r="U6" i="108"/>
  <c r="T6" i="108"/>
  <c r="S6" i="108"/>
  <c r="R6" i="108"/>
  <c r="AA5" i="108"/>
  <c r="AI5" i="108" s="1"/>
  <c r="AJ5" i="108" s="1"/>
  <c r="U5" i="108"/>
  <c r="T5" i="108"/>
  <c r="S5" i="108"/>
  <c r="R5" i="108"/>
  <c r="AA4" i="108"/>
  <c r="AI4" i="108" s="1"/>
  <c r="AJ4" i="108" s="1"/>
  <c r="U4" i="108"/>
  <c r="T4" i="108"/>
  <c r="S4" i="108"/>
  <c r="R4" i="108"/>
  <c r="R15" i="108" l="1"/>
  <c r="AJ15" i="108" s="1"/>
  <c r="S15" i="108"/>
  <c r="T15" i="108"/>
  <c r="C10" i="1"/>
</calcChain>
</file>

<file path=xl/sharedStrings.xml><?xml version="1.0" encoding="utf-8"?>
<sst xmlns="http://schemas.openxmlformats.org/spreadsheetml/2006/main" count="231" uniqueCount="95">
  <si>
    <t>DATA FILE</t>
  </si>
  <si>
    <t>PATH FIALE</t>
  </si>
  <si>
    <t>TAHUN</t>
  </si>
  <si>
    <t>BULAN</t>
  </si>
  <si>
    <t>Ex-Fact.Date</t>
  </si>
  <si>
    <t>PRODUKSI</t>
  </si>
  <si>
    <t>PLACING EXSPORT</t>
  </si>
  <si>
    <t>PIC</t>
  </si>
  <si>
    <t>BUYER</t>
  </si>
  <si>
    <t>STYLE#</t>
  </si>
  <si>
    <t>ARTIKEL#</t>
  </si>
  <si>
    <t>SUPPLIER KAIN</t>
  </si>
  <si>
    <t>TERIMA KAIN</t>
  </si>
  <si>
    <t>WO#</t>
  </si>
  <si>
    <t>ORDER (PCS)</t>
  </si>
  <si>
    <t>QTY CUTT (PCS)</t>
  </si>
  <si>
    <t>OUTPUT SEWING</t>
  </si>
  <si>
    <t>QTY EXP (PCS)</t>
  </si>
  <si>
    <t>BALANCE SHIP FROM CUTT</t>
  </si>
  <si>
    <t>OVERSHIP GMT EXPORT FROM ORDER</t>
  </si>
  <si>
    <t>% EXP FROM ORDER</t>
  </si>
  <si>
    <t>% EXP FROM CUTTING</t>
  </si>
  <si>
    <t>KETERANGAN</t>
  </si>
  <si>
    <t>PENGGUNAAN STOCK (IR)</t>
  </si>
  <si>
    <t>SISA EXPORT</t>
  </si>
  <si>
    <t>GOOD HANCA</t>
  </si>
  <si>
    <t>REJECT GARMENT</t>
  </si>
  <si>
    <t>REJECT CUTTING</t>
  </si>
  <si>
    <t>REJECT SEWING</t>
  </si>
  <si>
    <t>WIP</t>
  </si>
  <si>
    <t>TEST WASH</t>
  </si>
  <si>
    <t>KEEPING SAMPLE</t>
  </si>
  <si>
    <t>GOOD TANPA ACC</t>
  </si>
  <si>
    <t>GRADE B</t>
  </si>
  <si>
    <t>REJECT FABRIC</t>
  </si>
  <si>
    <t>TOTAL</t>
  </si>
  <si>
    <t>Total Balance fr Cutt</t>
  </si>
  <si>
    <t>Utility</t>
  </si>
  <si>
    <t>MAJA 1</t>
  </si>
  <si>
    <t>CHAWAN</t>
  </si>
  <si>
    <t>GM 2</t>
  </si>
  <si>
    <t>KIKI</t>
  </si>
  <si>
    <t>KALIBENDA</t>
  </si>
  <si>
    <t>GM2</t>
  </si>
  <si>
    <t>HAKI</t>
  </si>
  <si>
    <t>AGRON, INC.</t>
  </si>
  <si>
    <t>JIANGSU DINGXIN</t>
  </si>
  <si>
    <t>-</t>
  </si>
  <si>
    <t>RUDI</t>
  </si>
  <si>
    <t>ENTITAS</t>
  </si>
  <si>
    <t>Source</t>
  </si>
  <si>
    <t>Result</t>
  </si>
  <si>
    <t>\\10.8.0.35\Bersama\IT\RPA 00\Monitoring Performance Shipment\Source\Monitoring Performance Shipment Periode AGUSTUS 2024.xlsx</t>
  </si>
  <si>
    <t>\\10.8.0.35\Bersama\IT\RPA 00\Monitoring Performance Shipment\Results\Monitoring Performance Shipment.xlsx</t>
  </si>
  <si>
    <t>PIC PACKING</t>
  </si>
  <si>
    <t>RAHMAN</t>
  </si>
  <si>
    <t>ARIS</t>
  </si>
  <si>
    <t>EVI</t>
  </si>
  <si>
    <t>CLN</t>
  </si>
  <si>
    <t>61105-57</t>
  </si>
  <si>
    <t>983462 – A</t>
  </si>
  <si>
    <t>DADAN. A</t>
  </si>
  <si>
    <t>RS MITRA KELUARGA</t>
  </si>
  <si>
    <t>983418 – B</t>
  </si>
  <si>
    <t>WEEK</t>
  </si>
  <si>
    <t>GM 1</t>
  </si>
  <si>
    <t>ANUGERAH</t>
  </si>
  <si>
    <t>YULI</t>
  </si>
  <si>
    <t>PERIODE</t>
  </si>
  <si>
    <t>Performance Shipment Periode Bulan SEPTEMBER 2024</t>
  </si>
  <si>
    <t>September</t>
  </si>
  <si>
    <t>HERLAMBANG</t>
  </si>
  <si>
    <t>GTHS</t>
  </si>
  <si>
    <t>TOMMY HILFIGER, TP3T0674</t>
  </si>
  <si>
    <t>RED WING</t>
  </si>
  <si>
    <t>61805-53</t>
  </si>
  <si>
    <t>81905</t>
  </si>
  <si>
    <t>61105-53</t>
  </si>
  <si>
    <t>983375 – C</t>
  </si>
  <si>
    <t>Pilot Run, Test wash, Reject Sewing 1/2 Jadi, Reject cutting, Reject garment</t>
  </si>
  <si>
    <t>983375 – D</t>
  </si>
  <si>
    <t>983375 – E</t>
  </si>
  <si>
    <t>Pilot Run, Test wash, Reject 1/2 Jadi, Reject garment, Reject Cutting</t>
  </si>
  <si>
    <t>983375 – F</t>
  </si>
  <si>
    <t xml:space="preserve"> Test wash, Reject 1/2 Jadi, Reject garment, Reject Cutting</t>
  </si>
  <si>
    <t>983375 – G</t>
  </si>
  <si>
    <t>983418 – D</t>
  </si>
  <si>
    <t>983418 – F</t>
  </si>
  <si>
    <t>Test wash, Pilot Run, Reject Cutting, Reject garment</t>
  </si>
  <si>
    <t>983462 – C</t>
  </si>
  <si>
    <t>CELANA OFFICE WANITA</t>
  </si>
  <si>
    <t>CELANA OFFICE PRIA</t>
  </si>
  <si>
    <t>HIJAB</t>
  </si>
  <si>
    <t>MANSET</t>
  </si>
  <si>
    <t>CELANA OFFICE WANITA HAMIL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</si>
</sst>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1" formatCode="_(* #,##0_);_(* \(#,##0\);_(* &quot;-&quot;_);_(@_)"/>
    <numFmt numFmtId="164" formatCode="[$-409]d\-mmm\-yyyy;@"/>
    <numFmt numFmtId="165" formatCode="0.00%;[Red]\-0.00%"/>
    <numFmt numFmtId="167" formatCode="#,##0_ ;[Red]\-#,##0\ "/>
  </numFmts>
  <fonts count="17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indexed="8"/>
      <name val="Calibri"/>
      <family val="2"/>
      <charset val="1"/>
    </font>
    <font>
      <sz val="10"/>
      <name val="Arial"/>
      <family val="2"/>
    </font>
    <font>
      <b/>
      <sz val="11"/>
      <name val="Trebuchet MS"/>
      <family val="2"/>
    </font>
    <font>
      <b/>
      <sz val="18"/>
      <color theme="0"/>
      <name val="Century Gothic"/>
      <family val="2"/>
    </font>
    <font>
      <sz val="11"/>
      <color theme="1"/>
      <name val="Trebuchet MS"/>
      <family val="2"/>
    </font>
    <font>
      <b/>
      <sz val="22"/>
      <color theme="1"/>
      <name val="Century Gothic"/>
      <family val="2"/>
    </font>
    <font>
      <b/>
      <sz val="12"/>
      <color rgb="FFFFFFFF"/>
      <name val="Trebuchet MS"/>
      <family val="2"/>
    </font>
    <font>
      <sz val="11"/>
      <color theme="1"/>
      <name val="Calibri"/>
      <family val="2"/>
      <scheme val="minor"/>
    </font>
    <font>
      <sz val="11"/>
      <color rgb="FF0099CC"/>
      <name val="Trebuchet MS"/>
      <family val="2"/>
    </font>
    <font>
      <b/>
      <sz val="11"/>
      <color theme="1"/>
      <name val="Trebuchet MS"/>
      <family val="2"/>
    </font>
    <font>
      <sz val="11"/>
      <name val="Trebuchet MS"/>
      <family val="2"/>
    </font>
    <font>
      <sz val="11"/>
      <color indexed="8"/>
      <name val="Trebuchet MS"/>
      <family val="2"/>
    </font>
    <font>
      <b/>
      <sz val="11"/>
      <color indexed="8"/>
      <name val="Trebuchet MS"/>
      <family val="2"/>
    </font>
    <font>
      <sz val="11"/>
      <color rgb="FFFF0000"/>
      <name val="Trebuchet MS"/>
      <family val="2"/>
    </font>
    <font>
      <b/>
      <sz val="11"/>
      <color indexed="59"/>
      <name val="Trebuchet MS"/>
      <family val="2"/>
    </font>
  </fonts>
  <fills count="9">
    <fill>
      <patternFill patternType="none"/>
    </fill>
    <fill>
      <patternFill patternType="gray125"/>
    </fill>
    <fill>
      <patternFill patternType="solid">
        <fgColor rgb="FF0099CC"/>
        <bgColor indexed="64"/>
      </patternFill>
    </fill>
    <fill>
      <patternFill patternType="solid">
        <fgColor rgb="FF003548"/>
        <bgColor indexed="64"/>
      </patternFill>
    </fill>
    <fill>
      <patternFill patternType="solid">
        <fgColor rgb="FFE5F8FF"/>
        <bgColor indexed="64"/>
      </patternFill>
    </fill>
    <fill>
      <patternFill patternType="solid">
        <fgColor rgb="FF97D3D9"/>
        <bgColor rgb="FFF7EFFF"/>
      </patternFill>
    </fill>
    <fill>
      <patternFill patternType="solid">
        <fgColor rgb="FF1F4C51"/>
        <bgColor rgb="FFF7EFFF"/>
      </patternFill>
    </fill>
    <fill>
      <patternFill patternType="solid">
        <fgColor rgb="FFFFFFFF"/>
        <bgColor rgb="FFF7EFFF"/>
      </patternFill>
    </fill>
    <fill>
      <patternFill patternType="solid">
        <fgColor rgb="FFFFFF00"/>
        <bgColor rgb="FFF7EFFF"/>
      </patternFill>
    </fill>
  </fills>
  <borders count="3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rgb="FF00B0F0"/>
      </top>
      <bottom style="thin">
        <color rgb="FF00B0F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7">
    <xf numFmtId="0" fontId="0" fillId="0" borderId="0"/>
    <xf numFmtId="0" fontId="1" fillId="0" borderId="0" applyNumberFormat="0" applyFill="0" applyBorder="0" applyAlignment="0" applyProtection="0"/>
    <xf numFmtId="0" fontId="2" fillId="0" borderId="0"/>
    <xf numFmtId="0" fontId="2" fillId="0" borderId="0"/>
    <xf numFmtId="0" fontId="3" fillId="0" borderId="0"/>
    <xf numFmtId="41" fontId="9" fillId="0" borderId="0" applyFont="0" applyFill="0" applyBorder="0" applyAlignment="0" applyProtection="0"/>
    <xf numFmtId="9" fontId="9" fillId="0" borderId="0" applyFont="0" applyFill="0" applyBorder="0" applyAlignment="0" applyProtection="0"/>
  </cellStyleXfs>
  <cellXfs count="64">
    <xf numFmtId="0" fontId="0" fillId="0" borderId="0" xfId="0"/>
    <xf numFmtId="0" fontId="4" fillId="2" borderId="1" xfId="0" applyFont="1" applyFill="1" applyBorder="1" applyAlignment="1">
      <alignment horizontal="center" vertical="center"/>
    </xf>
    <xf numFmtId="0" fontId="1" fillId="4" borderId="1" xfId="1" applyFill="1" applyBorder="1"/>
    <xf numFmtId="0" fontId="0" fillId="4" borderId="1" xfId="0" applyFill="1" applyBorder="1"/>
    <xf numFmtId="0" fontId="10" fillId="2" borderId="1" xfId="0" applyFont="1" applyFill="1" applyBorder="1" applyAlignment="1">
      <alignment horizontal="center" vertical="center"/>
    </xf>
    <xf numFmtId="0" fontId="8" fillId="6" borderId="2" xfId="2" applyFont="1" applyFill="1" applyBorder="1" applyAlignment="1">
      <alignment horizontal="center" vertical="center"/>
    </xf>
    <xf numFmtId="0" fontId="8" fillId="6" borderId="2" xfId="2" applyFont="1" applyFill="1" applyBorder="1" applyAlignment="1">
      <alignment horizontal="center" vertical="center" wrapText="1"/>
    </xf>
    <xf numFmtId="38" fontId="8" fillId="6" borderId="2" xfId="2" applyNumberFormat="1" applyFont="1" applyFill="1" applyBorder="1" applyAlignment="1">
      <alignment horizontal="center" vertical="center" wrapText="1"/>
    </xf>
    <xf numFmtId="0" fontId="8" fillId="6" borderId="2" xfId="3" applyFont="1" applyFill="1" applyBorder="1" applyAlignment="1">
      <alignment horizontal="center" vertical="center" wrapText="1"/>
    </xf>
    <xf numFmtId="3" fontId="8" fillId="6" borderId="2" xfId="2" applyNumberFormat="1" applyFont="1" applyFill="1" applyBorder="1" applyAlignment="1">
      <alignment horizontal="center" vertical="center" wrapText="1"/>
    </xf>
    <xf numFmtId="0" fontId="6" fillId="7" borderId="2" xfId="0" applyFont="1" applyFill="1" applyBorder="1" applyAlignment="1">
      <alignment horizontal="center"/>
    </xf>
    <xf numFmtId="0" fontId="12" fillId="7" borderId="2" xfId="2" applyFont="1" applyFill="1" applyBorder="1" applyAlignment="1">
      <alignment horizontal="center" vertical="center"/>
    </xf>
    <xf numFmtId="0" fontId="12" fillId="7" borderId="2" xfId="4" applyFont="1" applyFill="1" applyBorder="1" applyAlignment="1">
      <alignment horizontal="center"/>
    </xf>
    <xf numFmtId="38" fontId="6" fillId="7" borderId="2" xfId="0" applyNumberFormat="1" applyFont="1" applyFill="1" applyBorder="1" applyAlignment="1">
      <alignment horizontal="center"/>
    </xf>
    <xf numFmtId="38" fontId="13" fillId="7" borderId="2" xfId="2" applyNumberFormat="1" applyFont="1" applyFill="1" applyBorder="1" applyAlignment="1">
      <alignment horizontal="center" vertical="center" wrapText="1"/>
    </xf>
    <xf numFmtId="165" fontId="6" fillId="7" borderId="2" xfId="0" applyNumberFormat="1" applyFont="1" applyFill="1" applyBorder="1" applyAlignment="1">
      <alignment horizontal="center"/>
    </xf>
    <xf numFmtId="0" fontId="6" fillId="7" borderId="2" xfId="0" applyFont="1" applyFill="1" applyBorder="1" applyAlignment="1">
      <alignment horizontal="center" vertical="center"/>
    </xf>
    <xf numFmtId="167" fontId="6" fillId="7" borderId="2" xfId="0" applyNumberFormat="1" applyFont="1" applyFill="1" applyBorder="1" applyAlignment="1">
      <alignment horizontal="center"/>
    </xf>
    <xf numFmtId="165" fontId="6" fillId="7" borderId="2" xfId="6" applyNumberFormat="1" applyFont="1" applyFill="1" applyBorder="1" applyAlignment="1">
      <alignment horizontal="center" vertical="center"/>
    </xf>
    <xf numFmtId="0" fontId="6" fillId="8" borderId="2" xfId="0" applyFont="1" applyFill="1" applyBorder="1" applyAlignment="1">
      <alignment horizontal="center"/>
    </xf>
    <xf numFmtId="0" fontId="12" fillId="8" borderId="2" xfId="2" applyFont="1" applyFill="1" applyBorder="1" applyAlignment="1">
      <alignment horizontal="center" vertical="center"/>
    </xf>
    <xf numFmtId="0" fontId="6" fillId="8" borderId="2" xfId="0" applyFont="1" applyFill="1" applyBorder="1" applyAlignment="1">
      <alignment horizontal="center" vertical="center"/>
    </xf>
    <xf numFmtId="38" fontId="6" fillId="8" borderId="2" xfId="5" applyNumberFormat="1" applyFont="1" applyFill="1" applyBorder="1" applyAlignment="1">
      <alignment horizontal="center"/>
    </xf>
    <xf numFmtId="167" fontId="6" fillId="8" borderId="2" xfId="0" applyNumberFormat="1" applyFont="1" applyFill="1" applyBorder="1" applyAlignment="1">
      <alignment horizontal="center"/>
    </xf>
    <xf numFmtId="165" fontId="6" fillId="8" borderId="2" xfId="6" applyNumberFormat="1" applyFont="1" applyFill="1" applyBorder="1" applyAlignment="1">
      <alignment horizontal="center" vertical="center"/>
    </xf>
    <xf numFmtId="167" fontId="12" fillId="7" borderId="2" xfId="0" applyNumberFormat="1" applyFont="1" applyFill="1" applyBorder="1" applyAlignment="1">
      <alignment horizontal="center" vertical="center"/>
    </xf>
    <xf numFmtId="167" fontId="12" fillId="7" borderId="2" xfId="0" applyNumberFormat="1" applyFont="1" applyFill="1" applyBorder="1" applyAlignment="1">
      <alignment horizontal="center" vertical="center" wrapText="1"/>
    </xf>
    <xf numFmtId="165" fontId="12" fillId="7" borderId="2" xfId="0" applyNumberFormat="1" applyFont="1" applyFill="1" applyBorder="1" applyAlignment="1">
      <alignment horizontal="center"/>
    </xf>
    <xf numFmtId="165" fontId="15" fillId="7" borderId="2" xfId="0" applyNumberFormat="1" applyFont="1" applyFill="1" applyBorder="1" applyAlignment="1">
      <alignment horizontal="center"/>
    </xf>
    <xf numFmtId="41" fontId="6" fillId="8" borderId="2" xfId="5" applyFont="1" applyFill="1" applyBorder="1" applyAlignment="1">
      <alignment horizontal="center"/>
    </xf>
    <xf numFmtId="0" fontId="13" fillId="7" borderId="2" xfId="2" applyFont="1" applyFill="1" applyBorder="1" applyAlignment="1">
      <alignment horizontal="center" vertical="center"/>
    </xf>
    <xf numFmtId="0" fontId="14" fillId="7" borderId="2" xfId="2" applyFont="1" applyFill="1" applyBorder="1" applyAlignment="1">
      <alignment horizontal="center" vertical="center" wrapText="1"/>
    </xf>
    <xf numFmtId="0" fontId="14" fillId="8" borderId="2" xfId="2" applyFont="1" applyFill="1" applyBorder="1" applyAlignment="1">
      <alignment horizontal="center" vertical="center" wrapText="1"/>
    </xf>
    <xf numFmtId="38" fontId="13" fillId="8" borderId="2" xfId="2" applyNumberFormat="1" applyFont="1" applyFill="1" applyBorder="1" applyAlignment="1">
      <alignment horizontal="center" vertical="center" wrapText="1"/>
    </xf>
    <xf numFmtId="38" fontId="6" fillId="8" borderId="2" xfId="0" applyNumberFormat="1" applyFont="1" applyFill="1" applyBorder="1" applyAlignment="1">
      <alignment horizontal="center"/>
    </xf>
    <xf numFmtId="165" fontId="6" fillId="8" borderId="2" xfId="0" applyNumberFormat="1" applyFont="1" applyFill="1" applyBorder="1" applyAlignment="1">
      <alignment horizontal="center"/>
    </xf>
    <xf numFmtId="0" fontId="12" fillId="8" borderId="2" xfId="4" applyFont="1" applyFill="1" applyBorder="1" applyAlignment="1">
      <alignment horizontal="center"/>
    </xf>
    <xf numFmtId="164" fontId="6" fillId="8" borderId="2" xfId="0" applyNumberFormat="1" applyFont="1" applyFill="1" applyBorder="1" applyAlignment="1">
      <alignment horizontal="center"/>
    </xf>
    <xf numFmtId="38" fontId="12" fillId="8" borderId="2" xfId="4" applyNumberFormat="1" applyFont="1" applyFill="1" applyBorder="1" applyAlignment="1">
      <alignment horizontal="center"/>
    </xf>
    <xf numFmtId="164" fontId="6" fillId="7" borderId="2" xfId="0" applyNumberFormat="1" applyFont="1" applyFill="1" applyBorder="1" applyAlignment="1">
      <alignment horizontal="center"/>
    </xf>
    <xf numFmtId="38" fontId="12" fillId="7" borderId="2" xfId="0" applyNumberFormat="1" applyFont="1" applyFill="1" applyBorder="1" applyAlignment="1">
      <alignment horizontal="center" vertical="center" wrapText="1"/>
    </xf>
    <xf numFmtId="167" fontId="12" fillId="7" borderId="2" xfId="0" applyNumberFormat="1" applyFont="1" applyFill="1" applyBorder="1" applyAlignment="1">
      <alignment horizontal="center"/>
    </xf>
    <xf numFmtId="38" fontId="6" fillId="7" borderId="2" xfId="0" applyNumberFormat="1" applyFont="1" applyFill="1" applyBorder="1" applyAlignment="1">
      <alignment horizontal="center" vertical="center"/>
    </xf>
    <xf numFmtId="165" fontId="12" fillId="7" borderId="2" xfId="0" applyNumberFormat="1" applyFont="1" applyFill="1" applyBorder="1" applyAlignment="1">
      <alignment horizontal="center" vertical="center"/>
    </xf>
    <xf numFmtId="167" fontId="6" fillId="8" borderId="2" xfId="0" applyNumberFormat="1" applyFont="1" applyFill="1" applyBorder="1" applyAlignment="1">
      <alignment horizontal="center" vertical="center"/>
    </xf>
    <xf numFmtId="0" fontId="6" fillId="7" borderId="2" xfId="0" quotePrefix="1" applyFont="1" applyFill="1" applyBorder="1" applyAlignment="1">
      <alignment horizontal="center"/>
    </xf>
    <xf numFmtId="38" fontId="6" fillId="8" borderId="2" xfId="0" applyNumberFormat="1" applyFont="1" applyFill="1" applyBorder="1" applyAlignment="1">
      <alignment horizontal="center" vertical="center"/>
    </xf>
    <xf numFmtId="38" fontId="12" fillId="8" borderId="2" xfId="0" applyNumberFormat="1" applyFont="1" applyFill="1" applyBorder="1" applyAlignment="1">
      <alignment horizontal="center" vertical="center" wrapText="1"/>
    </xf>
    <xf numFmtId="167" fontId="12" fillId="8" borderId="2" xfId="0" applyNumberFormat="1" applyFont="1" applyFill="1" applyBorder="1" applyAlignment="1">
      <alignment horizontal="center"/>
    </xf>
    <xf numFmtId="167" fontId="12" fillId="8" borderId="2" xfId="0" applyNumberFormat="1" applyFont="1" applyFill="1" applyBorder="1" applyAlignment="1">
      <alignment horizontal="center" vertical="center" wrapText="1"/>
    </xf>
    <xf numFmtId="165" fontId="12" fillId="8" borderId="2" xfId="0" applyNumberFormat="1" applyFont="1" applyFill="1" applyBorder="1" applyAlignment="1">
      <alignment horizontal="center" vertical="center"/>
    </xf>
    <xf numFmtId="0" fontId="6" fillId="8" borderId="2" xfId="0" quotePrefix="1" applyFont="1" applyFill="1" applyBorder="1" applyAlignment="1">
      <alignment horizontal="center"/>
    </xf>
    <xf numFmtId="167" fontId="6" fillId="7" borderId="2" xfId="0" applyNumberFormat="1" applyFont="1" applyFill="1" applyBorder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0" fontId="6" fillId="0" borderId="0" xfId="0" applyFont="1" applyFill="1" applyBorder="1" applyAlignment="1">
      <alignment horizontal="center"/>
    </xf>
    <xf numFmtId="0" fontId="6" fillId="8" borderId="2" xfId="2" applyFont="1" applyFill="1" applyBorder="1" applyAlignment="1">
      <alignment horizontal="center" vertical="center"/>
    </xf>
    <xf numFmtId="0" fontId="6" fillId="7" borderId="2" xfId="2" applyFont="1" applyFill="1" applyBorder="1" applyAlignment="1">
      <alignment horizontal="center" vertical="center"/>
    </xf>
    <xf numFmtId="0" fontId="16" fillId="7" borderId="2" xfId="2" applyFont="1" applyFill="1" applyBorder="1" applyAlignment="1">
      <alignment horizontal="center" vertical="center"/>
    </xf>
    <xf numFmtId="3" fontId="12" fillId="7" borderId="2" xfId="4" applyNumberFormat="1" applyFont="1" applyFill="1" applyBorder="1" applyAlignment="1">
      <alignment horizontal="center" vertical="center" wrapText="1"/>
    </xf>
    <xf numFmtId="3" fontId="12" fillId="8" borderId="2" xfId="4" applyNumberFormat="1" applyFont="1" applyFill="1" applyBorder="1" applyAlignment="1">
      <alignment horizontal="center" vertical="center" wrapText="1"/>
    </xf>
    <xf numFmtId="0" fontId="11" fillId="8" borderId="2" xfId="0" applyFont="1" applyFill="1" applyBorder="1" applyAlignment="1">
      <alignment horizontal="center"/>
    </xf>
    <xf numFmtId="16" fontId="6" fillId="8" borderId="2" xfId="0" applyNumberFormat="1" applyFont="1" applyFill="1" applyBorder="1" applyAlignment="1">
      <alignment horizontal="center"/>
    </xf>
    <xf numFmtId="0" fontId="7" fillId="5" borderId="0" xfId="0" applyFont="1" applyFill="1" applyBorder="1" applyAlignment="1">
      <alignment horizontal="left" vertical="center"/>
    </xf>
    <xf numFmtId="0" fontId="7" fillId="0" borderId="0" xfId="0" applyFont="1" applyFill="1" applyBorder="1" applyAlignment="1">
      <alignment horizontal="left" vertical="center"/>
    </xf>
  </cellXfs>
  <cellStyles count="7">
    <cellStyle name="Comma [0]" xfId="5" builtinId="6"/>
    <cellStyle name="Excel Built-in Normal" xfId="2" xr:uid="{54032583-BBC7-4FA1-AB80-C5C39EBA464B}"/>
    <cellStyle name="Excel Built-in Normal 4" xfId="3" xr:uid="{2EB6687A-D617-4789-923A-85C6899382B3}"/>
    <cellStyle name="Hyperlink" xfId="1" builtinId="8"/>
    <cellStyle name="Normal" xfId="0" builtinId="0"/>
    <cellStyle name="Normal 2" xfId="4" xr:uid="{335F47F0-51FE-47BA-878B-31A92906667E}"/>
    <cellStyle name="Percent" xfId="6" builtinId="5"/>
  </cellStyles>
  <dxfs count="0"/>
  <tableStyles count="0" defaultTableStyle="TableStyleMedium2" defaultPivotStyle="PivotStyleLight16"/>
  <colors>
    <mruColors>
      <color rgb="FF0099CC"/>
      <color rgb="FFE5F8FF"/>
      <color rgb="FFD9F5FF"/>
      <color rgb="FF003548"/>
      <color rgb="FF0066FF"/>
      <color rgb="FF3366CC"/>
      <color rgb="FF0066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1668355</xdr:colOff>
      <xdr:row>1</xdr:row>
      <xdr:rowOff>36799</xdr:rowOff>
    </xdr:from>
    <xdr:to>
      <xdr:col>2</xdr:col>
      <xdr:colOff>3180522</xdr:colOff>
      <xdr:row>3</xdr:row>
      <xdr:rowOff>157369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pSpPr/>
      </xdr:nvGrpSpPr>
      <xdr:grpSpPr>
        <a:xfrm>
          <a:off x="2529746" y="227299"/>
          <a:ext cx="1512167" cy="501570"/>
          <a:chOff x="2529746" y="136191"/>
          <a:chExt cx="1512167" cy="625807"/>
        </a:xfrm>
        <a:effectLst>
          <a:glow rad="12700">
            <a:schemeClr val="accent1">
              <a:satMod val="175000"/>
              <a:alpha val="15000"/>
            </a:schemeClr>
          </a:glow>
          <a:outerShdw blurRad="50800" dist="50800" dir="5400000" sx="4000" sy="4000" algn="ctr" rotWithShape="0">
            <a:srgbClr val="00B0F0"/>
          </a:outerShdw>
        </a:effectLst>
        <a:scene3d>
          <a:camera prst="orthographicFront"/>
          <a:lightRig rig="threePt" dir="t"/>
        </a:scene3d>
      </xdr:grpSpPr>
      <xdr:pic>
        <xdr:nvPicPr>
          <xdr:cNvPr id="3" name="Picture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" cstate="print">
            <a:clrChange>
              <a:clrFrom>
                <a:srgbClr val="319AF2"/>
              </a:clrFrom>
              <a:clrTo>
                <a:srgbClr val="319AF2">
                  <a:alpha val="0"/>
                </a:srgbClr>
              </a:clrTo>
            </a:clrChange>
            <a:duotone>
              <a:prstClr val="black"/>
              <a:schemeClr val="accent1">
                <a:tint val="45000"/>
                <a:satMod val="400000"/>
              </a:schemeClr>
            </a:duotone>
            <a:extLst>
              <a:ext uri="{BEBA8EAE-BF5A-486C-A8C5-ECC9F3942E4B}">
                <a14:imgProps xmlns:a14="http://schemas.microsoft.com/office/drawing/2010/main">
                  <a14:imgLayer r:embed="rId2">
                    <a14:imgEffect>
                      <a14:brightnessContrast bright="-40000" contrast="2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2529746" y="136191"/>
            <a:ext cx="1512167" cy="625807"/>
          </a:xfrm>
          <a:prstGeom prst="rect">
            <a:avLst/>
          </a:prstGeom>
          <a:sp3d extrusionH="203200" prstMaterial="metal">
            <a:bevelT w="184150" h="393700" prst="relaxedInset"/>
            <a:bevelB w="177800" h="241300" prst="softRound"/>
            <a:extrusionClr>
              <a:srgbClr val="0099CC"/>
            </a:extrusionClr>
          </a:sp3d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6" name="CommandButton1" hidden="1">
                <a:extLst>
                  <a:ext uri="{63B3BB69-23CF-44E3-9099-C40C66FF867C}">
                    <a14:compatExt spid="_x0000_s1026"/>
                  </a:ext>
                  <a:ext uri="{FF2B5EF4-FFF2-40B4-BE49-F238E27FC236}">
                    <a16:creationId xmlns:a16="http://schemas.microsoft.com/office/drawing/2014/main" id="{00000000-0008-0000-0000-000002040000}"/>
                  </a:ext>
                </a:extLst>
              </xdr:cNvPr>
              <xdr:cNvSpPr/>
            </xdr:nvSpPr>
            <xdr:spPr bwMode="auto">
              <a:xfrm>
                <a:off x="2633871" y="214287"/>
                <a:ext cx="1325216" cy="423701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</xdr:wsDr>
</file>

<file path=xl/theme/theme1.xml><?xml version="1.0" encoding="utf-8"?>
<a:theme xmlns:a="http://schemas.openxmlformats.org/drawingml/2006/main" name="Office Theme 2013 - 2022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hyperlink" Target="Results\Monitoring%20Performance%20Shipment.xlsx" TargetMode="External"/><Relationship Id="rId1" Type="http://schemas.openxmlformats.org/officeDocument/2006/relationships/hyperlink" Target="../../../Source/Monitoring%20Performance%20Shipment%20Periode%20AGUSTUS%202024.xlsx" TargetMode="External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9C305A-8B12-4668-9E18-46C16FCFD4CB}">
  <sheetPr codeName="Sheet1">
    <tabColor rgb="FF174698"/>
  </sheetPr>
  <dimension ref="B6:D10"/>
  <sheetViews>
    <sheetView zoomScale="115" zoomScaleNormal="115" workbookViewId="0">
      <pane ySplit="7" topLeftCell="A8" activePane="bottomLeft" state="frozen"/>
      <selection pane="bottomLeft"/>
    </sheetView>
  </sheetViews>
  <sheetFormatPr defaultRowHeight="15" x14ac:dyDescent="0.25"/>
  <cols>
    <col min="1" max="1" width="3.28515625" customWidth="1"/>
    <col min="2" max="2" width="9.7109375" bestFit="1" customWidth="1"/>
    <col min="3" max="3" width="67.7109375" customWidth="1"/>
    <col min="4" max="4" width="0.85546875" customWidth="1"/>
  </cols>
  <sheetData>
    <row r="6" spans="2:4" ht="22.5" x14ac:dyDescent="0.25">
      <c r="B6" s="53" t="s">
        <v>0</v>
      </c>
      <c r="C6" s="53"/>
      <c r="D6" s="53"/>
    </row>
    <row r="7" spans="2:4" ht="16.5" x14ac:dyDescent="0.25">
      <c r="B7" s="1" t="s">
        <v>49</v>
      </c>
      <c r="C7" s="1" t="s">
        <v>1</v>
      </c>
      <c r="D7" s="1"/>
    </row>
    <row r="8" spans="2:4" ht="16.5" x14ac:dyDescent="0.25">
      <c r="B8" s="3" t="s">
        <v>50</v>
      </c>
      <c r="C8" s="2" t="s">
        <v>52</v>
      </c>
      <c r="D8" s="4" t="s">
        <v>47</v>
      </c>
    </row>
    <row r="9" spans="2:4" ht="16.5" x14ac:dyDescent="0.25">
      <c r="B9" s="3" t="s">
        <v>51</v>
      </c>
      <c r="C9" s="2" t="s">
        <v>53</v>
      </c>
      <c r="D9" s="4" t="s">
        <v>47</v>
      </c>
    </row>
    <row r="10" spans="2:4" x14ac:dyDescent="0.25">
      <c r="B10" t="s">
        <v>68</v>
      </c>
      <c r="C10" t="str">
        <f ca="1">UPPER(TEXT(TODAY(),"MMMM"))</f>
        <v>SEPTEMBER</v>
      </c>
    </row>
  </sheetData>
  <mergeCells count="1">
    <mergeCell ref="B6:D6"/>
  </mergeCells>
  <hyperlinks>
    <hyperlink ref="C8" r:id="rId1" xr:uid="{4CC78091-7FAE-4032-9472-6F1DD8C50FF3}"/>
    <hyperlink ref="C9" r:id="rId2" xr:uid="{77A51510-C68E-4439-997B-5FA2B42FCA9D}"/>
  </hyperlinks>
  <pageMargins left="0.7" right="0.7" top="0.75" bottom="0.75" header="0.3" footer="0.3"/>
  <drawing r:id="rId3"/>
  <legacyDrawing r:id="rId4"/>
  <controls>
    <mc:AlternateContent xmlns:mc="http://schemas.openxmlformats.org/markup-compatibility/2006">
      <mc:Choice Requires="x14">
        <control shapeId="1026" r:id="rId5" name="CommandButton1">
          <controlPr defaultSize="0" autoLine="0" r:id="rId6">
            <anchor moveWithCells="1">
              <from>
                <xdr:col>2</xdr:col>
                <xdr:colOff>1771650</xdr:colOff>
                <xdr:row>1</xdr:row>
                <xdr:rowOff>95250</xdr:rowOff>
              </from>
              <to>
                <xdr:col>2</xdr:col>
                <xdr:colOff>3095625</xdr:colOff>
                <xdr:row>3</xdr:row>
                <xdr:rowOff>57150</xdr:rowOff>
              </to>
            </anchor>
          </controlPr>
        </control>
      </mc:Choice>
      <mc:Fallback>
        <control shapeId="1026" r:id="rId5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FF5007-A53F-4631-9BEC-9DCC98E72F91}">
  <sheetPr codeName="Sheet4">
    <tabColor rgb="FF3AA1A8"/>
  </sheetPr>
  <dimension ref="A1:AL27"/>
  <sheetViews>
    <sheetView tabSelected="1" workbookViewId="0">
      <pane ySplit="2" topLeftCell="A3" activePane="bottomLeft" state="frozen"/>
      <selection pane="bottomLeft" sqref="A1:AL1"/>
    </sheetView>
  </sheetViews>
  <sheetFormatPr defaultRowHeight="16.5" x14ac:dyDescent="0.3"/>
  <cols>
    <col min="1" max="1" width="12" style="54" customWidth="1"/>
    <col min="2" max="2" width="14.28515625" style="54" customWidth="1"/>
    <col min="3" max="3" width="15" style="54" customWidth="1"/>
    <col min="4" max="4" width="15.5703125" style="54" customWidth="1"/>
    <col min="5" max="5" width="12" style="54" customWidth="1"/>
    <col min="6" max="6" width="13.42578125" style="54" customWidth="1"/>
    <col min="7" max="7" width="17.28515625" style="54" customWidth="1"/>
    <col min="8" max="8" width="24.42578125" style="54" customWidth="1"/>
    <col min="9" max="9" width="34.85546875" style="54" customWidth="1"/>
    <col min="10" max="10" width="14.5703125" style="54" customWidth="1"/>
    <col min="11" max="11" width="21" style="54" customWidth="1"/>
    <col min="12" max="12" width="12.28515625" style="54" customWidth="1"/>
    <col min="13" max="13" width="12" style="54" customWidth="1"/>
    <col min="14" max="14" width="11.42578125" style="54" customWidth="1"/>
    <col min="15" max="15" width="12.28515625" style="54" customWidth="1"/>
    <col min="16" max="16" width="12.42578125" style="54" customWidth="1"/>
    <col min="17" max="18" width="12.28515625" style="54" customWidth="1"/>
    <col min="19" max="19" width="12.42578125" style="54" customWidth="1"/>
    <col min="20" max="20" width="11.42578125" style="54" customWidth="1"/>
    <col min="21" max="21" width="12.28515625" style="54" customWidth="1"/>
    <col min="22" max="22" width="81.7109375" style="54" customWidth="1"/>
    <col min="23" max="23" width="12.140625" style="54" customWidth="1"/>
    <col min="24" max="24" width="11.28515625" style="54" customWidth="1"/>
    <col min="25" max="25" width="12" style="54" customWidth="1"/>
    <col min="26" max="28" width="12.42578125" style="54" customWidth="1"/>
    <col min="29" max="29" width="8.140625" style="54" customWidth="1"/>
    <col min="30" max="30" width="10.5703125" style="54" customWidth="1"/>
    <col min="31" max="32" width="11.7109375" style="54" customWidth="1"/>
    <col min="33" max="33" width="11.5703125" style="54" customWidth="1"/>
    <col min="34" max="34" width="12.42578125" style="54" customWidth="1"/>
    <col min="35" max="35" width="11.5703125" style="54" customWidth="1"/>
    <col min="36" max="36" width="11.42578125" style="54" customWidth="1"/>
    <col min="37" max="37" width="10.7109375" style="54" customWidth="1"/>
    <col min="38" max="38" width="10.28515625" style="54" customWidth="1"/>
    <col min="39" max="16384" width="9.140625" style="54"/>
  </cols>
  <sheetData>
    <row r="1" spans="1:38" s="63" customFormat="1" ht="28.5" x14ac:dyDescent="0.25">
      <c r="A1" s="62" t="s">
        <v>69</v>
      </c>
      <c r="B1" s="62"/>
      <c r="C1" s="62"/>
      <c r="D1" s="62"/>
      <c r="E1" s="62"/>
      <c r="F1" s="62"/>
      <c r="G1" s="62"/>
      <c r="H1" s="62"/>
      <c r="I1" s="62"/>
      <c r="J1" s="62"/>
      <c r="K1" s="62"/>
      <c r="L1" s="62"/>
      <c r="M1" s="62"/>
      <c r="N1" s="62"/>
      <c r="O1" s="62"/>
      <c r="P1" s="62"/>
      <c r="Q1" s="62"/>
      <c r="R1" s="62"/>
      <c r="S1" s="62"/>
      <c r="T1" s="62"/>
      <c r="U1" s="62"/>
      <c r="V1" s="62"/>
      <c r="W1" s="62"/>
      <c r="X1" s="62"/>
      <c r="Y1" s="62"/>
      <c r="Z1" s="62"/>
      <c r="AA1" s="62"/>
      <c r="AB1" s="62"/>
      <c r="AC1" s="62"/>
      <c r="AD1" s="62"/>
      <c r="AE1" s="62"/>
      <c r="AF1" s="62"/>
      <c r="AG1" s="62"/>
      <c r="AH1" s="62"/>
      <c r="AI1" s="62"/>
      <c r="AJ1" s="62"/>
      <c r="AK1" s="62"/>
      <c r="AL1" s="62"/>
    </row>
    <row r="2" spans="1:38" ht="90" x14ac:dyDescent="0.3">
      <c r="A2" s="5" t="s">
        <v>2</v>
      </c>
      <c r="B2" s="5" t="s">
        <v>3</v>
      </c>
      <c r="C2" s="6" t="s">
        <v>4</v>
      </c>
      <c r="D2" s="5" t="s">
        <v>5</v>
      </c>
      <c r="E2" s="6" t="s">
        <v>6</v>
      </c>
      <c r="F2" s="5" t="s">
        <v>7</v>
      </c>
      <c r="G2" s="6" t="s">
        <v>54</v>
      </c>
      <c r="H2" s="5" t="s">
        <v>8</v>
      </c>
      <c r="I2" s="5" t="s">
        <v>9</v>
      </c>
      <c r="J2" s="5" t="s">
        <v>10</v>
      </c>
      <c r="K2" s="6" t="s">
        <v>11</v>
      </c>
      <c r="L2" s="6" t="s">
        <v>12</v>
      </c>
      <c r="M2" s="5" t="s">
        <v>13</v>
      </c>
      <c r="N2" s="7" t="s">
        <v>14</v>
      </c>
      <c r="O2" s="7" t="s">
        <v>15</v>
      </c>
      <c r="P2" s="7" t="s">
        <v>16</v>
      </c>
      <c r="Q2" s="7" t="s">
        <v>17</v>
      </c>
      <c r="R2" s="7" t="s">
        <v>18</v>
      </c>
      <c r="S2" s="6" t="s">
        <v>19</v>
      </c>
      <c r="T2" s="8" t="s">
        <v>20</v>
      </c>
      <c r="U2" s="6" t="s">
        <v>21</v>
      </c>
      <c r="V2" s="5" t="s">
        <v>22</v>
      </c>
      <c r="W2" s="6" t="s">
        <v>23</v>
      </c>
      <c r="X2" s="6" t="s">
        <v>24</v>
      </c>
      <c r="Y2" s="6" t="s">
        <v>25</v>
      </c>
      <c r="Z2" s="6" t="s">
        <v>26</v>
      </c>
      <c r="AA2" s="6" t="s">
        <v>27</v>
      </c>
      <c r="AB2" s="6" t="s">
        <v>28</v>
      </c>
      <c r="AC2" s="6" t="s">
        <v>29</v>
      </c>
      <c r="AD2" s="6" t="s">
        <v>30</v>
      </c>
      <c r="AE2" s="6" t="s">
        <v>31</v>
      </c>
      <c r="AF2" s="6" t="s">
        <v>32</v>
      </c>
      <c r="AG2" s="6" t="s">
        <v>33</v>
      </c>
      <c r="AH2" s="6" t="s">
        <v>34</v>
      </c>
      <c r="AI2" s="6" t="s">
        <v>35</v>
      </c>
      <c r="AJ2" s="9" t="s">
        <v>36</v>
      </c>
      <c r="AK2" s="6" t="s">
        <v>37</v>
      </c>
      <c r="AL2" s="6" t="s">
        <v>64</v>
      </c>
    </row>
    <row r="3" spans="1:38" x14ac:dyDescent="0.3">
      <c r="A3" s="19">
        <v>2024</v>
      </c>
      <c r="B3" s="19" t="s">
        <v>70</v>
      </c>
      <c r="C3" s="37">
        <v>45538</v>
      </c>
      <c r="D3" s="20" t="s">
        <v>66</v>
      </c>
      <c r="E3" s="55" t="s">
        <v>40</v>
      </c>
      <c r="F3" s="19" t="s">
        <v>67</v>
      </c>
      <c r="G3" s="19" t="s">
        <v>71</v>
      </c>
      <c r="H3" s="19" t="s">
        <v>72</v>
      </c>
      <c r="I3" s="19" t="s">
        <v>73</v>
      </c>
      <c r="J3" s="21"/>
      <c r="K3" s="21"/>
      <c r="L3" s="44"/>
      <c r="M3" s="19">
        <v>183360</v>
      </c>
      <c r="N3" s="47">
        <v>15260</v>
      </c>
      <c r="O3" s="48">
        <v>15266</v>
      </c>
      <c r="P3" s="34">
        <v>15227</v>
      </c>
      <c r="Q3" s="49">
        <v>15124</v>
      </c>
      <c r="R3" s="46">
        <v>-142</v>
      </c>
      <c r="S3" s="46">
        <v>-136</v>
      </c>
      <c r="T3" s="50">
        <v>-8.9121887287024748E-3</v>
      </c>
      <c r="U3" s="24">
        <v>-9.3017162321499258E-3</v>
      </c>
      <c r="V3" s="19"/>
      <c r="W3" s="19"/>
      <c r="X3" s="19">
        <v>1</v>
      </c>
      <c r="Y3" s="19"/>
      <c r="Z3" s="19">
        <v>94</v>
      </c>
      <c r="AA3" s="34">
        <v>39</v>
      </c>
      <c r="AB3" s="19"/>
      <c r="AC3" s="19"/>
      <c r="AD3" s="19"/>
      <c r="AE3" s="19">
        <v>8</v>
      </c>
      <c r="AF3" s="19"/>
      <c r="AG3" s="19"/>
      <c r="AH3" s="19"/>
      <c r="AI3" s="46">
        <v>142</v>
      </c>
      <c r="AJ3" s="46">
        <v>0</v>
      </c>
      <c r="AK3" s="51"/>
      <c r="AL3" s="34">
        <v>1</v>
      </c>
    </row>
    <row r="4" spans="1:38" x14ac:dyDescent="0.3">
      <c r="A4" s="16">
        <v>2024</v>
      </c>
      <c r="B4" s="10" t="s">
        <v>70</v>
      </c>
      <c r="C4" s="39">
        <v>45513</v>
      </c>
      <c r="D4" s="10" t="s">
        <v>65</v>
      </c>
      <c r="E4" s="11" t="s">
        <v>58</v>
      </c>
      <c r="F4" s="11" t="s">
        <v>41</v>
      </c>
      <c r="G4" s="10" t="s">
        <v>55</v>
      </c>
      <c r="H4" s="10" t="s">
        <v>74</v>
      </c>
      <c r="I4" s="10" t="s">
        <v>75</v>
      </c>
      <c r="J4" s="10"/>
      <c r="K4" s="10"/>
      <c r="L4" s="10"/>
      <c r="M4" s="10">
        <v>183394</v>
      </c>
      <c r="N4" s="10">
        <v>140</v>
      </c>
      <c r="O4" s="10">
        <v>140</v>
      </c>
      <c r="P4" s="10">
        <v>140</v>
      </c>
      <c r="Q4" s="10">
        <v>140</v>
      </c>
      <c r="R4" s="13">
        <f t="shared" ref="R4:R27" si="0">Q4-O4</f>
        <v>0</v>
      </c>
      <c r="S4" s="42">
        <f t="shared" ref="S4:S22" si="1">Q4-N4</f>
        <v>0</v>
      </c>
      <c r="T4" s="43">
        <f t="shared" ref="T4:T27" si="2">Q4/N4-1</f>
        <v>0</v>
      </c>
      <c r="U4" s="18">
        <f t="shared" ref="U4:U27" si="3">Q4/O4-1</f>
        <v>0</v>
      </c>
      <c r="V4" s="10"/>
      <c r="W4" s="10">
        <v>0</v>
      </c>
      <c r="X4" s="10">
        <v>0</v>
      </c>
      <c r="Y4" s="10">
        <v>0</v>
      </c>
      <c r="Z4" s="10">
        <v>0</v>
      </c>
      <c r="AA4" s="10">
        <f t="shared" ref="AA4:AA10" si="4">O4-P4</f>
        <v>0</v>
      </c>
      <c r="AB4" s="10">
        <v>0</v>
      </c>
      <c r="AC4" s="10">
        <v>0</v>
      </c>
      <c r="AD4" s="10">
        <v>0</v>
      </c>
      <c r="AE4" s="10">
        <v>0</v>
      </c>
      <c r="AF4" s="10">
        <v>0</v>
      </c>
      <c r="AG4" s="10">
        <v>0</v>
      </c>
      <c r="AH4" s="10">
        <v>0</v>
      </c>
      <c r="AI4" s="10">
        <f t="shared" ref="AI4:AI27" si="5">SUM(X4:AH4)</f>
        <v>0</v>
      </c>
      <c r="AJ4" s="10">
        <f t="shared" ref="AJ4:AJ10" si="6">AI4+R4</f>
        <v>0</v>
      </c>
      <c r="AK4" s="10"/>
      <c r="AL4" s="10">
        <v>1</v>
      </c>
    </row>
    <row r="5" spans="1:38" x14ac:dyDescent="0.3">
      <c r="A5" s="16">
        <v>2024</v>
      </c>
      <c r="B5" s="10" t="s">
        <v>70</v>
      </c>
      <c r="C5" s="39">
        <v>45513</v>
      </c>
      <c r="D5" s="10" t="s">
        <v>65</v>
      </c>
      <c r="E5" s="11" t="s">
        <v>58</v>
      </c>
      <c r="F5" s="11" t="s">
        <v>41</v>
      </c>
      <c r="G5" s="10" t="s">
        <v>55</v>
      </c>
      <c r="H5" s="10" t="s">
        <v>74</v>
      </c>
      <c r="I5" s="10" t="s">
        <v>75</v>
      </c>
      <c r="J5" s="10"/>
      <c r="K5" s="10"/>
      <c r="L5" s="10"/>
      <c r="M5" s="10">
        <v>183395</v>
      </c>
      <c r="N5" s="10">
        <v>160</v>
      </c>
      <c r="O5" s="10">
        <v>160</v>
      </c>
      <c r="P5" s="10">
        <v>160</v>
      </c>
      <c r="Q5" s="10">
        <v>160</v>
      </c>
      <c r="R5" s="13">
        <f t="shared" si="0"/>
        <v>0</v>
      </c>
      <c r="S5" s="42">
        <f t="shared" si="1"/>
        <v>0</v>
      </c>
      <c r="T5" s="43">
        <f t="shared" si="2"/>
        <v>0</v>
      </c>
      <c r="U5" s="18">
        <f t="shared" si="3"/>
        <v>0</v>
      </c>
      <c r="V5" s="10"/>
      <c r="W5" s="10">
        <v>0</v>
      </c>
      <c r="X5" s="10">
        <v>0</v>
      </c>
      <c r="Y5" s="10">
        <v>0</v>
      </c>
      <c r="Z5" s="10">
        <v>0</v>
      </c>
      <c r="AA5" s="10">
        <f t="shared" si="4"/>
        <v>0</v>
      </c>
      <c r="AB5" s="10">
        <v>0</v>
      </c>
      <c r="AC5" s="10">
        <v>0</v>
      </c>
      <c r="AD5" s="10">
        <v>0</v>
      </c>
      <c r="AE5" s="10">
        <v>0</v>
      </c>
      <c r="AF5" s="10">
        <v>0</v>
      </c>
      <c r="AG5" s="10">
        <v>0</v>
      </c>
      <c r="AH5" s="10">
        <v>0</v>
      </c>
      <c r="AI5" s="10">
        <f t="shared" si="5"/>
        <v>0</v>
      </c>
      <c r="AJ5" s="10">
        <f t="shared" si="6"/>
        <v>0</v>
      </c>
      <c r="AK5" s="10"/>
      <c r="AL5" s="10">
        <v>1</v>
      </c>
    </row>
    <row r="6" spans="1:38" x14ac:dyDescent="0.3">
      <c r="A6" s="16">
        <v>2024</v>
      </c>
      <c r="B6" s="10" t="s">
        <v>70</v>
      </c>
      <c r="C6" s="39">
        <v>45513</v>
      </c>
      <c r="D6" s="10" t="s">
        <v>65</v>
      </c>
      <c r="E6" s="11" t="s">
        <v>58</v>
      </c>
      <c r="F6" s="11" t="s">
        <v>41</v>
      </c>
      <c r="G6" s="10" t="s">
        <v>55</v>
      </c>
      <c r="H6" s="10" t="s">
        <v>74</v>
      </c>
      <c r="I6" s="10" t="s">
        <v>75</v>
      </c>
      <c r="J6" s="10"/>
      <c r="K6" s="10"/>
      <c r="L6" s="10"/>
      <c r="M6" s="10">
        <v>183112</v>
      </c>
      <c r="N6" s="10">
        <v>500</v>
      </c>
      <c r="O6" s="10">
        <v>500</v>
      </c>
      <c r="P6" s="10">
        <v>500</v>
      </c>
      <c r="Q6" s="10">
        <v>500</v>
      </c>
      <c r="R6" s="13">
        <f t="shared" si="0"/>
        <v>0</v>
      </c>
      <c r="S6" s="42">
        <f t="shared" si="1"/>
        <v>0</v>
      </c>
      <c r="T6" s="43">
        <f t="shared" si="2"/>
        <v>0</v>
      </c>
      <c r="U6" s="18">
        <f t="shared" si="3"/>
        <v>0</v>
      </c>
      <c r="V6" s="10"/>
      <c r="W6" s="10">
        <v>0</v>
      </c>
      <c r="X6" s="10">
        <v>0</v>
      </c>
      <c r="Y6" s="10">
        <v>0</v>
      </c>
      <c r="Z6" s="10">
        <v>0</v>
      </c>
      <c r="AA6" s="10">
        <f t="shared" si="4"/>
        <v>0</v>
      </c>
      <c r="AB6" s="10">
        <v>0</v>
      </c>
      <c r="AC6" s="10">
        <v>0</v>
      </c>
      <c r="AD6" s="10">
        <v>0</v>
      </c>
      <c r="AE6" s="10">
        <v>0</v>
      </c>
      <c r="AF6" s="10">
        <v>0</v>
      </c>
      <c r="AG6" s="10">
        <v>0</v>
      </c>
      <c r="AH6" s="10">
        <v>0</v>
      </c>
      <c r="AI6" s="10">
        <f t="shared" si="5"/>
        <v>0</v>
      </c>
      <c r="AJ6" s="10">
        <f t="shared" si="6"/>
        <v>0</v>
      </c>
      <c r="AK6" s="10"/>
      <c r="AL6" s="10">
        <v>1</v>
      </c>
    </row>
    <row r="7" spans="1:38" x14ac:dyDescent="0.3">
      <c r="A7" s="21">
        <v>2024</v>
      </c>
      <c r="B7" s="19" t="s">
        <v>70</v>
      </c>
      <c r="C7" s="37">
        <v>45513</v>
      </c>
      <c r="D7" s="19" t="s">
        <v>65</v>
      </c>
      <c r="E7" s="20" t="s">
        <v>58</v>
      </c>
      <c r="F7" s="20" t="s">
        <v>41</v>
      </c>
      <c r="G7" s="19" t="s">
        <v>55</v>
      </c>
      <c r="H7" s="19" t="s">
        <v>74</v>
      </c>
      <c r="I7" s="19" t="s">
        <v>76</v>
      </c>
      <c r="J7" s="19"/>
      <c r="K7" s="19"/>
      <c r="L7" s="19"/>
      <c r="M7" s="19">
        <v>183275</v>
      </c>
      <c r="N7" s="19">
        <v>500</v>
      </c>
      <c r="O7" s="19">
        <v>504</v>
      </c>
      <c r="P7" s="19">
        <v>500</v>
      </c>
      <c r="Q7" s="19">
        <v>500</v>
      </c>
      <c r="R7" s="34">
        <f t="shared" si="0"/>
        <v>-4</v>
      </c>
      <c r="S7" s="46">
        <f t="shared" si="1"/>
        <v>0</v>
      </c>
      <c r="T7" s="50">
        <f t="shared" si="2"/>
        <v>0</v>
      </c>
      <c r="U7" s="24">
        <f t="shared" si="3"/>
        <v>-7.9365079365079083E-3</v>
      </c>
      <c r="V7" s="19"/>
      <c r="W7" s="19">
        <v>0</v>
      </c>
      <c r="X7" s="19">
        <v>0</v>
      </c>
      <c r="Y7" s="19">
        <v>0</v>
      </c>
      <c r="Z7" s="19">
        <v>0</v>
      </c>
      <c r="AA7" s="19">
        <f t="shared" si="4"/>
        <v>4</v>
      </c>
      <c r="AB7" s="19">
        <v>0</v>
      </c>
      <c r="AC7" s="19">
        <v>0</v>
      </c>
      <c r="AD7" s="19">
        <v>0</v>
      </c>
      <c r="AE7" s="19">
        <v>0</v>
      </c>
      <c r="AF7" s="19">
        <v>0</v>
      </c>
      <c r="AG7" s="19">
        <v>0</v>
      </c>
      <c r="AH7" s="19">
        <v>0</v>
      </c>
      <c r="AI7" s="19">
        <f t="shared" si="5"/>
        <v>4</v>
      </c>
      <c r="AJ7" s="19">
        <f t="shared" si="6"/>
        <v>0</v>
      </c>
      <c r="AK7" s="19"/>
      <c r="AL7" s="19">
        <v>1</v>
      </c>
    </row>
    <row r="8" spans="1:38" x14ac:dyDescent="0.3">
      <c r="A8" s="16">
        <v>2024</v>
      </c>
      <c r="B8" s="10" t="s">
        <v>70</v>
      </c>
      <c r="C8" s="39">
        <v>45513</v>
      </c>
      <c r="D8" s="10" t="s">
        <v>65</v>
      </c>
      <c r="E8" s="11" t="s">
        <v>58</v>
      </c>
      <c r="F8" s="11" t="s">
        <v>41</v>
      </c>
      <c r="G8" s="10" t="s">
        <v>55</v>
      </c>
      <c r="H8" s="10" t="s">
        <v>74</v>
      </c>
      <c r="I8" s="10" t="s">
        <v>76</v>
      </c>
      <c r="J8" s="10"/>
      <c r="K8" s="10"/>
      <c r="L8" s="10"/>
      <c r="M8" s="10">
        <v>183408</v>
      </c>
      <c r="N8" s="10">
        <v>40</v>
      </c>
      <c r="O8" s="10">
        <v>40</v>
      </c>
      <c r="P8" s="10">
        <v>40</v>
      </c>
      <c r="Q8" s="10">
        <v>40</v>
      </c>
      <c r="R8" s="13">
        <f t="shared" si="0"/>
        <v>0</v>
      </c>
      <c r="S8" s="42">
        <f t="shared" si="1"/>
        <v>0</v>
      </c>
      <c r="T8" s="43">
        <f t="shared" si="2"/>
        <v>0</v>
      </c>
      <c r="U8" s="18">
        <f t="shared" si="3"/>
        <v>0</v>
      </c>
      <c r="V8" s="10"/>
      <c r="W8" s="10">
        <v>0</v>
      </c>
      <c r="X8" s="10">
        <v>0</v>
      </c>
      <c r="Y8" s="10">
        <v>0</v>
      </c>
      <c r="Z8" s="10">
        <v>0</v>
      </c>
      <c r="AA8" s="10">
        <f t="shared" si="4"/>
        <v>0</v>
      </c>
      <c r="AB8" s="10">
        <v>0</v>
      </c>
      <c r="AC8" s="10">
        <v>0</v>
      </c>
      <c r="AD8" s="10">
        <v>0</v>
      </c>
      <c r="AE8" s="10">
        <v>0</v>
      </c>
      <c r="AF8" s="10">
        <v>0</v>
      </c>
      <c r="AG8" s="10">
        <v>0</v>
      </c>
      <c r="AH8" s="10">
        <v>0</v>
      </c>
      <c r="AI8" s="10">
        <f t="shared" si="5"/>
        <v>0</v>
      </c>
      <c r="AJ8" s="10">
        <f t="shared" si="6"/>
        <v>0</v>
      </c>
      <c r="AK8" s="10"/>
      <c r="AL8" s="10">
        <v>1</v>
      </c>
    </row>
    <row r="9" spans="1:38" x14ac:dyDescent="0.3">
      <c r="A9" s="16">
        <v>2024</v>
      </c>
      <c r="B9" s="10" t="s">
        <v>70</v>
      </c>
      <c r="C9" s="39">
        <v>45513</v>
      </c>
      <c r="D9" s="10" t="s">
        <v>65</v>
      </c>
      <c r="E9" s="11" t="s">
        <v>58</v>
      </c>
      <c r="F9" s="11" t="s">
        <v>41</v>
      </c>
      <c r="G9" s="10" t="s">
        <v>55</v>
      </c>
      <c r="H9" s="10" t="s">
        <v>74</v>
      </c>
      <c r="I9" s="10" t="s">
        <v>77</v>
      </c>
      <c r="J9" s="10"/>
      <c r="K9" s="10"/>
      <c r="L9" s="10"/>
      <c r="M9" s="10">
        <v>183389</v>
      </c>
      <c r="N9" s="10">
        <v>140</v>
      </c>
      <c r="O9" s="10">
        <v>140</v>
      </c>
      <c r="P9" s="10">
        <v>140</v>
      </c>
      <c r="Q9" s="10">
        <v>140</v>
      </c>
      <c r="R9" s="13">
        <f t="shared" si="0"/>
        <v>0</v>
      </c>
      <c r="S9" s="42">
        <f t="shared" si="1"/>
        <v>0</v>
      </c>
      <c r="T9" s="43">
        <f t="shared" si="2"/>
        <v>0</v>
      </c>
      <c r="U9" s="18">
        <f t="shared" si="3"/>
        <v>0</v>
      </c>
      <c r="V9" s="10"/>
      <c r="W9" s="10">
        <v>0</v>
      </c>
      <c r="X9" s="10">
        <v>0</v>
      </c>
      <c r="Y9" s="10">
        <v>0</v>
      </c>
      <c r="Z9" s="10">
        <v>0</v>
      </c>
      <c r="AA9" s="10">
        <f t="shared" si="4"/>
        <v>0</v>
      </c>
      <c r="AB9" s="10">
        <v>0</v>
      </c>
      <c r="AC9" s="10">
        <v>0</v>
      </c>
      <c r="AD9" s="10">
        <v>0</v>
      </c>
      <c r="AE9" s="10">
        <v>0</v>
      </c>
      <c r="AF9" s="10">
        <v>0</v>
      </c>
      <c r="AG9" s="10">
        <v>0</v>
      </c>
      <c r="AH9" s="10">
        <v>0</v>
      </c>
      <c r="AI9" s="10">
        <f t="shared" si="5"/>
        <v>0</v>
      </c>
      <c r="AJ9" s="10">
        <f t="shared" si="6"/>
        <v>0</v>
      </c>
      <c r="AK9" s="10"/>
      <c r="AL9" s="10">
        <v>1</v>
      </c>
    </row>
    <row r="10" spans="1:38" x14ac:dyDescent="0.3">
      <c r="A10" s="16">
        <v>2024</v>
      </c>
      <c r="B10" s="10" t="s">
        <v>70</v>
      </c>
      <c r="C10" s="39">
        <v>45513</v>
      </c>
      <c r="D10" s="10" t="s">
        <v>65</v>
      </c>
      <c r="E10" s="11" t="s">
        <v>58</v>
      </c>
      <c r="F10" s="11" t="s">
        <v>41</v>
      </c>
      <c r="G10" s="10" t="s">
        <v>55</v>
      </c>
      <c r="H10" s="10" t="s">
        <v>74</v>
      </c>
      <c r="I10" s="10" t="s">
        <v>59</v>
      </c>
      <c r="J10" s="10"/>
      <c r="K10" s="10"/>
      <c r="L10" s="10"/>
      <c r="M10" s="10">
        <v>183268</v>
      </c>
      <c r="N10" s="10">
        <v>1000</v>
      </c>
      <c r="O10" s="10">
        <v>1000</v>
      </c>
      <c r="P10" s="10">
        <v>1000</v>
      </c>
      <c r="Q10" s="10">
        <v>1000</v>
      </c>
      <c r="R10" s="13">
        <f t="shared" si="0"/>
        <v>0</v>
      </c>
      <c r="S10" s="42">
        <f t="shared" si="1"/>
        <v>0</v>
      </c>
      <c r="T10" s="43">
        <f t="shared" si="2"/>
        <v>0</v>
      </c>
      <c r="U10" s="18">
        <f t="shared" si="3"/>
        <v>0</v>
      </c>
      <c r="V10" s="10"/>
      <c r="W10" s="10">
        <v>0</v>
      </c>
      <c r="X10" s="10">
        <v>0</v>
      </c>
      <c r="Y10" s="10">
        <v>0</v>
      </c>
      <c r="Z10" s="10">
        <v>0</v>
      </c>
      <c r="AA10" s="10">
        <f t="shared" si="4"/>
        <v>0</v>
      </c>
      <c r="AB10" s="10">
        <v>0</v>
      </c>
      <c r="AC10" s="10">
        <v>0</v>
      </c>
      <c r="AD10" s="10">
        <v>0</v>
      </c>
      <c r="AE10" s="10">
        <v>0</v>
      </c>
      <c r="AF10" s="10">
        <v>0</v>
      </c>
      <c r="AG10" s="10">
        <v>0</v>
      </c>
      <c r="AH10" s="10">
        <v>0</v>
      </c>
      <c r="AI10" s="10">
        <f t="shared" si="5"/>
        <v>0</v>
      </c>
      <c r="AJ10" s="10">
        <f t="shared" si="6"/>
        <v>0</v>
      </c>
      <c r="AK10" s="10"/>
      <c r="AL10" s="10">
        <v>1</v>
      </c>
    </row>
    <row r="11" spans="1:38" x14ac:dyDescent="0.3">
      <c r="A11" s="16">
        <v>2024</v>
      </c>
      <c r="B11" s="10" t="s">
        <v>70</v>
      </c>
      <c r="C11" s="39">
        <v>45541</v>
      </c>
      <c r="D11" s="11" t="s">
        <v>43</v>
      </c>
      <c r="E11" s="56" t="s">
        <v>40</v>
      </c>
      <c r="F11" s="10" t="s">
        <v>48</v>
      </c>
      <c r="G11" s="10" t="s">
        <v>57</v>
      </c>
      <c r="H11" s="16" t="s">
        <v>45</v>
      </c>
      <c r="I11" s="12" t="s">
        <v>78</v>
      </c>
      <c r="J11" s="12">
        <v>5158044</v>
      </c>
      <c r="K11" s="10"/>
      <c r="L11" s="16"/>
      <c r="M11" s="12">
        <v>183427</v>
      </c>
      <c r="N11" s="40">
        <v>38243</v>
      </c>
      <c r="O11" s="41">
        <v>38243</v>
      </c>
      <c r="P11" s="13">
        <v>38212</v>
      </c>
      <c r="Q11" s="26">
        <v>38148</v>
      </c>
      <c r="R11" s="13">
        <f t="shared" si="0"/>
        <v>-95</v>
      </c>
      <c r="S11" s="13">
        <f t="shared" si="1"/>
        <v>-95</v>
      </c>
      <c r="T11" s="15">
        <f t="shared" si="2"/>
        <v>-2.4841147399523589E-3</v>
      </c>
      <c r="U11" s="15">
        <f t="shared" si="3"/>
        <v>-2.4841147399523589E-3</v>
      </c>
      <c r="V11" s="12" t="s">
        <v>79</v>
      </c>
      <c r="W11" s="10">
        <v>142</v>
      </c>
      <c r="X11" s="10">
        <v>137</v>
      </c>
      <c r="Y11" s="10"/>
      <c r="Z11" s="10">
        <v>17</v>
      </c>
      <c r="AA11" s="13">
        <f t="shared" ref="AA11" si="7">+O11-P11</f>
        <v>31</v>
      </c>
      <c r="AB11" s="10">
        <v>48</v>
      </c>
      <c r="AC11" s="10"/>
      <c r="AD11" s="10">
        <v>4</v>
      </c>
      <c r="AE11" s="10"/>
      <c r="AF11" s="10"/>
      <c r="AG11" s="10"/>
      <c r="AH11" s="10"/>
      <c r="AI11" s="42">
        <f t="shared" si="5"/>
        <v>237</v>
      </c>
      <c r="AJ11" s="42">
        <f t="shared" ref="AJ11:AJ22" si="8">R11+AI11</f>
        <v>142</v>
      </c>
      <c r="AK11" s="30"/>
      <c r="AL11" s="16">
        <v>1</v>
      </c>
    </row>
    <row r="12" spans="1:38" x14ac:dyDescent="0.3">
      <c r="A12" s="16">
        <v>2024</v>
      </c>
      <c r="B12" s="10" t="s">
        <v>70</v>
      </c>
      <c r="C12" s="39">
        <v>45541</v>
      </c>
      <c r="D12" s="57" t="s">
        <v>42</v>
      </c>
      <c r="E12" s="56" t="s">
        <v>40</v>
      </c>
      <c r="F12" s="10" t="s">
        <v>44</v>
      </c>
      <c r="G12" s="10" t="s">
        <v>56</v>
      </c>
      <c r="H12" s="16" t="s">
        <v>45</v>
      </c>
      <c r="I12" s="12" t="s">
        <v>80</v>
      </c>
      <c r="J12" s="12">
        <v>5158038</v>
      </c>
      <c r="K12" s="16" t="s">
        <v>46</v>
      </c>
      <c r="L12" s="52">
        <v>23521</v>
      </c>
      <c r="M12" s="10">
        <v>183428</v>
      </c>
      <c r="N12" s="25">
        <v>68976</v>
      </c>
      <c r="O12" s="52">
        <v>69668</v>
      </c>
      <c r="P12" s="13">
        <v>69657</v>
      </c>
      <c r="Q12" s="58">
        <v>69604</v>
      </c>
      <c r="R12" s="13">
        <f t="shared" si="0"/>
        <v>-64</v>
      </c>
      <c r="S12" s="13">
        <f t="shared" si="1"/>
        <v>628</v>
      </c>
      <c r="T12" s="15">
        <f t="shared" si="2"/>
        <v>9.1046160983530022E-3</v>
      </c>
      <c r="U12" s="15">
        <f t="shared" si="3"/>
        <v>-9.1864270540276127E-4</v>
      </c>
      <c r="V12" s="30"/>
      <c r="W12" s="10"/>
      <c r="X12" s="16">
        <f>71-28</f>
        <v>43</v>
      </c>
      <c r="Y12" s="16">
        <v>0</v>
      </c>
      <c r="Z12" s="16">
        <v>10</v>
      </c>
      <c r="AA12" s="52">
        <f>O12-P12</f>
        <v>11</v>
      </c>
      <c r="AB12" s="16">
        <v>0</v>
      </c>
      <c r="AC12" s="16">
        <v>0</v>
      </c>
      <c r="AD12" s="16">
        <v>0</v>
      </c>
      <c r="AE12" s="16">
        <v>0</v>
      </c>
      <c r="AF12" s="16">
        <v>0</v>
      </c>
      <c r="AG12" s="16">
        <v>0</v>
      </c>
      <c r="AH12" s="10">
        <v>0</v>
      </c>
      <c r="AI12" s="42">
        <f t="shared" si="5"/>
        <v>64</v>
      </c>
      <c r="AJ12" s="42">
        <f t="shared" si="8"/>
        <v>0</v>
      </c>
      <c r="AK12" s="30"/>
      <c r="AL12" s="16">
        <v>1</v>
      </c>
    </row>
    <row r="13" spans="1:38" x14ac:dyDescent="0.3">
      <c r="A13" s="16">
        <v>2024</v>
      </c>
      <c r="B13" s="10" t="s">
        <v>70</v>
      </c>
      <c r="C13" s="39">
        <v>45541</v>
      </c>
      <c r="D13" s="11" t="s">
        <v>43</v>
      </c>
      <c r="E13" s="56" t="s">
        <v>40</v>
      </c>
      <c r="F13" s="10" t="s">
        <v>48</v>
      </c>
      <c r="G13" s="10" t="s">
        <v>57</v>
      </c>
      <c r="H13" s="16" t="s">
        <v>45</v>
      </c>
      <c r="I13" s="12" t="s">
        <v>81</v>
      </c>
      <c r="J13" s="12">
        <v>5158059</v>
      </c>
      <c r="K13" s="16"/>
      <c r="L13" s="16"/>
      <c r="M13" s="12">
        <v>183429</v>
      </c>
      <c r="N13" s="40">
        <v>19497</v>
      </c>
      <c r="O13" s="41">
        <v>19497</v>
      </c>
      <c r="P13" s="13">
        <v>19471</v>
      </c>
      <c r="Q13" s="26">
        <v>19460</v>
      </c>
      <c r="R13" s="13">
        <f t="shared" si="0"/>
        <v>-37</v>
      </c>
      <c r="S13" s="13">
        <f t="shared" si="1"/>
        <v>-37</v>
      </c>
      <c r="T13" s="27">
        <f t="shared" si="2"/>
        <v>-1.8977278555675214E-3</v>
      </c>
      <c r="U13" s="28">
        <f t="shared" si="3"/>
        <v>-1.8977278555675214E-3</v>
      </c>
      <c r="V13" s="45" t="s">
        <v>82</v>
      </c>
      <c r="W13" s="10">
        <v>129</v>
      </c>
      <c r="X13" s="10">
        <v>71</v>
      </c>
      <c r="Y13" s="10"/>
      <c r="Z13" s="10">
        <v>13</v>
      </c>
      <c r="AA13" s="13">
        <f t="shared" ref="AA13:AA14" si="9">+O13-P13</f>
        <v>26</v>
      </c>
      <c r="AB13" s="10">
        <v>52</v>
      </c>
      <c r="AC13" s="10"/>
      <c r="AD13" s="10">
        <v>4</v>
      </c>
      <c r="AE13" s="10"/>
      <c r="AF13" s="10"/>
      <c r="AG13" s="10"/>
      <c r="AH13" s="10"/>
      <c r="AI13" s="42">
        <f t="shared" si="5"/>
        <v>166</v>
      </c>
      <c r="AJ13" s="42">
        <f t="shared" si="8"/>
        <v>129</v>
      </c>
      <c r="AK13" s="45"/>
      <c r="AL13" s="10">
        <v>1</v>
      </c>
    </row>
    <row r="14" spans="1:38" x14ac:dyDescent="0.3">
      <c r="A14" s="16">
        <v>2024</v>
      </c>
      <c r="B14" s="10" t="s">
        <v>70</v>
      </c>
      <c r="C14" s="39">
        <v>45541</v>
      </c>
      <c r="D14" s="11" t="s">
        <v>43</v>
      </c>
      <c r="E14" s="56" t="s">
        <v>40</v>
      </c>
      <c r="F14" s="10" t="s">
        <v>48</v>
      </c>
      <c r="G14" s="10" t="s">
        <v>57</v>
      </c>
      <c r="H14" s="16" t="s">
        <v>45</v>
      </c>
      <c r="I14" s="12" t="s">
        <v>83</v>
      </c>
      <c r="J14" s="12">
        <v>5158058</v>
      </c>
      <c r="K14" s="10"/>
      <c r="L14" s="10"/>
      <c r="M14" s="12">
        <v>183430</v>
      </c>
      <c r="N14" s="40">
        <v>28232</v>
      </c>
      <c r="O14" s="41">
        <v>28232</v>
      </c>
      <c r="P14" s="13">
        <v>28212</v>
      </c>
      <c r="Q14" s="26">
        <v>28196</v>
      </c>
      <c r="R14" s="13">
        <f t="shared" si="0"/>
        <v>-36</v>
      </c>
      <c r="S14" s="13">
        <f t="shared" si="1"/>
        <v>-36</v>
      </c>
      <c r="T14" s="15">
        <f t="shared" si="2"/>
        <v>-1.2751487673562378E-3</v>
      </c>
      <c r="U14" s="15">
        <f t="shared" si="3"/>
        <v>-1.2751487673562378E-3</v>
      </c>
      <c r="V14" s="45" t="s">
        <v>84</v>
      </c>
      <c r="W14" s="10">
        <v>120</v>
      </c>
      <c r="X14" s="10">
        <v>19</v>
      </c>
      <c r="Y14" s="10"/>
      <c r="Z14" s="10">
        <v>42</v>
      </c>
      <c r="AA14" s="13">
        <f t="shared" si="9"/>
        <v>20</v>
      </c>
      <c r="AB14" s="10">
        <v>71</v>
      </c>
      <c r="AC14" s="10"/>
      <c r="AD14" s="10">
        <v>4</v>
      </c>
      <c r="AE14" s="10"/>
      <c r="AF14" s="10"/>
      <c r="AG14" s="10"/>
      <c r="AH14" s="10"/>
      <c r="AI14" s="42">
        <f t="shared" si="5"/>
        <v>156</v>
      </c>
      <c r="AJ14" s="42">
        <f t="shared" si="8"/>
        <v>120</v>
      </c>
      <c r="AK14" s="10"/>
      <c r="AL14" s="10">
        <v>1</v>
      </c>
    </row>
    <row r="15" spans="1:38" x14ac:dyDescent="0.3">
      <c r="A15" s="21">
        <v>2024</v>
      </c>
      <c r="B15" s="19" t="s">
        <v>70</v>
      </c>
      <c r="C15" s="37">
        <v>45541</v>
      </c>
      <c r="D15" s="19" t="s">
        <v>65</v>
      </c>
      <c r="E15" s="55" t="s">
        <v>40</v>
      </c>
      <c r="F15" s="19" t="s">
        <v>41</v>
      </c>
      <c r="G15" s="19" t="s">
        <v>55</v>
      </c>
      <c r="H15" s="21" t="s">
        <v>45</v>
      </c>
      <c r="I15" s="36" t="s">
        <v>85</v>
      </c>
      <c r="J15" s="36">
        <v>5158722</v>
      </c>
      <c r="K15" s="19"/>
      <c r="L15" s="19"/>
      <c r="M15" s="36">
        <v>183431</v>
      </c>
      <c r="N15" s="38">
        <v>67104</v>
      </c>
      <c r="O15" s="22">
        <v>67776</v>
      </c>
      <c r="P15" s="22">
        <v>67478</v>
      </c>
      <c r="Q15" s="59">
        <f>16855*4</f>
        <v>67420</v>
      </c>
      <c r="R15" s="34">
        <f t="shared" si="0"/>
        <v>-356</v>
      </c>
      <c r="S15" s="34">
        <f t="shared" si="1"/>
        <v>316</v>
      </c>
      <c r="T15" s="35">
        <f t="shared" si="2"/>
        <v>4.7091082498806891E-3</v>
      </c>
      <c r="U15" s="35">
        <f t="shared" si="3"/>
        <v>-5.2525967894240244E-3</v>
      </c>
      <c r="V15" s="19"/>
      <c r="W15" s="19"/>
      <c r="X15" s="19"/>
      <c r="Y15" s="19"/>
      <c r="Z15" s="21">
        <v>54</v>
      </c>
      <c r="AA15" s="33">
        <f>O15-P15</f>
        <v>298</v>
      </c>
      <c r="AB15" s="21"/>
      <c r="AC15" s="21"/>
      <c r="AD15" s="21">
        <v>4</v>
      </c>
      <c r="AE15" s="19"/>
      <c r="AF15" s="21"/>
      <c r="AG15" s="21"/>
      <c r="AH15" s="21"/>
      <c r="AI15" s="46">
        <f t="shared" si="5"/>
        <v>356</v>
      </c>
      <c r="AJ15" s="46">
        <f t="shared" si="8"/>
        <v>0</v>
      </c>
      <c r="AK15" s="19"/>
      <c r="AL15" s="19">
        <v>1</v>
      </c>
    </row>
    <row r="16" spans="1:38" x14ac:dyDescent="0.3">
      <c r="A16" s="21">
        <v>2024</v>
      </c>
      <c r="B16" s="19" t="s">
        <v>70</v>
      </c>
      <c r="C16" s="37">
        <v>45541</v>
      </c>
      <c r="D16" s="19" t="s">
        <v>65</v>
      </c>
      <c r="E16" s="55" t="s">
        <v>40</v>
      </c>
      <c r="F16" s="19" t="s">
        <v>41</v>
      </c>
      <c r="G16" s="19" t="s">
        <v>55</v>
      </c>
      <c r="H16" s="21" t="s">
        <v>45</v>
      </c>
      <c r="I16" s="36" t="s">
        <v>63</v>
      </c>
      <c r="J16" s="36">
        <v>5158043</v>
      </c>
      <c r="K16" s="19"/>
      <c r="L16" s="19"/>
      <c r="M16" s="36">
        <v>183432</v>
      </c>
      <c r="N16" s="38">
        <v>11016</v>
      </c>
      <c r="O16" s="29">
        <v>11124</v>
      </c>
      <c r="P16" s="29">
        <v>11045</v>
      </c>
      <c r="Q16" s="29">
        <v>11037</v>
      </c>
      <c r="R16" s="23">
        <f t="shared" si="0"/>
        <v>-87</v>
      </c>
      <c r="S16" s="34">
        <f t="shared" si="1"/>
        <v>21</v>
      </c>
      <c r="T16" s="24">
        <f t="shared" si="2"/>
        <v>1.9063180827887383E-3</v>
      </c>
      <c r="U16" s="24">
        <f t="shared" si="3"/>
        <v>-7.8209277238403541E-3</v>
      </c>
      <c r="V16" s="19"/>
      <c r="W16" s="19"/>
      <c r="X16" s="19"/>
      <c r="Y16" s="21"/>
      <c r="Z16" s="19">
        <v>1</v>
      </c>
      <c r="AA16" s="33">
        <f>O16-P16</f>
        <v>79</v>
      </c>
      <c r="AB16" s="21"/>
      <c r="AC16" s="19"/>
      <c r="AD16" s="19"/>
      <c r="AE16" s="19"/>
      <c r="AF16" s="19"/>
      <c r="AG16" s="19"/>
      <c r="AH16" s="19"/>
      <c r="AI16" s="46">
        <f t="shared" si="5"/>
        <v>80</v>
      </c>
      <c r="AJ16" s="46">
        <f t="shared" si="8"/>
        <v>-7</v>
      </c>
      <c r="AK16" s="19"/>
      <c r="AL16" s="19">
        <v>1</v>
      </c>
    </row>
    <row r="17" spans="1:38" x14ac:dyDescent="0.3">
      <c r="A17" s="16">
        <v>2024</v>
      </c>
      <c r="B17" s="10" t="s">
        <v>70</v>
      </c>
      <c r="C17" s="39">
        <v>45541</v>
      </c>
      <c r="D17" s="11" t="s">
        <v>43</v>
      </c>
      <c r="E17" s="56" t="s">
        <v>40</v>
      </c>
      <c r="F17" s="10" t="s">
        <v>48</v>
      </c>
      <c r="G17" s="10" t="s">
        <v>57</v>
      </c>
      <c r="H17" s="16" t="s">
        <v>45</v>
      </c>
      <c r="I17" s="12" t="s">
        <v>86</v>
      </c>
      <c r="J17" s="12">
        <v>5158037</v>
      </c>
      <c r="K17" s="10"/>
      <c r="L17" s="10"/>
      <c r="M17" s="12">
        <v>183433</v>
      </c>
      <c r="N17" s="40">
        <v>11349</v>
      </c>
      <c r="O17" s="41">
        <v>11349</v>
      </c>
      <c r="P17" s="13">
        <v>11348</v>
      </c>
      <c r="Q17" s="26">
        <v>11322</v>
      </c>
      <c r="R17" s="13">
        <f t="shared" si="0"/>
        <v>-27</v>
      </c>
      <c r="S17" s="13">
        <f t="shared" si="1"/>
        <v>-27</v>
      </c>
      <c r="T17" s="18">
        <f t="shared" si="2"/>
        <v>-2.3790642347343294E-3</v>
      </c>
      <c r="U17" s="18">
        <f t="shared" si="3"/>
        <v>-2.3790642347343294E-3</v>
      </c>
      <c r="V17" s="45" t="s">
        <v>82</v>
      </c>
      <c r="W17" s="10">
        <v>130</v>
      </c>
      <c r="X17" s="10">
        <v>50</v>
      </c>
      <c r="Y17" s="10"/>
      <c r="Z17" s="10">
        <v>4</v>
      </c>
      <c r="AA17" s="13">
        <f t="shared" ref="AA17:AA21" si="10">+O17-P17</f>
        <v>1</v>
      </c>
      <c r="AB17" s="10">
        <v>99</v>
      </c>
      <c r="AC17" s="10"/>
      <c r="AD17" s="10">
        <v>3</v>
      </c>
      <c r="AE17" s="10"/>
      <c r="AF17" s="10"/>
      <c r="AG17" s="10"/>
      <c r="AH17" s="10"/>
      <c r="AI17" s="42">
        <f t="shared" si="5"/>
        <v>157</v>
      </c>
      <c r="AJ17" s="42">
        <f t="shared" si="8"/>
        <v>130</v>
      </c>
      <c r="AK17" s="10"/>
      <c r="AL17" s="10">
        <v>1</v>
      </c>
    </row>
    <row r="18" spans="1:38" x14ac:dyDescent="0.3">
      <c r="A18" s="16">
        <v>2024</v>
      </c>
      <c r="B18" s="10" t="s">
        <v>70</v>
      </c>
      <c r="C18" s="39">
        <v>45541</v>
      </c>
      <c r="D18" s="11" t="s">
        <v>43</v>
      </c>
      <c r="E18" s="56" t="s">
        <v>40</v>
      </c>
      <c r="F18" s="10" t="s">
        <v>48</v>
      </c>
      <c r="G18" s="10" t="s">
        <v>57</v>
      </c>
      <c r="H18" s="16" t="s">
        <v>45</v>
      </c>
      <c r="I18" s="12" t="s">
        <v>87</v>
      </c>
      <c r="J18" s="12">
        <v>5158060</v>
      </c>
      <c r="K18" s="10"/>
      <c r="L18" s="10"/>
      <c r="M18" s="12">
        <v>183434</v>
      </c>
      <c r="N18" s="40">
        <v>10941</v>
      </c>
      <c r="O18" s="41">
        <v>10948</v>
      </c>
      <c r="P18" s="13">
        <v>10948</v>
      </c>
      <c r="Q18" s="26">
        <v>10929</v>
      </c>
      <c r="R18" s="13">
        <f t="shared" si="0"/>
        <v>-19</v>
      </c>
      <c r="S18" s="13">
        <f t="shared" si="1"/>
        <v>-12</v>
      </c>
      <c r="T18" s="18">
        <f t="shared" si="2"/>
        <v>-1.0967918837400115E-3</v>
      </c>
      <c r="U18" s="18">
        <f t="shared" si="3"/>
        <v>-1.7354767994154363E-3</v>
      </c>
      <c r="V18" s="16"/>
      <c r="W18" s="10">
        <v>0</v>
      </c>
      <c r="X18" s="10">
        <v>10</v>
      </c>
      <c r="Y18" s="10"/>
      <c r="Z18" s="10">
        <v>6</v>
      </c>
      <c r="AA18" s="13">
        <f t="shared" si="10"/>
        <v>0</v>
      </c>
      <c r="AB18" s="10">
        <v>0</v>
      </c>
      <c r="AC18" s="10"/>
      <c r="AD18" s="10">
        <v>3</v>
      </c>
      <c r="AE18" s="10"/>
      <c r="AF18" s="10"/>
      <c r="AG18" s="10"/>
      <c r="AH18" s="10"/>
      <c r="AI18" s="42">
        <f t="shared" si="5"/>
        <v>19</v>
      </c>
      <c r="AJ18" s="42">
        <f t="shared" si="8"/>
        <v>0</v>
      </c>
      <c r="AK18" s="10"/>
      <c r="AL18" s="10">
        <v>1</v>
      </c>
    </row>
    <row r="19" spans="1:38" x14ac:dyDescent="0.3">
      <c r="A19" s="16">
        <v>2024</v>
      </c>
      <c r="B19" s="10" t="s">
        <v>70</v>
      </c>
      <c r="C19" s="39">
        <v>45541</v>
      </c>
      <c r="D19" s="11" t="s">
        <v>43</v>
      </c>
      <c r="E19" s="56" t="s">
        <v>40</v>
      </c>
      <c r="F19" s="10" t="s">
        <v>48</v>
      </c>
      <c r="G19" s="10" t="s">
        <v>57</v>
      </c>
      <c r="H19" s="16" t="s">
        <v>45</v>
      </c>
      <c r="I19" s="12" t="s">
        <v>60</v>
      </c>
      <c r="J19" s="12">
        <v>5158614</v>
      </c>
      <c r="K19" s="10"/>
      <c r="L19" s="10"/>
      <c r="M19" s="12">
        <v>183438</v>
      </c>
      <c r="N19" s="40">
        <v>54593</v>
      </c>
      <c r="O19" s="41">
        <v>54593</v>
      </c>
      <c r="P19" s="13">
        <v>54393</v>
      </c>
      <c r="Q19" s="26">
        <v>54462</v>
      </c>
      <c r="R19" s="13">
        <f t="shared" si="0"/>
        <v>-131</v>
      </c>
      <c r="S19" s="13">
        <f t="shared" si="1"/>
        <v>-131</v>
      </c>
      <c r="T19" s="18">
        <f t="shared" si="2"/>
        <v>-2.3995750370926494E-3</v>
      </c>
      <c r="U19" s="18">
        <f t="shared" si="3"/>
        <v>-2.3995750370926494E-3</v>
      </c>
      <c r="V19" s="16" t="s">
        <v>88</v>
      </c>
      <c r="W19" s="10">
        <v>103</v>
      </c>
      <c r="X19" s="10">
        <v>0</v>
      </c>
      <c r="Y19" s="10"/>
      <c r="Z19" s="10">
        <v>33</v>
      </c>
      <c r="AA19" s="13">
        <f t="shared" si="10"/>
        <v>200</v>
      </c>
      <c r="AB19" s="10">
        <v>0</v>
      </c>
      <c r="AC19" s="10"/>
      <c r="AD19" s="10">
        <v>1</v>
      </c>
      <c r="AE19" s="10"/>
      <c r="AF19" s="10"/>
      <c r="AG19" s="10"/>
      <c r="AH19" s="10"/>
      <c r="AI19" s="42">
        <f t="shared" si="5"/>
        <v>234</v>
      </c>
      <c r="AJ19" s="42">
        <f t="shared" si="8"/>
        <v>103</v>
      </c>
      <c r="AK19" s="10"/>
      <c r="AL19" s="10">
        <v>1</v>
      </c>
    </row>
    <row r="20" spans="1:38" x14ac:dyDescent="0.3">
      <c r="A20" s="16">
        <v>2024</v>
      </c>
      <c r="B20" s="10" t="s">
        <v>70</v>
      </c>
      <c r="C20" s="39">
        <v>45541</v>
      </c>
      <c r="D20" s="11" t="s">
        <v>43</v>
      </c>
      <c r="E20" s="56" t="s">
        <v>40</v>
      </c>
      <c r="F20" s="10" t="s">
        <v>48</v>
      </c>
      <c r="G20" s="10" t="s">
        <v>57</v>
      </c>
      <c r="H20" s="16" t="s">
        <v>45</v>
      </c>
      <c r="I20" s="12" t="s">
        <v>60</v>
      </c>
      <c r="J20" s="12">
        <v>5158614</v>
      </c>
      <c r="K20" s="16"/>
      <c r="L20" s="16"/>
      <c r="M20" s="12">
        <v>183439</v>
      </c>
      <c r="N20" s="40">
        <v>1200</v>
      </c>
      <c r="O20" s="41">
        <v>1200</v>
      </c>
      <c r="P20" s="13">
        <v>1200</v>
      </c>
      <c r="Q20" s="26">
        <v>1200</v>
      </c>
      <c r="R20" s="17">
        <f t="shared" si="0"/>
        <v>0</v>
      </c>
      <c r="S20" s="13">
        <f t="shared" si="1"/>
        <v>0</v>
      </c>
      <c r="T20" s="27">
        <f t="shared" si="2"/>
        <v>0</v>
      </c>
      <c r="U20" s="28">
        <f t="shared" si="3"/>
        <v>0</v>
      </c>
      <c r="V20" s="16"/>
      <c r="W20" s="10">
        <v>0</v>
      </c>
      <c r="X20" s="10">
        <v>0</v>
      </c>
      <c r="Y20" s="10"/>
      <c r="Z20" s="10">
        <v>0</v>
      </c>
      <c r="AA20" s="13">
        <f t="shared" si="10"/>
        <v>0</v>
      </c>
      <c r="AB20" s="10">
        <v>0</v>
      </c>
      <c r="AC20" s="10"/>
      <c r="AD20" s="10">
        <v>0</v>
      </c>
      <c r="AE20" s="10"/>
      <c r="AF20" s="10"/>
      <c r="AG20" s="10"/>
      <c r="AH20" s="10"/>
      <c r="AI20" s="42">
        <f t="shared" si="5"/>
        <v>0</v>
      </c>
      <c r="AJ20" s="42">
        <f t="shared" si="8"/>
        <v>0</v>
      </c>
      <c r="AK20" s="45"/>
      <c r="AL20" s="10">
        <v>1</v>
      </c>
    </row>
    <row r="21" spans="1:38" x14ac:dyDescent="0.3">
      <c r="A21" s="16">
        <v>2024</v>
      </c>
      <c r="B21" s="10" t="s">
        <v>70</v>
      </c>
      <c r="C21" s="39">
        <v>45541</v>
      </c>
      <c r="D21" s="11" t="s">
        <v>43</v>
      </c>
      <c r="E21" s="56" t="s">
        <v>40</v>
      </c>
      <c r="F21" s="10" t="s">
        <v>48</v>
      </c>
      <c r="G21" s="10" t="s">
        <v>57</v>
      </c>
      <c r="H21" s="16" t="s">
        <v>45</v>
      </c>
      <c r="I21" s="12" t="s">
        <v>89</v>
      </c>
      <c r="J21" s="12">
        <v>5158619</v>
      </c>
      <c r="K21" s="31"/>
      <c r="L21" s="31"/>
      <c r="M21" s="12">
        <v>183441</v>
      </c>
      <c r="N21" s="40">
        <v>30376</v>
      </c>
      <c r="O21" s="41">
        <v>30376</v>
      </c>
      <c r="P21" s="13">
        <v>30363</v>
      </c>
      <c r="Q21" s="26">
        <v>30306</v>
      </c>
      <c r="R21" s="42">
        <f t="shared" si="0"/>
        <v>-70</v>
      </c>
      <c r="S21" s="42">
        <f t="shared" si="1"/>
        <v>-70</v>
      </c>
      <c r="T21" s="43">
        <f t="shared" si="2"/>
        <v>-2.3044508822754883E-3</v>
      </c>
      <c r="U21" s="43">
        <f t="shared" si="3"/>
        <v>-2.3044508822754883E-3</v>
      </c>
      <c r="V21" s="45" t="s">
        <v>82</v>
      </c>
      <c r="W21" s="10">
        <v>0</v>
      </c>
      <c r="X21" s="10">
        <v>1</v>
      </c>
      <c r="Y21" s="10"/>
      <c r="Z21" s="10">
        <v>10</v>
      </c>
      <c r="AA21" s="13">
        <f t="shared" si="10"/>
        <v>13</v>
      </c>
      <c r="AB21" s="10">
        <v>43</v>
      </c>
      <c r="AC21" s="10"/>
      <c r="AD21" s="10">
        <v>3</v>
      </c>
      <c r="AE21" s="10"/>
      <c r="AF21" s="10"/>
      <c r="AG21" s="10"/>
      <c r="AH21" s="10"/>
      <c r="AI21" s="42">
        <f t="shared" si="5"/>
        <v>70</v>
      </c>
      <c r="AJ21" s="42">
        <f t="shared" si="8"/>
        <v>0</v>
      </c>
      <c r="AK21" s="16"/>
      <c r="AL21" s="16">
        <v>1</v>
      </c>
    </row>
    <row r="22" spans="1:38" x14ac:dyDescent="0.3">
      <c r="A22" s="16">
        <v>2024</v>
      </c>
      <c r="B22" s="10" t="s">
        <v>70</v>
      </c>
      <c r="C22" s="39">
        <v>45541</v>
      </c>
      <c r="D22" s="11" t="s">
        <v>43</v>
      </c>
      <c r="E22" s="56" t="s">
        <v>40</v>
      </c>
      <c r="F22" s="10" t="s">
        <v>48</v>
      </c>
      <c r="G22" s="10" t="s">
        <v>57</v>
      </c>
      <c r="H22" s="16" t="s">
        <v>45</v>
      </c>
      <c r="I22" s="12" t="s">
        <v>89</v>
      </c>
      <c r="J22" s="12">
        <v>5158619</v>
      </c>
      <c r="K22" s="31"/>
      <c r="L22" s="31"/>
      <c r="M22" s="12">
        <v>183442</v>
      </c>
      <c r="N22" s="40">
        <v>1963</v>
      </c>
      <c r="O22" s="41">
        <v>1963</v>
      </c>
      <c r="P22" s="13">
        <v>1963</v>
      </c>
      <c r="Q22" s="26">
        <v>1959</v>
      </c>
      <c r="R22" s="42">
        <f t="shared" si="0"/>
        <v>-4</v>
      </c>
      <c r="S22" s="42">
        <f t="shared" si="1"/>
        <v>-4</v>
      </c>
      <c r="T22" s="43">
        <f t="shared" si="2"/>
        <v>-2.0376974019358229E-3</v>
      </c>
      <c r="U22" s="43">
        <f t="shared" si="3"/>
        <v>-2.0376974019358229E-3</v>
      </c>
      <c r="V22" s="10"/>
      <c r="W22" s="31"/>
      <c r="X22" s="31">
        <v>3</v>
      </c>
      <c r="Y22" s="31"/>
      <c r="Z22" s="31">
        <v>1</v>
      </c>
      <c r="AA22" s="14">
        <f>O22-P22</f>
        <v>0</v>
      </c>
      <c r="AB22" s="31"/>
      <c r="AC22" s="31"/>
      <c r="AD22" s="31"/>
      <c r="AE22" s="31"/>
      <c r="AF22" s="31"/>
      <c r="AG22" s="31"/>
      <c r="AH22" s="31"/>
      <c r="AI22" s="42">
        <f t="shared" si="5"/>
        <v>4</v>
      </c>
      <c r="AJ22" s="42">
        <f t="shared" si="8"/>
        <v>0</v>
      </c>
      <c r="AK22" s="31"/>
      <c r="AL22" s="10">
        <v>1</v>
      </c>
    </row>
    <row r="23" spans="1:38" x14ac:dyDescent="0.3">
      <c r="A23" s="21">
        <v>2024</v>
      </c>
      <c r="B23" s="19" t="s">
        <v>70</v>
      </c>
      <c r="C23" s="37">
        <v>45541</v>
      </c>
      <c r="D23" s="20" t="s">
        <v>39</v>
      </c>
      <c r="E23" s="20" t="s">
        <v>38</v>
      </c>
      <c r="F23" s="19" t="s">
        <v>61</v>
      </c>
      <c r="G23" s="19" t="s">
        <v>61</v>
      </c>
      <c r="H23" s="21" t="s">
        <v>62</v>
      </c>
      <c r="I23" s="36" t="s">
        <v>90</v>
      </c>
      <c r="J23" s="21"/>
      <c r="K23" s="21"/>
      <c r="L23" s="44"/>
      <c r="M23" s="60">
        <v>182960</v>
      </c>
      <c r="N23" s="49">
        <v>3929</v>
      </c>
      <c r="O23" s="48">
        <v>3955</v>
      </c>
      <c r="P23" s="34">
        <v>3955</v>
      </c>
      <c r="Q23" s="49">
        <v>3937</v>
      </c>
      <c r="R23" s="46">
        <f t="shared" si="0"/>
        <v>-18</v>
      </c>
      <c r="S23" s="46">
        <f>Q23-N23</f>
        <v>8</v>
      </c>
      <c r="T23" s="50">
        <f t="shared" si="2"/>
        <v>2.0361415118350656E-3</v>
      </c>
      <c r="U23" s="50">
        <f t="shared" si="3"/>
        <v>-4.5512010113779588E-3</v>
      </c>
      <c r="V23" s="61"/>
      <c r="W23" s="19"/>
      <c r="X23" s="19">
        <v>14</v>
      </c>
      <c r="Y23" s="19"/>
      <c r="Z23" s="19"/>
      <c r="AA23" s="23">
        <f>O23-P23</f>
        <v>0</v>
      </c>
      <c r="AB23" s="19">
        <v>4</v>
      </c>
      <c r="AC23" s="19"/>
      <c r="AD23" s="19"/>
      <c r="AE23" s="19"/>
      <c r="AF23" s="19"/>
      <c r="AG23" s="19"/>
      <c r="AH23" s="19"/>
      <c r="AI23" s="34">
        <f t="shared" si="5"/>
        <v>18</v>
      </c>
      <c r="AJ23" s="34">
        <f>R23+AI23</f>
        <v>0</v>
      </c>
      <c r="AK23" s="32"/>
      <c r="AL23" s="19">
        <v>1</v>
      </c>
    </row>
    <row r="24" spans="1:38" x14ac:dyDescent="0.3">
      <c r="A24" s="21">
        <v>2024</v>
      </c>
      <c r="B24" s="19" t="s">
        <v>70</v>
      </c>
      <c r="C24" s="37">
        <v>45541</v>
      </c>
      <c r="D24" s="20" t="s">
        <v>39</v>
      </c>
      <c r="E24" s="20" t="s">
        <v>38</v>
      </c>
      <c r="F24" s="19" t="s">
        <v>61</v>
      </c>
      <c r="G24" s="19" t="s">
        <v>61</v>
      </c>
      <c r="H24" s="21" t="s">
        <v>62</v>
      </c>
      <c r="I24" s="36" t="s">
        <v>91</v>
      </c>
      <c r="J24" s="21"/>
      <c r="K24" s="21"/>
      <c r="L24" s="44"/>
      <c r="M24" s="60">
        <v>182961</v>
      </c>
      <c r="N24" s="49">
        <v>866</v>
      </c>
      <c r="O24" s="48">
        <v>878</v>
      </c>
      <c r="P24" s="34">
        <v>878</v>
      </c>
      <c r="Q24" s="49">
        <v>872</v>
      </c>
      <c r="R24" s="46">
        <f>Q24-O24</f>
        <v>-6</v>
      </c>
      <c r="S24" s="46">
        <f>Q24-N24</f>
        <v>6</v>
      </c>
      <c r="T24" s="50">
        <f t="shared" si="2"/>
        <v>6.9284064665127154E-3</v>
      </c>
      <c r="U24" s="50">
        <f t="shared" si="3"/>
        <v>-6.8337129840546629E-3</v>
      </c>
      <c r="V24" s="61"/>
      <c r="W24" s="19"/>
      <c r="X24" s="19">
        <v>6</v>
      </c>
      <c r="Y24" s="19"/>
      <c r="Z24" s="19"/>
      <c r="AA24" s="23">
        <f t="shared" ref="AA24:AA27" si="11">O24-P24</f>
        <v>0</v>
      </c>
      <c r="AB24" s="19"/>
      <c r="AC24" s="19"/>
      <c r="AD24" s="19"/>
      <c r="AE24" s="19"/>
      <c r="AF24" s="19"/>
      <c r="AG24" s="19"/>
      <c r="AH24" s="19"/>
      <c r="AI24" s="34">
        <f t="shared" si="5"/>
        <v>6</v>
      </c>
      <c r="AJ24" s="34">
        <f t="shared" ref="AJ24:AJ27" si="12">R24+AI24</f>
        <v>0</v>
      </c>
      <c r="AK24" s="51"/>
      <c r="AL24" s="34">
        <v>1</v>
      </c>
    </row>
    <row r="25" spans="1:38" x14ac:dyDescent="0.3">
      <c r="A25" s="21">
        <v>2024</v>
      </c>
      <c r="B25" s="19" t="s">
        <v>70</v>
      </c>
      <c r="C25" s="37">
        <v>45541</v>
      </c>
      <c r="D25" s="20" t="s">
        <v>39</v>
      </c>
      <c r="E25" s="20" t="s">
        <v>38</v>
      </c>
      <c r="F25" s="19" t="s">
        <v>61</v>
      </c>
      <c r="G25" s="19" t="s">
        <v>61</v>
      </c>
      <c r="H25" s="21" t="s">
        <v>62</v>
      </c>
      <c r="I25" s="36" t="s">
        <v>92</v>
      </c>
      <c r="J25" s="21"/>
      <c r="K25" s="21"/>
      <c r="L25" s="44"/>
      <c r="M25" s="60">
        <v>182962</v>
      </c>
      <c r="N25" s="49">
        <v>3034</v>
      </c>
      <c r="O25" s="48">
        <v>3180</v>
      </c>
      <c r="P25" s="34">
        <v>3178</v>
      </c>
      <c r="Q25" s="49">
        <v>3074</v>
      </c>
      <c r="R25" s="46">
        <f t="shared" si="0"/>
        <v>-106</v>
      </c>
      <c r="S25" s="46">
        <f t="shared" ref="S25:S27" si="13">Q25-N25</f>
        <v>40</v>
      </c>
      <c r="T25" s="50">
        <f t="shared" si="2"/>
        <v>1.3183915622940079E-2</v>
      </c>
      <c r="U25" s="50">
        <f t="shared" si="3"/>
        <v>-3.3333333333333326E-2</v>
      </c>
      <c r="V25" s="61"/>
      <c r="W25" s="19"/>
      <c r="X25" s="19">
        <f>59</f>
        <v>59</v>
      </c>
      <c r="Y25" s="19"/>
      <c r="Z25" s="19"/>
      <c r="AA25" s="23">
        <f t="shared" si="11"/>
        <v>2</v>
      </c>
      <c r="AB25" s="19">
        <v>45</v>
      </c>
      <c r="AC25" s="19"/>
      <c r="AD25" s="19"/>
      <c r="AE25" s="19"/>
      <c r="AF25" s="19"/>
      <c r="AG25" s="19"/>
      <c r="AH25" s="19"/>
      <c r="AI25" s="34">
        <f t="shared" si="5"/>
        <v>106</v>
      </c>
      <c r="AJ25" s="34">
        <f t="shared" si="12"/>
        <v>0</v>
      </c>
      <c r="AK25" s="19"/>
      <c r="AL25" s="19">
        <v>1</v>
      </c>
    </row>
    <row r="26" spans="1:38" x14ac:dyDescent="0.3">
      <c r="A26" s="21">
        <v>2024</v>
      </c>
      <c r="B26" s="19" t="s">
        <v>70</v>
      </c>
      <c r="C26" s="37">
        <v>45541</v>
      </c>
      <c r="D26" s="20" t="s">
        <v>39</v>
      </c>
      <c r="E26" s="20" t="s">
        <v>38</v>
      </c>
      <c r="F26" s="19" t="s">
        <v>61</v>
      </c>
      <c r="G26" s="19" t="s">
        <v>61</v>
      </c>
      <c r="H26" s="21" t="s">
        <v>62</v>
      </c>
      <c r="I26" s="36" t="s">
        <v>93</v>
      </c>
      <c r="J26" s="21"/>
      <c r="K26" s="21"/>
      <c r="L26" s="44"/>
      <c r="M26" s="60">
        <v>182963</v>
      </c>
      <c r="N26" s="49">
        <v>3034</v>
      </c>
      <c r="O26" s="48">
        <v>3236</v>
      </c>
      <c r="P26" s="34">
        <v>3236</v>
      </c>
      <c r="Q26" s="49">
        <v>3074</v>
      </c>
      <c r="R26" s="46">
        <f t="shared" si="0"/>
        <v>-162</v>
      </c>
      <c r="S26" s="46">
        <f t="shared" si="13"/>
        <v>40</v>
      </c>
      <c r="T26" s="50">
        <f t="shared" si="2"/>
        <v>1.3183915622940079E-2</v>
      </c>
      <c r="U26" s="50">
        <f t="shared" si="3"/>
        <v>-5.0061804697156931E-2</v>
      </c>
      <c r="V26" s="61"/>
      <c r="W26" s="19"/>
      <c r="X26" s="19">
        <f>179-33</f>
        <v>146</v>
      </c>
      <c r="Y26" s="19"/>
      <c r="Z26" s="19"/>
      <c r="AA26" s="23">
        <f t="shared" si="11"/>
        <v>0</v>
      </c>
      <c r="AB26" s="19">
        <v>16</v>
      </c>
      <c r="AC26" s="19"/>
      <c r="AD26" s="19"/>
      <c r="AE26" s="19"/>
      <c r="AF26" s="19"/>
      <c r="AG26" s="19"/>
      <c r="AH26" s="19"/>
      <c r="AI26" s="34">
        <f t="shared" si="5"/>
        <v>162</v>
      </c>
      <c r="AJ26" s="34">
        <f t="shared" si="12"/>
        <v>0</v>
      </c>
      <c r="AK26" s="19"/>
      <c r="AL26" s="19">
        <v>1</v>
      </c>
    </row>
    <row r="27" spans="1:38" x14ac:dyDescent="0.3">
      <c r="A27" s="21">
        <v>2024</v>
      </c>
      <c r="B27" s="19" t="s">
        <v>70</v>
      </c>
      <c r="C27" s="37">
        <v>45541</v>
      </c>
      <c r="D27" s="20" t="s">
        <v>39</v>
      </c>
      <c r="E27" s="20" t="s">
        <v>38</v>
      </c>
      <c r="F27" s="19" t="s">
        <v>61</v>
      </c>
      <c r="G27" s="19" t="s">
        <v>61</v>
      </c>
      <c r="H27" s="21" t="s">
        <v>62</v>
      </c>
      <c r="I27" s="36" t="s">
        <v>94</v>
      </c>
      <c r="J27" s="21"/>
      <c r="K27" s="21"/>
      <c r="L27" s="44"/>
      <c r="M27" s="19">
        <v>182964</v>
      </c>
      <c r="N27" s="49">
        <v>400</v>
      </c>
      <c r="O27" s="48">
        <v>416</v>
      </c>
      <c r="P27" s="34">
        <v>415</v>
      </c>
      <c r="Q27" s="49">
        <v>401</v>
      </c>
      <c r="R27" s="46">
        <f t="shared" si="0"/>
        <v>-15</v>
      </c>
      <c r="S27" s="46">
        <f t="shared" si="13"/>
        <v>1</v>
      </c>
      <c r="T27" s="50">
        <f t="shared" si="2"/>
        <v>2.4999999999999467E-3</v>
      </c>
      <c r="U27" s="50">
        <f t="shared" si="3"/>
        <v>-3.6057692307692291E-2</v>
      </c>
      <c r="V27" s="61"/>
      <c r="W27" s="19"/>
      <c r="X27" s="19">
        <v>14</v>
      </c>
      <c r="Y27" s="19"/>
      <c r="Z27" s="19"/>
      <c r="AA27" s="23">
        <f t="shared" si="11"/>
        <v>1</v>
      </c>
      <c r="AB27" s="19"/>
      <c r="AC27" s="19"/>
      <c r="AD27" s="19"/>
      <c r="AE27" s="19"/>
      <c r="AF27" s="19"/>
      <c r="AG27" s="19"/>
      <c r="AH27" s="19"/>
      <c r="AI27" s="34">
        <f t="shared" si="5"/>
        <v>15</v>
      </c>
      <c r="AJ27" s="34">
        <f t="shared" si="12"/>
        <v>0</v>
      </c>
      <c r="AK27" s="32"/>
      <c r="AL27" s="21">
        <v>1</v>
      </c>
    </row>
  </sheetData>
  <autoFilter ref="A2:AL27" xr:uid="{05FF5007-A53F-4631-9BEC-9DCC98E72F91}"/>
  <mergeCells count="1">
    <mergeCell ref="A1:AL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{HOME}</vt:lpstr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2024-06-26T08:39:04Z</dcterms:created>
  <dcterms:modified xsi:type="dcterms:W3CDTF">2024-09-10T02:02:09Z</dcterms:modified>
</cp:coreProperties>
</file>