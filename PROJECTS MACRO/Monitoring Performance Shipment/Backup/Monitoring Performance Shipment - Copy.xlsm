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IT\RPA 00\Monitoring Performance Shipment\"/>
    </mc:Choice>
  </mc:AlternateContent>
  <xr:revisionPtr revIDLastSave="0" documentId="13_ncr:1_{1128F5F8-5243-4B38-BCFF-BD8CCCFFB5ED}" xr6:coauthVersionLast="47" xr6:coauthVersionMax="47" xr10:uidLastSave="{00000000-0000-0000-0000-000000000000}"/>
  <bookViews>
    <workbookView xWindow="-120" yWindow="-120" windowWidth="20730" windowHeight="11160" activeTab="1" xr2:uid="{BFB33DAB-B956-401A-93AD-3738362D6D09}"/>
  </bookViews>
  <sheets>
    <sheet name="{HOME}" sheetId="1" r:id="rId1"/>
    <sheet name="TEMPORARI" sheetId="21" r:id="rId2"/>
  </sheets>
  <externalReferences>
    <externalReference r:id="rId3"/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H23" i="21" l="1"/>
  <c r="AG23" i="21"/>
  <c r="AF23" i="21"/>
  <c r="AE23" i="21"/>
  <c r="AE25" i="21" s="1"/>
  <c r="AD23" i="21"/>
  <c r="AD25" i="21" s="1"/>
  <c r="AC23" i="21"/>
  <c r="AC25" i="21" s="1"/>
  <c r="AB23" i="21"/>
  <c r="AB25" i="21" s="1"/>
  <c r="AA23" i="21"/>
  <c r="Z23" i="21"/>
  <c r="Y23" i="21"/>
  <c r="X23" i="21"/>
  <c r="W23" i="21"/>
  <c r="N23" i="21"/>
  <c r="AH25" i="21" s="1"/>
  <c r="M23" i="21"/>
  <c r="AI22" i="21"/>
  <c r="T22" i="21"/>
  <c r="S22" i="21"/>
  <c r="R22" i="21"/>
  <c r="Q22" i="21"/>
  <c r="AI21" i="21"/>
  <c r="AJ21" i="21" s="1"/>
  <c r="T21" i="21"/>
  <c r="S21" i="21"/>
  <c r="R21" i="21"/>
  <c r="Q21" i="21"/>
  <c r="AI20" i="21"/>
  <c r="T20" i="21"/>
  <c r="S20" i="21"/>
  <c r="R20" i="21"/>
  <c r="Q20" i="21"/>
  <c r="AI19" i="21"/>
  <c r="AJ19" i="21" s="1"/>
  <c r="T19" i="21"/>
  <c r="S19" i="21"/>
  <c r="R19" i="21"/>
  <c r="Q19" i="21"/>
  <c r="AI18" i="21"/>
  <c r="T18" i="21"/>
  <c r="S18" i="21"/>
  <c r="R18" i="21"/>
  <c r="Q18" i="21"/>
  <c r="AJ18" i="21" s="1"/>
  <c r="AI17" i="21"/>
  <c r="P17" i="21"/>
  <c r="T17" i="21" s="1"/>
  <c r="O17" i="21"/>
  <c r="AI16" i="21"/>
  <c r="V16" i="21"/>
  <c r="P16" i="21"/>
  <c r="Q16" i="21" s="1"/>
  <c r="O16" i="21"/>
  <c r="AI15" i="21"/>
  <c r="P15" i="21"/>
  <c r="T15" i="21" s="1"/>
  <c r="O15" i="21"/>
  <c r="AI14" i="21"/>
  <c r="V14" i="21"/>
  <c r="P14" i="21"/>
  <c r="T14" i="21" s="1"/>
  <c r="O14" i="21"/>
  <c r="AI13" i="21"/>
  <c r="V13" i="21"/>
  <c r="P13" i="21"/>
  <c r="S13" i="21" s="1"/>
  <c r="O13" i="21"/>
  <c r="AI12" i="21"/>
  <c r="S12" i="21"/>
  <c r="P12" i="21"/>
  <c r="T12" i="21" s="1"/>
  <c r="O12" i="21"/>
  <c r="AI11" i="21"/>
  <c r="P11" i="21"/>
  <c r="R11" i="21" s="1"/>
  <c r="O11" i="21"/>
  <c r="AI10" i="21"/>
  <c r="V10" i="21"/>
  <c r="P10" i="21"/>
  <c r="T10" i="21" s="1"/>
  <c r="O10" i="21"/>
  <c r="AI9" i="21"/>
  <c r="AJ9" i="21" s="1"/>
  <c r="V9" i="21"/>
  <c r="Q9" i="21"/>
  <c r="P9" i="21"/>
  <c r="T9" i="21" s="1"/>
  <c r="O9" i="21"/>
  <c r="AI8" i="21"/>
  <c r="V8" i="21"/>
  <c r="P8" i="21"/>
  <c r="Q8" i="21" s="1"/>
  <c r="AJ8" i="21" s="1"/>
  <c r="O8" i="21"/>
  <c r="AI7" i="21"/>
  <c r="P7" i="21"/>
  <c r="Q7" i="21" s="1"/>
  <c r="AJ7" i="21" s="1"/>
  <c r="O7" i="21"/>
  <c r="O23" i="21" s="1"/>
  <c r="AJ6" i="21"/>
  <c r="AI6" i="21"/>
  <c r="T6" i="21"/>
  <c r="S6" i="21"/>
  <c r="R6" i="21"/>
  <c r="Q6" i="21"/>
  <c r="AI5" i="21"/>
  <c r="T5" i="21"/>
  <c r="S5" i="21"/>
  <c r="R5" i="21"/>
  <c r="Q5" i="21"/>
  <c r="AJ5" i="21" s="1"/>
  <c r="AJ4" i="21"/>
  <c r="AI4" i="21"/>
  <c r="T4" i="21"/>
  <c r="S4" i="21"/>
  <c r="R4" i="21"/>
  <c r="Q4" i="21"/>
  <c r="AI3" i="21"/>
  <c r="T3" i="21"/>
  <c r="S3" i="21"/>
  <c r="R3" i="21"/>
  <c r="Q3" i="21"/>
  <c r="AJ3" i="21" s="1"/>
  <c r="S9" i="21" l="1"/>
  <c r="Q12" i="21"/>
  <c r="R12" i="21"/>
  <c r="AJ22" i="21"/>
  <c r="AJ20" i="21"/>
  <c r="R8" i="21"/>
  <c r="AI23" i="21"/>
  <c r="Y24" i="21" s="1"/>
  <c r="T8" i="21"/>
  <c r="Q15" i="21"/>
  <c r="AJ15" i="21" s="1"/>
  <c r="Q13" i="21"/>
  <c r="AJ13" i="21" s="1"/>
  <c r="R15" i="21"/>
  <c r="AJ12" i="21"/>
  <c r="S8" i="21"/>
  <c r="R13" i="21"/>
  <c r="S15" i="21"/>
  <c r="AF25" i="21"/>
  <c r="AJ16" i="21"/>
  <c r="P23" i="21"/>
  <c r="R9" i="21"/>
  <c r="T13" i="21"/>
  <c r="R16" i="21"/>
  <c r="W25" i="21"/>
  <c r="S16" i="21"/>
  <c r="X25" i="21"/>
  <c r="Q11" i="21"/>
  <c r="AJ11" i="21" s="1"/>
  <c r="T16" i="21"/>
  <c r="Y25" i="21"/>
  <c r="Z25" i="21"/>
  <c r="AA25" i="21"/>
  <c r="R7" i="21"/>
  <c r="R14" i="21"/>
  <c r="Q14" i="21"/>
  <c r="AJ14" i="21" s="1"/>
  <c r="S11" i="21"/>
  <c r="S7" i="21"/>
  <c r="Q10" i="21"/>
  <c r="AJ10" i="21" s="1"/>
  <c r="AJ23" i="21" s="1"/>
  <c r="T11" i="21"/>
  <c r="S14" i="21"/>
  <c r="Q17" i="21"/>
  <c r="AJ17" i="21" s="1"/>
  <c r="R10" i="21"/>
  <c r="R17" i="21"/>
  <c r="T7" i="21"/>
  <c r="S10" i="21"/>
  <c r="S17" i="21"/>
  <c r="AG25" i="21"/>
  <c r="AC24" i="21" l="1"/>
  <c r="AF24" i="21"/>
  <c r="AA24" i="21"/>
  <c r="AG24" i="21"/>
  <c r="Z24" i="21"/>
  <c r="AB24" i="21"/>
  <c r="AD24" i="21"/>
  <c r="W24" i="21"/>
  <c r="R23" i="21"/>
  <c r="X24" i="21"/>
  <c r="AH24" i="21"/>
  <c r="AE24" i="21"/>
  <c r="Q23" i="21"/>
  <c r="T23" i="21"/>
  <c r="S23" i="21"/>
</calcChain>
</file>

<file path=xl/sharedStrings.xml><?xml version="1.0" encoding="utf-8"?>
<sst xmlns="http://schemas.openxmlformats.org/spreadsheetml/2006/main" count="192" uniqueCount="88">
  <si>
    <t>DATA FILE</t>
  </si>
  <si>
    <t>PATH FIALE</t>
  </si>
  <si>
    <t>NAMA FILE</t>
  </si>
  <si>
    <t>EXT.FILE</t>
  </si>
  <si>
    <t>Monitoring Performance Shipment</t>
  </si>
  <si>
    <t>\\10.8.0.35\Bersama\IT\RPA 00\Monitoring Performance Shipment</t>
  </si>
  <si>
    <t>\\10.8.0.35\Bersama\IT\RPA 00\Monitoring Performance Shipment\Results\TES</t>
  </si>
  <si>
    <t>HASIL</t>
  </si>
  <si>
    <t>.xlsx</t>
  </si>
  <si>
    <t>Performance shipment Periode 18 JUNI  -  21 JUNI 2024</t>
  </si>
  <si>
    <t>TAHUN</t>
  </si>
  <si>
    <t>BULAN</t>
  </si>
  <si>
    <t>Ex-Fact.Date</t>
  </si>
  <si>
    <t>PRODUKSI</t>
  </si>
  <si>
    <t>PLACING EXSPORT</t>
  </si>
  <si>
    <t>PIC</t>
  </si>
  <si>
    <t>BUYER</t>
  </si>
  <si>
    <t>STYLE#</t>
  </si>
  <si>
    <t>ARTIKEL#</t>
  </si>
  <si>
    <t>SUPPLIER KAIN</t>
  </si>
  <si>
    <t>TERIMA KAIN</t>
  </si>
  <si>
    <t>WO#</t>
  </si>
  <si>
    <t>ORDER (PCS)</t>
  </si>
  <si>
    <t>QTY CUTT (PCS)</t>
  </si>
  <si>
    <t>OUTPUT SEWING</t>
  </si>
  <si>
    <t>QTY EXP (PCS)</t>
  </si>
  <si>
    <t>BALANCE SHIP FROM CUTT</t>
  </si>
  <si>
    <t>OVERSHIP GMT EXPORT FROM ORDER</t>
  </si>
  <si>
    <t>% EXP FROM ORDER</t>
  </si>
  <si>
    <t>% EXP FROM CUTTING</t>
  </si>
  <si>
    <t>KETERANGAN</t>
  </si>
  <si>
    <t>PENGGUNAAN STOCK (IR)</t>
  </si>
  <si>
    <t>SISA EXPORT</t>
  </si>
  <si>
    <t>GOOD HANCA</t>
  </si>
  <si>
    <t>REJECT GARMENT</t>
  </si>
  <si>
    <t>REJECT CUTTING</t>
  </si>
  <si>
    <t>REJECT HANCA</t>
  </si>
  <si>
    <t>REJECT SEWING</t>
  </si>
  <si>
    <t>WIP</t>
  </si>
  <si>
    <t>TEST WASH</t>
  </si>
  <si>
    <t>KEEPING SAMPLE</t>
  </si>
  <si>
    <t>GOOD TANPA ACC</t>
  </si>
  <si>
    <t>GRADE B</t>
  </si>
  <si>
    <t>REJECT FABRIC</t>
  </si>
  <si>
    <t>TOTAL</t>
  </si>
  <si>
    <t>Total Balance fr Cutt</t>
  </si>
  <si>
    <t>Utility</t>
  </si>
  <si>
    <t>JUNI</t>
  </si>
  <si>
    <t>KALIBENDA</t>
  </si>
  <si>
    <t>GM 2</t>
  </si>
  <si>
    <t>HAKI</t>
  </si>
  <si>
    <t>AGRON, INC.</t>
  </si>
  <si>
    <t>983418 – B</t>
  </si>
  <si>
    <t>SISA EXPORT DAPAT DIGUNAKAN UNTUK PO-'0000183 WO#182763 RUNNING KALIBENDA SHIPMENT TGL 27 JUNI 2024</t>
  </si>
  <si>
    <t>MENGGUNAKAN STOCK PO-'0000074  WO#182389</t>
  </si>
  <si>
    <t>983418 – D</t>
  </si>
  <si>
    <t>SISA EXPORT DAPAT DIGUNAKAN UNTUK PO-'0000183 WO#182764 RUNNING KALIBENDA SHIPMENT TGL 27 JUNI 2024</t>
  </si>
  <si>
    <t>MENGGUNAKAN STOCK PO-'0000074  WO#182392</t>
  </si>
  <si>
    <t>-</t>
  </si>
  <si>
    <t>983418 – F</t>
  </si>
  <si>
    <t>SISA EXPORT DAPAT DIGUNAKAN UNTUK PO-'0000183 WO#182698 RUNNING KALIBENDA SHIPMENT TGL 27 JUNI 2024</t>
  </si>
  <si>
    <t>RUDI</t>
  </si>
  <si>
    <t>982983 – A</t>
  </si>
  <si>
    <t>983462 – B</t>
  </si>
  <si>
    <t>Sisa export bisa dipakai PO#189 shipment 5 Juli</t>
  </si>
  <si>
    <t>Reject 1/2 jadi, reject cutting dan tidak matching</t>
  </si>
  <si>
    <t>983462 – C</t>
  </si>
  <si>
    <t>Sisa export bisa dipakai PO#247 shipment 19 Juli</t>
  </si>
  <si>
    <t>983462 – F</t>
  </si>
  <si>
    <t>983462 – H</t>
  </si>
  <si>
    <t>983461 – A</t>
  </si>
  <si>
    <t>983463 – C</t>
  </si>
  <si>
    <t>Tidak ada di next PO</t>
  </si>
  <si>
    <t>CNJ2</t>
  </si>
  <si>
    <t>CLN</t>
  </si>
  <si>
    <t>TRI</t>
  </si>
  <si>
    <t>H&amp;M</t>
  </si>
  <si>
    <t>HNM BOXER, DE</t>
  </si>
  <si>
    <t>902788-7987</t>
  </si>
  <si>
    <t>sisa export digunakan untuk shipment selanjutnya karena kain banyak yang reject</t>
  </si>
  <si>
    <t>MAJA 1</t>
  </si>
  <si>
    <t>KIKI</t>
  </si>
  <si>
    <t>RED WING SHOE COMPANY LLC</t>
  </si>
  <si>
    <t>ATI</t>
  </si>
  <si>
    <t>EIGERINDO MULTI PRODUK INDUSTRI, PT.</t>
  </si>
  <si>
    <t>EIGER, 910009115</t>
  </si>
  <si>
    <t>Persentase From Bal Tidak Terkirim</t>
  </si>
  <si>
    <t>Persentase From Qty Cutting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</si>
</sst>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0.00%;[Red]\-0.00%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charset val="1"/>
    </font>
    <font>
      <sz val="10"/>
      <name val="Arial"/>
      <family val="2"/>
    </font>
    <font>
      <sz val="11"/>
      <color theme="1"/>
      <name val="Trebuchet MS"/>
      <family val="2"/>
    </font>
    <font>
      <sz val="11"/>
      <color rgb="FFFF0000"/>
      <name val="Trebuchet MS"/>
      <family val="2"/>
    </font>
    <font>
      <b/>
      <sz val="11"/>
      <color indexed="8"/>
      <name val="Trebuchet MS"/>
      <family val="2"/>
    </font>
    <font>
      <sz val="11"/>
      <name val="Trebuchet MS"/>
      <family val="2"/>
    </font>
    <font>
      <sz val="11"/>
      <color indexed="59"/>
      <name val="Trebuchet MS"/>
      <family val="2"/>
    </font>
    <font>
      <sz val="11"/>
      <color indexed="8"/>
      <name val="Trebuchet MS"/>
      <family val="2"/>
    </font>
    <font>
      <b/>
      <sz val="22"/>
      <color theme="1"/>
      <name val="Century Gothic"/>
      <family val="2"/>
    </font>
    <font>
      <b/>
      <sz val="12"/>
      <color rgb="FFFFFFFF"/>
      <name val="Trebuchet MS"/>
      <family val="2"/>
    </font>
    <font>
      <b/>
      <sz val="11"/>
      <name val="Trebuchet MS"/>
      <family val="2"/>
    </font>
    <font>
      <b/>
      <sz val="18"/>
      <color theme="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rgb="FF97D3D9"/>
        <bgColor rgb="FFF7EFFF"/>
      </patternFill>
    </fill>
    <fill>
      <patternFill patternType="solid">
        <fgColor rgb="FFE7F8F9"/>
        <bgColor rgb="FFF7EFFF"/>
      </patternFill>
    </fill>
    <fill>
      <patternFill patternType="solid">
        <fgColor rgb="FF1F4C51"/>
        <bgColor rgb="FFF7EFFF"/>
      </patternFill>
    </fill>
    <fill>
      <patternFill patternType="solid">
        <fgColor rgb="FFFFFF00"/>
        <bgColor rgb="FFF7EFFF"/>
      </patternFill>
    </fill>
    <fill>
      <patternFill patternType="solid">
        <fgColor rgb="FF0099CC"/>
        <bgColor indexed="64"/>
      </patternFill>
    </fill>
    <fill>
      <patternFill patternType="solid">
        <fgColor rgb="FF003548"/>
        <bgColor indexed="64"/>
      </patternFill>
    </fill>
    <fill>
      <patternFill patternType="solid">
        <fgColor rgb="FFE5F8FF"/>
        <bgColor indexed="64"/>
      </patternFill>
    </fill>
    <fill>
      <patternFill patternType="solid">
        <fgColor rgb="FFE5F8FF"/>
        <bgColor rgb="FFF7EFFF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rgb="FF00B0F0"/>
      </top>
      <bottom style="thin">
        <color rgb="FF00B0F0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2" fillId="0" borderId="0"/>
    <xf numFmtId="0" fontId="3" fillId="0" borderId="0"/>
  </cellStyleXfs>
  <cellXfs count="50">
    <xf numFmtId="0" fontId="0" fillId="0" borderId="0" xfId="0"/>
    <xf numFmtId="0" fontId="4" fillId="0" borderId="0" xfId="0" applyFont="1"/>
    <xf numFmtId="0" fontId="10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4" fillId="3" borderId="1" xfId="0" applyFont="1" applyFill="1" applyBorder="1"/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10" fontId="4" fillId="0" borderId="1" xfId="0" applyNumberFormat="1" applyFont="1" applyBorder="1"/>
    <xf numFmtId="0" fontId="11" fillId="4" borderId="1" xfId="2" applyFont="1" applyFill="1" applyBorder="1" applyAlignment="1">
      <alignment horizontal="center" vertical="center"/>
    </xf>
    <xf numFmtId="0" fontId="11" fillId="4" borderId="1" xfId="2" applyFont="1" applyFill="1" applyBorder="1" applyAlignment="1">
      <alignment horizontal="center" vertical="center" wrapText="1"/>
    </xf>
    <xf numFmtId="38" fontId="11" fillId="4" borderId="1" xfId="2" applyNumberFormat="1" applyFont="1" applyFill="1" applyBorder="1" applyAlignment="1">
      <alignment horizontal="center" vertical="center" wrapText="1"/>
    </xf>
    <xf numFmtId="0" fontId="11" fillId="4" borderId="1" xfId="3" applyFont="1" applyFill="1" applyBorder="1" applyAlignment="1">
      <alignment horizontal="center" vertical="center" wrapText="1"/>
    </xf>
    <xf numFmtId="3" fontId="11" fillId="4" borderId="1" xfId="2" applyNumberFormat="1" applyFont="1" applyFill="1" applyBorder="1" applyAlignment="1">
      <alignment horizontal="center" vertical="center" wrapText="1"/>
    </xf>
    <xf numFmtId="10" fontId="4" fillId="3" borderId="1" xfId="0" applyNumberFormat="1" applyFont="1" applyFill="1" applyBorder="1"/>
    <xf numFmtId="0" fontId="7" fillId="5" borderId="1" xfId="4" applyFont="1" applyFill="1" applyBorder="1" applyAlignment="1">
      <alignment horizontal="center"/>
    </xf>
    <xf numFmtId="0" fontId="4" fillId="5" borderId="1" xfId="0" applyFont="1" applyFill="1" applyBorder="1"/>
    <xf numFmtId="38" fontId="7" fillId="5" borderId="1" xfId="4" applyNumberFormat="1" applyFont="1" applyFill="1" applyBorder="1" applyAlignment="1">
      <alignment horizontal="center"/>
    </xf>
    <xf numFmtId="38" fontId="4" fillId="5" borderId="1" xfId="0" applyNumberFormat="1" applyFont="1" applyFill="1" applyBorder="1" applyAlignment="1">
      <alignment horizontal="right"/>
    </xf>
    <xf numFmtId="38" fontId="4" fillId="5" borderId="1" xfId="0" applyNumberFormat="1" applyFont="1" applyFill="1" applyBorder="1" applyAlignment="1">
      <alignment horizontal="center" vertical="center"/>
    </xf>
    <xf numFmtId="10" fontId="5" fillId="5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/>
    </xf>
    <xf numFmtId="164" fontId="4" fillId="5" borderId="1" xfId="0" applyNumberFormat="1" applyFont="1" applyFill="1" applyBorder="1" applyAlignment="1">
      <alignment horizontal="center" vertical="center"/>
    </xf>
    <xf numFmtId="0" fontId="8" fillId="5" borderId="1" xfId="2" applyFont="1" applyFill="1" applyBorder="1" applyAlignment="1">
      <alignment horizontal="center" vertical="center"/>
    </xf>
    <xf numFmtId="0" fontId="7" fillId="5" borderId="1" xfId="2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horizontal="right"/>
    </xf>
    <xf numFmtId="38" fontId="4" fillId="5" borderId="1" xfId="0" applyNumberFormat="1" applyFont="1" applyFill="1" applyBorder="1" applyAlignment="1">
      <alignment horizontal="center"/>
    </xf>
    <xf numFmtId="165" fontId="4" fillId="5" borderId="1" xfId="0" applyNumberFormat="1" applyFont="1" applyFill="1" applyBorder="1" applyAlignment="1">
      <alignment horizontal="center"/>
    </xf>
    <xf numFmtId="10" fontId="4" fillId="5" borderId="1" xfId="0" applyNumberFormat="1" applyFont="1" applyFill="1" applyBorder="1" applyAlignment="1">
      <alignment horizontal="center"/>
    </xf>
    <xf numFmtId="0" fontId="4" fillId="5" borderId="1" xfId="0" quotePrefix="1" applyFont="1" applyFill="1" applyBorder="1"/>
    <xf numFmtId="38" fontId="4" fillId="5" borderId="1" xfId="0" applyNumberFormat="1" applyFont="1" applyFill="1" applyBorder="1"/>
    <xf numFmtId="0" fontId="9" fillId="5" borderId="1" xfId="2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 wrapText="1"/>
    </xf>
    <xf numFmtId="38" fontId="6" fillId="5" borderId="1" xfId="2" applyNumberFormat="1" applyFont="1" applyFill="1" applyBorder="1" applyAlignment="1">
      <alignment horizontal="center" vertical="center" wrapText="1"/>
    </xf>
    <xf numFmtId="0" fontId="6" fillId="5" borderId="1" xfId="2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right" vertical="center" wrapText="1"/>
    </xf>
    <xf numFmtId="0" fontId="4" fillId="5" borderId="1" xfId="0" applyFont="1" applyFill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/>
    </xf>
    <xf numFmtId="0" fontId="7" fillId="5" borderId="1" xfId="4" applyFont="1" applyFill="1" applyBorder="1" applyAlignment="1">
      <alignment horizontal="center" vertical="center"/>
    </xf>
    <xf numFmtId="38" fontId="9" fillId="5" borderId="1" xfId="2" applyNumberFormat="1" applyFont="1" applyFill="1" applyBorder="1" applyAlignment="1">
      <alignment horizontal="center" vertical="center" wrapText="1"/>
    </xf>
    <xf numFmtId="0" fontId="9" fillId="5" borderId="1" xfId="2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/>
    </xf>
    <xf numFmtId="0" fontId="1" fillId="8" borderId="2" xfId="1" applyFill="1" applyBorder="1"/>
    <xf numFmtId="0" fontId="0" fillId="8" borderId="2" xfId="0" applyFill="1" applyBorder="1"/>
    <xf numFmtId="0" fontId="1" fillId="0" borderId="2" xfId="1" applyBorder="1"/>
    <xf numFmtId="0" fontId="0" fillId="0" borderId="2" xfId="0" applyBorder="1"/>
    <xf numFmtId="0" fontId="13" fillId="7" borderId="2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10" fontId="4" fillId="9" borderId="1" xfId="0" applyNumberFormat="1" applyFont="1" applyFill="1" applyBorder="1" applyAlignment="1">
      <alignment horizontal="center"/>
    </xf>
  </cellXfs>
  <cellStyles count="5">
    <cellStyle name="Excel Built-in Normal" xfId="2" xr:uid="{54032583-BBC7-4FA1-AB80-C5C39EBA464B}"/>
    <cellStyle name="Excel Built-in Normal 4" xfId="3" xr:uid="{2EB6687A-D617-4789-923A-85C6899382B3}"/>
    <cellStyle name="Hyperlink" xfId="1" builtinId="8"/>
    <cellStyle name="Normal" xfId="0" builtinId="0"/>
    <cellStyle name="Normal 2" xfId="4" xr:uid="{335F47F0-51FE-47BA-878B-31A92906667E}"/>
  </cellStyles>
  <dxfs count="0"/>
  <tableStyles count="0" defaultTableStyle="TableStyleMedium2" defaultPivotStyle="PivotStyleLight16"/>
  <colors>
    <mruColors>
      <color rgb="FFE5F8FF"/>
      <color rgb="FF0099CC"/>
      <color rgb="FFD9F5FF"/>
      <color rgb="FF003548"/>
      <color rgb="FF0066FF"/>
      <color rgb="FF3366CC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1916833</xdr:colOff>
      <xdr:row>1</xdr:row>
      <xdr:rowOff>36799</xdr:rowOff>
    </xdr:from>
    <xdr:to>
      <xdr:col>1</xdr:col>
      <xdr:colOff>3429000</xdr:colOff>
      <xdr:row>3</xdr:row>
      <xdr:rowOff>157369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529746" y="227299"/>
          <a:ext cx="1512167" cy="501570"/>
          <a:chOff x="2529746" y="136191"/>
          <a:chExt cx="1512167" cy="625807"/>
        </a:xfrm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ommandButton1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907195" y="289891"/>
                <a:ext cx="745435" cy="2981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ARA\WIP\Format%20Lap%20Data%20Produksi%20GM2%202024%2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ARA\PERFORMANCE%20SHIPMENT\2024\Resume%20Deviasi%20Stock%20Taking%20GM2%20ADIDAS%20JUNI%20%20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Monitoring_GM2_(Master Data)"/>
    </sheetNames>
    <sheetDataSet>
      <sheetData sheetId="0" refreshError="1"/>
      <sheetData sheetId="1" refreshError="1">
        <row r="3">
          <cell r="A3" t="str">
            <v>Row Labels</v>
          </cell>
          <cell r="B3" t="str">
            <v>Sum of TOTAL OUTPUT</v>
          </cell>
        </row>
        <row r="4">
          <cell r="A4">
            <v>181525</v>
          </cell>
          <cell r="B4">
            <v>15839</v>
          </cell>
        </row>
        <row r="5">
          <cell r="A5">
            <v>181527</v>
          </cell>
          <cell r="B5">
            <v>2939</v>
          </cell>
        </row>
        <row r="6">
          <cell r="A6">
            <v>181528</v>
          </cell>
          <cell r="B6">
            <v>1134</v>
          </cell>
        </row>
        <row r="7">
          <cell r="A7">
            <v>181529</v>
          </cell>
          <cell r="B7">
            <v>4149</v>
          </cell>
        </row>
        <row r="8">
          <cell r="A8">
            <v>181530</v>
          </cell>
          <cell r="B8">
            <v>4349</v>
          </cell>
        </row>
        <row r="9">
          <cell r="A9">
            <v>181531</v>
          </cell>
          <cell r="B9">
            <v>1266</v>
          </cell>
        </row>
        <row r="10">
          <cell r="A10">
            <v>181532</v>
          </cell>
          <cell r="B10">
            <v>123</v>
          </cell>
        </row>
        <row r="11">
          <cell r="A11">
            <v>181533</v>
          </cell>
          <cell r="B11">
            <v>3118</v>
          </cell>
        </row>
        <row r="12">
          <cell r="A12">
            <v>181534</v>
          </cell>
          <cell r="B12">
            <v>1186</v>
          </cell>
        </row>
        <row r="13">
          <cell r="A13">
            <v>181535</v>
          </cell>
          <cell r="B13">
            <v>407</v>
          </cell>
        </row>
        <row r="14">
          <cell r="A14">
            <v>181537</v>
          </cell>
          <cell r="B14">
            <v>11416</v>
          </cell>
        </row>
        <row r="15">
          <cell r="A15">
            <v>181538</v>
          </cell>
          <cell r="B15">
            <v>6828</v>
          </cell>
        </row>
        <row r="16">
          <cell r="A16">
            <v>181539</v>
          </cell>
          <cell r="B16">
            <v>1085</v>
          </cell>
        </row>
        <row r="17">
          <cell r="A17">
            <v>181540</v>
          </cell>
          <cell r="B17">
            <v>1144</v>
          </cell>
        </row>
        <row r="18">
          <cell r="A18">
            <v>181541</v>
          </cell>
          <cell r="B18">
            <v>6070</v>
          </cell>
        </row>
        <row r="19">
          <cell r="A19">
            <v>181542</v>
          </cell>
          <cell r="B19">
            <v>11322</v>
          </cell>
        </row>
        <row r="20">
          <cell r="A20">
            <v>181543</v>
          </cell>
          <cell r="B20">
            <v>1762</v>
          </cell>
        </row>
        <row r="21">
          <cell r="A21">
            <v>181601</v>
          </cell>
          <cell r="B21">
            <v>4579</v>
          </cell>
        </row>
        <row r="22">
          <cell r="A22">
            <v>181602</v>
          </cell>
          <cell r="B22">
            <v>4644</v>
          </cell>
        </row>
        <row r="23">
          <cell r="A23">
            <v>181603</v>
          </cell>
          <cell r="B23">
            <v>1080</v>
          </cell>
        </row>
        <row r="24">
          <cell r="A24">
            <v>181604</v>
          </cell>
          <cell r="B24">
            <v>6069</v>
          </cell>
        </row>
        <row r="25">
          <cell r="A25">
            <v>181605</v>
          </cell>
          <cell r="B25">
            <v>1100</v>
          </cell>
        </row>
        <row r="26">
          <cell r="A26">
            <v>181606</v>
          </cell>
          <cell r="B26">
            <v>7156</v>
          </cell>
        </row>
        <row r="27">
          <cell r="A27">
            <v>181607</v>
          </cell>
          <cell r="B27">
            <v>4404</v>
          </cell>
        </row>
        <row r="28">
          <cell r="A28">
            <v>181608</v>
          </cell>
          <cell r="B28">
            <v>13200</v>
          </cell>
        </row>
        <row r="29">
          <cell r="A29">
            <v>181609</v>
          </cell>
          <cell r="B29">
            <v>1045</v>
          </cell>
        </row>
        <row r="30">
          <cell r="A30">
            <v>181610</v>
          </cell>
          <cell r="B30">
            <v>5195</v>
          </cell>
        </row>
        <row r="31">
          <cell r="A31">
            <v>181611</v>
          </cell>
          <cell r="B31">
            <v>1080</v>
          </cell>
        </row>
        <row r="32">
          <cell r="A32">
            <v>181612</v>
          </cell>
          <cell r="B32">
            <v>4302</v>
          </cell>
        </row>
        <row r="33">
          <cell r="A33">
            <v>181614</v>
          </cell>
          <cell r="B33">
            <v>6372</v>
          </cell>
        </row>
        <row r="34">
          <cell r="A34">
            <v>181615</v>
          </cell>
          <cell r="B34">
            <v>1072</v>
          </cell>
        </row>
        <row r="35">
          <cell r="A35">
            <v>181616</v>
          </cell>
          <cell r="B35">
            <v>9353</v>
          </cell>
        </row>
        <row r="36">
          <cell r="A36">
            <v>181617</v>
          </cell>
          <cell r="B36">
            <v>736</v>
          </cell>
        </row>
        <row r="37">
          <cell r="A37">
            <v>181618</v>
          </cell>
          <cell r="B37">
            <v>6333</v>
          </cell>
        </row>
        <row r="38">
          <cell r="A38">
            <v>181619</v>
          </cell>
          <cell r="B38">
            <v>1072</v>
          </cell>
        </row>
        <row r="39">
          <cell r="A39">
            <v>181620</v>
          </cell>
          <cell r="B39">
            <v>4329</v>
          </cell>
        </row>
        <row r="40">
          <cell r="A40">
            <v>181623</v>
          </cell>
          <cell r="B40">
            <v>4809</v>
          </cell>
        </row>
        <row r="41">
          <cell r="A41">
            <v>181628</v>
          </cell>
          <cell r="B41">
            <v>3888</v>
          </cell>
        </row>
        <row r="42">
          <cell r="A42">
            <v>181629</v>
          </cell>
          <cell r="B42">
            <v>1488</v>
          </cell>
        </row>
        <row r="43">
          <cell r="A43">
            <v>181630</v>
          </cell>
          <cell r="B43">
            <v>4149</v>
          </cell>
        </row>
        <row r="44">
          <cell r="A44">
            <v>181631</v>
          </cell>
          <cell r="B44">
            <v>10770</v>
          </cell>
        </row>
        <row r="45">
          <cell r="A45">
            <v>181632</v>
          </cell>
          <cell r="B45">
            <v>3686</v>
          </cell>
        </row>
        <row r="46">
          <cell r="A46">
            <v>181633</v>
          </cell>
          <cell r="B46">
            <v>10769</v>
          </cell>
        </row>
        <row r="47">
          <cell r="A47">
            <v>181634</v>
          </cell>
          <cell r="B47">
            <v>11825</v>
          </cell>
        </row>
        <row r="48">
          <cell r="A48">
            <v>181635</v>
          </cell>
          <cell r="B48">
            <v>6903</v>
          </cell>
        </row>
        <row r="49">
          <cell r="A49">
            <v>181636</v>
          </cell>
          <cell r="B49">
            <v>4949</v>
          </cell>
        </row>
        <row r="50">
          <cell r="A50">
            <v>181637</v>
          </cell>
          <cell r="B50">
            <v>3607</v>
          </cell>
        </row>
        <row r="51">
          <cell r="A51">
            <v>181638</v>
          </cell>
          <cell r="B51">
            <v>9802</v>
          </cell>
        </row>
        <row r="52">
          <cell r="A52">
            <v>181704</v>
          </cell>
          <cell r="B52">
            <v>3619</v>
          </cell>
        </row>
        <row r="53">
          <cell r="A53">
            <v>181718</v>
          </cell>
          <cell r="B53">
            <v>24242</v>
          </cell>
        </row>
        <row r="54">
          <cell r="A54">
            <v>181719</v>
          </cell>
          <cell r="B54">
            <v>4125</v>
          </cell>
        </row>
        <row r="55">
          <cell r="A55">
            <v>181720</v>
          </cell>
          <cell r="B55">
            <v>45249</v>
          </cell>
        </row>
        <row r="56">
          <cell r="A56">
            <v>181721</v>
          </cell>
          <cell r="B56">
            <v>7716</v>
          </cell>
        </row>
        <row r="57">
          <cell r="A57">
            <v>181722</v>
          </cell>
          <cell r="B57">
            <v>44345</v>
          </cell>
        </row>
        <row r="58">
          <cell r="A58">
            <v>181723</v>
          </cell>
          <cell r="B58">
            <v>7549</v>
          </cell>
        </row>
        <row r="59">
          <cell r="A59">
            <v>181724</v>
          </cell>
          <cell r="B59">
            <v>23795</v>
          </cell>
        </row>
        <row r="60">
          <cell r="A60">
            <v>181725</v>
          </cell>
          <cell r="B60">
            <v>4079</v>
          </cell>
        </row>
        <row r="61">
          <cell r="A61">
            <v>181726</v>
          </cell>
          <cell r="B61">
            <v>5056</v>
          </cell>
        </row>
        <row r="62">
          <cell r="A62">
            <v>181727</v>
          </cell>
          <cell r="B62">
            <v>1157</v>
          </cell>
        </row>
        <row r="63">
          <cell r="A63">
            <v>181728</v>
          </cell>
          <cell r="B63">
            <v>23702</v>
          </cell>
        </row>
        <row r="64">
          <cell r="A64">
            <v>181729</v>
          </cell>
          <cell r="B64">
            <v>3994</v>
          </cell>
        </row>
        <row r="65">
          <cell r="A65">
            <v>181730</v>
          </cell>
          <cell r="B65">
            <v>45011</v>
          </cell>
        </row>
        <row r="66">
          <cell r="A66">
            <v>181731</v>
          </cell>
          <cell r="B66">
            <v>7750</v>
          </cell>
        </row>
        <row r="67">
          <cell r="A67">
            <v>181732</v>
          </cell>
          <cell r="B67">
            <v>43785</v>
          </cell>
        </row>
        <row r="68">
          <cell r="A68">
            <v>181733</v>
          </cell>
          <cell r="B68">
            <v>8092</v>
          </cell>
        </row>
        <row r="69">
          <cell r="A69">
            <v>181734</v>
          </cell>
          <cell r="B69">
            <v>23723</v>
          </cell>
        </row>
        <row r="70">
          <cell r="A70">
            <v>181735</v>
          </cell>
          <cell r="B70">
            <v>3991</v>
          </cell>
        </row>
        <row r="71">
          <cell r="A71">
            <v>181738</v>
          </cell>
          <cell r="B71">
            <v>23942</v>
          </cell>
        </row>
        <row r="72">
          <cell r="A72">
            <v>181739</v>
          </cell>
          <cell r="B72">
            <v>4004</v>
          </cell>
        </row>
        <row r="73">
          <cell r="A73">
            <v>181746</v>
          </cell>
          <cell r="B73">
            <v>34693</v>
          </cell>
        </row>
        <row r="74">
          <cell r="A74">
            <v>181747</v>
          </cell>
          <cell r="B74">
            <v>5735</v>
          </cell>
        </row>
        <row r="75">
          <cell r="A75">
            <v>181748</v>
          </cell>
          <cell r="B75">
            <v>32234</v>
          </cell>
        </row>
        <row r="76">
          <cell r="A76">
            <v>181749</v>
          </cell>
          <cell r="B76">
            <v>5948</v>
          </cell>
        </row>
        <row r="77">
          <cell r="A77">
            <v>181832</v>
          </cell>
          <cell r="B77">
            <v>9585</v>
          </cell>
        </row>
        <row r="78">
          <cell r="A78">
            <v>181833</v>
          </cell>
          <cell r="B78">
            <v>1559</v>
          </cell>
        </row>
        <row r="79">
          <cell r="A79">
            <v>181834</v>
          </cell>
          <cell r="B79">
            <v>4466</v>
          </cell>
        </row>
        <row r="80">
          <cell r="A80">
            <v>181835</v>
          </cell>
          <cell r="B80">
            <v>6368</v>
          </cell>
        </row>
        <row r="81">
          <cell r="A81">
            <v>181836</v>
          </cell>
          <cell r="B81">
            <v>7467</v>
          </cell>
        </row>
        <row r="82">
          <cell r="A82">
            <v>181837</v>
          </cell>
          <cell r="B82">
            <v>6915</v>
          </cell>
        </row>
        <row r="83">
          <cell r="A83">
            <v>181838</v>
          </cell>
          <cell r="B83">
            <v>5369</v>
          </cell>
        </row>
        <row r="84">
          <cell r="A84">
            <v>181839</v>
          </cell>
          <cell r="B84">
            <v>1116</v>
          </cell>
        </row>
        <row r="85">
          <cell r="A85">
            <v>181841</v>
          </cell>
          <cell r="B85">
            <v>9795</v>
          </cell>
        </row>
        <row r="86">
          <cell r="A86">
            <v>181842</v>
          </cell>
          <cell r="B86">
            <v>10049</v>
          </cell>
        </row>
        <row r="87">
          <cell r="A87">
            <v>181843</v>
          </cell>
          <cell r="B87">
            <v>6591</v>
          </cell>
        </row>
        <row r="88">
          <cell r="A88">
            <v>181844</v>
          </cell>
          <cell r="B88">
            <v>6431</v>
          </cell>
        </row>
        <row r="89">
          <cell r="A89">
            <v>181845</v>
          </cell>
          <cell r="B89">
            <v>12459</v>
          </cell>
        </row>
        <row r="90">
          <cell r="A90">
            <v>181846</v>
          </cell>
          <cell r="B90">
            <v>11340</v>
          </cell>
        </row>
        <row r="91">
          <cell r="A91">
            <v>181847</v>
          </cell>
          <cell r="B91">
            <v>4953</v>
          </cell>
        </row>
        <row r="92">
          <cell r="A92">
            <v>181848</v>
          </cell>
          <cell r="B92">
            <v>7926</v>
          </cell>
        </row>
        <row r="93">
          <cell r="A93">
            <v>181922</v>
          </cell>
          <cell r="B93">
            <v>13686</v>
          </cell>
        </row>
        <row r="94">
          <cell r="A94">
            <v>181923</v>
          </cell>
          <cell r="B94">
            <v>1322</v>
          </cell>
        </row>
        <row r="95">
          <cell r="A95">
            <v>181925</v>
          </cell>
          <cell r="B95">
            <v>10082</v>
          </cell>
        </row>
        <row r="96">
          <cell r="A96">
            <v>181926</v>
          </cell>
          <cell r="B96">
            <v>1347</v>
          </cell>
        </row>
        <row r="97">
          <cell r="A97">
            <v>181927</v>
          </cell>
          <cell r="B97">
            <v>12286</v>
          </cell>
        </row>
        <row r="98">
          <cell r="A98">
            <v>181928</v>
          </cell>
          <cell r="B98">
            <v>835</v>
          </cell>
        </row>
        <row r="99">
          <cell r="A99">
            <v>181929</v>
          </cell>
          <cell r="B99">
            <v>10028</v>
          </cell>
        </row>
        <row r="100">
          <cell r="A100">
            <v>181930</v>
          </cell>
          <cell r="B100">
            <v>9792</v>
          </cell>
        </row>
        <row r="101">
          <cell r="A101">
            <v>181931</v>
          </cell>
          <cell r="B101">
            <v>18875</v>
          </cell>
        </row>
        <row r="102">
          <cell r="A102">
            <v>181932</v>
          </cell>
          <cell r="B102">
            <v>1892</v>
          </cell>
        </row>
        <row r="103">
          <cell r="A103">
            <v>181933</v>
          </cell>
          <cell r="B103">
            <v>13476</v>
          </cell>
        </row>
        <row r="104">
          <cell r="A104">
            <v>181934</v>
          </cell>
          <cell r="B104">
            <v>5289</v>
          </cell>
        </row>
        <row r="105">
          <cell r="A105">
            <v>181935</v>
          </cell>
          <cell r="B105">
            <v>1226</v>
          </cell>
        </row>
        <row r="106">
          <cell r="A106">
            <v>181936</v>
          </cell>
          <cell r="B106">
            <v>4126</v>
          </cell>
        </row>
        <row r="107">
          <cell r="A107">
            <v>181937</v>
          </cell>
          <cell r="B107">
            <v>1126</v>
          </cell>
        </row>
        <row r="108">
          <cell r="A108">
            <v>181938</v>
          </cell>
          <cell r="B108">
            <v>10293</v>
          </cell>
        </row>
        <row r="109">
          <cell r="A109">
            <v>181939</v>
          </cell>
          <cell r="B109">
            <v>12296</v>
          </cell>
        </row>
        <row r="110">
          <cell r="A110">
            <v>181940</v>
          </cell>
          <cell r="B110">
            <v>23783</v>
          </cell>
        </row>
        <row r="111">
          <cell r="A111">
            <v>181946</v>
          </cell>
          <cell r="B111">
            <v>38728</v>
          </cell>
        </row>
        <row r="112">
          <cell r="A112">
            <v>181947</v>
          </cell>
          <cell r="B112">
            <v>1438</v>
          </cell>
        </row>
        <row r="113">
          <cell r="A113">
            <v>181950</v>
          </cell>
          <cell r="B113">
            <v>36551</v>
          </cell>
        </row>
        <row r="114">
          <cell r="A114">
            <v>181951</v>
          </cell>
          <cell r="B114">
            <v>2656</v>
          </cell>
        </row>
        <row r="115">
          <cell r="A115">
            <v>181952</v>
          </cell>
          <cell r="B115">
            <v>17865</v>
          </cell>
        </row>
        <row r="116">
          <cell r="A116">
            <v>181953</v>
          </cell>
          <cell r="B116">
            <v>60397</v>
          </cell>
        </row>
        <row r="117">
          <cell r="A117">
            <v>181954</v>
          </cell>
          <cell r="B117">
            <v>10993</v>
          </cell>
        </row>
        <row r="118">
          <cell r="A118">
            <v>181955</v>
          </cell>
          <cell r="B118">
            <v>7282</v>
          </cell>
        </row>
        <row r="119">
          <cell r="A119">
            <v>181956</v>
          </cell>
          <cell r="B119">
            <v>2094</v>
          </cell>
        </row>
        <row r="120">
          <cell r="A120">
            <v>181962</v>
          </cell>
          <cell r="B120">
            <v>7075</v>
          </cell>
        </row>
        <row r="121">
          <cell r="A121">
            <v>181963</v>
          </cell>
          <cell r="B121">
            <v>4517</v>
          </cell>
        </row>
        <row r="122">
          <cell r="A122">
            <v>181964</v>
          </cell>
          <cell r="B122">
            <v>1104</v>
          </cell>
        </row>
        <row r="123">
          <cell r="A123">
            <v>181965</v>
          </cell>
          <cell r="B123">
            <v>3780</v>
          </cell>
        </row>
        <row r="124">
          <cell r="A124">
            <v>181968</v>
          </cell>
          <cell r="B124">
            <v>17592</v>
          </cell>
        </row>
        <row r="125">
          <cell r="A125">
            <v>181969</v>
          </cell>
          <cell r="B125">
            <v>1112</v>
          </cell>
        </row>
        <row r="126">
          <cell r="A126">
            <v>181970</v>
          </cell>
          <cell r="B126">
            <v>9221</v>
          </cell>
        </row>
        <row r="127">
          <cell r="A127">
            <v>181971</v>
          </cell>
          <cell r="B127">
            <v>5522</v>
          </cell>
        </row>
        <row r="128">
          <cell r="A128">
            <v>181972</v>
          </cell>
          <cell r="B128">
            <v>7200</v>
          </cell>
        </row>
        <row r="129">
          <cell r="A129">
            <v>181973</v>
          </cell>
          <cell r="B129">
            <v>7750</v>
          </cell>
        </row>
        <row r="130">
          <cell r="A130">
            <v>181974</v>
          </cell>
          <cell r="B130">
            <v>1642</v>
          </cell>
        </row>
        <row r="131">
          <cell r="A131">
            <v>181975</v>
          </cell>
          <cell r="B131">
            <v>4448</v>
          </cell>
        </row>
        <row r="132">
          <cell r="A132">
            <v>181976</v>
          </cell>
          <cell r="B132">
            <v>5235</v>
          </cell>
        </row>
        <row r="133">
          <cell r="A133">
            <v>181978</v>
          </cell>
          <cell r="B133">
            <v>13351</v>
          </cell>
        </row>
        <row r="134">
          <cell r="A134">
            <v>181979</v>
          </cell>
          <cell r="B134">
            <v>3683</v>
          </cell>
        </row>
        <row r="135">
          <cell r="A135">
            <v>181989</v>
          </cell>
          <cell r="B135">
            <v>6225</v>
          </cell>
        </row>
        <row r="136">
          <cell r="A136">
            <v>181990</v>
          </cell>
          <cell r="B136">
            <v>1116</v>
          </cell>
        </row>
        <row r="137">
          <cell r="A137">
            <v>181991</v>
          </cell>
          <cell r="B137">
            <v>4469</v>
          </cell>
        </row>
        <row r="138">
          <cell r="A138">
            <v>181992</v>
          </cell>
          <cell r="B138">
            <v>1116</v>
          </cell>
        </row>
        <row r="139">
          <cell r="A139">
            <v>181993</v>
          </cell>
          <cell r="B139">
            <v>5383</v>
          </cell>
        </row>
        <row r="140">
          <cell r="A140">
            <v>181994</v>
          </cell>
          <cell r="B140">
            <v>1483</v>
          </cell>
        </row>
        <row r="141">
          <cell r="A141">
            <v>181995</v>
          </cell>
          <cell r="B141">
            <v>5722</v>
          </cell>
        </row>
        <row r="142">
          <cell r="A142">
            <v>181996</v>
          </cell>
          <cell r="B142">
            <v>718</v>
          </cell>
        </row>
        <row r="143">
          <cell r="A143">
            <v>181998</v>
          </cell>
          <cell r="B143">
            <v>36265</v>
          </cell>
        </row>
        <row r="144">
          <cell r="A144">
            <v>181999</v>
          </cell>
          <cell r="B144">
            <v>19410</v>
          </cell>
        </row>
        <row r="145">
          <cell r="A145">
            <v>182000</v>
          </cell>
          <cell r="B145">
            <v>39300</v>
          </cell>
        </row>
        <row r="146">
          <cell r="A146">
            <v>182001</v>
          </cell>
          <cell r="B146">
            <v>28757</v>
          </cell>
        </row>
        <row r="147">
          <cell r="A147">
            <v>182002</v>
          </cell>
          <cell r="B147">
            <v>40950</v>
          </cell>
        </row>
        <row r="148">
          <cell r="A148">
            <v>182003</v>
          </cell>
          <cell r="B148">
            <v>28395</v>
          </cell>
        </row>
        <row r="149">
          <cell r="A149">
            <v>182150</v>
          </cell>
          <cell r="B149">
            <v>15173</v>
          </cell>
        </row>
        <row r="150">
          <cell r="A150">
            <v>182151</v>
          </cell>
          <cell r="B150">
            <v>4948</v>
          </cell>
        </row>
        <row r="151">
          <cell r="A151">
            <v>182152</v>
          </cell>
          <cell r="B151">
            <v>6140</v>
          </cell>
        </row>
        <row r="152">
          <cell r="A152">
            <v>182153</v>
          </cell>
          <cell r="B152">
            <v>6787</v>
          </cell>
        </row>
        <row r="153">
          <cell r="A153">
            <v>182154</v>
          </cell>
          <cell r="B153">
            <v>6684</v>
          </cell>
        </row>
        <row r="154">
          <cell r="A154">
            <v>182155</v>
          </cell>
          <cell r="B154">
            <v>7571</v>
          </cell>
        </row>
        <row r="155">
          <cell r="A155">
            <v>182156</v>
          </cell>
          <cell r="B155">
            <v>10130</v>
          </cell>
        </row>
        <row r="156">
          <cell r="A156">
            <v>182157</v>
          </cell>
          <cell r="B156">
            <v>18516</v>
          </cell>
        </row>
        <row r="157">
          <cell r="A157">
            <v>182158</v>
          </cell>
          <cell r="B157">
            <v>8827</v>
          </cell>
        </row>
        <row r="158">
          <cell r="A158">
            <v>182159</v>
          </cell>
          <cell r="B158">
            <v>13460</v>
          </cell>
        </row>
        <row r="159">
          <cell r="A159">
            <v>182160</v>
          </cell>
          <cell r="B159">
            <v>1446</v>
          </cell>
        </row>
        <row r="160">
          <cell r="A160">
            <v>182161</v>
          </cell>
          <cell r="B160">
            <v>6338</v>
          </cell>
        </row>
        <row r="161">
          <cell r="A161">
            <v>182162</v>
          </cell>
          <cell r="B161">
            <v>3793</v>
          </cell>
        </row>
        <row r="162">
          <cell r="A162">
            <v>182163</v>
          </cell>
          <cell r="B162">
            <v>3784</v>
          </cell>
        </row>
        <row r="163">
          <cell r="A163">
            <v>182166</v>
          </cell>
          <cell r="B163">
            <v>9807</v>
          </cell>
        </row>
        <row r="164">
          <cell r="A164">
            <v>182170</v>
          </cell>
          <cell r="B164">
            <v>11074</v>
          </cell>
        </row>
        <row r="165">
          <cell r="A165">
            <v>182177</v>
          </cell>
          <cell r="B165">
            <v>12599</v>
          </cell>
        </row>
        <row r="166">
          <cell r="A166">
            <v>182178</v>
          </cell>
          <cell r="B166">
            <v>36066</v>
          </cell>
        </row>
        <row r="167">
          <cell r="A167">
            <v>182179</v>
          </cell>
          <cell r="B167">
            <v>4444</v>
          </cell>
        </row>
        <row r="168">
          <cell r="A168">
            <v>182186</v>
          </cell>
          <cell r="B168">
            <v>2052</v>
          </cell>
        </row>
        <row r="169">
          <cell r="A169">
            <v>182187</v>
          </cell>
          <cell r="B169">
            <v>2808</v>
          </cell>
        </row>
        <row r="170">
          <cell r="A170">
            <v>182188</v>
          </cell>
          <cell r="B170">
            <v>13674</v>
          </cell>
        </row>
        <row r="171">
          <cell r="A171">
            <v>182189</v>
          </cell>
          <cell r="B171">
            <v>5945</v>
          </cell>
        </row>
        <row r="172">
          <cell r="A172">
            <v>182192</v>
          </cell>
          <cell r="B172">
            <v>7361</v>
          </cell>
        </row>
        <row r="173">
          <cell r="A173">
            <v>182193</v>
          </cell>
          <cell r="B173">
            <v>39630</v>
          </cell>
        </row>
        <row r="174">
          <cell r="A174">
            <v>182194</v>
          </cell>
          <cell r="B174">
            <v>2669</v>
          </cell>
        </row>
        <row r="175">
          <cell r="A175">
            <v>182195</v>
          </cell>
          <cell r="B175">
            <v>9737</v>
          </cell>
        </row>
        <row r="176">
          <cell r="A176">
            <v>182199</v>
          </cell>
          <cell r="B176">
            <v>9431</v>
          </cell>
        </row>
        <row r="177">
          <cell r="A177">
            <v>182201</v>
          </cell>
          <cell r="B177">
            <v>9486</v>
          </cell>
        </row>
        <row r="178">
          <cell r="A178">
            <v>182202</v>
          </cell>
          <cell r="B178">
            <v>11800</v>
          </cell>
        </row>
        <row r="179">
          <cell r="A179">
            <v>182203</v>
          </cell>
          <cell r="B179">
            <v>19499</v>
          </cell>
        </row>
        <row r="180">
          <cell r="A180">
            <v>182204</v>
          </cell>
          <cell r="B180">
            <v>1512</v>
          </cell>
        </row>
        <row r="181">
          <cell r="A181">
            <v>182205</v>
          </cell>
          <cell r="B181">
            <v>2403</v>
          </cell>
        </row>
        <row r="182">
          <cell r="A182">
            <v>182206</v>
          </cell>
          <cell r="B182">
            <v>2453</v>
          </cell>
        </row>
        <row r="183">
          <cell r="A183">
            <v>182207</v>
          </cell>
          <cell r="B183">
            <v>2412</v>
          </cell>
        </row>
        <row r="184">
          <cell r="A184">
            <v>182208</v>
          </cell>
          <cell r="B184">
            <v>15896</v>
          </cell>
        </row>
        <row r="185">
          <cell r="A185">
            <v>182209</v>
          </cell>
          <cell r="B185">
            <v>11257</v>
          </cell>
        </row>
        <row r="186">
          <cell r="A186">
            <v>182210</v>
          </cell>
          <cell r="B186">
            <v>19418</v>
          </cell>
        </row>
        <row r="187">
          <cell r="A187">
            <v>182211</v>
          </cell>
          <cell r="B187">
            <v>15752</v>
          </cell>
        </row>
        <row r="188">
          <cell r="A188">
            <v>182212</v>
          </cell>
          <cell r="B188">
            <v>4973</v>
          </cell>
        </row>
        <row r="189">
          <cell r="A189">
            <v>182213</v>
          </cell>
          <cell r="B189">
            <v>9449</v>
          </cell>
        </row>
        <row r="190">
          <cell r="A190">
            <v>182214</v>
          </cell>
          <cell r="B190">
            <v>7280</v>
          </cell>
        </row>
        <row r="191">
          <cell r="A191">
            <v>182215</v>
          </cell>
          <cell r="B191">
            <v>1608</v>
          </cell>
        </row>
        <row r="192">
          <cell r="A192">
            <v>182216</v>
          </cell>
          <cell r="B192">
            <v>5840</v>
          </cell>
        </row>
        <row r="193">
          <cell r="A193">
            <v>182217</v>
          </cell>
          <cell r="B193">
            <v>19384</v>
          </cell>
        </row>
        <row r="194">
          <cell r="A194">
            <v>182218</v>
          </cell>
          <cell r="B194">
            <v>19339</v>
          </cell>
        </row>
        <row r="195">
          <cell r="A195">
            <v>182219</v>
          </cell>
          <cell r="B195">
            <v>12793</v>
          </cell>
        </row>
        <row r="196">
          <cell r="A196">
            <v>182220</v>
          </cell>
          <cell r="B196">
            <v>1864</v>
          </cell>
        </row>
        <row r="197">
          <cell r="A197">
            <v>182390</v>
          </cell>
          <cell r="B197">
            <v>34304</v>
          </cell>
        </row>
        <row r="198">
          <cell r="A198">
            <v>182391</v>
          </cell>
          <cell r="B198">
            <v>1869</v>
          </cell>
        </row>
        <row r="199">
          <cell r="A199">
            <v>182395</v>
          </cell>
          <cell r="B199">
            <v>25476</v>
          </cell>
        </row>
        <row r="200">
          <cell r="A200">
            <v>182396</v>
          </cell>
          <cell r="B200">
            <v>18884</v>
          </cell>
        </row>
        <row r="201">
          <cell r="A201">
            <v>182397</v>
          </cell>
          <cell r="B201">
            <v>19330</v>
          </cell>
        </row>
        <row r="202">
          <cell r="A202">
            <v>182398</v>
          </cell>
          <cell r="B202">
            <v>19208</v>
          </cell>
        </row>
        <row r="203">
          <cell r="A203">
            <v>182405</v>
          </cell>
          <cell r="B203">
            <v>6126</v>
          </cell>
        </row>
        <row r="204">
          <cell r="A204">
            <v>182406</v>
          </cell>
          <cell r="B204">
            <v>1116</v>
          </cell>
        </row>
        <row r="205">
          <cell r="A205">
            <v>182427</v>
          </cell>
          <cell r="B205">
            <v>22138</v>
          </cell>
        </row>
        <row r="206">
          <cell r="A206">
            <v>182428</v>
          </cell>
          <cell r="B206">
            <v>2027</v>
          </cell>
        </row>
        <row r="207">
          <cell r="A207">
            <v>182429</v>
          </cell>
          <cell r="B207">
            <v>17470</v>
          </cell>
        </row>
        <row r="208">
          <cell r="A208">
            <v>182430</v>
          </cell>
          <cell r="B208">
            <v>1123</v>
          </cell>
        </row>
        <row r="209">
          <cell r="A209">
            <v>182431</v>
          </cell>
          <cell r="B209">
            <v>9801</v>
          </cell>
        </row>
        <row r="210">
          <cell r="A210">
            <v>182432</v>
          </cell>
          <cell r="B210">
            <v>1668</v>
          </cell>
        </row>
        <row r="211">
          <cell r="A211">
            <v>182433</v>
          </cell>
          <cell r="B211">
            <v>10983</v>
          </cell>
        </row>
        <row r="212">
          <cell r="A212">
            <v>182434</v>
          </cell>
          <cell r="B212">
            <v>1367</v>
          </cell>
        </row>
        <row r="213">
          <cell r="A213">
            <v>182435</v>
          </cell>
          <cell r="B213">
            <v>2772</v>
          </cell>
        </row>
        <row r="214">
          <cell r="A214">
            <v>182436</v>
          </cell>
          <cell r="B214">
            <v>2097</v>
          </cell>
        </row>
        <row r="215">
          <cell r="A215">
            <v>182437</v>
          </cell>
          <cell r="B215">
            <v>1421</v>
          </cell>
        </row>
        <row r="216">
          <cell r="A216">
            <v>182438</v>
          </cell>
          <cell r="B216">
            <v>1260</v>
          </cell>
        </row>
        <row r="217">
          <cell r="A217">
            <v>182439</v>
          </cell>
          <cell r="B217">
            <v>8815</v>
          </cell>
        </row>
        <row r="218">
          <cell r="A218">
            <v>182440</v>
          </cell>
          <cell r="B218">
            <v>10032</v>
          </cell>
        </row>
        <row r="219">
          <cell r="A219">
            <v>182441</v>
          </cell>
          <cell r="B219">
            <v>22136</v>
          </cell>
        </row>
        <row r="220">
          <cell r="A220">
            <v>182442</v>
          </cell>
          <cell r="B220">
            <v>20170</v>
          </cell>
        </row>
        <row r="221">
          <cell r="A221">
            <v>182443</v>
          </cell>
          <cell r="B221">
            <v>9063</v>
          </cell>
        </row>
        <row r="222">
          <cell r="A222">
            <v>182444</v>
          </cell>
          <cell r="B222">
            <v>14773</v>
          </cell>
        </row>
        <row r="223">
          <cell r="A223">
            <v>182445</v>
          </cell>
          <cell r="B223">
            <v>9666</v>
          </cell>
        </row>
        <row r="224">
          <cell r="A224">
            <v>182446</v>
          </cell>
          <cell r="B224">
            <v>3903</v>
          </cell>
        </row>
        <row r="225">
          <cell r="A225">
            <v>182447</v>
          </cell>
          <cell r="B225">
            <v>1446</v>
          </cell>
        </row>
        <row r="226">
          <cell r="A226">
            <v>182448</v>
          </cell>
          <cell r="B226">
            <v>3574</v>
          </cell>
        </row>
        <row r="227">
          <cell r="A227">
            <v>182449</v>
          </cell>
          <cell r="B227">
            <v>1446</v>
          </cell>
        </row>
        <row r="228">
          <cell r="A228">
            <v>182450</v>
          </cell>
          <cell r="B228">
            <v>11902</v>
          </cell>
        </row>
        <row r="229">
          <cell r="A229">
            <v>182451</v>
          </cell>
          <cell r="B229">
            <v>1104</v>
          </cell>
        </row>
        <row r="230">
          <cell r="A230">
            <v>182453</v>
          </cell>
          <cell r="B230">
            <v>5014</v>
          </cell>
        </row>
        <row r="231">
          <cell r="A231">
            <v>182464</v>
          </cell>
          <cell r="B231">
            <v>11631</v>
          </cell>
        </row>
        <row r="232">
          <cell r="A232">
            <v>182466</v>
          </cell>
          <cell r="B232">
            <v>1224</v>
          </cell>
        </row>
        <row r="233">
          <cell r="A233">
            <v>182468</v>
          </cell>
          <cell r="B233">
            <v>9867</v>
          </cell>
        </row>
        <row r="234">
          <cell r="A234">
            <v>182470</v>
          </cell>
          <cell r="B234">
            <v>550</v>
          </cell>
        </row>
        <row r="235">
          <cell r="A235">
            <v>182472</v>
          </cell>
          <cell r="B235">
            <v>21652</v>
          </cell>
        </row>
        <row r="236">
          <cell r="A236">
            <v>182474</v>
          </cell>
          <cell r="B236">
            <v>785</v>
          </cell>
        </row>
        <row r="237">
          <cell r="A237">
            <v>182476</v>
          </cell>
          <cell r="B237">
            <v>12695</v>
          </cell>
        </row>
        <row r="238">
          <cell r="A238">
            <v>182479</v>
          </cell>
          <cell r="B238">
            <v>1112</v>
          </cell>
        </row>
        <row r="239">
          <cell r="A239">
            <v>182481</v>
          </cell>
          <cell r="B239">
            <v>8532</v>
          </cell>
        </row>
        <row r="240">
          <cell r="A240">
            <v>182483</v>
          </cell>
          <cell r="B240">
            <v>1067</v>
          </cell>
        </row>
        <row r="241">
          <cell r="A241">
            <v>182485</v>
          </cell>
          <cell r="B241">
            <v>10436</v>
          </cell>
        </row>
        <row r="242">
          <cell r="A242">
            <v>182487</v>
          </cell>
          <cell r="B242">
            <v>1716</v>
          </cell>
        </row>
        <row r="243">
          <cell r="A243">
            <v>182489</v>
          </cell>
          <cell r="B243">
            <v>8950</v>
          </cell>
        </row>
        <row r="244">
          <cell r="A244">
            <v>182491</v>
          </cell>
          <cell r="B244">
            <v>2667</v>
          </cell>
        </row>
        <row r="245">
          <cell r="A245">
            <v>182493</v>
          </cell>
          <cell r="B245">
            <v>15937</v>
          </cell>
        </row>
        <row r="246">
          <cell r="A246">
            <v>182700</v>
          </cell>
          <cell r="B246">
            <v>24620</v>
          </cell>
        </row>
        <row r="247">
          <cell r="A247">
            <v>182701</v>
          </cell>
          <cell r="B247">
            <v>2975</v>
          </cell>
        </row>
        <row r="248">
          <cell r="A248">
            <v>182707</v>
          </cell>
          <cell r="B248">
            <v>19588</v>
          </cell>
        </row>
        <row r="249">
          <cell r="A249">
            <v>182708</v>
          </cell>
          <cell r="B249">
            <v>16415</v>
          </cell>
        </row>
        <row r="250">
          <cell r="A250">
            <v>182709</v>
          </cell>
          <cell r="B250">
            <v>11103</v>
          </cell>
        </row>
        <row r="251">
          <cell r="A251">
            <v>182712</v>
          </cell>
          <cell r="B251">
            <v>16612</v>
          </cell>
        </row>
        <row r="252">
          <cell r="A252">
            <v>182713</v>
          </cell>
          <cell r="B252">
            <v>20870</v>
          </cell>
        </row>
        <row r="253">
          <cell r="A253">
            <v>182714</v>
          </cell>
          <cell r="B253">
            <v>1065</v>
          </cell>
        </row>
        <row r="254">
          <cell r="A254">
            <v>182715</v>
          </cell>
          <cell r="B254">
            <v>21025</v>
          </cell>
        </row>
        <row r="255">
          <cell r="A255">
            <v>182716</v>
          </cell>
          <cell r="B255">
            <v>1050</v>
          </cell>
        </row>
        <row r="256">
          <cell r="A256">
            <v>182717</v>
          </cell>
          <cell r="B256">
            <v>25500</v>
          </cell>
        </row>
        <row r="257">
          <cell r="A257">
            <v>182718</v>
          </cell>
          <cell r="B257">
            <v>1167</v>
          </cell>
        </row>
        <row r="258">
          <cell r="A258">
            <v>182719</v>
          </cell>
          <cell r="B258">
            <v>37561</v>
          </cell>
        </row>
        <row r="259">
          <cell r="A259">
            <v>182721</v>
          </cell>
          <cell r="B259">
            <v>1085</v>
          </cell>
        </row>
        <row r="260">
          <cell r="A260">
            <v>182722</v>
          </cell>
          <cell r="B260">
            <v>35116</v>
          </cell>
        </row>
        <row r="261">
          <cell r="A261">
            <v>182723</v>
          </cell>
          <cell r="B261">
            <v>20949</v>
          </cell>
        </row>
        <row r="262">
          <cell r="A262">
            <v>182724</v>
          </cell>
          <cell r="B262">
            <v>1080</v>
          </cell>
        </row>
        <row r="263">
          <cell r="A263">
            <v>182725</v>
          </cell>
          <cell r="B263">
            <v>25818</v>
          </cell>
        </row>
        <row r="264">
          <cell r="A264">
            <v>182726</v>
          </cell>
          <cell r="B264">
            <v>15324</v>
          </cell>
        </row>
        <row r="265">
          <cell r="A265">
            <v>182728</v>
          </cell>
          <cell r="B265">
            <v>11082</v>
          </cell>
        </row>
        <row r="266">
          <cell r="A266">
            <v>182734</v>
          </cell>
          <cell r="B266">
            <v>23349</v>
          </cell>
        </row>
        <row r="267">
          <cell r="A267">
            <v>182735</v>
          </cell>
          <cell r="B267">
            <v>6964</v>
          </cell>
        </row>
        <row r="268">
          <cell r="A268">
            <v>182736</v>
          </cell>
          <cell r="B268">
            <v>1074</v>
          </cell>
        </row>
        <row r="269">
          <cell r="A269">
            <v>182737</v>
          </cell>
          <cell r="B269">
            <v>3227</v>
          </cell>
        </row>
        <row r="270">
          <cell r="A270">
            <v>182738</v>
          </cell>
          <cell r="B270">
            <v>5024</v>
          </cell>
        </row>
        <row r="271">
          <cell r="A271">
            <v>182739</v>
          </cell>
          <cell r="B271">
            <v>4962</v>
          </cell>
        </row>
        <row r="272">
          <cell r="A272">
            <v>182740</v>
          </cell>
          <cell r="B272">
            <v>7503</v>
          </cell>
        </row>
        <row r="273">
          <cell r="A273">
            <v>182741</v>
          </cell>
          <cell r="B273">
            <v>1065</v>
          </cell>
        </row>
        <row r="274">
          <cell r="A274">
            <v>182742</v>
          </cell>
          <cell r="B274">
            <v>5523</v>
          </cell>
        </row>
        <row r="275">
          <cell r="A275">
            <v>182743</v>
          </cell>
          <cell r="B275">
            <v>18119</v>
          </cell>
        </row>
        <row r="276">
          <cell r="A276">
            <v>182744</v>
          </cell>
          <cell r="B276">
            <v>1075</v>
          </cell>
        </row>
        <row r="277">
          <cell r="A277">
            <v>182745</v>
          </cell>
          <cell r="B277">
            <v>6810</v>
          </cell>
        </row>
        <row r="278">
          <cell r="A278">
            <v>182746</v>
          </cell>
          <cell r="B278">
            <v>615</v>
          </cell>
        </row>
        <row r="279">
          <cell r="A279">
            <v>182750</v>
          </cell>
          <cell r="B279">
            <v>7532</v>
          </cell>
        </row>
        <row r="280">
          <cell r="A280">
            <v>182752</v>
          </cell>
          <cell r="B280">
            <v>4965</v>
          </cell>
        </row>
        <row r="281">
          <cell r="A281">
            <v>182756</v>
          </cell>
          <cell r="B281">
            <v>7362</v>
          </cell>
        </row>
        <row r="282">
          <cell r="A282">
            <v>182757</v>
          </cell>
          <cell r="B282">
            <v>6690</v>
          </cell>
        </row>
        <row r="283">
          <cell r="A283">
            <v>182766</v>
          </cell>
          <cell r="B283">
            <v>12055</v>
          </cell>
        </row>
        <row r="284">
          <cell r="A284">
            <v>182767</v>
          </cell>
          <cell r="B284">
            <v>2360</v>
          </cell>
        </row>
        <row r="285">
          <cell r="A285">
            <v>182768</v>
          </cell>
          <cell r="B285">
            <v>4669</v>
          </cell>
        </row>
        <row r="286">
          <cell r="A286">
            <v>182769</v>
          </cell>
          <cell r="B286">
            <v>224</v>
          </cell>
        </row>
        <row r="287">
          <cell r="A287" t="str">
            <v>Grand Total</v>
          </cell>
          <cell r="B287">
            <v>2774922</v>
          </cell>
        </row>
      </sheetData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Performance Mei"/>
    </sheetNames>
    <sheetDataSet>
      <sheetData sheetId="0" refreshError="1"/>
      <sheetData sheetId="1" refreshError="1">
        <row r="3">
          <cell r="A3" t="str">
            <v>Row Labels</v>
          </cell>
          <cell r="B3" t="str">
            <v>Sum of Shpmnt</v>
          </cell>
          <cell r="C3" t="str">
            <v>Sum of IR (Pemakaian stock)</v>
          </cell>
        </row>
        <row r="4">
          <cell r="A4" t="str">
            <v>WEEK 1 (5  JUNI  2024)</v>
          </cell>
          <cell r="B4">
            <v>172449</v>
          </cell>
          <cell r="C4">
            <v>473</v>
          </cell>
        </row>
        <row r="5">
          <cell r="A5">
            <v>182405</v>
          </cell>
          <cell r="B5">
            <v>6006</v>
          </cell>
          <cell r="C5">
            <v>50</v>
          </cell>
        </row>
        <row r="6">
          <cell r="A6">
            <v>182406</v>
          </cell>
          <cell r="B6">
            <v>1083</v>
          </cell>
        </row>
        <row r="7">
          <cell r="A7">
            <v>182427</v>
          </cell>
          <cell r="B7">
            <v>21903</v>
          </cell>
        </row>
        <row r="8">
          <cell r="A8">
            <v>182428</v>
          </cell>
          <cell r="B8">
            <v>1977</v>
          </cell>
        </row>
        <row r="9">
          <cell r="A9">
            <v>182429</v>
          </cell>
          <cell r="B9">
            <v>17322</v>
          </cell>
        </row>
        <row r="10">
          <cell r="A10">
            <v>182430</v>
          </cell>
          <cell r="B10">
            <v>1107</v>
          </cell>
        </row>
        <row r="11">
          <cell r="A11">
            <v>182431</v>
          </cell>
          <cell r="B11">
            <v>9615</v>
          </cell>
          <cell r="C11">
            <v>33</v>
          </cell>
        </row>
        <row r="12">
          <cell r="A12">
            <v>182432</v>
          </cell>
          <cell r="B12">
            <v>1638</v>
          </cell>
          <cell r="C12">
            <v>37</v>
          </cell>
        </row>
        <row r="13">
          <cell r="A13">
            <v>182433</v>
          </cell>
          <cell r="B13">
            <v>10371</v>
          </cell>
          <cell r="C13">
            <v>75</v>
          </cell>
        </row>
        <row r="14">
          <cell r="A14">
            <v>182434</v>
          </cell>
          <cell r="B14">
            <v>1740</v>
          </cell>
          <cell r="C14">
            <v>5</v>
          </cell>
        </row>
        <row r="15">
          <cell r="A15">
            <v>182435</v>
          </cell>
          <cell r="B15">
            <v>2740</v>
          </cell>
        </row>
        <row r="16">
          <cell r="A16">
            <v>182436</v>
          </cell>
          <cell r="B16">
            <v>2085</v>
          </cell>
        </row>
        <row r="17">
          <cell r="A17">
            <v>182437</v>
          </cell>
          <cell r="B17">
            <v>1399</v>
          </cell>
        </row>
        <row r="18">
          <cell r="A18">
            <v>182438</v>
          </cell>
          <cell r="B18">
            <v>1257</v>
          </cell>
        </row>
        <row r="19">
          <cell r="A19">
            <v>182440</v>
          </cell>
          <cell r="B19">
            <v>9888</v>
          </cell>
        </row>
        <row r="20">
          <cell r="A20">
            <v>182441</v>
          </cell>
          <cell r="B20">
            <v>21912</v>
          </cell>
          <cell r="C20">
            <v>88</v>
          </cell>
        </row>
        <row r="21">
          <cell r="A21">
            <v>182443</v>
          </cell>
          <cell r="B21">
            <v>8956</v>
          </cell>
          <cell r="C21">
            <v>6</v>
          </cell>
        </row>
        <row r="22">
          <cell r="A22">
            <v>182444</v>
          </cell>
          <cell r="B22">
            <v>14344</v>
          </cell>
        </row>
        <row r="23">
          <cell r="A23">
            <v>182445</v>
          </cell>
          <cell r="B23">
            <v>9140</v>
          </cell>
          <cell r="C23">
            <v>19</v>
          </cell>
        </row>
        <row r="24">
          <cell r="A24">
            <v>182446</v>
          </cell>
          <cell r="B24">
            <v>3822</v>
          </cell>
        </row>
        <row r="25">
          <cell r="A25">
            <v>182447</v>
          </cell>
          <cell r="B25">
            <v>1407</v>
          </cell>
          <cell r="C25">
            <v>20</v>
          </cell>
        </row>
        <row r="26">
          <cell r="A26">
            <v>182448</v>
          </cell>
          <cell r="B26">
            <v>3537</v>
          </cell>
          <cell r="C26">
            <v>42</v>
          </cell>
        </row>
        <row r="27">
          <cell r="A27">
            <v>182449</v>
          </cell>
          <cell r="B27">
            <v>1434</v>
          </cell>
        </row>
        <row r="28">
          <cell r="A28">
            <v>182450</v>
          </cell>
          <cell r="B28">
            <v>11724</v>
          </cell>
          <cell r="C28">
            <v>52</v>
          </cell>
        </row>
        <row r="29">
          <cell r="A29">
            <v>182451</v>
          </cell>
          <cell r="B29">
            <v>1080</v>
          </cell>
          <cell r="C29">
            <v>6</v>
          </cell>
        </row>
        <row r="30">
          <cell r="A30">
            <v>182453</v>
          </cell>
          <cell r="B30">
            <v>4962</v>
          </cell>
          <cell r="C30">
            <v>40</v>
          </cell>
        </row>
        <row r="31">
          <cell r="A31" t="str">
            <v>WEEK 3 (21  JUNI  2024)</v>
          </cell>
          <cell r="B31">
            <v>386859</v>
          </cell>
          <cell r="C31">
            <v>2341</v>
          </cell>
        </row>
        <row r="32">
          <cell r="A32">
            <v>182700</v>
          </cell>
          <cell r="B32">
            <v>24681</v>
          </cell>
          <cell r="C32">
            <v>127</v>
          </cell>
        </row>
        <row r="33">
          <cell r="A33">
            <v>182707</v>
          </cell>
          <cell r="B33">
            <v>19656</v>
          </cell>
        </row>
        <row r="34">
          <cell r="A34">
            <v>182708</v>
          </cell>
          <cell r="B34">
            <v>16632</v>
          </cell>
          <cell r="C34">
            <v>248</v>
          </cell>
        </row>
        <row r="35">
          <cell r="A35">
            <v>182709</v>
          </cell>
          <cell r="B35">
            <v>11331</v>
          </cell>
          <cell r="C35">
            <v>67</v>
          </cell>
        </row>
        <row r="36">
          <cell r="A36">
            <v>182712</v>
          </cell>
          <cell r="B36">
            <v>16956</v>
          </cell>
          <cell r="C36">
            <v>128</v>
          </cell>
        </row>
        <row r="37">
          <cell r="A37">
            <v>182713</v>
          </cell>
          <cell r="B37">
            <v>21276</v>
          </cell>
          <cell r="C37">
            <v>152</v>
          </cell>
        </row>
        <row r="38">
          <cell r="A38">
            <v>182714</v>
          </cell>
          <cell r="B38">
            <v>1065</v>
          </cell>
          <cell r="C38">
            <v>12</v>
          </cell>
        </row>
        <row r="39">
          <cell r="A39">
            <v>182715</v>
          </cell>
          <cell r="B39">
            <v>20991</v>
          </cell>
          <cell r="C39">
            <v>76</v>
          </cell>
        </row>
        <row r="40">
          <cell r="A40">
            <v>182716</v>
          </cell>
          <cell r="B40">
            <v>1050</v>
          </cell>
          <cell r="C40">
            <v>6</v>
          </cell>
        </row>
        <row r="41">
          <cell r="A41">
            <v>182717</v>
          </cell>
          <cell r="B41">
            <v>25464</v>
          </cell>
          <cell r="C41">
            <v>62</v>
          </cell>
        </row>
        <row r="42">
          <cell r="A42">
            <v>182718</v>
          </cell>
          <cell r="B42">
            <v>1179</v>
          </cell>
          <cell r="C42">
            <v>9</v>
          </cell>
        </row>
        <row r="43">
          <cell r="A43">
            <v>182719</v>
          </cell>
          <cell r="B43">
            <v>37209</v>
          </cell>
        </row>
        <row r="44">
          <cell r="A44">
            <v>182721</v>
          </cell>
          <cell r="B44">
            <v>1080</v>
          </cell>
        </row>
        <row r="45">
          <cell r="A45">
            <v>182722</v>
          </cell>
          <cell r="B45">
            <v>35214</v>
          </cell>
          <cell r="C45">
            <v>79</v>
          </cell>
        </row>
        <row r="46">
          <cell r="A46">
            <v>182723</v>
          </cell>
          <cell r="B46">
            <v>20952</v>
          </cell>
          <cell r="C46">
            <v>397</v>
          </cell>
        </row>
        <row r="47">
          <cell r="A47">
            <v>182724</v>
          </cell>
          <cell r="B47">
            <v>1080</v>
          </cell>
          <cell r="C47">
            <v>41</v>
          </cell>
        </row>
        <row r="48">
          <cell r="A48">
            <v>182725</v>
          </cell>
          <cell r="B48">
            <v>25968</v>
          </cell>
          <cell r="C48">
            <v>238</v>
          </cell>
        </row>
        <row r="49">
          <cell r="A49">
            <v>182726</v>
          </cell>
          <cell r="B49">
            <v>15435</v>
          </cell>
          <cell r="C49">
            <v>21</v>
          </cell>
        </row>
        <row r="50">
          <cell r="A50">
            <v>182728</v>
          </cell>
          <cell r="B50">
            <v>11115</v>
          </cell>
          <cell r="C50">
            <v>23</v>
          </cell>
        </row>
        <row r="51">
          <cell r="A51">
            <v>182734</v>
          </cell>
          <cell r="B51">
            <v>23544</v>
          </cell>
        </row>
        <row r="52">
          <cell r="A52">
            <v>182735</v>
          </cell>
          <cell r="B52">
            <v>7128</v>
          </cell>
          <cell r="C52">
            <v>148</v>
          </cell>
        </row>
        <row r="53">
          <cell r="A53">
            <v>182736</v>
          </cell>
          <cell r="B53">
            <v>1080</v>
          </cell>
          <cell r="C53">
            <v>4</v>
          </cell>
        </row>
        <row r="54">
          <cell r="A54">
            <v>182737</v>
          </cell>
          <cell r="B54">
            <v>7197</v>
          </cell>
          <cell r="C54">
            <v>148</v>
          </cell>
        </row>
        <row r="55">
          <cell r="A55">
            <v>182738</v>
          </cell>
          <cell r="B55">
            <v>1074</v>
          </cell>
          <cell r="C55">
            <v>10</v>
          </cell>
        </row>
        <row r="56">
          <cell r="A56">
            <v>182739</v>
          </cell>
          <cell r="B56">
            <v>4956</v>
          </cell>
          <cell r="C56">
            <v>118</v>
          </cell>
        </row>
        <row r="57">
          <cell r="A57">
            <v>182740</v>
          </cell>
          <cell r="B57">
            <v>7455</v>
          </cell>
          <cell r="C57">
            <v>17</v>
          </cell>
        </row>
        <row r="58">
          <cell r="A58">
            <v>182741</v>
          </cell>
          <cell r="B58">
            <v>1068</v>
          </cell>
          <cell r="C58">
            <v>11</v>
          </cell>
        </row>
        <row r="59">
          <cell r="A59">
            <v>182742</v>
          </cell>
          <cell r="B59">
            <v>5595</v>
          </cell>
          <cell r="C59">
            <v>21</v>
          </cell>
        </row>
        <row r="60">
          <cell r="A60">
            <v>182743</v>
          </cell>
          <cell r="B60">
            <v>18348</v>
          </cell>
          <cell r="C60">
            <v>178</v>
          </cell>
        </row>
        <row r="61">
          <cell r="A61">
            <v>182744</v>
          </cell>
          <cell r="B61">
            <v>1080</v>
          </cell>
        </row>
        <row r="62">
          <cell r="A62" t="str">
            <v>Grand Total</v>
          </cell>
          <cell r="B62">
            <v>559308</v>
          </cell>
          <cell r="C62">
            <v>2814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Results/TES" TargetMode="External"/><Relationship Id="rId1" Type="http://schemas.openxmlformats.org/officeDocument/2006/relationships/hyperlink" Target="../Monitoring%20Performance%20Shipment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05A-8B12-4668-9E18-46C16FCFD4CB}">
  <sheetPr codeName="Sheet1">
    <tabColor rgb="FF05BC98"/>
  </sheetPr>
  <dimension ref="B6:D24"/>
  <sheetViews>
    <sheetView zoomScale="115" zoomScaleNormal="115" workbookViewId="0">
      <pane ySplit="7" topLeftCell="A8" activePane="bottomLeft" state="frozen"/>
      <selection pane="bottomLeft"/>
    </sheetView>
  </sheetViews>
  <sheetFormatPr defaultRowHeight="15" x14ac:dyDescent="0.25"/>
  <cols>
    <col min="2" max="2" width="73" bestFit="1" customWidth="1"/>
    <col min="3" max="3" width="32.42578125" bestFit="1" customWidth="1"/>
  </cols>
  <sheetData>
    <row r="6" spans="2:4" ht="22.5" x14ac:dyDescent="0.25">
      <c r="B6" s="47" t="s">
        <v>0</v>
      </c>
      <c r="C6" s="47"/>
      <c r="D6" s="47"/>
    </row>
    <row r="7" spans="2:4" ht="16.5" x14ac:dyDescent="0.25">
      <c r="B7" s="42" t="s">
        <v>1</v>
      </c>
      <c r="C7" s="42" t="s">
        <v>2</v>
      </c>
      <c r="D7" s="42" t="s">
        <v>3</v>
      </c>
    </row>
    <row r="8" spans="2:4" x14ac:dyDescent="0.25">
      <c r="B8" s="43" t="s">
        <v>5</v>
      </c>
      <c r="C8" s="44" t="s">
        <v>4</v>
      </c>
      <c r="D8" s="44" t="s">
        <v>8</v>
      </c>
    </row>
    <row r="9" spans="2:4" x14ac:dyDescent="0.25">
      <c r="B9" s="45" t="s">
        <v>6</v>
      </c>
      <c r="C9" s="46" t="s">
        <v>7</v>
      </c>
      <c r="D9" s="46" t="s">
        <v>8</v>
      </c>
    </row>
    <row r="10" spans="2:4" x14ac:dyDescent="0.25">
      <c r="B10" s="44"/>
      <c r="C10" s="44"/>
      <c r="D10" s="44"/>
    </row>
    <row r="11" spans="2:4" x14ac:dyDescent="0.25">
      <c r="B11" s="46"/>
      <c r="C11" s="46"/>
      <c r="D11" s="46"/>
    </row>
    <row r="12" spans="2:4" x14ac:dyDescent="0.25">
      <c r="B12" s="44"/>
      <c r="C12" s="44"/>
      <c r="D12" s="44"/>
    </row>
    <row r="13" spans="2:4" x14ac:dyDescent="0.25">
      <c r="B13" s="46"/>
      <c r="C13" s="46"/>
      <c r="D13" s="46"/>
    </row>
    <row r="14" spans="2:4" x14ac:dyDescent="0.25">
      <c r="B14" s="44"/>
      <c r="C14" s="44"/>
      <c r="D14" s="44"/>
    </row>
    <row r="15" spans="2:4" x14ac:dyDescent="0.25">
      <c r="B15" s="46"/>
      <c r="C15" s="46"/>
      <c r="D15" s="46"/>
    </row>
    <row r="16" spans="2:4" x14ac:dyDescent="0.25">
      <c r="B16" s="44"/>
      <c r="C16" s="44"/>
      <c r="D16" s="44"/>
    </row>
    <row r="17" spans="2:4" x14ac:dyDescent="0.25">
      <c r="B17" s="46"/>
      <c r="C17" s="46"/>
      <c r="D17" s="46"/>
    </row>
    <row r="18" spans="2:4" x14ac:dyDescent="0.25">
      <c r="B18" s="44"/>
      <c r="C18" s="44"/>
      <c r="D18" s="44"/>
    </row>
    <row r="19" spans="2:4" x14ac:dyDescent="0.25">
      <c r="B19" s="46"/>
      <c r="C19" s="46"/>
      <c r="D19" s="46"/>
    </row>
    <row r="20" spans="2:4" x14ac:dyDescent="0.25">
      <c r="B20" s="44"/>
      <c r="C20" s="44"/>
      <c r="D20" s="44"/>
    </row>
    <row r="21" spans="2:4" x14ac:dyDescent="0.25">
      <c r="B21" s="46"/>
      <c r="C21" s="46"/>
      <c r="D21" s="46"/>
    </row>
    <row r="22" spans="2:4" x14ac:dyDescent="0.25">
      <c r="B22" s="44"/>
      <c r="C22" s="44"/>
      <c r="D22" s="44"/>
    </row>
    <row r="23" spans="2:4" x14ac:dyDescent="0.25">
      <c r="B23" s="46"/>
      <c r="C23" s="46"/>
      <c r="D23" s="46"/>
    </row>
    <row r="24" spans="2:4" x14ac:dyDescent="0.25">
      <c r="B24" s="44"/>
      <c r="C24" s="44"/>
      <c r="D24" s="44"/>
    </row>
  </sheetData>
  <mergeCells count="1">
    <mergeCell ref="B6:D6"/>
  </mergeCells>
  <hyperlinks>
    <hyperlink ref="B8" r:id="rId1" xr:uid="{3B2A824C-A5E5-4FC9-B709-576463EACE6C}"/>
    <hyperlink ref="B9" r:id="rId2" xr:uid="{8CDFA965-59EB-4E72-B982-CFB47808A2EB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r:id="rId6">
            <anchor moveWithCells="1">
              <from>
                <xdr:col>1</xdr:col>
                <xdr:colOff>2295525</xdr:colOff>
                <xdr:row>1</xdr:row>
                <xdr:rowOff>161925</xdr:rowOff>
              </from>
              <to>
                <xdr:col>1</xdr:col>
                <xdr:colOff>3038475</xdr:colOff>
                <xdr:row>3</xdr:row>
                <xdr:rowOff>19050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1852A-7C27-41C0-B7E4-6709D208C1B8}">
  <sheetPr>
    <tabColor rgb="FF21C168"/>
  </sheetPr>
  <dimension ref="A1:AK25"/>
  <sheetViews>
    <sheetView tabSelected="1" topLeftCell="H1" zoomScale="55" zoomScaleNormal="55" workbookViewId="0">
      <pane ySplit="2" topLeftCell="A3" activePane="bottomLeft" state="frozen"/>
      <selection pane="bottomLeft" activeCell="T6" sqref="T6"/>
    </sheetView>
  </sheetViews>
  <sheetFormatPr defaultRowHeight="16.5" x14ac:dyDescent="0.3"/>
  <cols>
    <col min="1" max="1" width="95.5703125" style="1" customWidth="1"/>
    <col min="2" max="2" width="9.7109375" style="1" customWidth="1"/>
    <col min="3" max="3" width="13.85546875" style="1" customWidth="1"/>
    <col min="4" max="4" width="12.7109375" style="1" customWidth="1"/>
    <col min="5" max="5" width="10" style="1" customWidth="1"/>
    <col min="6" max="6" width="6.5703125" style="1" customWidth="1"/>
    <col min="7" max="7" width="43.140625" style="1" customWidth="1"/>
    <col min="8" max="8" width="32.5703125" style="1" customWidth="1"/>
    <col min="9" max="9" width="14.42578125" style="1" customWidth="1"/>
    <col min="10" max="10" width="9.42578125" style="1" customWidth="1"/>
    <col min="11" max="11" width="9.7109375" style="1" customWidth="1"/>
    <col min="12" max="12" width="8.85546875" style="1" customWidth="1"/>
    <col min="13" max="16" width="10.5703125" style="1" customWidth="1"/>
    <col min="17" max="17" width="10.28515625" style="1" customWidth="1"/>
    <col min="18" max="18" width="10.42578125" style="1" customWidth="1"/>
    <col min="19" max="19" width="9.42578125" style="1" customWidth="1"/>
    <col min="20" max="20" width="10.28515625" style="1" customWidth="1"/>
    <col min="21" max="21" width="118.140625" style="1" customWidth="1"/>
    <col min="22" max="22" width="10.140625" style="1" customWidth="1"/>
    <col min="23" max="23" width="9.28515625" style="1" customWidth="1"/>
    <col min="24" max="24" width="10" style="1" customWidth="1"/>
    <col min="25" max="28" width="10.42578125" style="1" customWidth="1"/>
    <col min="29" max="29" width="7.5703125" style="1" customWidth="1"/>
    <col min="30" max="30" width="8.5703125" style="1" customWidth="1"/>
    <col min="31" max="32" width="9.7109375" style="1" customWidth="1"/>
    <col min="33" max="33" width="9.5703125" style="1" customWidth="1"/>
    <col min="34" max="34" width="10.42578125" style="1" customWidth="1"/>
    <col min="35" max="35" width="9.5703125" style="1" customWidth="1"/>
    <col min="36" max="36" width="9.42578125" style="1" customWidth="1"/>
    <col min="37" max="37" width="52.42578125" style="1" customWidth="1"/>
    <col min="38" max="16384" width="9.140625" style="1"/>
  </cols>
  <sheetData>
    <row r="1" spans="1:37" s="2" customFormat="1" ht="28.5" x14ac:dyDescent="0.25">
      <c r="A1" s="48" t="s">
        <v>9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</row>
    <row r="2" spans="1:37" ht="90" x14ac:dyDescent="0.3">
      <c r="A2" s="8" t="s">
        <v>10</v>
      </c>
      <c r="B2" s="8" t="s">
        <v>11</v>
      </c>
      <c r="C2" s="9" t="s">
        <v>12</v>
      </c>
      <c r="D2" s="8" t="s">
        <v>13</v>
      </c>
      <c r="E2" s="9" t="s">
        <v>14</v>
      </c>
      <c r="F2" s="8" t="s">
        <v>15</v>
      </c>
      <c r="G2" s="8" t="s">
        <v>16</v>
      </c>
      <c r="H2" s="8" t="s">
        <v>17</v>
      </c>
      <c r="I2" s="8" t="s">
        <v>18</v>
      </c>
      <c r="J2" s="9" t="s">
        <v>19</v>
      </c>
      <c r="K2" s="9" t="s">
        <v>20</v>
      </c>
      <c r="L2" s="8" t="s">
        <v>21</v>
      </c>
      <c r="M2" s="10" t="s">
        <v>22</v>
      </c>
      <c r="N2" s="10" t="s">
        <v>23</v>
      </c>
      <c r="O2" s="10" t="s">
        <v>24</v>
      </c>
      <c r="P2" s="10" t="s">
        <v>25</v>
      </c>
      <c r="Q2" s="10" t="s">
        <v>26</v>
      </c>
      <c r="R2" s="9" t="s">
        <v>27</v>
      </c>
      <c r="S2" s="11" t="s">
        <v>28</v>
      </c>
      <c r="T2" s="9" t="s">
        <v>29</v>
      </c>
      <c r="U2" s="8" t="s">
        <v>30</v>
      </c>
      <c r="V2" s="9" t="s">
        <v>31</v>
      </c>
      <c r="W2" s="9" t="s">
        <v>32</v>
      </c>
      <c r="X2" s="9" t="s">
        <v>33</v>
      </c>
      <c r="Y2" s="9" t="s">
        <v>34</v>
      </c>
      <c r="Z2" s="9" t="s">
        <v>35</v>
      </c>
      <c r="AA2" s="9" t="s">
        <v>36</v>
      </c>
      <c r="AB2" s="9" t="s">
        <v>37</v>
      </c>
      <c r="AC2" s="9" t="s">
        <v>38</v>
      </c>
      <c r="AD2" s="9" t="s">
        <v>39</v>
      </c>
      <c r="AE2" s="9" t="s">
        <v>40</v>
      </c>
      <c r="AF2" s="9" t="s">
        <v>41</v>
      </c>
      <c r="AG2" s="9" t="s">
        <v>42</v>
      </c>
      <c r="AH2" s="9" t="s">
        <v>43</v>
      </c>
      <c r="AI2" s="9" t="s">
        <v>44</v>
      </c>
      <c r="AJ2" s="12" t="s">
        <v>45</v>
      </c>
      <c r="AK2" s="9" t="s">
        <v>46</v>
      </c>
    </row>
    <row r="3" spans="1:37" ht="18.600000000000001" customHeight="1" x14ac:dyDescent="0.3">
      <c r="A3" s="20">
        <v>2024</v>
      </c>
      <c r="B3" s="20" t="s">
        <v>47</v>
      </c>
      <c r="C3" s="21">
        <v>45464</v>
      </c>
      <c r="D3" s="22" t="s">
        <v>48</v>
      </c>
      <c r="E3" s="23" t="s">
        <v>49</v>
      </c>
      <c r="F3" s="20" t="s">
        <v>50</v>
      </c>
      <c r="G3" s="24" t="s">
        <v>51</v>
      </c>
      <c r="H3" s="14" t="s">
        <v>52</v>
      </c>
      <c r="I3" s="14">
        <v>5158043</v>
      </c>
      <c r="J3" s="15"/>
      <c r="K3" s="15"/>
      <c r="L3" s="14">
        <v>182688</v>
      </c>
      <c r="M3" s="16">
        <v>36072</v>
      </c>
      <c r="N3" s="17">
        <v>36072</v>
      </c>
      <c r="O3" s="17">
        <v>36057</v>
      </c>
      <c r="P3" s="16">
        <v>35970</v>
      </c>
      <c r="Q3" s="18">
        <f t="shared" ref="Q3:Q21" si="0">P3-N3</f>
        <v>-102</v>
      </c>
      <c r="R3" s="18">
        <f t="shared" ref="R3:R21" si="1">P3-M3</f>
        <v>-102</v>
      </c>
      <c r="S3" s="19">
        <f t="shared" ref="S3:S21" si="2">P3/M3-1</f>
        <v>-2.8276779773785954E-3</v>
      </c>
      <c r="T3" s="19">
        <f t="shared" ref="T3:T21" si="3">P3/N3-1</f>
        <v>-2.8276779773785954E-3</v>
      </c>
      <c r="U3" s="15" t="s">
        <v>53</v>
      </c>
      <c r="V3" s="26">
        <v>27</v>
      </c>
      <c r="W3" s="15">
        <v>0</v>
      </c>
      <c r="X3" s="26">
        <v>0</v>
      </c>
      <c r="Y3" s="26">
        <v>99</v>
      </c>
      <c r="Z3" s="26">
        <v>0</v>
      </c>
      <c r="AA3" s="26">
        <v>0</v>
      </c>
      <c r="AB3" s="26">
        <v>3</v>
      </c>
      <c r="AC3" s="26">
        <v>0</v>
      </c>
      <c r="AD3" s="26">
        <v>0</v>
      </c>
      <c r="AE3" s="26">
        <v>0</v>
      </c>
      <c r="AF3" s="26">
        <v>0</v>
      </c>
      <c r="AG3" s="26">
        <v>0</v>
      </c>
      <c r="AH3" s="26">
        <v>0</v>
      </c>
      <c r="AI3" s="17">
        <f t="shared" ref="AI3" si="4">SUM(W3:AG3)</f>
        <v>102</v>
      </c>
      <c r="AJ3" s="17">
        <f t="shared" ref="AJ3" si="5">Q3+AI3</f>
        <v>0</v>
      </c>
      <c r="AK3" s="15" t="s">
        <v>54</v>
      </c>
    </row>
    <row r="4" spans="1:37" ht="18.600000000000001" customHeight="1" x14ac:dyDescent="0.3">
      <c r="A4" s="20">
        <v>2024</v>
      </c>
      <c r="B4" s="20" t="s">
        <v>47</v>
      </c>
      <c r="C4" s="21">
        <v>45464</v>
      </c>
      <c r="D4" s="22" t="s">
        <v>48</v>
      </c>
      <c r="E4" s="23" t="s">
        <v>49</v>
      </c>
      <c r="F4" s="20" t="s">
        <v>50</v>
      </c>
      <c r="G4" s="24" t="s">
        <v>51</v>
      </c>
      <c r="H4" s="14" t="s">
        <v>55</v>
      </c>
      <c r="I4" s="14">
        <v>5158037</v>
      </c>
      <c r="J4" s="15"/>
      <c r="K4" s="25"/>
      <c r="L4" s="14">
        <v>182690</v>
      </c>
      <c r="M4" s="16">
        <v>35208</v>
      </c>
      <c r="N4" s="17">
        <v>35208</v>
      </c>
      <c r="O4" s="17">
        <v>35207</v>
      </c>
      <c r="P4" s="16">
        <v>35073</v>
      </c>
      <c r="Q4" s="18">
        <f t="shared" si="0"/>
        <v>-135</v>
      </c>
      <c r="R4" s="18">
        <f t="shared" si="1"/>
        <v>-135</v>
      </c>
      <c r="S4" s="19">
        <f t="shared" si="2"/>
        <v>-3.8343558282208923E-3</v>
      </c>
      <c r="T4" s="19">
        <f t="shared" si="3"/>
        <v>-3.8343558282208923E-3</v>
      </c>
      <c r="U4" s="15" t="s">
        <v>56</v>
      </c>
      <c r="V4" s="26">
        <v>43</v>
      </c>
      <c r="W4" s="15">
        <v>33</v>
      </c>
      <c r="X4" s="26">
        <v>0</v>
      </c>
      <c r="Y4" s="26">
        <v>77</v>
      </c>
      <c r="Z4" s="26">
        <v>0</v>
      </c>
      <c r="AA4" s="26">
        <v>0</v>
      </c>
      <c r="AB4" s="26">
        <v>25</v>
      </c>
      <c r="AC4" s="26">
        <v>0</v>
      </c>
      <c r="AD4" s="26">
        <v>0</v>
      </c>
      <c r="AE4" s="26">
        <v>0</v>
      </c>
      <c r="AF4" s="26">
        <v>0</v>
      </c>
      <c r="AG4" s="26">
        <v>0</v>
      </c>
      <c r="AH4" s="26">
        <v>0</v>
      </c>
      <c r="AI4" s="17">
        <f>SUM(W4:AG4)</f>
        <v>135</v>
      </c>
      <c r="AJ4" s="17">
        <f>Q4+AI4</f>
        <v>0</v>
      </c>
      <c r="AK4" s="15" t="s">
        <v>57</v>
      </c>
    </row>
    <row r="5" spans="1:37" ht="18.600000000000001" customHeight="1" x14ac:dyDescent="0.3">
      <c r="A5" s="20">
        <v>2024</v>
      </c>
      <c r="B5" s="20" t="s">
        <v>47</v>
      </c>
      <c r="C5" s="21">
        <v>45464</v>
      </c>
      <c r="D5" s="22" t="s">
        <v>48</v>
      </c>
      <c r="E5" s="23" t="s">
        <v>49</v>
      </c>
      <c r="F5" s="20" t="s">
        <v>50</v>
      </c>
      <c r="G5" s="24" t="s">
        <v>51</v>
      </c>
      <c r="H5" s="14" t="s">
        <v>55</v>
      </c>
      <c r="I5" s="14">
        <v>5158037</v>
      </c>
      <c r="J5" s="15"/>
      <c r="K5" s="15"/>
      <c r="L5" s="14">
        <v>182691</v>
      </c>
      <c r="M5" s="16">
        <v>1836</v>
      </c>
      <c r="N5" s="27">
        <v>1836</v>
      </c>
      <c r="O5" s="27">
        <v>1834</v>
      </c>
      <c r="P5" s="16">
        <v>1827</v>
      </c>
      <c r="Q5" s="27">
        <f t="shared" si="0"/>
        <v>-9</v>
      </c>
      <c r="R5" s="27">
        <f t="shared" si="1"/>
        <v>-9</v>
      </c>
      <c r="S5" s="28">
        <f t="shared" si="2"/>
        <v>-4.9019607843137081E-3</v>
      </c>
      <c r="T5" s="29">
        <f t="shared" si="3"/>
        <v>-4.9019607843137081E-3</v>
      </c>
      <c r="U5" s="30" t="s">
        <v>58</v>
      </c>
      <c r="V5" s="26">
        <v>0</v>
      </c>
      <c r="W5" s="15">
        <v>0</v>
      </c>
      <c r="X5" s="26">
        <v>0</v>
      </c>
      <c r="Y5" s="26">
        <v>9</v>
      </c>
      <c r="Z5" s="26">
        <v>0</v>
      </c>
      <c r="AA5" s="26">
        <v>0</v>
      </c>
      <c r="AB5" s="26">
        <v>0</v>
      </c>
      <c r="AC5" s="26">
        <v>0</v>
      </c>
      <c r="AD5" s="26">
        <v>0</v>
      </c>
      <c r="AE5" s="26">
        <v>0</v>
      </c>
      <c r="AF5" s="26">
        <v>0</v>
      </c>
      <c r="AG5" s="26">
        <v>0</v>
      </c>
      <c r="AH5" s="26">
        <v>0</v>
      </c>
      <c r="AI5" s="17">
        <f t="shared" ref="AI5:AI6" si="6">SUM(W5:AG5)</f>
        <v>9</v>
      </c>
      <c r="AJ5" s="17">
        <f t="shared" ref="AJ5:AJ21" si="7">Q5+AI5</f>
        <v>0</v>
      </c>
      <c r="AK5" s="30" t="s">
        <v>58</v>
      </c>
    </row>
    <row r="6" spans="1:37" ht="18.600000000000001" customHeight="1" x14ac:dyDescent="0.3">
      <c r="A6" s="20">
        <v>2024</v>
      </c>
      <c r="B6" s="20" t="s">
        <v>47</v>
      </c>
      <c r="C6" s="21">
        <v>45464</v>
      </c>
      <c r="D6" s="22" t="s">
        <v>48</v>
      </c>
      <c r="E6" s="23" t="s">
        <v>49</v>
      </c>
      <c r="F6" s="20" t="s">
        <v>50</v>
      </c>
      <c r="G6" s="24" t="s">
        <v>51</v>
      </c>
      <c r="H6" s="14" t="s">
        <v>59</v>
      </c>
      <c r="I6" s="14">
        <v>5158060</v>
      </c>
      <c r="J6" s="15"/>
      <c r="K6" s="15"/>
      <c r="L6" s="14">
        <v>182692</v>
      </c>
      <c r="M6" s="16">
        <v>7128</v>
      </c>
      <c r="N6" s="27">
        <v>7128</v>
      </c>
      <c r="O6" s="27">
        <v>7111</v>
      </c>
      <c r="P6" s="16">
        <v>7116</v>
      </c>
      <c r="Q6" s="27">
        <f t="shared" si="0"/>
        <v>-12</v>
      </c>
      <c r="R6" s="27">
        <f t="shared" si="1"/>
        <v>-12</v>
      </c>
      <c r="S6" s="28">
        <f t="shared" si="2"/>
        <v>-1.6835016835017313E-3</v>
      </c>
      <c r="T6" s="49">
        <f t="shared" si="3"/>
        <v>-1.6835016835017313E-3</v>
      </c>
      <c r="U6" s="15" t="s">
        <v>60</v>
      </c>
      <c r="V6" s="26">
        <v>0</v>
      </c>
      <c r="W6" s="15">
        <v>3</v>
      </c>
      <c r="X6" s="26">
        <v>0</v>
      </c>
      <c r="Y6" s="26">
        <v>9</v>
      </c>
      <c r="Z6" s="26">
        <v>0</v>
      </c>
      <c r="AA6" s="26">
        <v>0</v>
      </c>
      <c r="AB6" s="26">
        <v>0</v>
      </c>
      <c r="AC6" s="26">
        <v>0</v>
      </c>
      <c r="AD6" s="26">
        <v>0</v>
      </c>
      <c r="AE6" s="26">
        <v>0</v>
      </c>
      <c r="AF6" s="26">
        <v>0</v>
      </c>
      <c r="AG6" s="26">
        <v>0</v>
      </c>
      <c r="AH6" s="26">
        <v>0</v>
      </c>
      <c r="AI6" s="17">
        <f t="shared" si="6"/>
        <v>12</v>
      </c>
      <c r="AJ6" s="17">
        <f t="shared" si="7"/>
        <v>0</v>
      </c>
      <c r="AK6" s="30" t="s">
        <v>58</v>
      </c>
    </row>
    <row r="7" spans="1:37" ht="18.600000000000001" customHeight="1" x14ac:dyDescent="0.3">
      <c r="A7" s="20">
        <v>2024</v>
      </c>
      <c r="B7" s="20" t="s">
        <v>47</v>
      </c>
      <c r="C7" s="21">
        <v>45464</v>
      </c>
      <c r="D7" s="23" t="s">
        <v>49</v>
      </c>
      <c r="E7" s="23" t="s">
        <v>49</v>
      </c>
      <c r="F7" s="20" t="s">
        <v>61</v>
      </c>
      <c r="G7" s="24" t="s">
        <v>51</v>
      </c>
      <c r="H7" s="14" t="s">
        <v>62</v>
      </c>
      <c r="I7" s="14">
        <v>5157996</v>
      </c>
      <c r="J7" s="15"/>
      <c r="K7" s="15"/>
      <c r="L7" s="14">
        <v>182707</v>
      </c>
      <c r="M7" s="16">
        <v>19656</v>
      </c>
      <c r="N7" s="27">
        <v>19681</v>
      </c>
      <c r="O7" s="27">
        <f>VLOOKUP(L7,[1]Sheet2!$A:$B,2,0)</f>
        <v>19588</v>
      </c>
      <c r="P7" s="16">
        <f>VLOOKUP(L7,[2]Sheet2!$A:$B,2,0)</f>
        <v>19656</v>
      </c>
      <c r="Q7" s="27">
        <f t="shared" si="0"/>
        <v>-25</v>
      </c>
      <c r="R7" s="27">
        <f t="shared" si="1"/>
        <v>0</v>
      </c>
      <c r="S7" s="28">
        <f t="shared" si="2"/>
        <v>0</v>
      </c>
      <c r="T7" s="49">
        <f t="shared" si="3"/>
        <v>-1.2702606574869213E-3</v>
      </c>
      <c r="U7" s="15"/>
      <c r="V7" s="26">
        <v>0</v>
      </c>
      <c r="W7" s="15"/>
      <c r="X7" s="15"/>
      <c r="Y7" s="15">
        <v>24</v>
      </c>
      <c r="Z7" s="15"/>
      <c r="AA7" s="15"/>
      <c r="AB7" s="15"/>
      <c r="AC7" s="15"/>
      <c r="AD7" s="15">
        <v>1</v>
      </c>
      <c r="AE7" s="15"/>
      <c r="AF7" s="15"/>
      <c r="AG7" s="15"/>
      <c r="AH7" s="15"/>
      <c r="AI7" s="31">
        <f t="shared" ref="AI7:AI21" si="8">SUM(W7:AH7)</f>
        <v>25</v>
      </c>
      <c r="AJ7" s="31">
        <f t="shared" si="7"/>
        <v>0</v>
      </c>
      <c r="AK7" s="15"/>
    </row>
    <row r="8" spans="1:37" ht="18.600000000000001" customHeight="1" x14ac:dyDescent="0.3">
      <c r="A8" s="20">
        <v>2024</v>
      </c>
      <c r="B8" s="20" t="s">
        <v>47</v>
      </c>
      <c r="C8" s="21">
        <v>45464</v>
      </c>
      <c r="D8" s="23" t="s">
        <v>49</v>
      </c>
      <c r="E8" s="23" t="s">
        <v>49</v>
      </c>
      <c r="F8" s="20" t="s">
        <v>61</v>
      </c>
      <c r="G8" s="24" t="s">
        <v>51</v>
      </c>
      <c r="H8" s="14" t="s">
        <v>63</v>
      </c>
      <c r="I8" s="14">
        <v>5158592</v>
      </c>
      <c r="J8" s="15"/>
      <c r="K8" s="15"/>
      <c r="L8" s="14">
        <v>182712</v>
      </c>
      <c r="M8" s="16">
        <v>16956</v>
      </c>
      <c r="N8" s="27">
        <v>16966</v>
      </c>
      <c r="O8" s="27">
        <f>VLOOKUP(L8,[1]Sheet2!$A:$B,2,0)</f>
        <v>16612</v>
      </c>
      <c r="P8" s="16">
        <f>VLOOKUP(L8,[2]Sheet2!$A:$B,2,0)</f>
        <v>16956</v>
      </c>
      <c r="Q8" s="27">
        <f t="shared" si="0"/>
        <v>-10</v>
      </c>
      <c r="R8" s="27">
        <f t="shared" si="1"/>
        <v>0</v>
      </c>
      <c r="S8" s="28">
        <f t="shared" si="2"/>
        <v>0</v>
      </c>
      <c r="T8" s="49">
        <f t="shared" si="3"/>
        <v>-5.894141223623528E-4</v>
      </c>
      <c r="U8" s="15" t="s">
        <v>64</v>
      </c>
      <c r="V8" s="15">
        <f>VLOOKUP(L8,[2]Sheet2!$A:$C,3,0)</f>
        <v>128</v>
      </c>
      <c r="W8" s="15">
        <v>1</v>
      </c>
      <c r="X8" s="15"/>
      <c r="Y8" s="15">
        <v>12</v>
      </c>
      <c r="Z8" s="15">
        <v>61</v>
      </c>
      <c r="AA8" s="15"/>
      <c r="AB8" s="15">
        <v>61</v>
      </c>
      <c r="AC8" s="15"/>
      <c r="AD8" s="15">
        <v>3</v>
      </c>
      <c r="AE8" s="15"/>
      <c r="AF8" s="15"/>
      <c r="AG8" s="15"/>
      <c r="AH8" s="15"/>
      <c r="AI8" s="31">
        <f t="shared" si="8"/>
        <v>138</v>
      </c>
      <c r="AJ8" s="31">
        <f t="shared" si="7"/>
        <v>128</v>
      </c>
      <c r="AK8" s="15" t="s">
        <v>65</v>
      </c>
    </row>
    <row r="9" spans="1:37" ht="18.600000000000001" customHeight="1" x14ac:dyDescent="0.3">
      <c r="A9" s="20">
        <v>2024</v>
      </c>
      <c r="B9" s="20" t="s">
        <v>47</v>
      </c>
      <c r="C9" s="21">
        <v>45464</v>
      </c>
      <c r="D9" s="23" t="s">
        <v>49</v>
      </c>
      <c r="E9" s="23" t="s">
        <v>49</v>
      </c>
      <c r="F9" s="20" t="s">
        <v>61</v>
      </c>
      <c r="G9" s="24" t="s">
        <v>51</v>
      </c>
      <c r="H9" s="14" t="s">
        <v>66</v>
      </c>
      <c r="I9" s="14">
        <v>5158619</v>
      </c>
      <c r="J9" s="15"/>
      <c r="K9" s="15"/>
      <c r="L9" s="14">
        <v>182713</v>
      </c>
      <c r="M9" s="16">
        <v>21276</v>
      </c>
      <c r="N9" s="27">
        <v>21294</v>
      </c>
      <c r="O9" s="27">
        <f>VLOOKUP(L9,[1]Sheet2!$A:$B,2,0)</f>
        <v>20870</v>
      </c>
      <c r="P9" s="16">
        <f>VLOOKUP(L9,[2]Sheet2!$A:$B,2,0)</f>
        <v>21276</v>
      </c>
      <c r="Q9" s="27">
        <f t="shared" si="0"/>
        <v>-18</v>
      </c>
      <c r="R9" s="27">
        <f t="shared" si="1"/>
        <v>0</v>
      </c>
      <c r="S9" s="28">
        <f t="shared" si="2"/>
        <v>0</v>
      </c>
      <c r="T9" s="49">
        <f t="shared" si="3"/>
        <v>-8.4530853761621838E-4</v>
      </c>
      <c r="U9" s="15" t="s">
        <v>67</v>
      </c>
      <c r="V9" s="15">
        <f>VLOOKUP(L9,[2]Sheet2!$A:$C,3,0)</f>
        <v>152</v>
      </c>
      <c r="W9" s="15">
        <v>169</v>
      </c>
      <c r="X9" s="15"/>
      <c r="Y9" s="15"/>
      <c r="Z9" s="15">
        <v>1</v>
      </c>
      <c r="AA9" s="15"/>
      <c r="AB9" s="15"/>
      <c r="AC9" s="15"/>
      <c r="AD9" s="15"/>
      <c r="AE9" s="15"/>
      <c r="AF9" s="15"/>
      <c r="AG9" s="15"/>
      <c r="AH9" s="15"/>
      <c r="AI9" s="31">
        <f t="shared" si="8"/>
        <v>170</v>
      </c>
      <c r="AJ9" s="31">
        <f t="shared" si="7"/>
        <v>152</v>
      </c>
      <c r="AK9" s="15"/>
    </row>
    <row r="10" spans="1:37" ht="18.600000000000001" customHeight="1" x14ac:dyDescent="0.3">
      <c r="A10" s="20">
        <v>2024</v>
      </c>
      <c r="B10" s="20" t="s">
        <v>47</v>
      </c>
      <c r="C10" s="21">
        <v>45464</v>
      </c>
      <c r="D10" s="23" t="s">
        <v>49</v>
      </c>
      <c r="E10" s="23" t="s">
        <v>49</v>
      </c>
      <c r="F10" s="20" t="s">
        <v>61</v>
      </c>
      <c r="G10" s="24" t="s">
        <v>51</v>
      </c>
      <c r="H10" s="14" t="s">
        <v>66</v>
      </c>
      <c r="I10" s="14">
        <v>5158619</v>
      </c>
      <c r="J10" s="15"/>
      <c r="K10" s="15"/>
      <c r="L10" s="14">
        <v>182714</v>
      </c>
      <c r="M10" s="16">
        <v>1080</v>
      </c>
      <c r="N10" s="27">
        <v>1080</v>
      </c>
      <c r="O10" s="27">
        <f>VLOOKUP(L10,[1]Sheet2!$A:$B,2,0)</f>
        <v>1065</v>
      </c>
      <c r="P10" s="16">
        <f>VLOOKUP(L10,[2]Sheet2!$A:$B,2,0)</f>
        <v>1065</v>
      </c>
      <c r="Q10" s="27">
        <f t="shared" si="0"/>
        <v>-15</v>
      </c>
      <c r="R10" s="27">
        <f t="shared" si="1"/>
        <v>-15</v>
      </c>
      <c r="S10" s="28">
        <f t="shared" si="2"/>
        <v>-1.388888888888884E-2</v>
      </c>
      <c r="T10" s="29">
        <f t="shared" si="3"/>
        <v>-1.388888888888884E-2</v>
      </c>
      <c r="U10" s="15" t="s">
        <v>67</v>
      </c>
      <c r="V10" s="15">
        <f>VLOOKUP(L10,[2]Sheet2!$A:$C,3,0)</f>
        <v>12</v>
      </c>
      <c r="W10" s="15">
        <v>19</v>
      </c>
      <c r="X10" s="15"/>
      <c r="Y10" s="15"/>
      <c r="Z10" s="15">
        <v>4</v>
      </c>
      <c r="AA10" s="15"/>
      <c r="AB10" s="15">
        <v>1</v>
      </c>
      <c r="AC10" s="15"/>
      <c r="AD10" s="15">
        <v>3</v>
      </c>
      <c r="AE10" s="15"/>
      <c r="AF10" s="15"/>
      <c r="AG10" s="15"/>
      <c r="AH10" s="15"/>
      <c r="AI10" s="31">
        <f t="shared" si="8"/>
        <v>27</v>
      </c>
      <c r="AJ10" s="31">
        <f t="shared" si="7"/>
        <v>12</v>
      </c>
      <c r="AK10" s="15" t="s">
        <v>65</v>
      </c>
    </row>
    <row r="11" spans="1:37" ht="18.600000000000001" customHeight="1" x14ac:dyDescent="0.3">
      <c r="A11" s="20">
        <v>2024</v>
      </c>
      <c r="B11" s="20" t="s">
        <v>47</v>
      </c>
      <c r="C11" s="21">
        <v>45464</v>
      </c>
      <c r="D11" s="23" t="s">
        <v>49</v>
      </c>
      <c r="E11" s="23" t="s">
        <v>49</v>
      </c>
      <c r="F11" s="20" t="s">
        <v>61</v>
      </c>
      <c r="G11" s="24" t="s">
        <v>51</v>
      </c>
      <c r="H11" s="14" t="s">
        <v>68</v>
      </c>
      <c r="I11" s="14">
        <v>5158618</v>
      </c>
      <c r="J11" s="15"/>
      <c r="K11" s="15"/>
      <c r="L11" s="14">
        <v>182719</v>
      </c>
      <c r="M11" s="16">
        <v>37044</v>
      </c>
      <c r="N11" s="27">
        <v>37831</v>
      </c>
      <c r="O11" s="27">
        <f>VLOOKUP(L11,[1]Sheet2!$A:$B,2,0)</f>
        <v>37561</v>
      </c>
      <c r="P11" s="16">
        <f>VLOOKUP(L11,[2]Sheet2!$A:$B,2,0)</f>
        <v>37209</v>
      </c>
      <c r="Q11" s="27">
        <f t="shared" si="0"/>
        <v>-622</v>
      </c>
      <c r="R11" s="27">
        <f t="shared" si="1"/>
        <v>165</v>
      </c>
      <c r="S11" s="28">
        <f t="shared" si="2"/>
        <v>4.4541626174279259E-3</v>
      </c>
      <c r="T11" s="29">
        <f t="shared" si="3"/>
        <v>-1.6441542650207475E-2</v>
      </c>
      <c r="U11" s="15"/>
      <c r="V11" s="26">
        <v>0</v>
      </c>
      <c r="W11" s="15">
        <v>150</v>
      </c>
      <c r="X11" s="15"/>
      <c r="Y11" s="15">
        <v>7</v>
      </c>
      <c r="Z11" s="15">
        <v>229</v>
      </c>
      <c r="AA11" s="15"/>
      <c r="AB11" s="15">
        <v>233</v>
      </c>
      <c r="AC11" s="15"/>
      <c r="AD11" s="15">
        <v>3</v>
      </c>
      <c r="AE11" s="15"/>
      <c r="AF11" s="15"/>
      <c r="AG11" s="15"/>
      <c r="AH11" s="15"/>
      <c r="AI11" s="31">
        <f t="shared" si="8"/>
        <v>622</v>
      </c>
      <c r="AJ11" s="31">
        <f t="shared" si="7"/>
        <v>0</v>
      </c>
      <c r="AK11" s="15" t="s">
        <v>65</v>
      </c>
    </row>
    <row r="12" spans="1:37" ht="18.600000000000001" customHeight="1" x14ac:dyDescent="0.3">
      <c r="A12" s="20">
        <v>2024</v>
      </c>
      <c r="B12" s="20" t="s">
        <v>47</v>
      </c>
      <c r="C12" s="21">
        <v>45464</v>
      </c>
      <c r="D12" s="23" t="s">
        <v>49</v>
      </c>
      <c r="E12" s="23" t="s">
        <v>49</v>
      </c>
      <c r="F12" s="20" t="s">
        <v>61</v>
      </c>
      <c r="G12" s="24" t="s">
        <v>51</v>
      </c>
      <c r="H12" s="14" t="s">
        <v>68</v>
      </c>
      <c r="I12" s="14">
        <v>5158618</v>
      </c>
      <c r="J12" s="15"/>
      <c r="K12" s="15"/>
      <c r="L12" s="14">
        <v>182721</v>
      </c>
      <c r="M12" s="16">
        <v>1080</v>
      </c>
      <c r="N12" s="27">
        <v>1101</v>
      </c>
      <c r="O12" s="27">
        <f>VLOOKUP(L12,[1]Sheet2!$A:$B,2,0)</f>
        <v>1085</v>
      </c>
      <c r="P12" s="16">
        <f>VLOOKUP(L12,[2]Sheet2!$A:$B,2,0)</f>
        <v>1080</v>
      </c>
      <c r="Q12" s="27">
        <f t="shared" si="0"/>
        <v>-21</v>
      </c>
      <c r="R12" s="27">
        <f t="shared" si="1"/>
        <v>0</v>
      </c>
      <c r="S12" s="28">
        <f t="shared" si="2"/>
        <v>0</v>
      </c>
      <c r="T12" s="29">
        <f t="shared" si="3"/>
        <v>-1.9073569482288777E-2</v>
      </c>
      <c r="U12" s="15"/>
      <c r="V12" s="26">
        <v>0</v>
      </c>
      <c r="W12" s="15">
        <v>11</v>
      </c>
      <c r="X12" s="15"/>
      <c r="Y12" s="15"/>
      <c r="Z12" s="15">
        <v>7</v>
      </c>
      <c r="AA12" s="15"/>
      <c r="AB12" s="15">
        <v>3</v>
      </c>
      <c r="AC12" s="15"/>
      <c r="AD12" s="15"/>
      <c r="AE12" s="15"/>
      <c r="AF12" s="15"/>
      <c r="AG12" s="15"/>
      <c r="AH12" s="15"/>
      <c r="AI12" s="31">
        <f t="shared" si="8"/>
        <v>21</v>
      </c>
      <c r="AJ12" s="31">
        <f t="shared" si="7"/>
        <v>0</v>
      </c>
      <c r="AK12" s="15"/>
    </row>
    <row r="13" spans="1:37" ht="18.600000000000001" customHeight="1" x14ac:dyDescent="0.3">
      <c r="A13" s="20">
        <v>2024</v>
      </c>
      <c r="B13" s="20" t="s">
        <v>47</v>
      </c>
      <c r="C13" s="21">
        <v>45464</v>
      </c>
      <c r="D13" s="23" t="s">
        <v>49</v>
      </c>
      <c r="E13" s="23" t="s">
        <v>49</v>
      </c>
      <c r="F13" s="20" t="s">
        <v>61</v>
      </c>
      <c r="G13" s="24" t="s">
        <v>51</v>
      </c>
      <c r="H13" s="14" t="s">
        <v>69</v>
      </c>
      <c r="I13" s="14">
        <v>5158584</v>
      </c>
      <c r="J13" s="15"/>
      <c r="K13" s="15"/>
      <c r="L13" s="14">
        <v>182723</v>
      </c>
      <c r="M13" s="16">
        <v>20952</v>
      </c>
      <c r="N13" s="27">
        <v>20975</v>
      </c>
      <c r="O13" s="27">
        <f>VLOOKUP(L13,[1]Sheet2!$A:$B,2,0)</f>
        <v>20949</v>
      </c>
      <c r="P13" s="16">
        <f>VLOOKUP(L13,[2]Sheet2!$A:$B,2,0)</f>
        <v>20952</v>
      </c>
      <c r="Q13" s="27">
        <f t="shared" si="0"/>
        <v>-23</v>
      </c>
      <c r="R13" s="27">
        <f t="shared" si="1"/>
        <v>0</v>
      </c>
      <c r="S13" s="28">
        <f t="shared" si="2"/>
        <v>0</v>
      </c>
      <c r="T13" s="49">
        <f t="shared" si="3"/>
        <v>-1.0965435041716542E-3</v>
      </c>
      <c r="U13" s="15" t="s">
        <v>67</v>
      </c>
      <c r="V13" s="15">
        <f>VLOOKUP(L13,[2]Sheet2!$A:$C,3,0)</f>
        <v>397</v>
      </c>
      <c r="W13" s="15">
        <v>234</v>
      </c>
      <c r="X13" s="15"/>
      <c r="Y13" s="15">
        <v>13</v>
      </c>
      <c r="Z13" s="15">
        <v>84</v>
      </c>
      <c r="AA13" s="15"/>
      <c r="AB13" s="15">
        <v>86</v>
      </c>
      <c r="AC13" s="15"/>
      <c r="AD13" s="15">
        <v>3</v>
      </c>
      <c r="AE13" s="15"/>
      <c r="AF13" s="15"/>
      <c r="AG13" s="15"/>
      <c r="AH13" s="15"/>
      <c r="AI13" s="31">
        <f t="shared" si="8"/>
        <v>420</v>
      </c>
      <c r="AJ13" s="31">
        <f t="shared" si="7"/>
        <v>397</v>
      </c>
      <c r="AK13" s="15" t="s">
        <v>65</v>
      </c>
    </row>
    <row r="14" spans="1:37" ht="18.600000000000001" customHeight="1" x14ac:dyDescent="0.3">
      <c r="A14" s="20">
        <v>2024</v>
      </c>
      <c r="B14" s="20" t="s">
        <v>47</v>
      </c>
      <c r="C14" s="21">
        <v>45464</v>
      </c>
      <c r="D14" s="23" t="s">
        <v>49</v>
      </c>
      <c r="E14" s="23" t="s">
        <v>49</v>
      </c>
      <c r="F14" s="20" t="s">
        <v>61</v>
      </c>
      <c r="G14" s="24" t="s">
        <v>51</v>
      </c>
      <c r="H14" s="14" t="s">
        <v>69</v>
      </c>
      <c r="I14" s="14">
        <v>5158584</v>
      </c>
      <c r="J14" s="15"/>
      <c r="K14" s="15"/>
      <c r="L14" s="14">
        <v>182724</v>
      </c>
      <c r="M14" s="16">
        <v>1080</v>
      </c>
      <c r="N14" s="27">
        <v>1081</v>
      </c>
      <c r="O14" s="27">
        <f>VLOOKUP(L14,[1]Sheet2!$A:$B,2,0)</f>
        <v>1080</v>
      </c>
      <c r="P14" s="16">
        <f>VLOOKUP(L14,[2]Sheet2!$A:$B,2,0)</f>
        <v>1080</v>
      </c>
      <c r="Q14" s="27">
        <f t="shared" si="0"/>
        <v>-1</v>
      </c>
      <c r="R14" s="27">
        <f t="shared" si="1"/>
        <v>0</v>
      </c>
      <c r="S14" s="28">
        <f t="shared" si="2"/>
        <v>0</v>
      </c>
      <c r="T14" s="49">
        <f t="shared" si="3"/>
        <v>-9.2506938020353591E-4</v>
      </c>
      <c r="U14" s="15" t="s">
        <v>67</v>
      </c>
      <c r="V14" s="15">
        <f>VLOOKUP(L14,[2]Sheet2!$A:$C,3,0)</f>
        <v>41</v>
      </c>
      <c r="W14" s="15">
        <v>25</v>
      </c>
      <c r="X14" s="15"/>
      <c r="Y14" s="15">
        <v>1</v>
      </c>
      <c r="Z14" s="15">
        <v>5</v>
      </c>
      <c r="AA14" s="15"/>
      <c r="AB14" s="15">
        <v>11</v>
      </c>
      <c r="AC14" s="15"/>
      <c r="AD14" s="15"/>
      <c r="AE14" s="15"/>
      <c r="AF14" s="15"/>
      <c r="AG14" s="15"/>
      <c r="AH14" s="15"/>
      <c r="AI14" s="31">
        <f t="shared" si="8"/>
        <v>42</v>
      </c>
      <c r="AJ14" s="31">
        <f t="shared" si="7"/>
        <v>41</v>
      </c>
      <c r="AK14" s="15" t="s">
        <v>65</v>
      </c>
    </row>
    <row r="15" spans="1:37" ht="18.600000000000001" customHeight="1" x14ac:dyDescent="0.3">
      <c r="A15" s="32">
        <v>2024</v>
      </c>
      <c r="B15" s="20" t="s">
        <v>47</v>
      </c>
      <c r="C15" s="21">
        <v>45464</v>
      </c>
      <c r="D15" s="23" t="s">
        <v>49</v>
      </c>
      <c r="E15" s="23" t="s">
        <v>49</v>
      </c>
      <c r="F15" s="20" t="s">
        <v>61</v>
      </c>
      <c r="G15" s="24" t="s">
        <v>51</v>
      </c>
      <c r="H15" s="14" t="s">
        <v>70</v>
      </c>
      <c r="I15" s="14">
        <v>5158596</v>
      </c>
      <c r="J15" s="33"/>
      <c r="K15" s="33"/>
      <c r="L15" s="14">
        <v>182734</v>
      </c>
      <c r="M15" s="16">
        <v>23544</v>
      </c>
      <c r="N15" s="34">
        <v>23574</v>
      </c>
      <c r="O15" s="27">
        <f>VLOOKUP(L15,[1]Sheet2!$A:$B,2,0)</f>
        <v>23349</v>
      </c>
      <c r="P15" s="16">
        <f>VLOOKUP(L15,[2]Sheet2!$A:$B,2,0)</f>
        <v>23544</v>
      </c>
      <c r="Q15" s="27">
        <f t="shared" si="0"/>
        <v>-30</v>
      </c>
      <c r="R15" s="27">
        <f t="shared" si="1"/>
        <v>0</v>
      </c>
      <c r="S15" s="28">
        <f t="shared" si="2"/>
        <v>0</v>
      </c>
      <c r="T15" s="49">
        <f t="shared" si="3"/>
        <v>-1.2725884448969715E-3</v>
      </c>
      <c r="U15" s="35"/>
      <c r="V15" s="26">
        <v>0</v>
      </c>
      <c r="W15" s="33"/>
      <c r="X15" s="33"/>
      <c r="Y15" s="36">
        <v>29</v>
      </c>
      <c r="Z15" s="33"/>
      <c r="AA15" s="33"/>
      <c r="AB15" s="33"/>
      <c r="AC15" s="33"/>
      <c r="AD15" s="36">
        <v>1</v>
      </c>
      <c r="AE15" s="33"/>
      <c r="AF15" s="33"/>
      <c r="AG15" s="33"/>
      <c r="AH15" s="33"/>
      <c r="AI15" s="31">
        <f t="shared" si="8"/>
        <v>30</v>
      </c>
      <c r="AJ15" s="31">
        <f t="shared" si="7"/>
        <v>0</v>
      </c>
      <c r="AK15" s="33"/>
    </row>
    <row r="16" spans="1:37" ht="18.600000000000001" customHeight="1" x14ac:dyDescent="0.3">
      <c r="A16" s="20">
        <v>2024</v>
      </c>
      <c r="B16" s="20" t="s">
        <v>47</v>
      </c>
      <c r="C16" s="21">
        <v>45464</v>
      </c>
      <c r="D16" s="23" t="s">
        <v>49</v>
      </c>
      <c r="E16" s="23" t="s">
        <v>49</v>
      </c>
      <c r="F16" s="20" t="s">
        <v>61</v>
      </c>
      <c r="G16" s="24" t="s">
        <v>51</v>
      </c>
      <c r="H16" s="14" t="s">
        <v>71</v>
      </c>
      <c r="I16" s="14">
        <v>5158594</v>
      </c>
      <c r="J16" s="15"/>
      <c r="K16" s="15"/>
      <c r="L16" s="14">
        <v>182743</v>
      </c>
      <c r="M16" s="16">
        <v>18360</v>
      </c>
      <c r="N16" s="27">
        <v>18368</v>
      </c>
      <c r="O16" s="27">
        <f>VLOOKUP(L16,[1]Sheet2!$A:$B,2,0)</f>
        <v>18119</v>
      </c>
      <c r="P16" s="16">
        <f>VLOOKUP(L16,[2]Sheet2!$A:$B,2,0)</f>
        <v>18348</v>
      </c>
      <c r="Q16" s="27">
        <f t="shared" si="0"/>
        <v>-20</v>
      </c>
      <c r="R16" s="27">
        <f t="shared" si="1"/>
        <v>-12</v>
      </c>
      <c r="S16" s="28">
        <f t="shared" si="2"/>
        <v>-6.5359477124182774E-4</v>
      </c>
      <c r="T16" s="49">
        <f t="shared" si="3"/>
        <v>-1.0888501742160051E-3</v>
      </c>
      <c r="U16" s="15" t="s">
        <v>72</v>
      </c>
      <c r="V16" s="15">
        <f>VLOOKUP(L16,[2]Sheet2!$A:$C,3,0)</f>
        <v>178</v>
      </c>
      <c r="W16" s="15">
        <v>45</v>
      </c>
      <c r="X16" s="15"/>
      <c r="Y16" s="15">
        <v>13</v>
      </c>
      <c r="Z16" s="15">
        <v>68</v>
      </c>
      <c r="AA16" s="15"/>
      <c r="AB16" s="15">
        <v>69</v>
      </c>
      <c r="AC16" s="15"/>
      <c r="AD16" s="15">
        <v>3</v>
      </c>
      <c r="AE16" s="15"/>
      <c r="AF16" s="15"/>
      <c r="AG16" s="15"/>
      <c r="AH16" s="15"/>
      <c r="AI16" s="31">
        <f t="shared" si="8"/>
        <v>198</v>
      </c>
      <c r="AJ16" s="31">
        <f t="shared" si="7"/>
        <v>178</v>
      </c>
      <c r="AK16" s="15" t="s">
        <v>65</v>
      </c>
    </row>
    <row r="17" spans="1:37" ht="18.600000000000001" customHeight="1" x14ac:dyDescent="0.3">
      <c r="A17" s="20">
        <v>2024</v>
      </c>
      <c r="B17" s="20" t="s">
        <v>47</v>
      </c>
      <c r="C17" s="21">
        <v>45464</v>
      </c>
      <c r="D17" s="23" t="s">
        <v>49</v>
      </c>
      <c r="E17" s="23" t="s">
        <v>49</v>
      </c>
      <c r="F17" s="20" t="s">
        <v>61</v>
      </c>
      <c r="G17" s="24" t="s">
        <v>51</v>
      </c>
      <c r="H17" s="14" t="s">
        <v>71</v>
      </c>
      <c r="I17" s="14">
        <v>5158594</v>
      </c>
      <c r="J17" s="15"/>
      <c r="K17" s="15"/>
      <c r="L17" s="14">
        <v>182744</v>
      </c>
      <c r="M17" s="16">
        <v>1080</v>
      </c>
      <c r="N17" s="27">
        <v>1080</v>
      </c>
      <c r="O17" s="27">
        <f>VLOOKUP(L17,[1]Sheet2!$A:$B,2,0)</f>
        <v>1075</v>
      </c>
      <c r="P17" s="16">
        <f>VLOOKUP(L17,[2]Sheet2!$A:$B,2,0)</f>
        <v>1080</v>
      </c>
      <c r="Q17" s="27">
        <f t="shared" si="0"/>
        <v>0</v>
      </c>
      <c r="R17" s="27">
        <f t="shared" si="1"/>
        <v>0</v>
      </c>
      <c r="S17" s="28">
        <f t="shared" si="2"/>
        <v>0</v>
      </c>
      <c r="T17" s="49">
        <f t="shared" si="3"/>
        <v>0</v>
      </c>
      <c r="U17" s="15"/>
      <c r="V17" s="26">
        <v>0</v>
      </c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31">
        <f t="shared" si="8"/>
        <v>0</v>
      </c>
      <c r="AJ17" s="31">
        <f t="shared" si="7"/>
        <v>0</v>
      </c>
      <c r="AK17" s="15"/>
    </row>
    <row r="18" spans="1:37" ht="18.600000000000001" customHeight="1" x14ac:dyDescent="0.3">
      <c r="A18" s="20">
        <v>2024</v>
      </c>
      <c r="B18" s="20" t="s">
        <v>47</v>
      </c>
      <c r="C18" s="21">
        <v>45461</v>
      </c>
      <c r="D18" s="20" t="s">
        <v>73</v>
      </c>
      <c r="E18" s="23" t="s">
        <v>74</v>
      </c>
      <c r="F18" s="20" t="s">
        <v>75</v>
      </c>
      <c r="G18" s="15" t="s">
        <v>76</v>
      </c>
      <c r="H18" s="15" t="s">
        <v>77</v>
      </c>
      <c r="I18" s="20" t="s">
        <v>78</v>
      </c>
      <c r="J18" s="15"/>
      <c r="K18" s="15"/>
      <c r="L18" s="20">
        <v>182867</v>
      </c>
      <c r="M18" s="16">
        <v>38075</v>
      </c>
      <c r="N18" s="27">
        <v>37325</v>
      </c>
      <c r="O18" s="27">
        <v>37325</v>
      </c>
      <c r="P18" s="16">
        <v>37325</v>
      </c>
      <c r="Q18" s="27">
        <f t="shared" si="0"/>
        <v>0</v>
      </c>
      <c r="R18" s="27">
        <f t="shared" si="1"/>
        <v>-750</v>
      </c>
      <c r="S18" s="28">
        <f t="shared" si="2"/>
        <v>-1.9697964543663793E-2</v>
      </c>
      <c r="T18" s="49">
        <f t="shared" si="3"/>
        <v>0</v>
      </c>
      <c r="U18" s="15" t="s">
        <v>79</v>
      </c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31">
        <f t="shared" si="8"/>
        <v>0</v>
      </c>
      <c r="AJ18" s="31">
        <f t="shared" si="7"/>
        <v>0</v>
      </c>
      <c r="AK18" s="15"/>
    </row>
    <row r="19" spans="1:37" ht="18.600000000000001" customHeight="1" x14ac:dyDescent="0.3">
      <c r="A19" s="20">
        <v>2024</v>
      </c>
      <c r="B19" s="20" t="s">
        <v>47</v>
      </c>
      <c r="C19" s="21">
        <v>45464</v>
      </c>
      <c r="D19" s="23" t="s">
        <v>80</v>
      </c>
      <c r="E19" s="23" t="s">
        <v>74</v>
      </c>
      <c r="F19" s="23" t="s">
        <v>81</v>
      </c>
      <c r="G19" s="15" t="s">
        <v>82</v>
      </c>
      <c r="H19" s="15" t="s">
        <v>82</v>
      </c>
      <c r="I19" s="14"/>
      <c r="J19" s="15"/>
      <c r="K19" s="15"/>
      <c r="L19" s="20">
        <v>182894</v>
      </c>
      <c r="M19" s="37">
        <v>216</v>
      </c>
      <c r="N19" s="18">
        <v>218</v>
      </c>
      <c r="O19" s="18">
        <v>218</v>
      </c>
      <c r="P19" s="38">
        <v>216</v>
      </c>
      <c r="Q19" s="27">
        <f t="shared" si="0"/>
        <v>-2</v>
      </c>
      <c r="R19" s="27">
        <f t="shared" si="1"/>
        <v>0</v>
      </c>
      <c r="S19" s="28">
        <f t="shared" si="2"/>
        <v>0</v>
      </c>
      <c r="T19" s="29">
        <f t="shared" si="3"/>
        <v>-9.1743119266054496E-3</v>
      </c>
      <c r="U19" s="15"/>
      <c r="V19" s="15"/>
      <c r="W19" s="15"/>
      <c r="X19" s="15"/>
      <c r="Y19" s="15"/>
      <c r="Z19" s="15"/>
      <c r="AA19" s="15"/>
      <c r="AB19" s="37">
        <v>2</v>
      </c>
      <c r="AC19" s="15"/>
      <c r="AD19" s="15"/>
      <c r="AE19" s="15"/>
      <c r="AF19" s="15"/>
      <c r="AG19" s="15"/>
      <c r="AH19" s="15"/>
      <c r="AI19" s="31">
        <f t="shared" si="8"/>
        <v>2</v>
      </c>
      <c r="AJ19" s="31">
        <f t="shared" si="7"/>
        <v>0</v>
      </c>
      <c r="AK19" s="15"/>
    </row>
    <row r="20" spans="1:37" ht="18.600000000000001" customHeight="1" x14ac:dyDescent="0.3">
      <c r="A20" s="20">
        <v>2024</v>
      </c>
      <c r="B20" s="20" t="s">
        <v>47</v>
      </c>
      <c r="C20" s="21">
        <v>45464</v>
      </c>
      <c r="D20" s="23" t="s">
        <v>80</v>
      </c>
      <c r="E20" s="23" t="s">
        <v>74</v>
      </c>
      <c r="F20" s="23" t="s">
        <v>81</v>
      </c>
      <c r="G20" s="15" t="s">
        <v>82</v>
      </c>
      <c r="H20" s="15" t="s">
        <v>82</v>
      </c>
      <c r="I20" s="15"/>
      <c r="J20" s="15"/>
      <c r="K20" s="15"/>
      <c r="L20" s="20">
        <v>182527</v>
      </c>
      <c r="M20" s="18">
        <v>1130</v>
      </c>
      <c r="N20" s="18">
        <v>1136</v>
      </c>
      <c r="O20" s="18">
        <v>1130</v>
      </c>
      <c r="P20" s="18">
        <v>1130</v>
      </c>
      <c r="Q20" s="27">
        <f t="shared" si="0"/>
        <v>-6</v>
      </c>
      <c r="R20" s="27">
        <f t="shared" si="1"/>
        <v>0</v>
      </c>
      <c r="S20" s="28">
        <f t="shared" si="2"/>
        <v>0</v>
      </c>
      <c r="T20" s="29">
        <f t="shared" si="3"/>
        <v>-5.2816901408451189E-3</v>
      </c>
      <c r="U20" s="15"/>
      <c r="V20" s="15"/>
      <c r="W20" s="15"/>
      <c r="X20" s="37">
        <v>6</v>
      </c>
      <c r="Y20" s="15"/>
      <c r="Z20" s="15"/>
      <c r="AA20" s="15"/>
      <c r="AB20" s="20"/>
      <c r="AC20" s="15"/>
      <c r="AD20" s="15"/>
      <c r="AE20" s="15"/>
      <c r="AF20" s="15"/>
      <c r="AG20" s="15"/>
      <c r="AH20" s="15"/>
      <c r="AI20" s="31">
        <f t="shared" si="8"/>
        <v>6</v>
      </c>
      <c r="AJ20" s="31">
        <f t="shared" si="7"/>
        <v>0</v>
      </c>
      <c r="AK20" s="15"/>
    </row>
    <row r="21" spans="1:37" ht="18.600000000000001" customHeight="1" x14ac:dyDescent="0.3">
      <c r="A21" s="32">
        <v>2024</v>
      </c>
      <c r="B21" s="20" t="s">
        <v>47</v>
      </c>
      <c r="C21" s="21">
        <v>45464</v>
      </c>
      <c r="D21" s="23" t="s">
        <v>80</v>
      </c>
      <c r="E21" s="23" t="s">
        <v>74</v>
      </c>
      <c r="F21" s="23" t="s">
        <v>81</v>
      </c>
      <c r="G21" s="15" t="s">
        <v>82</v>
      </c>
      <c r="H21" s="15" t="s">
        <v>82</v>
      </c>
      <c r="I21" s="39"/>
      <c r="J21" s="33"/>
      <c r="K21" s="33"/>
      <c r="L21" s="20">
        <v>182528</v>
      </c>
      <c r="M21" s="18">
        <v>100</v>
      </c>
      <c r="N21" s="40">
        <v>101</v>
      </c>
      <c r="O21" s="40">
        <v>100</v>
      </c>
      <c r="P21" s="40">
        <v>100</v>
      </c>
      <c r="Q21" s="27">
        <f t="shared" si="0"/>
        <v>-1</v>
      </c>
      <c r="R21" s="27">
        <f t="shared" si="1"/>
        <v>0</v>
      </c>
      <c r="S21" s="28">
        <f t="shared" si="2"/>
        <v>0</v>
      </c>
      <c r="T21" s="29">
        <f t="shared" si="3"/>
        <v>-9.9009900990099098E-3</v>
      </c>
      <c r="U21" s="35"/>
      <c r="V21" s="33"/>
      <c r="W21" s="33"/>
      <c r="X21" s="41">
        <v>1</v>
      </c>
      <c r="Y21" s="33"/>
      <c r="Z21" s="33"/>
      <c r="AA21" s="33"/>
      <c r="AB21" s="41"/>
      <c r="AC21" s="33"/>
      <c r="AD21" s="33"/>
      <c r="AE21" s="33"/>
      <c r="AF21" s="33"/>
      <c r="AG21" s="33"/>
      <c r="AH21" s="40"/>
      <c r="AI21" s="31">
        <f t="shared" si="8"/>
        <v>1</v>
      </c>
      <c r="AJ21" s="31">
        <f t="shared" si="7"/>
        <v>0</v>
      </c>
      <c r="AK21" s="25"/>
    </row>
    <row r="22" spans="1:37" ht="18.600000000000001" customHeight="1" x14ac:dyDescent="0.3">
      <c r="A22" s="20">
        <v>2024</v>
      </c>
      <c r="B22" s="20" t="s">
        <v>47</v>
      </c>
      <c r="C22" s="21">
        <v>45464</v>
      </c>
      <c r="D22" s="23" t="s">
        <v>74</v>
      </c>
      <c r="E22" s="23" t="s">
        <v>74</v>
      </c>
      <c r="F22" s="20" t="s">
        <v>83</v>
      </c>
      <c r="G22" s="15" t="s">
        <v>84</v>
      </c>
      <c r="H22" s="15" t="s">
        <v>85</v>
      </c>
      <c r="I22" s="14"/>
      <c r="J22" s="15"/>
      <c r="K22" s="15"/>
      <c r="L22" s="20">
        <v>180321</v>
      </c>
      <c r="M22" s="27">
        <v>48</v>
      </c>
      <c r="N22" s="27">
        <v>48</v>
      </c>
      <c r="O22" s="27">
        <v>48</v>
      </c>
      <c r="P22" s="16">
        <v>47</v>
      </c>
      <c r="Q22" s="27">
        <f>P22-N22</f>
        <v>-1</v>
      </c>
      <c r="R22" s="27">
        <f>P22-M22</f>
        <v>-1</v>
      </c>
      <c r="S22" s="28">
        <f>P22/M22-1</f>
        <v>-2.083333333333337E-2</v>
      </c>
      <c r="T22" s="29">
        <f>P22/N22-1</f>
        <v>-2.083333333333337E-2</v>
      </c>
      <c r="U22" s="15"/>
      <c r="V22" s="15"/>
      <c r="W22" s="15"/>
      <c r="X22" s="15"/>
      <c r="Y22" s="15">
        <v>1</v>
      </c>
      <c r="Z22" s="15"/>
      <c r="AA22" s="15"/>
      <c r="AB22" s="15"/>
      <c r="AC22" s="15"/>
      <c r="AD22" s="15"/>
      <c r="AE22" s="15"/>
      <c r="AF22" s="15"/>
      <c r="AG22" s="15"/>
      <c r="AH22" s="15"/>
      <c r="AI22" s="31">
        <f>SUM(W22:AH22)</f>
        <v>1</v>
      </c>
      <c r="AJ22" s="31">
        <f>Q22+AI22</f>
        <v>0</v>
      </c>
      <c r="AK22" s="15"/>
    </row>
    <row r="23" spans="1:37" ht="18.600000000000001" customHeight="1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20"/>
      <c r="M23" s="27">
        <f t="shared" ref="M23:R23" si="9">SUBTOTAL(9,M3:M22)</f>
        <v>281921</v>
      </c>
      <c r="N23" s="27">
        <f t="shared" si="9"/>
        <v>282103</v>
      </c>
      <c r="O23" s="27">
        <f t="shared" si="9"/>
        <v>280383</v>
      </c>
      <c r="P23" s="27">
        <f t="shared" si="9"/>
        <v>281050</v>
      </c>
      <c r="Q23" s="27">
        <f t="shared" si="9"/>
        <v>-1053</v>
      </c>
      <c r="R23" s="27">
        <f t="shared" si="9"/>
        <v>-871</v>
      </c>
      <c r="S23" s="28">
        <f t="shared" ref="S23" si="10">P23/M23-1</f>
        <v>-3.0895179855349175E-3</v>
      </c>
      <c r="T23" s="28">
        <f t="shared" ref="T23" si="11">P23/N23-1</f>
        <v>-3.7326791987323249E-3</v>
      </c>
      <c r="U23" s="15"/>
      <c r="V23" s="15"/>
      <c r="W23" s="15">
        <f t="shared" ref="W23:AJ23" si="12">SUBTOTAL(9,W3:W22)</f>
        <v>690</v>
      </c>
      <c r="X23" s="15">
        <f t="shared" si="12"/>
        <v>7</v>
      </c>
      <c r="Y23" s="15">
        <f t="shared" si="12"/>
        <v>294</v>
      </c>
      <c r="Z23" s="15">
        <f t="shared" si="12"/>
        <v>459</v>
      </c>
      <c r="AA23" s="15">
        <f t="shared" si="12"/>
        <v>0</v>
      </c>
      <c r="AB23" s="15">
        <f t="shared" si="12"/>
        <v>494</v>
      </c>
      <c r="AC23" s="15">
        <f t="shared" si="12"/>
        <v>0</v>
      </c>
      <c r="AD23" s="15">
        <f t="shared" si="12"/>
        <v>17</v>
      </c>
      <c r="AE23" s="15">
        <f t="shared" si="12"/>
        <v>0</v>
      </c>
      <c r="AF23" s="15">
        <f t="shared" si="12"/>
        <v>0</v>
      </c>
      <c r="AG23" s="15">
        <f t="shared" si="12"/>
        <v>0</v>
      </c>
      <c r="AH23" s="15">
        <f t="shared" si="12"/>
        <v>0</v>
      </c>
      <c r="AI23" s="15">
        <f t="shared" si="12"/>
        <v>1961</v>
      </c>
      <c r="AJ23" s="31">
        <f t="shared" si="12"/>
        <v>908</v>
      </c>
      <c r="AK23" s="15"/>
    </row>
    <row r="24" spans="1:37" ht="18.600000000000001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3"/>
      <c r="M24" s="3"/>
      <c r="N24" s="3"/>
      <c r="O24" s="3"/>
      <c r="P24" s="3"/>
      <c r="Q24" s="3"/>
      <c r="R24" s="3"/>
      <c r="S24" s="3"/>
      <c r="T24" s="3"/>
      <c r="U24" s="4" t="s">
        <v>86</v>
      </c>
      <c r="V24" s="4"/>
      <c r="W24" s="13">
        <f>W23/$AI$23</f>
        <v>0.35186129525752169</v>
      </c>
      <c r="X24" s="13">
        <f t="shared" ref="X24:AH24" si="13">X23/$AI$23</f>
        <v>3.5696073431922487E-3</v>
      </c>
      <c r="Y24" s="13">
        <f t="shared" si="13"/>
        <v>0.14992350841407445</v>
      </c>
      <c r="Z24" s="13">
        <f t="shared" si="13"/>
        <v>0.23406425293217745</v>
      </c>
      <c r="AA24" s="13">
        <f t="shared" si="13"/>
        <v>0</v>
      </c>
      <c r="AB24" s="13">
        <f t="shared" si="13"/>
        <v>0.25191228964813872</v>
      </c>
      <c r="AC24" s="13">
        <f t="shared" si="13"/>
        <v>0</v>
      </c>
      <c r="AD24" s="13">
        <f t="shared" si="13"/>
        <v>8.6690464048954623E-3</v>
      </c>
      <c r="AE24" s="13">
        <f t="shared" si="13"/>
        <v>0</v>
      </c>
      <c r="AF24" s="13">
        <f t="shared" si="13"/>
        <v>0</v>
      </c>
      <c r="AG24" s="13">
        <f t="shared" si="13"/>
        <v>0</v>
      </c>
      <c r="AH24" s="13">
        <f t="shared" si="13"/>
        <v>0</v>
      </c>
      <c r="AI24" s="4"/>
      <c r="AJ24" s="4"/>
      <c r="AK24" s="4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6"/>
      <c r="M25" s="6"/>
      <c r="N25" s="6"/>
      <c r="O25" s="6"/>
      <c r="P25" s="6"/>
      <c r="Q25" s="6"/>
      <c r="R25" s="6"/>
      <c r="S25" s="6"/>
      <c r="T25" s="6"/>
      <c r="U25" s="5" t="s">
        <v>87</v>
      </c>
      <c r="V25" s="5"/>
      <c r="W25" s="7">
        <f>W23/$N$23</f>
        <v>2.4459151444685095E-3</v>
      </c>
      <c r="X25" s="7">
        <f t="shared" ref="X25:AH25" si="14">X23/$N$23</f>
        <v>2.4813631900405171E-5</v>
      </c>
      <c r="Y25" s="7">
        <f t="shared" si="14"/>
        <v>1.0421725398170171E-3</v>
      </c>
      <c r="Z25" s="7">
        <f t="shared" si="14"/>
        <v>1.6270652917551392E-3</v>
      </c>
      <c r="AA25" s="7">
        <f t="shared" si="14"/>
        <v>0</v>
      </c>
      <c r="AB25" s="7">
        <f t="shared" si="14"/>
        <v>1.7511334512571649E-3</v>
      </c>
      <c r="AC25" s="7">
        <f t="shared" si="14"/>
        <v>0</v>
      </c>
      <c r="AD25" s="7">
        <f t="shared" si="14"/>
        <v>6.0261677472412558E-5</v>
      </c>
      <c r="AE25" s="7">
        <f t="shared" si="14"/>
        <v>0</v>
      </c>
      <c r="AF25" s="7">
        <f t="shared" si="14"/>
        <v>0</v>
      </c>
      <c r="AG25" s="7">
        <f t="shared" si="14"/>
        <v>0</v>
      </c>
      <c r="AH25" s="7">
        <f t="shared" si="14"/>
        <v>0</v>
      </c>
      <c r="AI25" s="5"/>
      <c r="AJ25" s="5"/>
      <c r="AK25" s="5"/>
    </row>
  </sheetData>
  <mergeCells count="1">
    <mergeCell ref="A1:A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{HOME}</vt:lpstr>
      <vt:lpstr>TEMPORARI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HERU PRASETYO</cp:lastModifiedBy>
  <dcterms:created xsi:type="dcterms:W3CDTF">2024-06-26T08:39:04Z</dcterms:created>
  <dcterms:modified xsi:type="dcterms:W3CDTF">2024-06-27T02:34:06Z</dcterms:modified>
</cp:coreProperties>
</file>