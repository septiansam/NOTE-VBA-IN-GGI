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07\"/>
    </mc:Choice>
  </mc:AlternateContent>
  <xr:revisionPtr revIDLastSave="0" documentId="14_{4D4183DA-73D7-49EA-9369-EC2EDBB54B73}" xr6:coauthVersionLast="47" xr6:coauthVersionMax="47" xr10:uidLastSave="{00000000-0000-0000-0000-000000000000}"/>
  <bookViews>
    <workbookView xWindow="20370" yWindow="-120" windowWidth="20730" windowHeight="11160" firstSheet="3" activeTab="3" xr2:uid="{2CCE3C95-2940-4053-8BE7-2A6EFE1350AC}"/>
  </bookViews>
  <sheets>
    <sheet name="Temp_REPORT1" sheetId="14" state="hidden" r:id="rId1"/>
    <sheet name="CC1_InputUser" sheetId="38" state="hidden" r:id="rId2"/>
    <sheet name="Ref_WA" sheetId="49" state="hidden" r:id="rId3"/>
    <sheet name="HOME" sheetId="3" r:id="rId4"/>
    <sheet name="REPORT1" sheetId="51" r:id="rId5"/>
    <sheet name="RPA1_WA" sheetId="53" r:id="rId6"/>
  </sheets>
  <functionGroups builtInGroupCount="19"/>
  <definedNames>
    <definedName name="_xlnm._FilterDatabase" localSheetId="1" hidden="1">CC1_InputUser!$A$1:$S$1396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X21" i="51" l="1"/>
  <c r="DS21" i="51"/>
  <c r="DM21" i="51"/>
  <c r="DH21" i="51"/>
  <c r="DB21" i="51"/>
  <c r="CW21" i="51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K2" i="38"/>
  <c r="L2" i="38" s="1"/>
  <c r="K3" i="38"/>
  <c r="L3" i="38" s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K29" i="38"/>
  <c r="L29" i="38" s="1"/>
  <c r="K30" i="38"/>
  <c r="L30" i="38" s="1"/>
  <c r="K31" i="38"/>
  <c r="L31" i="38" s="1"/>
  <c r="K32" i="38"/>
  <c r="L32" i="38" s="1"/>
  <c r="K33" i="38"/>
  <c r="L33" i="38" s="1"/>
  <c r="K34" i="38"/>
  <c r="L34" i="38" s="1"/>
  <c r="K35" i="38"/>
  <c r="L35" i="38" s="1"/>
  <c r="K36" i="38"/>
  <c r="L36" i="38" s="1"/>
  <c r="K37" i="38"/>
  <c r="L37" i="38" s="1"/>
  <c r="K38" i="38"/>
  <c r="L38" i="38" s="1"/>
  <c r="K39" i="38"/>
  <c r="L39" i="38" s="1"/>
  <c r="K40" i="38"/>
  <c r="L40" i="38" s="1"/>
  <c r="K41" i="38"/>
  <c r="L41" i="38" s="1"/>
  <c r="K42" i="38"/>
  <c r="L42" i="38" s="1"/>
  <c r="K43" i="38"/>
  <c r="L43" i="38" s="1"/>
  <c r="K44" i="38"/>
  <c r="L44" i="38" s="1"/>
  <c r="K45" i="38"/>
  <c r="L45" i="38" s="1"/>
  <c r="K46" i="38"/>
  <c r="L46" i="38" s="1"/>
  <c r="K47" i="38"/>
  <c r="L47" i="38" s="1"/>
  <c r="K48" i="38"/>
  <c r="L48" i="38" s="1"/>
  <c r="K49" i="38"/>
  <c r="L49" i="38" s="1"/>
  <c r="K50" i="38"/>
  <c r="L50" i="38" s="1"/>
  <c r="K51" i="38"/>
  <c r="L51" i="38" s="1"/>
  <c r="K52" i="38"/>
  <c r="L52" i="38" s="1"/>
  <c r="K53" i="38"/>
  <c r="L53" i="38" s="1"/>
  <c r="K54" i="38"/>
  <c r="L54" i="38" s="1"/>
  <c r="K55" i="38"/>
  <c r="L55" i="38" s="1"/>
  <c r="K56" i="38"/>
  <c r="L56" i="38" s="1"/>
  <c r="K57" i="38"/>
  <c r="L57" i="38" s="1"/>
  <c r="K58" i="38"/>
  <c r="L58" i="38" s="1"/>
  <c r="K59" i="38"/>
  <c r="L59" i="38" s="1"/>
  <c r="K60" i="38"/>
  <c r="L60" i="38" s="1"/>
  <c r="K61" i="38"/>
  <c r="L61" i="38" s="1"/>
  <c r="K62" i="38"/>
  <c r="L62" i="38" s="1"/>
  <c r="K63" i="38"/>
  <c r="L63" i="38" s="1"/>
  <c r="K64" i="38"/>
  <c r="L64" i="38" s="1"/>
  <c r="K65" i="38"/>
  <c r="L65" i="38" s="1"/>
  <c r="K66" i="38"/>
  <c r="L66" i="38" s="1"/>
  <c r="K67" i="38"/>
  <c r="L67" i="38" s="1"/>
  <c r="K68" i="38"/>
  <c r="L68" i="38" s="1"/>
  <c r="K69" i="38"/>
  <c r="L69" i="38" s="1"/>
  <c r="K70" i="38"/>
  <c r="L70" i="38" s="1"/>
  <c r="K71" i="38"/>
  <c r="L71" i="38" s="1"/>
  <c r="K72" i="38"/>
  <c r="L72" i="38" s="1"/>
  <c r="K73" i="38"/>
  <c r="L73" i="38" s="1"/>
  <c r="K74" i="38"/>
  <c r="L74" i="38" s="1"/>
  <c r="K75" i="38"/>
  <c r="L75" i="38" s="1"/>
  <c r="K76" i="38"/>
  <c r="L76" i="38" s="1"/>
  <c r="K77" i="38"/>
  <c r="L77" i="38" s="1"/>
  <c r="K78" i="38"/>
  <c r="L78" i="38" s="1"/>
  <c r="K79" i="38"/>
  <c r="L79" i="38" s="1"/>
  <c r="K80" i="38"/>
  <c r="L80" i="38" s="1"/>
  <c r="K81" i="38"/>
  <c r="L81" i="38" s="1"/>
  <c r="K82" i="38"/>
  <c r="L82" i="38" s="1"/>
  <c r="K83" i="38"/>
  <c r="L83" i="38" s="1"/>
  <c r="K84" i="38"/>
  <c r="L84" i="38" s="1"/>
  <c r="K85" i="38"/>
  <c r="L85" i="38" s="1"/>
  <c r="K86" i="38"/>
  <c r="L86" i="38" s="1"/>
  <c r="K87" i="38"/>
  <c r="L87" i="38" s="1"/>
  <c r="K88" i="38"/>
  <c r="L88" i="38" s="1"/>
  <c r="K89" i="38"/>
  <c r="L89" i="38" s="1"/>
  <c r="K90" i="38"/>
  <c r="L90" i="38" s="1"/>
  <c r="K91" i="38"/>
  <c r="L91" i="38" s="1"/>
  <c r="K92" i="38"/>
  <c r="L92" i="38" s="1"/>
  <c r="K93" i="38"/>
  <c r="L93" i="38" s="1"/>
  <c r="K94" i="38"/>
  <c r="L94" i="38" s="1"/>
  <c r="K95" i="38"/>
  <c r="L95" i="38" s="1"/>
  <c r="K96" i="38"/>
  <c r="L96" i="38" s="1"/>
  <c r="K97" i="38"/>
  <c r="L97" i="38" s="1"/>
  <c r="K98" i="38"/>
  <c r="L98" i="38" s="1"/>
  <c r="K99" i="38"/>
  <c r="L99" i="38" s="1"/>
  <c r="K100" i="38"/>
  <c r="L100" i="38" s="1"/>
  <c r="K101" i="38"/>
  <c r="L101" i="38" s="1"/>
  <c r="K102" i="38"/>
  <c r="L102" i="38" s="1"/>
  <c r="K103" i="38"/>
  <c r="L103" i="38" s="1"/>
  <c r="K104" i="38"/>
  <c r="L104" i="38" s="1"/>
  <c r="K105" i="38"/>
  <c r="L105" i="38" s="1"/>
  <c r="K106" i="38"/>
  <c r="L106" i="38" s="1"/>
  <c r="K107" i="38"/>
  <c r="L107" i="38" s="1"/>
  <c r="K108" i="38"/>
  <c r="L108" i="38" s="1"/>
  <c r="K109" i="38"/>
  <c r="L109" i="38" s="1"/>
  <c r="K110" i="38"/>
  <c r="L110" i="38" s="1"/>
  <c r="K111" i="38"/>
  <c r="L111" i="38" s="1"/>
  <c r="K112" i="38"/>
  <c r="L112" i="38" s="1"/>
  <c r="K113" i="38"/>
  <c r="L113" i="38" s="1"/>
  <c r="K114" i="38"/>
  <c r="L114" i="38" s="1"/>
  <c r="K115" i="38"/>
  <c r="L115" i="38" s="1"/>
  <c r="K116" i="38"/>
  <c r="L116" i="38" s="1"/>
  <c r="K117" i="38"/>
  <c r="L117" i="38" s="1"/>
  <c r="K118" i="38"/>
  <c r="L118" i="38" s="1"/>
  <c r="K119" i="38"/>
  <c r="L119" i="38" s="1"/>
  <c r="K120" i="38"/>
  <c r="L120" i="38" s="1"/>
  <c r="K121" i="38"/>
  <c r="L121" i="38" s="1"/>
  <c r="K122" i="38"/>
  <c r="L122" i="38" s="1"/>
  <c r="K123" i="38"/>
  <c r="L123" i="38" s="1"/>
  <c r="K124" i="38"/>
  <c r="L124" i="38" s="1"/>
  <c r="K125" i="38"/>
  <c r="L125" i="38" s="1"/>
  <c r="K126" i="38"/>
  <c r="L126" i="38" s="1"/>
  <c r="K127" i="38"/>
  <c r="L127" i="38" s="1"/>
  <c r="K128" i="38"/>
  <c r="L128" i="38" s="1"/>
  <c r="K129" i="38"/>
  <c r="L129" i="38" s="1"/>
  <c r="K130" i="38"/>
  <c r="L130" i="38" s="1"/>
  <c r="K131" i="38"/>
  <c r="L131" i="38" s="1"/>
  <c r="K132" i="38"/>
  <c r="L132" i="38" s="1"/>
  <c r="K133" i="38"/>
  <c r="L133" i="38" s="1"/>
  <c r="K134" i="38"/>
  <c r="L134" i="38" s="1"/>
  <c r="K135" i="38"/>
  <c r="L135" i="38" s="1"/>
  <c r="K136" i="38"/>
  <c r="L136" i="38" s="1"/>
  <c r="K137" i="38"/>
  <c r="L137" i="38" s="1"/>
  <c r="K138" i="38"/>
  <c r="L138" i="38" s="1"/>
  <c r="K139" i="38"/>
  <c r="L139" i="38" s="1"/>
  <c r="K140" i="38"/>
  <c r="L140" i="38" s="1"/>
  <c r="K141" i="38"/>
  <c r="L141" i="38" s="1"/>
  <c r="K142" i="38"/>
  <c r="L142" i="38" s="1"/>
  <c r="K143" i="38"/>
  <c r="L143" i="38" s="1"/>
  <c r="K144" i="38"/>
  <c r="L144" i="38" s="1"/>
  <c r="K145" i="38"/>
  <c r="L145" i="38" s="1"/>
  <c r="K146" i="38"/>
  <c r="L146" i="38" s="1"/>
  <c r="K147" i="38"/>
  <c r="L147" i="38" s="1"/>
  <c r="K148" i="38"/>
  <c r="L148" i="38" s="1"/>
  <c r="K149" i="38"/>
  <c r="L149" i="38" s="1"/>
  <c r="K150" i="38"/>
  <c r="L150" i="38" s="1"/>
  <c r="K151" i="38"/>
  <c r="L151" i="38" s="1"/>
  <c r="K152" i="38"/>
  <c r="L152" i="38" s="1"/>
  <c r="K153" i="38"/>
  <c r="L153" i="38" s="1"/>
  <c r="K154" i="38"/>
  <c r="L154" i="38" s="1"/>
  <c r="K155" i="38"/>
  <c r="L155" i="38" s="1"/>
  <c r="K156" i="38"/>
  <c r="L156" i="38" s="1"/>
  <c r="K157" i="38"/>
  <c r="L157" i="38" s="1"/>
  <c r="K158" i="38"/>
  <c r="L158" i="38" s="1"/>
  <c r="K159" i="38"/>
  <c r="L159" i="38" s="1"/>
  <c r="K160" i="38"/>
  <c r="L160" i="38" s="1"/>
  <c r="K161" i="38"/>
  <c r="L161" i="38" s="1"/>
  <c r="K162" i="38"/>
  <c r="L162" i="38" s="1"/>
  <c r="K163" i="38"/>
  <c r="L163" i="38" s="1"/>
  <c r="K164" i="38"/>
  <c r="L164" i="38" s="1"/>
  <c r="K165" i="38"/>
  <c r="L165" i="38" s="1"/>
  <c r="K166" i="38"/>
  <c r="L166" i="38" s="1"/>
  <c r="K167" i="38"/>
  <c r="L167" i="38" s="1"/>
  <c r="K168" i="38"/>
  <c r="L168" i="38" s="1"/>
  <c r="K169" i="38"/>
  <c r="L169" i="38" s="1"/>
  <c r="K170" i="38"/>
  <c r="L170" i="38" s="1"/>
  <c r="K171" i="38"/>
  <c r="L171" i="38" s="1"/>
  <c r="K172" i="38"/>
  <c r="L172" i="38" s="1"/>
  <c r="K173" i="38"/>
  <c r="L173" i="38" s="1"/>
  <c r="K174" i="38"/>
  <c r="L174" i="38" s="1"/>
  <c r="K175" i="38"/>
  <c r="L175" i="38" s="1"/>
  <c r="K176" i="38"/>
  <c r="L176" i="38" s="1"/>
  <c r="K177" i="38"/>
  <c r="L177" i="38" s="1"/>
  <c r="K178" i="38"/>
  <c r="L178" i="38" s="1"/>
  <c r="K179" i="38"/>
  <c r="L179" i="38" s="1"/>
  <c r="K180" i="38"/>
  <c r="L180" i="38" s="1"/>
  <c r="K181" i="38"/>
  <c r="L181" i="38" s="1"/>
  <c r="K182" i="38"/>
  <c r="L182" i="38" s="1"/>
  <c r="K183" i="38"/>
  <c r="L183" i="38" s="1"/>
  <c r="K184" i="38"/>
  <c r="L184" i="38" s="1"/>
  <c r="K185" i="38"/>
  <c r="L185" i="38" s="1"/>
  <c r="K186" i="38"/>
  <c r="L186" i="38" s="1"/>
  <c r="K187" i="38"/>
  <c r="L187" i="38" s="1"/>
  <c r="K188" i="38"/>
  <c r="L188" i="38" s="1"/>
  <c r="K189" i="38"/>
  <c r="L189" i="38" s="1"/>
  <c r="K190" i="38"/>
  <c r="L190" i="38" s="1"/>
  <c r="K191" i="38"/>
  <c r="L191" i="38" s="1"/>
  <c r="K192" i="38"/>
  <c r="L192" i="38" s="1"/>
  <c r="K193" i="38"/>
  <c r="L193" i="38" s="1"/>
  <c r="K194" i="38"/>
  <c r="L194" i="38" s="1"/>
  <c r="K195" i="38"/>
  <c r="L195" i="38" s="1"/>
  <c r="K196" i="38"/>
  <c r="L196" i="38" s="1"/>
  <c r="K197" i="38"/>
  <c r="L197" i="38" s="1"/>
  <c r="K198" i="38"/>
  <c r="L198" i="38" s="1"/>
  <c r="K199" i="38"/>
  <c r="L199" i="38" s="1"/>
  <c r="K200" i="38"/>
  <c r="L200" i="38" s="1"/>
  <c r="K201" i="38"/>
  <c r="L201" i="38" s="1"/>
  <c r="K202" i="38"/>
  <c r="L202" i="38" s="1"/>
  <c r="K203" i="38"/>
  <c r="L203" i="38" s="1"/>
  <c r="K204" i="38"/>
  <c r="L204" i="38" s="1"/>
  <c r="K205" i="38"/>
  <c r="L205" i="38" s="1"/>
  <c r="K206" i="38"/>
  <c r="L206" i="38" s="1"/>
  <c r="K207" i="38"/>
  <c r="L207" i="38" s="1"/>
  <c r="K208" i="38"/>
  <c r="L208" i="38" s="1"/>
  <c r="K209" i="38"/>
  <c r="L209" i="38" s="1"/>
  <c r="K210" i="38"/>
  <c r="L210" i="38" s="1"/>
  <c r="K211" i="38"/>
  <c r="L211" i="38" s="1"/>
  <c r="K212" i="38"/>
  <c r="L212" i="38" s="1"/>
  <c r="K213" i="38"/>
  <c r="L213" i="38" s="1"/>
  <c r="K214" i="38"/>
  <c r="L214" i="38" s="1"/>
  <c r="K215" i="38"/>
  <c r="L215" i="38" s="1"/>
  <c r="K216" i="38"/>
  <c r="L216" i="38" s="1"/>
  <c r="K217" i="38"/>
  <c r="L217" i="38" s="1"/>
  <c r="K218" i="38"/>
  <c r="L218" i="38" s="1"/>
  <c r="K219" i="38"/>
  <c r="L219" i="38" s="1"/>
  <c r="K220" i="38"/>
  <c r="L220" i="38" s="1"/>
  <c r="K221" i="38"/>
  <c r="L221" i="38" s="1"/>
  <c r="K222" i="38"/>
  <c r="L222" i="38" s="1"/>
  <c r="K223" i="38"/>
  <c r="L223" i="38" s="1"/>
  <c r="K224" i="38"/>
  <c r="L224" i="38" s="1"/>
  <c r="K225" i="38"/>
  <c r="L225" i="38" s="1"/>
  <c r="K226" i="38"/>
  <c r="L226" i="38" s="1"/>
  <c r="K227" i="38"/>
  <c r="L227" i="38" s="1"/>
  <c r="K228" i="38"/>
  <c r="L228" i="38" s="1"/>
  <c r="K229" i="38"/>
  <c r="L229" i="38" s="1"/>
  <c r="K230" i="38"/>
  <c r="L230" i="38" s="1"/>
  <c r="K231" i="38"/>
  <c r="L231" i="38" s="1"/>
  <c r="K232" i="38"/>
  <c r="L232" i="38" s="1"/>
  <c r="K233" i="38"/>
  <c r="L233" i="38" s="1"/>
  <c r="K234" i="38"/>
  <c r="L234" i="38" s="1"/>
  <c r="K235" i="38"/>
  <c r="L235" i="38" s="1"/>
  <c r="K236" i="38"/>
  <c r="L236" i="38" s="1"/>
  <c r="K237" i="38"/>
  <c r="L237" i="38" s="1"/>
  <c r="K238" i="38"/>
  <c r="L238" i="38" s="1"/>
  <c r="K239" i="38"/>
  <c r="L239" i="38" s="1"/>
  <c r="K240" i="38"/>
  <c r="L240" i="38" s="1"/>
  <c r="K241" i="38"/>
  <c r="L241" i="38" s="1"/>
  <c r="K242" i="38"/>
  <c r="L242" i="38" s="1"/>
  <c r="K243" i="38"/>
  <c r="L243" i="38" s="1"/>
  <c r="K244" i="38"/>
  <c r="L244" i="38" s="1"/>
  <c r="K245" i="38"/>
  <c r="L245" i="38" s="1"/>
  <c r="K246" i="38"/>
  <c r="L246" i="38" s="1"/>
  <c r="K247" i="38"/>
  <c r="L247" i="38" s="1"/>
  <c r="K248" i="38"/>
  <c r="L248" i="38" s="1"/>
  <c r="K249" i="38"/>
  <c r="L249" i="38" s="1"/>
  <c r="K250" i="38"/>
  <c r="L250" i="38" s="1"/>
  <c r="K251" i="38"/>
  <c r="L251" i="38" s="1"/>
  <c r="K252" i="38"/>
  <c r="L252" i="38" s="1"/>
  <c r="K253" i="38"/>
  <c r="L253" i="38" s="1"/>
  <c r="K254" i="38"/>
  <c r="L254" i="38" s="1"/>
  <c r="K255" i="38"/>
  <c r="L255" i="38" s="1"/>
  <c r="K256" i="38"/>
  <c r="L256" i="38" s="1"/>
  <c r="K257" i="38"/>
  <c r="L257" i="38" s="1"/>
  <c r="K258" i="38"/>
  <c r="L258" i="38" s="1"/>
  <c r="K259" i="38"/>
  <c r="L259" i="38" s="1"/>
  <c r="K260" i="38"/>
  <c r="L260" i="38" s="1"/>
  <c r="K261" i="38"/>
  <c r="L261" i="38" s="1"/>
  <c r="K262" i="38"/>
  <c r="L262" i="38" s="1"/>
  <c r="K263" i="38"/>
  <c r="L263" i="38" s="1"/>
  <c r="K264" i="38"/>
  <c r="L264" i="38" s="1"/>
  <c r="K265" i="38"/>
  <c r="L265" i="38" s="1"/>
  <c r="K266" i="38"/>
  <c r="L266" i="38" s="1"/>
  <c r="K267" i="38"/>
  <c r="L267" i="38" s="1"/>
  <c r="K268" i="38"/>
  <c r="L268" i="38" s="1"/>
  <c r="K269" i="38"/>
  <c r="L269" i="38" s="1"/>
  <c r="K270" i="38"/>
  <c r="L270" i="38" s="1"/>
  <c r="K271" i="38"/>
  <c r="L271" i="38" s="1"/>
  <c r="K272" i="38"/>
  <c r="L272" i="38" s="1"/>
  <c r="K273" i="38"/>
  <c r="L273" i="38" s="1"/>
  <c r="K274" i="38"/>
  <c r="L274" i="38" s="1"/>
  <c r="K275" i="38"/>
  <c r="L275" i="38" s="1"/>
  <c r="K276" i="38"/>
  <c r="L276" i="38" s="1"/>
  <c r="K277" i="38"/>
  <c r="L277" i="38" s="1"/>
  <c r="K278" i="38"/>
  <c r="L278" i="38" s="1"/>
  <c r="K279" i="38"/>
  <c r="L279" i="38" s="1"/>
  <c r="K280" i="38"/>
  <c r="L280" i="38" s="1"/>
  <c r="K281" i="38"/>
  <c r="L281" i="38" s="1"/>
  <c r="K282" i="38"/>
  <c r="L282" i="38" s="1"/>
  <c r="K283" i="38"/>
  <c r="L283" i="38" s="1"/>
  <c r="K284" i="38"/>
  <c r="L284" i="38" s="1"/>
  <c r="K285" i="38"/>
  <c r="L285" i="38" s="1"/>
  <c r="K286" i="38"/>
  <c r="L286" i="38" s="1"/>
  <c r="K287" i="38"/>
  <c r="L287" i="38" s="1"/>
  <c r="K288" i="38"/>
  <c r="L288" i="38" s="1"/>
  <c r="K289" i="38"/>
  <c r="L289" i="38" s="1"/>
  <c r="K290" i="38"/>
  <c r="L290" i="38" s="1"/>
  <c r="K291" i="38"/>
  <c r="L291" i="38" s="1"/>
  <c r="K292" i="38"/>
  <c r="L292" i="38" s="1"/>
  <c r="K293" i="38"/>
  <c r="L293" i="38" s="1"/>
  <c r="K294" i="38"/>
  <c r="L294" i="38" s="1"/>
  <c r="K295" i="38"/>
  <c r="L295" i="38" s="1"/>
  <c r="K296" i="38"/>
  <c r="L296" i="38" s="1"/>
  <c r="K297" i="38"/>
  <c r="L297" i="38" s="1"/>
  <c r="K298" i="38"/>
  <c r="L298" i="38" s="1"/>
  <c r="K299" i="38"/>
  <c r="L299" i="38" s="1"/>
  <c r="K300" i="38"/>
  <c r="L300" i="38" s="1"/>
  <c r="K301" i="38"/>
  <c r="L301" i="38" s="1"/>
  <c r="K302" i="38"/>
  <c r="L302" i="38" s="1"/>
  <c r="K303" i="38"/>
  <c r="L303" i="38" s="1"/>
  <c r="K304" i="38"/>
  <c r="L304" i="38" s="1"/>
  <c r="K305" i="38"/>
  <c r="L305" i="38" s="1"/>
  <c r="K306" i="38"/>
  <c r="L306" i="38" s="1"/>
  <c r="K307" i="38"/>
  <c r="L307" i="38" s="1"/>
  <c r="K308" i="38"/>
  <c r="L308" i="38" s="1"/>
  <c r="K309" i="38"/>
  <c r="L309" i="38" s="1"/>
  <c r="K310" i="38"/>
  <c r="L310" i="38" s="1"/>
  <c r="K311" i="38"/>
  <c r="L311" i="38" s="1"/>
  <c r="K312" i="38"/>
  <c r="L312" i="38" s="1"/>
  <c r="K313" i="38"/>
  <c r="L313" i="38" s="1"/>
  <c r="K314" i="38"/>
  <c r="L314" i="38" s="1"/>
  <c r="K315" i="38"/>
  <c r="L315" i="38" s="1"/>
  <c r="K316" i="38"/>
  <c r="L316" i="38" s="1"/>
  <c r="K317" i="38"/>
  <c r="L317" i="38" s="1"/>
  <c r="K318" i="38"/>
  <c r="L318" i="38" s="1"/>
  <c r="K319" i="38"/>
  <c r="L319" i="38" s="1"/>
  <c r="K320" i="38"/>
  <c r="L320" i="38" s="1"/>
  <c r="K321" i="38"/>
  <c r="L321" i="38" s="1"/>
  <c r="K322" i="38"/>
  <c r="L322" i="38" s="1"/>
  <c r="K323" i="38"/>
  <c r="L323" i="38" s="1"/>
  <c r="K324" i="38"/>
  <c r="L324" i="38" s="1"/>
  <c r="K325" i="38"/>
  <c r="L325" i="38" s="1"/>
  <c r="K326" i="38"/>
  <c r="L326" i="38" s="1"/>
  <c r="K327" i="38"/>
  <c r="L327" i="38" s="1"/>
  <c r="K328" i="38"/>
  <c r="L328" i="38" s="1"/>
  <c r="K329" i="38"/>
  <c r="L329" i="38" s="1"/>
  <c r="K330" i="38"/>
  <c r="L330" i="38" s="1"/>
  <c r="K331" i="38"/>
  <c r="L331" i="38" s="1"/>
  <c r="K332" i="38"/>
  <c r="L332" i="38" s="1"/>
  <c r="K333" i="38"/>
  <c r="L333" i="38" s="1"/>
  <c r="K334" i="38"/>
  <c r="L334" i="38" s="1"/>
  <c r="K335" i="38"/>
  <c r="L335" i="38" s="1"/>
  <c r="K336" i="38"/>
  <c r="L336" i="38" s="1"/>
  <c r="K337" i="38"/>
  <c r="L337" i="38" s="1"/>
  <c r="K338" i="38"/>
  <c r="L338" i="38" s="1"/>
  <c r="K339" i="38"/>
  <c r="L339" i="38" s="1"/>
  <c r="K340" i="38"/>
  <c r="L340" i="38" s="1"/>
  <c r="K341" i="38"/>
  <c r="L341" i="38" s="1"/>
  <c r="K342" i="38"/>
  <c r="L342" i="38" s="1"/>
  <c r="K343" i="38"/>
  <c r="L343" i="38" s="1"/>
  <c r="K344" i="38"/>
  <c r="L344" i="38" s="1"/>
  <c r="K345" i="38"/>
  <c r="L345" i="38" s="1"/>
  <c r="K346" i="38"/>
  <c r="L346" i="38" s="1"/>
  <c r="K347" i="38"/>
  <c r="L347" i="38" s="1"/>
  <c r="K348" i="38"/>
  <c r="L348" i="38" s="1"/>
  <c r="K349" i="38"/>
  <c r="L349" i="38" s="1"/>
  <c r="K350" i="38"/>
  <c r="L350" i="38" s="1"/>
  <c r="K351" i="38"/>
  <c r="L351" i="38" s="1"/>
  <c r="K352" i="38"/>
  <c r="L352" i="38" s="1"/>
  <c r="K353" i="38"/>
  <c r="L353" i="38" s="1"/>
  <c r="K354" i="38"/>
  <c r="L354" i="38" s="1"/>
  <c r="K355" i="38"/>
  <c r="L355" i="38" s="1"/>
  <c r="K356" i="38"/>
  <c r="L356" i="38" s="1"/>
  <c r="K357" i="38"/>
  <c r="L357" i="38" s="1"/>
  <c r="K358" i="38"/>
  <c r="L358" i="38" s="1"/>
  <c r="K359" i="38"/>
  <c r="L359" i="38" s="1"/>
  <c r="K360" i="38"/>
  <c r="L360" i="38" s="1"/>
  <c r="K361" i="38"/>
  <c r="L361" i="38" s="1"/>
  <c r="K362" i="38"/>
  <c r="L362" i="38" s="1"/>
  <c r="K363" i="38"/>
  <c r="L363" i="38" s="1"/>
  <c r="K364" i="38"/>
  <c r="L364" i="38" s="1"/>
  <c r="K365" i="38"/>
  <c r="L365" i="38" s="1"/>
  <c r="K366" i="38"/>
  <c r="L366" i="38" s="1"/>
  <c r="K367" i="38"/>
  <c r="L367" i="38" s="1"/>
  <c r="K368" i="38"/>
  <c r="L368" i="38" s="1"/>
  <c r="K369" i="38"/>
  <c r="L369" i="38" s="1"/>
  <c r="K370" i="38"/>
  <c r="L370" i="38" s="1"/>
  <c r="K371" i="38"/>
  <c r="L371" i="38" s="1"/>
  <c r="K372" i="38"/>
  <c r="L372" i="38" s="1"/>
  <c r="K373" i="38"/>
  <c r="L373" i="38" s="1"/>
  <c r="K374" i="38"/>
  <c r="L374" i="38" s="1"/>
  <c r="K375" i="38"/>
  <c r="L375" i="38" s="1"/>
  <c r="K376" i="38"/>
  <c r="L376" i="38" s="1"/>
  <c r="K377" i="38"/>
  <c r="L377" i="38" s="1"/>
  <c r="K378" i="38"/>
  <c r="L378" i="38" s="1"/>
  <c r="K379" i="38"/>
  <c r="L379" i="38" s="1"/>
  <c r="K380" i="38"/>
  <c r="L380" i="38" s="1"/>
  <c r="K381" i="38"/>
  <c r="L381" i="38" s="1"/>
  <c r="K382" i="38"/>
  <c r="L382" i="38" s="1"/>
  <c r="K383" i="38"/>
  <c r="L383" i="38" s="1"/>
  <c r="K384" i="38"/>
  <c r="L384" i="38" s="1"/>
  <c r="K385" i="38"/>
  <c r="L385" i="38" s="1"/>
  <c r="K386" i="38"/>
  <c r="L386" i="38" s="1"/>
  <c r="K387" i="38"/>
  <c r="L387" i="38" s="1"/>
  <c r="K388" i="38"/>
  <c r="L388" i="38" s="1"/>
  <c r="K389" i="38"/>
  <c r="L389" i="38" s="1"/>
  <c r="K390" i="38"/>
  <c r="L390" i="38" s="1"/>
  <c r="K391" i="38"/>
  <c r="L391" i="38" s="1"/>
  <c r="K392" i="38"/>
  <c r="L392" i="38" s="1"/>
  <c r="K393" i="38"/>
  <c r="L393" i="38" s="1"/>
  <c r="K394" i="38"/>
  <c r="L394" i="38" s="1"/>
  <c r="K395" i="38"/>
  <c r="L395" i="38" s="1"/>
  <c r="K396" i="38"/>
  <c r="L396" i="38" s="1"/>
  <c r="K397" i="38"/>
  <c r="L397" i="38" s="1"/>
  <c r="K398" i="38"/>
  <c r="L398" i="38" s="1"/>
  <c r="K399" i="38"/>
  <c r="L399" i="38" s="1"/>
  <c r="K400" i="38"/>
  <c r="L400" i="38" s="1"/>
  <c r="K401" i="38"/>
  <c r="L401" i="38" s="1"/>
  <c r="K402" i="38"/>
  <c r="L402" i="38" s="1"/>
  <c r="K403" i="38"/>
  <c r="L403" i="38" s="1"/>
  <c r="K404" i="38"/>
  <c r="L404" i="38" s="1"/>
  <c r="K405" i="38"/>
  <c r="L405" i="38" s="1"/>
  <c r="K406" i="38"/>
  <c r="L406" i="38" s="1"/>
  <c r="K407" i="38"/>
  <c r="L407" i="38" s="1"/>
  <c r="K408" i="38"/>
  <c r="L408" i="38" s="1"/>
  <c r="K409" i="38"/>
  <c r="L409" i="38" s="1"/>
  <c r="K410" i="38"/>
  <c r="L410" i="38" s="1"/>
  <c r="K411" i="38"/>
  <c r="L411" i="38" s="1"/>
  <c r="K412" i="38"/>
  <c r="L412" i="38" s="1"/>
  <c r="K413" i="38"/>
  <c r="L413" i="38" s="1"/>
  <c r="K414" i="38"/>
  <c r="L414" i="38" s="1"/>
  <c r="K415" i="38"/>
  <c r="L415" i="38" s="1"/>
  <c r="K416" i="38"/>
  <c r="L416" i="38" s="1"/>
  <c r="K417" i="38"/>
  <c r="L417" i="38" s="1"/>
  <c r="K418" i="38"/>
  <c r="L418" i="38" s="1"/>
  <c r="K419" i="38"/>
  <c r="L419" i="38" s="1"/>
  <c r="K420" i="38"/>
  <c r="L420" i="38" s="1"/>
  <c r="K421" i="38"/>
  <c r="L421" i="38" s="1"/>
  <c r="K422" i="38"/>
  <c r="L422" i="38" s="1"/>
  <c r="K423" i="38"/>
  <c r="L423" i="38" s="1"/>
  <c r="K424" i="38"/>
  <c r="L424" i="38" s="1"/>
  <c r="K425" i="38"/>
  <c r="L425" i="38" s="1"/>
  <c r="K426" i="38"/>
  <c r="L426" i="38" s="1"/>
  <c r="K427" i="38"/>
  <c r="L427" i="38" s="1"/>
  <c r="K428" i="38"/>
  <c r="L428" i="38" s="1"/>
  <c r="K429" i="38"/>
  <c r="L429" i="38" s="1"/>
  <c r="K430" i="38"/>
  <c r="L430" i="38" s="1"/>
  <c r="K431" i="38"/>
  <c r="L431" i="38" s="1"/>
  <c r="K432" i="38"/>
  <c r="L432" i="38" s="1"/>
  <c r="K433" i="38"/>
  <c r="L433" i="38" s="1"/>
  <c r="K434" i="38"/>
  <c r="L434" i="38" s="1"/>
  <c r="K435" i="38"/>
  <c r="L435" i="38" s="1"/>
  <c r="K436" i="38"/>
  <c r="L436" i="38" s="1"/>
  <c r="K437" i="38"/>
  <c r="L437" i="38" s="1"/>
  <c r="K438" i="38"/>
  <c r="L438" i="38" s="1"/>
  <c r="K439" i="38"/>
  <c r="L439" i="38" s="1"/>
  <c r="K440" i="38"/>
  <c r="L440" i="38" s="1"/>
  <c r="K441" i="38"/>
  <c r="L441" i="38" s="1"/>
  <c r="K442" i="38"/>
  <c r="L442" i="38" s="1"/>
  <c r="K443" i="38"/>
  <c r="L443" i="38" s="1"/>
  <c r="K444" i="38"/>
  <c r="L444" i="38" s="1"/>
  <c r="K445" i="38"/>
  <c r="L445" i="38" s="1"/>
  <c r="K446" i="38"/>
  <c r="L446" i="38" s="1"/>
  <c r="K447" i="38"/>
  <c r="L447" i="38" s="1"/>
  <c r="K448" i="38"/>
  <c r="L448" i="38" s="1"/>
  <c r="K449" i="38"/>
  <c r="L449" i="38" s="1"/>
  <c r="K450" i="38"/>
  <c r="L450" i="38" s="1"/>
  <c r="K451" i="38"/>
  <c r="L451" i="38" s="1"/>
  <c r="K452" i="38"/>
  <c r="L452" i="38" s="1"/>
  <c r="K453" i="38"/>
  <c r="L453" i="38" s="1"/>
  <c r="K454" i="38"/>
  <c r="L454" i="38" s="1"/>
  <c r="K455" i="38"/>
  <c r="L455" i="38" s="1"/>
  <c r="K456" i="38"/>
  <c r="L456" i="38" s="1"/>
  <c r="K457" i="38"/>
  <c r="L457" i="38" s="1"/>
  <c r="K458" i="38"/>
  <c r="L458" i="38" s="1"/>
  <c r="K459" i="38"/>
  <c r="L459" i="38" s="1"/>
  <c r="K460" i="38"/>
  <c r="L460" i="38" s="1"/>
  <c r="K461" i="38"/>
  <c r="L461" i="38" s="1"/>
  <c r="K462" i="38"/>
  <c r="L462" i="38" s="1"/>
  <c r="K463" i="38"/>
  <c r="L463" i="38" s="1"/>
  <c r="K464" i="38"/>
  <c r="L464" i="38" s="1"/>
  <c r="K465" i="38"/>
  <c r="L465" i="38" s="1"/>
  <c r="K466" i="38"/>
  <c r="L466" i="38" s="1"/>
  <c r="K467" i="38"/>
  <c r="L467" i="38" s="1"/>
  <c r="K468" i="38"/>
  <c r="L468" i="38" s="1"/>
  <c r="K469" i="38"/>
  <c r="L469" i="38" s="1"/>
  <c r="K470" i="38"/>
  <c r="L470" i="38" s="1"/>
  <c r="K471" i="38"/>
  <c r="L471" i="38" s="1"/>
  <c r="K472" i="38"/>
  <c r="L472" i="38" s="1"/>
  <c r="K473" i="38"/>
  <c r="L473" i="38" s="1"/>
  <c r="K474" i="38"/>
  <c r="L474" i="38" s="1"/>
  <c r="K475" i="38"/>
  <c r="L475" i="38" s="1"/>
  <c r="K476" i="38"/>
  <c r="L476" i="38" s="1"/>
  <c r="K477" i="38"/>
  <c r="L477" i="38" s="1"/>
  <c r="K478" i="38"/>
  <c r="L478" i="38" s="1"/>
  <c r="K479" i="38"/>
  <c r="L479" i="38" s="1"/>
  <c r="K480" i="38"/>
  <c r="L480" i="38" s="1"/>
  <c r="K481" i="38"/>
  <c r="L481" i="38" s="1"/>
  <c r="K482" i="38"/>
  <c r="L482" i="38" s="1"/>
  <c r="K483" i="38"/>
  <c r="L483" i="38" s="1"/>
  <c r="K484" i="38"/>
  <c r="L484" i="38" s="1"/>
  <c r="K485" i="38"/>
  <c r="L485" i="38" s="1"/>
  <c r="K486" i="38"/>
  <c r="L486" i="38" s="1"/>
  <c r="K487" i="38"/>
  <c r="L487" i="38" s="1"/>
  <c r="K488" i="38"/>
  <c r="L488" i="38" s="1"/>
  <c r="K489" i="38"/>
  <c r="L489" i="38" s="1"/>
  <c r="K490" i="38"/>
  <c r="L490" i="38" s="1"/>
  <c r="K491" i="38"/>
  <c r="L491" i="38" s="1"/>
  <c r="K492" i="38"/>
  <c r="L492" i="38" s="1"/>
  <c r="K493" i="38"/>
  <c r="L493" i="38" s="1"/>
  <c r="K494" i="38"/>
  <c r="L494" i="38" s="1"/>
  <c r="K495" i="38"/>
  <c r="L495" i="38" s="1"/>
  <c r="K496" i="38"/>
  <c r="L496" i="38" s="1"/>
  <c r="K497" i="38"/>
  <c r="L497" i="38" s="1"/>
  <c r="K498" i="38"/>
  <c r="L498" i="38" s="1"/>
  <c r="K499" i="38"/>
  <c r="L499" i="38" s="1"/>
  <c r="K500" i="38"/>
  <c r="L500" i="38" s="1"/>
  <c r="K501" i="38"/>
  <c r="L501" i="38" s="1"/>
  <c r="K502" i="38"/>
  <c r="L502" i="38" s="1"/>
  <c r="K503" i="38"/>
  <c r="L503" i="38" s="1"/>
  <c r="K504" i="38"/>
  <c r="L504" i="38" s="1"/>
  <c r="K505" i="38"/>
  <c r="L505" i="38" s="1"/>
  <c r="K506" i="38"/>
  <c r="L506" i="38" s="1"/>
  <c r="K507" i="38"/>
  <c r="L507" i="38" s="1"/>
  <c r="K508" i="38"/>
  <c r="L508" i="38" s="1"/>
  <c r="K509" i="38"/>
  <c r="L509" i="38" s="1"/>
  <c r="K510" i="38"/>
  <c r="L510" i="38" s="1"/>
  <c r="K511" i="38"/>
  <c r="L511" i="38" s="1"/>
  <c r="K512" i="38"/>
  <c r="L512" i="38" s="1"/>
  <c r="K513" i="38"/>
  <c r="L513" i="38" s="1"/>
  <c r="K514" i="38"/>
  <c r="L514" i="38" s="1"/>
  <c r="K515" i="38"/>
  <c r="L515" i="38" s="1"/>
  <c r="K516" i="38"/>
  <c r="L516" i="38" s="1"/>
  <c r="K517" i="38"/>
  <c r="L517" i="38" s="1"/>
  <c r="K518" i="38"/>
  <c r="L518" i="38" s="1"/>
  <c r="K519" i="38"/>
  <c r="L519" i="38" s="1"/>
  <c r="K520" i="38"/>
  <c r="L520" i="38" s="1"/>
  <c r="K521" i="38"/>
  <c r="L521" i="38" s="1"/>
  <c r="K522" i="38"/>
  <c r="L522" i="38" s="1"/>
  <c r="K523" i="38"/>
  <c r="L523" i="38" s="1"/>
  <c r="K524" i="38"/>
  <c r="L524" i="38" s="1"/>
  <c r="K525" i="38"/>
  <c r="L525" i="38" s="1"/>
  <c r="K526" i="38"/>
  <c r="L526" i="38" s="1"/>
  <c r="K527" i="38"/>
  <c r="L527" i="38" s="1"/>
  <c r="K528" i="38"/>
  <c r="L528" i="38" s="1"/>
  <c r="K529" i="38"/>
  <c r="L529" i="38" s="1"/>
  <c r="K530" i="38"/>
  <c r="L530" i="38" s="1"/>
  <c r="K531" i="38"/>
  <c r="L531" i="38" s="1"/>
  <c r="K532" i="38"/>
  <c r="L532" i="38" s="1"/>
  <c r="K533" i="38"/>
  <c r="L533" i="38" s="1"/>
  <c r="K534" i="38"/>
  <c r="L534" i="38" s="1"/>
  <c r="K535" i="38"/>
  <c r="L535" i="38" s="1"/>
  <c r="K536" i="38"/>
  <c r="L536" i="38" s="1"/>
  <c r="K537" i="38"/>
  <c r="L537" i="38" s="1"/>
  <c r="K538" i="38"/>
  <c r="L538" i="38" s="1"/>
  <c r="K539" i="38"/>
  <c r="L539" i="38" s="1"/>
  <c r="K540" i="38"/>
  <c r="L540" i="38" s="1"/>
  <c r="K541" i="38"/>
  <c r="L541" i="38" s="1"/>
  <c r="K542" i="38"/>
  <c r="L542" i="38" s="1"/>
  <c r="K543" i="38"/>
  <c r="L543" i="38" s="1"/>
  <c r="K544" i="38"/>
  <c r="L544" i="38" s="1"/>
  <c r="K545" i="38"/>
  <c r="L545" i="38" s="1"/>
  <c r="K546" i="38"/>
  <c r="L546" i="38" s="1"/>
  <c r="K547" i="38"/>
  <c r="L547" i="38" s="1"/>
  <c r="K548" i="38"/>
  <c r="L548" i="38" s="1"/>
  <c r="K549" i="38"/>
  <c r="L549" i="38" s="1"/>
  <c r="K550" i="38"/>
  <c r="L550" i="38" s="1"/>
  <c r="K551" i="38"/>
  <c r="L551" i="38" s="1"/>
  <c r="K552" i="38"/>
  <c r="L552" i="38" s="1"/>
  <c r="K553" i="38"/>
  <c r="L553" i="38" s="1"/>
  <c r="K554" i="38"/>
  <c r="L554" i="38" s="1"/>
  <c r="K555" i="38"/>
  <c r="L555" i="38" s="1"/>
  <c r="K556" i="38"/>
  <c r="L556" i="38" s="1"/>
  <c r="K557" i="38"/>
  <c r="L557" i="38" s="1"/>
  <c r="K558" i="38"/>
  <c r="L558" i="38" s="1"/>
  <c r="K559" i="38"/>
  <c r="L559" i="38" s="1"/>
  <c r="K560" i="38"/>
  <c r="L560" i="38" s="1"/>
  <c r="K561" i="38"/>
  <c r="L561" i="38" s="1"/>
  <c r="K562" i="38"/>
  <c r="L562" i="38" s="1"/>
  <c r="K563" i="38"/>
  <c r="L563" i="38" s="1"/>
  <c r="K564" i="38"/>
  <c r="L564" i="38" s="1"/>
  <c r="K565" i="38"/>
  <c r="L565" i="38" s="1"/>
  <c r="K566" i="38"/>
  <c r="L566" i="38" s="1"/>
  <c r="K567" i="38"/>
  <c r="L567" i="38" s="1"/>
  <c r="K568" i="38"/>
  <c r="L568" i="38" s="1"/>
  <c r="K569" i="38"/>
  <c r="L569" i="38" s="1"/>
  <c r="K570" i="38"/>
  <c r="L570" i="38" s="1"/>
  <c r="K571" i="38"/>
  <c r="L571" i="38" s="1"/>
  <c r="K572" i="38"/>
  <c r="L572" i="38" s="1"/>
  <c r="K573" i="38"/>
  <c r="L573" i="38" s="1"/>
  <c r="K574" i="38"/>
  <c r="L574" i="38" s="1"/>
  <c r="K575" i="38"/>
  <c r="L575" i="38" s="1"/>
  <c r="K576" i="38"/>
  <c r="L576" i="38" s="1"/>
  <c r="K577" i="38"/>
  <c r="L577" i="38" s="1"/>
  <c r="K578" i="38"/>
  <c r="L578" i="38" s="1"/>
  <c r="K579" i="38"/>
  <c r="L579" i="38" s="1"/>
  <c r="K580" i="38"/>
  <c r="L580" i="38" s="1"/>
  <c r="K581" i="38"/>
  <c r="L581" i="38" s="1"/>
  <c r="K582" i="38"/>
  <c r="L582" i="38" s="1"/>
  <c r="K583" i="38"/>
  <c r="L583" i="38" s="1"/>
  <c r="K584" i="38"/>
  <c r="L584" i="38" s="1"/>
  <c r="K585" i="38"/>
  <c r="L585" i="38" s="1"/>
  <c r="K586" i="38"/>
  <c r="L586" i="38" s="1"/>
  <c r="K587" i="38"/>
  <c r="L587" i="38" s="1"/>
  <c r="K588" i="38"/>
  <c r="L588" i="38" s="1"/>
  <c r="K589" i="38"/>
  <c r="L589" i="38" s="1"/>
  <c r="K590" i="38"/>
  <c r="L590" i="38" s="1"/>
  <c r="K591" i="38"/>
  <c r="L591" i="38" s="1"/>
  <c r="K592" i="38"/>
  <c r="L592" i="38" s="1"/>
  <c r="K593" i="38"/>
  <c r="L593" i="38" s="1"/>
  <c r="K594" i="38"/>
  <c r="L594" i="38" s="1"/>
  <c r="K595" i="38"/>
  <c r="L595" i="38" s="1"/>
  <c r="K596" i="38"/>
  <c r="L596" i="38" s="1"/>
  <c r="K597" i="38"/>
  <c r="L597" i="38" s="1"/>
  <c r="K598" i="38"/>
  <c r="L598" i="38" s="1"/>
  <c r="K599" i="38"/>
  <c r="L599" i="38" s="1"/>
  <c r="K600" i="38"/>
  <c r="L600" i="38" s="1"/>
  <c r="K601" i="38"/>
  <c r="L601" i="38" s="1"/>
  <c r="K602" i="38"/>
  <c r="L602" i="38" s="1"/>
  <c r="K603" i="38"/>
  <c r="L603" i="38" s="1"/>
  <c r="K604" i="38"/>
  <c r="L604" i="38" s="1"/>
  <c r="K605" i="38"/>
  <c r="L605" i="38" s="1"/>
  <c r="K606" i="38"/>
  <c r="L606" i="38" s="1"/>
  <c r="K607" i="38"/>
  <c r="L607" i="38" s="1"/>
  <c r="K608" i="38"/>
  <c r="L608" i="38" s="1"/>
  <c r="K609" i="38"/>
  <c r="L609" i="38" s="1"/>
  <c r="K610" i="38"/>
  <c r="L610" i="38" s="1"/>
  <c r="K611" i="38"/>
  <c r="L611" i="38" s="1"/>
  <c r="K612" i="38"/>
  <c r="L612" i="38" s="1"/>
  <c r="K613" i="38"/>
  <c r="L613" i="38" s="1"/>
  <c r="K614" i="38"/>
  <c r="L614" i="38" s="1"/>
  <c r="K615" i="38"/>
  <c r="L615" i="38" s="1"/>
  <c r="K616" i="38"/>
  <c r="L616" i="38" s="1"/>
  <c r="K617" i="38"/>
  <c r="L617" i="38" s="1"/>
  <c r="K618" i="38"/>
  <c r="L618" i="38" s="1"/>
  <c r="K619" i="38"/>
  <c r="L619" i="38" s="1"/>
  <c r="K620" i="38"/>
  <c r="L620" i="38" s="1"/>
  <c r="K621" i="38"/>
  <c r="L621" i="38" s="1"/>
  <c r="K622" i="38"/>
  <c r="L622" i="38" s="1"/>
  <c r="K623" i="38"/>
  <c r="L623" i="38" s="1"/>
  <c r="K624" i="38"/>
  <c r="L624" i="38" s="1"/>
  <c r="K625" i="38"/>
  <c r="L625" i="38" s="1"/>
  <c r="K626" i="38"/>
  <c r="L626" i="38" s="1"/>
  <c r="K627" i="38"/>
  <c r="L627" i="38" s="1"/>
  <c r="K628" i="38"/>
  <c r="L628" i="38" s="1"/>
  <c r="K629" i="38"/>
  <c r="L629" i="38" s="1"/>
  <c r="K630" i="38"/>
  <c r="L630" i="38" s="1"/>
  <c r="K631" i="38"/>
  <c r="L631" i="38" s="1"/>
  <c r="K632" i="38"/>
  <c r="L632" i="38" s="1"/>
  <c r="K633" i="38"/>
  <c r="L633" i="38" s="1"/>
  <c r="K634" i="38"/>
  <c r="L634" i="38" s="1"/>
  <c r="K635" i="38"/>
  <c r="L635" i="38" s="1"/>
  <c r="K636" i="38"/>
  <c r="L636" i="38" s="1"/>
  <c r="K637" i="38"/>
  <c r="L637" i="38" s="1"/>
  <c r="K638" i="38"/>
  <c r="L638" i="38" s="1"/>
  <c r="K639" i="38"/>
  <c r="L639" i="38" s="1"/>
  <c r="K640" i="38"/>
  <c r="L640" i="38" s="1"/>
  <c r="K641" i="38"/>
  <c r="L641" i="38" s="1"/>
  <c r="K642" i="38"/>
  <c r="L642" i="38" s="1"/>
  <c r="K643" i="38"/>
  <c r="L643" i="38" s="1"/>
  <c r="K644" i="38"/>
  <c r="L644" i="38" s="1"/>
  <c r="K645" i="38"/>
  <c r="L645" i="38" s="1"/>
  <c r="K646" i="38"/>
  <c r="L646" i="38" s="1"/>
  <c r="K647" i="38"/>
  <c r="L647" i="38" s="1"/>
  <c r="K648" i="38"/>
  <c r="L648" i="38" s="1"/>
  <c r="K649" i="38"/>
  <c r="L649" i="38" s="1"/>
  <c r="K650" i="38"/>
  <c r="L650" i="38" s="1"/>
  <c r="K651" i="38"/>
  <c r="L651" i="38" s="1"/>
  <c r="K652" i="38"/>
  <c r="L652" i="38" s="1"/>
  <c r="K653" i="38"/>
  <c r="L653" i="38" s="1"/>
  <c r="K654" i="38"/>
  <c r="L654" i="38" s="1"/>
  <c r="K655" i="38"/>
  <c r="L655" i="38" s="1"/>
  <c r="K656" i="38"/>
  <c r="L656" i="38" s="1"/>
  <c r="K657" i="38"/>
  <c r="L657" i="38" s="1"/>
  <c r="K658" i="38"/>
  <c r="L658" i="38" s="1"/>
  <c r="K659" i="38"/>
  <c r="L659" i="38" s="1"/>
  <c r="K660" i="38"/>
  <c r="L660" i="38" s="1"/>
  <c r="K661" i="38"/>
  <c r="L661" i="38" s="1"/>
  <c r="K662" i="38"/>
  <c r="L662" i="38" s="1"/>
  <c r="K663" i="38"/>
  <c r="L663" i="38" s="1"/>
  <c r="K664" i="38"/>
  <c r="L664" i="38" s="1"/>
  <c r="K665" i="38"/>
  <c r="L665" i="38" s="1"/>
  <c r="K666" i="38"/>
  <c r="L666" i="38" s="1"/>
  <c r="K667" i="38"/>
  <c r="L667" i="38" s="1"/>
  <c r="K668" i="38"/>
  <c r="L668" i="38" s="1"/>
  <c r="K669" i="38"/>
  <c r="L669" i="38" s="1"/>
  <c r="K670" i="38"/>
  <c r="L670" i="38" s="1"/>
  <c r="K671" i="38"/>
  <c r="L671" i="38" s="1"/>
  <c r="K672" i="38"/>
  <c r="L672" i="38" s="1"/>
  <c r="K673" i="38"/>
  <c r="L673" i="38" s="1"/>
  <c r="K674" i="38"/>
  <c r="L674" i="38" s="1"/>
  <c r="K675" i="38"/>
  <c r="L675" i="38" s="1"/>
  <c r="K676" i="38"/>
  <c r="L676" i="38" s="1"/>
  <c r="K677" i="38"/>
  <c r="L677" i="38" s="1"/>
  <c r="K678" i="38"/>
  <c r="L678" i="38" s="1"/>
  <c r="K679" i="38"/>
  <c r="L679" i="38" s="1"/>
  <c r="K680" i="38"/>
  <c r="L680" i="38" s="1"/>
  <c r="K681" i="38"/>
  <c r="L681" i="38" s="1"/>
  <c r="K682" i="38"/>
  <c r="L682" i="38" s="1"/>
  <c r="K683" i="38"/>
  <c r="L683" i="38" s="1"/>
  <c r="K684" i="38"/>
  <c r="L684" i="38" s="1"/>
  <c r="K685" i="38"/>
  <c r="L685" i="38" s="1"/>
  <c r="K686" i="38"/>
  <c r="L686" i="38" s="1"/>
  <c r="K687" i="38"/>
  <c r="L687" i="38" s="1"/>
  <c r="K688" i="38"/>
  <c r="L688" i="38" s="1"/>
  <c r="K689" i="38"/>
  <c r="L689" i="38" s="1"/>
  <c r="K690" i="38"/>
  <c r="L690" i="38" s="1"/>
  <c r="K691" i="38"/>
  <c r="L691" i="38" s="1"/>
  <c r="K692" i="38"/>
  <c r="L692" i="38" s="1"/>
  <c r="K693" i="38"/>
  <c r="L693" i="38" s="1"/>
  <c r="K694" i="38"/>
  <c r="L694" i="38" s="1"/>
  <c r="K695" i="38"/>
  <c r="L695" i="38" s="1"/>
  <c r="K696" i="38"/>
  <c r="L696" i="38" s="1"/>
  <c r="K697" i="38"/>
  <c r="L697" i="38" s="1"/>
  <c r="K698" i="38"/>
  <c r="L698" i="38" s="1"/>
  <c r="K699" i="38"/>
  <c r="L699" i="38" s="1"/>
  <c r="K700" i="38"/>
  <c r="L700" i="38" s="1"/>
  <c r="K701" i="38"/>
  <c r="L701" i="38" s="1"/>
  <c r="K702" i="38"/>
  <c r="L702" i="38" s="1"/>
  <c r="K703" i="38"/>
  <c r="L703" i="38" s="1"/>
  <c r="K704" i="38"/>
  <c r="L704" i="38" s="1"/>
  <c r="K705" i="38"/>
  <c r="L705" i="38" s="1"/>
  <c r="K706" i="38"/>
  <c r="L706" i="38" s="1"/>
  <c r="K707" i="38"/>
  <c r="L707" i="38" s="1"/>
  <c r="K708" i="38"/>
  <c r="L708" i="38" s="1"/>
  <c r="K709" i="38"/>
  <c r="L709" i="38" s="1"/>
  <c r="K710" i="38"/>
  <c r="L710" i="38" s="1"/>
  <c r="K711" i="38"/>
  <c r="L711" i="38" s="1"/>
  <c r="K712" i="38"/>
  <c r="L712" i="38" s="1"/>
  <c r="K713" i="38"/>
  <c r="L713" i="38" s="1"/>
  <c r="K714" i="38"/>
  <c r="L714" i="38" s="1"/>
  <c r="K715" i="38"/>
  <c r="L715" i="38" s="1"/>
  <c r="K716" i="38"/>
  <c r="L716" i="38" s="1"/>
  <c r="K717" i="38"/>
  <c r="L717" i="38" s="1"/>
  <c r="K718" i="38"/>
  <c r="L718" i="38" s="1"/>
  <c r="K719" i="38"/>
  <c r="L719" i="38" s="1"/>
  <c r="K720" i="38"/>
  <c r="L720" i="38" s="1"/>
  <c r="K721" i="38"/>
  <c r="L721" i="38" s="1"/>
  <c r="K722" i="38"/>
  <c r="L722" i="38" s="1"/>
  <c r="K723" i="38"/>
  <c r="L723" i="38" s="1"/>
  <c r="K724" i="38"/>
  <c r="L724" i="38" s="1"/>
  <c r="K725" i="38"/>
  <c r="L725" i="38" s="1"/>
  <c r="K726" i="38"/>
  <c r="L726" i="38" s="1"/>
  <c r="K727" i="38"/>
  <c r="L727" i="38" s="1"/>
  <c r="K728" i="38"/>
  <c r="L728" i="38" s="1"/>
  <c r="K729" i="38"/>
  <c r="L729" i="38" s="1"/>
  <c r="K730" i="38"/>
  <c r="L730" i="38" s="1"/>
  <c r="K731" i="38"/>
  <c r="L731" i="38" s="1"/>
  <c r="K732" i="38"/>
  <c r="L732" i="38" s="1"/>
  <c r="K733" i="38"/>
  <c r="L733" i="38" s="1"/>
  <c r="K734" i="38"/>
  <c r="L734" i="38" s="1"/>
  <c r="K735" i="38"/>
  <c r="L735" i="38" s="1"/>
  <c r="K736" i="38"/>
  <c r="L736" i="38" s="1"/>
  <c r="K737" i="38"/>
  <c r="L737" i="38" s="1"/>
  <c r="K738" i="38"/>
  <c r="L738" i="38" s="1"/>
  <c r="K739" i="38"/>
  <c r="L739" i="38" s="1"/>
  <c r="K740" i="38"/>
  <c r="L740" i="38" s="1"/>
  <c r="K741" i="38"/>
  <c r="L741" i="38" s="1"/>
  <c r="K742" i="38"/>
  <c r="L742" i="38" s="1"/>
  <c r="K743" i="38"/>
  <c r="L743" i="38" s="1"/>
  <c r="K744" i="38"/>
  <c r="L744" i="38" s="1"/>
  <c r="K745" i="38"/>
  <c r="L745" i="38" s="1"/>
  <c r="K746" i="38"/>
  <c r="L746" i="38" s="1"/>
  <c r="K747" i="38"/>
  <c r="L747" i="38" s="1"/>
  <c r="K748" i="38"/>
  <c r="L748" i="38" s="1"/>
  <c r="K749" i="38"/>
  <c r="L749" i="38" s="1"/>
  <c r="K750" i="38"/>
  <c r="L750" i="38" s="1"/>
  <c r="K751" i="38"/>
  <c r="L751" i="38" s="1"/>
  <c r="K752" i="38"/>
  <c r="L752" i="38" s="1"/>
  <c r="K753" i="38"/>
  <c r="L753" i="38" s="1"/>
  <c r="K754" i="38"/>
  <c r="L754" i="38" s="1"/>
  <c r="K755" i="38"/>
  <c r="L755" i="38" s="1"/>
  <c r="K756" i="38"/>
  <c r="L756" i="38" s="1"/>
  <c r="K757" i="38"/>
  <c r="L757" i="38" s="1"/>
  <c r="K758" i="38"/>
  <c r="L758" i="38" s="1"/>
  <c r="K759" i="38"/>
  <c r="L759" i="38" s="1"/>
  <c r="K760" i="38"/>
  <c r="L760" i="38" s="1"/>
  <c r="K761" i="38"/>
  <c r="L761" i="38" s="1"/>
  <c r="K762" i="38"/>
  <c r="L762" i="38" s="1"/>
  <c r="K763" i="38"/>
  <c r="L763" i="38" s="1"/>
  <c r="K764" i="38"/>
  <c r="L764" i="38" s="1"/>
  <c r="K765" i="38"/>
  <c r="L765" i="38" s="1"/>
  <c r="K766" i="38"/>
  <c r="L766" i="38" s="1"/>
  <c r="K767" i="38"/>
  <c r="L767" i="38" s="1"/>
  <c r="K768" i="38"/>
  <c r="L768" i="38" s="1"/>
  <c r="K769" i="38"/>
  <c r="L769" i="38" s="1"/>
  <c r="K770" i="38"/>
  <c r="L770" i="38" s="1"/>
  <c r="K771" i="38"/>
  <c r="L771" i="38" s="1"/>
  <c r="K772" i="38"/>
  <c r="L772" i="38" s="1"/>
  <c r="K773" i="38"/>
  <c r="L773" i="38" s="1"/>
  <c r="K774" i="38"/>
  <c r="L774" i="38" s="1"/>
  <c r="K775" i="38"/>
  <c r="L775" i="38" s="1"/>
  <c r="K776" i="38"/>
  <c r="L776" i="38" s="1"/>
  <c r="K777" i="38"/>
  <c r="L777" i="38" s="1"/>
  <c r="K778" i="38"/>
  <c r="L778" i="38" s="1"/>
  <c r="K779" i="38"/>
  <c r="L779" i="38" s="1"/>
  <c r="K780" i="38"/>
  <c r="L780" i="38" s="1"/>
  <c r="K781" i="38"/>
  <c r="L781" i="38" s="1"/>
  <c r="K782" i="38"/>
  <c r="L782" i="38" s="1"/>
  <c r="K783" i="38"/>
  <c r="L783" i="38" s="1"/>
  <c r="K784" i="38"/>
  <c r="L784" i="38" s="1"/>
  <c r="K785" i="38"/>
  <c r="L785" i="38" s="1"/>
  <c r="K786" i="38"/>
  <c r="L786" i="38" s="1"/>
  <c r="K787" i="38"/>
  <c r="L787" i="38" s="1"/>
  <c r="K788" i="38"/>
  <c r="L788" i="38" s="1"/>
  <c r="K789" i="38"/>
  <c r="L789" i="38" s="1"/>
  <c r="K790" i="38"/>
  <c r="L790" i="38" s="1"/>
  <c r="K791" i="38"/>
  <c r="L791" i="38" s="1"/>
  <c r="K792" i="38"/>
  <c r="L792" i="38" s="1"/>
  <c r="K793" i="38"/>
  <c r="L793" i="38" s="1"/>
  <c r="K794" i="38"/>
  <c r="L794" i="38" s="1"/>
  <c r="K795" i="38"/>
  <c r="L795" i="38" s="1"/>
  <c r="K796" i="38"/>
  <c r="L796" i="38" s="1"/>
  <c r="K797" i="38"/>
  <c r="L797" i="38" s="1"/>
  <c r="K798" i="38"/>
  <c r="L798" i="38" s="1"/>
  <c r="K799" i="38"/>
  <c r="L799" i="38" s="1"/>
  <c r="K800" i="38"/>
  <c r="L800" i="38" s="1"/>
  <c r="K801" i="38"/>
  <c r="L801" i="38" s="1"/>
  <c r="K802" i="38"/>
  <c r="L802" i="38" s="1"/>
  <c r="K803" i="38"/>
  <c r="L803" i="38" s="1"/>
  <c r="K804" i="38"/>
  <c r="L804" i="38" s="1"/>
  <c r="K805" i="38"/>
  <c r="L805" i="38" s="1"/>
  <c r="K806" i="38"/>
  <c r="L806" i="38" s="1"/>
  <c r="K807" i="38"/>
  <c r="L807" i="38" s="1"/>
  <c r="K808" i="38"/>
  <c r="L808" i="38" s="1"/>
  <c r="K809" i="38"/>
  <c r="L809" i="38" s="1"/>
  <c r="K810" i="38"/>
  <c r="L810" i="38" s="1"/>
  <c r="K811" i="38"/>
  <c r="L811" i="38" s="1"/>
  <c r="K812" i="38"/>
  <c r="L812" i="38" s="1"/>
  <c r="K813" i="38"/>
  <c r="L813" i="38" s="1"/>
  <c r="K814" i="38"/>
  <c r="L814" i="38" s="1"/>
  <c r="K815" i="38"/>
  <c r="L815" i="38" s="1"/>
  <c r="K816" i="38"/>
  <c r="L816" i="38" s="1"/>
  <c r="K817" i="38"/>
  <c r="L817" i="38" s="1"/>
  <c r="K818" i="38"/>
  <c r="L818" i="38" s="1"/>
  <c r="K819" i="38"/>
  <c r="L819" i="38" s="1"/>
  <c r="K820" i="38"/>
  <c r="L820" i="38" s="1"/>
  <c r="K821" i="38"/>
  <c r="L821" i="38" s="1"/>
  <c r="K822" i="38"/>
  <c r="L822" i="38" s="1"/>
  <c r="K823" i="38"/>
  <c r="L823" i="38" s="1"/>
  <c r="K824" i="38"/>
  <c r="L824" i="38" s="1"/>
  <c r="K825" i="38"/>
  <c r="L825" i="38" s="1"/>
  <c r="K826" i="38"/>
  <c r="L826" i="38" s="1"/>
  <c r="K827" i="38"/>
  <c r="L827" i="38" s="1"/>
  <c r="K828" i="38"/>
  <c r="L828" i="38" s="1"/>
  <c r="K829" i="38"/>
  <c r="L829" i="38" s="1"/>
  <c r="K830" i="38"/>
  <c r="L830" i="38" s="1"/>
  <c r="K831" i="38"/>
  <c r="L831" i="38" s="1"/>
  <c r="K832" i="38"/>
  <c r="L832" i="38" s="1"/>
  <c r="K833" i="38"/>
  <c r="L833" i="38" s="1"/>
  <c r="K834" i="38"/>
  <c r="L834" i="38" s="1"/>
  <c r="K835" i="38"/>
  <c r="L835" i="38" s="1"/>
  <c r="K836" i="38"/>
  <c r="L836" i="38" s="1"/>
  <c r="K837" i="38"/>
  <c r="L837" i="38" s="1"/>
  <c r="K838" i="38"/>
  <c r="L838" i="38" s="1"/>
  <c r="K839" i="38"/>
  <c r="L839" i="38" s="1"/>
  <c r="K840" i="38"/>
  <c r="L840" i="38" s="1"/>
  <c r="K841" i="38"/>
  <c r="L841" i="38" s="1"/>
  <c r="K842" i="38"/>
  <c r="L842" i="38" s="1"/>
  <c r="K843" i="38"/>
  <c r="L843" i="38" s="1"/>
  <c r="K844" i="38"/>
  <c r="L844" i="38" s="1"/>
  <c r="K845" i="38"/>
  <c r="L845" i="38" s="1"/>
  <c r="K846" i="38"/>
  <c r="L846" i="38" s="1"/>
  <c r="K847" i="38"/>
  <c r="L847" i="38" s="1"/>
  <c r="K848" i="38"/>
  <c r="L848" i="38" s="1"/>
  <c r="K849" i="38"/>
  <c r="L849" i="38" s="1"/>
  <c r="K850" i="38"/>
  <c r="L850" i="38" s="1"/>
  <c r="K851" i="38"/>
  <c r="L851" i="38" s="1"/>
  <c r="K852" i="38"/>
  <c r="L852" i="38" s="1"/>
  <c r="K853" i="38"/>
  <c r="L853" i="38" s="1"/>
  <c r="K854" i="38"/>
  <c r="L854" i="38" s="1"/>
  <c r="K855" i="38"/>
  <c r="L855" i="38" s="1"/>
  <c r="K856" i="38"/>
  <c r="L856" i="38" s="1"/>
  <c r="K857" i="38"/>
  <c r="L857" i="38" s="1"/>
  <c r="K858" i="38"/>
  <c r="L858" i="38" s="1"/>
  <c r="K859" i="38"/>
  <c r="L859" i="38" s="1"/>
  <c r="K860" i="38"/>
  <c r="L860" i="38" s="1"/>
  <c r="K861" i="38"/>
  <c r="L861" i="38" s="1"/>
  <c r="K862" i="38"/>
  <c r="L862" i="38" s="1"/>
  <c r="K863" i="38"/>
  <c r="L863" i="38" s="1"/>
  <c r="K864" i="38"/>
  <c r="L864" i="38" s="1"/>
  <c r="K865" i="38"/>
  <c r="L865" i="38" s="1"/>
  <c r="K866" i="38"/>
  <c r="L866" i="38" s="1"/>
  <c r="K867" i="38"/>
  <c r="L867" i="38" s="1"/>
  <c r="K868" i="38"/>
  <c r="L868" i="38" s="1"/>
  <c r="K869" i="38"/>
  <c r="L869" i="38" s="1"/>
  <c r="K870" i="38"/>
  <c r="L870" i="38" s="1"/>
  <c r="K871" i="38"/>
  <c r="L871" i="38" s="1"/>
  <c r="K872" i="38"/>
  <c r="L872" i="38" s="1"/>
  <c r="K873" i="38"/>
  <c r="L873" i="38" s="1"/>
  <c r="K874" i="38"/>
  <c r="L874" i="38" s="1"/>
  <c r="K875" i="38"/>
  <c r="L875" i="38" s="1"/>
  <c r="K876" i="38"/>
  <c r="L876" i="38" s="1"/>
  <c r="K877" i="38"/>
  <c r="L877" i="38" s="1"/>
  <c r="K878" i="38"/>
  <c r="L878" i="38" s="1"/>
  <c r="K879" i="38"/>
  <c r="L879" i="38" s="1"/>
  <c r="K880" i="38"/>
  <c r="L880" i="38" s="1"/>
  <c r="K881" i="38"/>
  <c r="L881" i="38" s="1"/>
  <c r="K882" i="38"/>
  <c r="L882" i="38" s="1"/>
  <c r="K883" i="38"/>
  <c r="L883" i="38" s="1"/>
  <c r="K884" i="38"/>
  <c r="L884" i="38" s="1"/>
  <c r="K885" i="38"/>
  <c r="L885" i="38" s="1"/>
  <c r="K886" i="38"/>
  <c r="L886" i="38" s="1"/>
  <c r="K887" i="38"/>
  <c r="L887" i="38" s="1"/>
  <c r="K888" i="38"/>
  <c r="L888" i="38" s="1"/>
  <c r="K889" i="38"/>
  <c r="L889" i="38" s="1"/>
  <c r="K890" i="38"/>
  <c r="L890" i="38" s="1"/>
  <c r="K891" i="38"/>
  <c r="L891" i="38" s="1"/>
  <c r="K892" i="38"/>
  <c r="L892" i="38" s="1"/>
  <c r="K893" i="38"/>
  <c r="L893" i="38" s="1"/>
  <c r="K894" i="38"/>
  <c r="L894" i="38" s="1"/>
  <c r="K895" i="38"/>
  <c r="L895" i="38" s="1"/>
  <c r="K896" i="38"/>
  <c r="L896" i="38" s="1"/>
  <c r="K897" i="38"/>
  <c r="L897" i="38" s="1"/>
  <c r="K898" i="38"/>
  <c r="L898" i="38" s="1"/>
  <c r="K899" i="38"/>
  <c r="L899" i="38" s="1"/>
  <c r="K900" i="38"/>
  <c r="L900" i="38" s="1"/>
  <c r="K901" i="38"/>
  <c r="L901" i="38" s="1"/>
  <c r="K902" i="38"/>
  <c r="L902" i="38" s="1"/>
  <c r="K903" i="38"/>
  <c r="L903" i="38" s="1"/>
  <c r="K904" i="38"/>
  <c r="L904" i="38" s="1"/>
  <c r="K905" i="38"/>
  <c r="L905" i="38" s="1"/>
  <c r="K906" i="38"/>
  <c r="L906" i="38" s="1"/>
  <c r="K907" i="38"/>
  <c r="L907" i="38" s="1"/>
  <c r="K908" i="38"/>
  <c r="L908" i="38" s="1"/>
  <c r="K909" i="38"/>
  <c r="L909" i="38" s="1"/>
  <c r="K910" i="38"/>
  <c r="L910" i="38" s="1"/>
  <c r="K911" i="38"/>
  <c r="L911" i="38" s="1"/>
  <c r="K912" i="38"/>
  <c r="L912" i="38" s="1"/>
  <c r="K913" i="38"/>
  <c r="L913" i="38" s="1"/>
  <c r="K914" i="38"/>
  <c r="L914" i="38" s="1"/>
  <c r="K915" i="38"/>
  <c r="L915" i="38" s="1"/>
  <c r="K916" i="38"/>
  <c r="L916" i="38" s="1"/>
  <c r="K917" i="38"/>
  <c r="L917" i="38" s="1"/>
  <c r="K918" i="38"/>
  <c r="L918" i="38" s="1"/>
  <c r="K919" i="38"/>
  <c r="L919" i="38" s="1"/>
  <c r="K920" i="38"/>
  <c r="L920" i="38" s="1"/>
  <c r="K921" i="38"/>
  <c r="L921" i="38" s="1"/>
  <c r="K922" i="38"/>
  <c r="L922" i="38" s="1"/>
  <c r="K923" i="38"/>
  <c r="L923" i="38" s="1"/>
  <c r="K924" i="38"/>
  <c r="L924" i="38" s="1"/>
  <c r="K925" i="38"/>
  <c r="L925" i="38" s="1"/>
  <c r="K926" i="38"/>
  <c r="L926" i="38" s="1"/>
  <c r="K927" i="38"/>
  <c r="L927" i="38" s="1"/>
  <c r="K928" i="38"/>
  <c r="L928" i="38" s="1"/>
  <c r="K929" i="38"/>
  <c r="L929" i="38" s="1"/>
  <c r="K930" i="38"/>
  <c r="L930" i="38" s="1"/>
  <c r="K931" i="38"/>
  <c r="L931" i="38" s="1"/>
  <c r="K932" i="38"/>
  <c r="L932" i="38" s="1"/>
  <c r="K933" i="38"/>
  <c r="L933" i="38" s="1"/>
  <c r="K934" i="38"/>
  <c r="L934" i="38" s="1"/>
  <c r="K935" i="38"/>
  <c r="L935" i="38" s="1"/>
  <c r="K936" i="38"/>
  <c r="L936" i="38" s="1"/>
  <c r="K937" i="38"/>
  <c r="L937" i="38" s="1"/>
  <c r="K938" i="38"/>
  <c r="L938" i="38" s="1"/>
  <c r="K939" i="38"/>
  <c r="L939" i="38" s="1"/>
  <c r="K940" i="38"/>
  <c r="L940" i="38" s="1"/>
  <c r="K941" i="38"/>
  <c r="L941" i="38" s="1"/>
  <c r="K942" i="38"/>
  <c r="L942" i="38" s="1"/>
  <c r="K943" i="38"/>
  <c r="L943" i="38" s="1"/>
  <c r="K944" i="38"/>
  <c r="L944" i="38" s="1"/>
  <c r="K945" i="38"/>
  <c r="L945" i="38" s="1"/>
  <c r="K946" i="38"/>
  <c r="L946" i="38" s="1"/>
  <c r="K947" i="38"/>
  <c r="L947" i="38" s="1"/>
  <c r="K948" i="38"/>
  <c r="L948" i="38" s="1"/>
  <c r="K949" i="38"/>
  <c r="L949" i="38" s="1"/>
  <c r="K950" i="38"/>
  <c r="L950" i="38" s="1"/>
  <c r="K951" i="38"/>
  <c r="L951" i="38" s="1"/>
  <c r="K952" i="38"/>
  <c r="L952" i="38" s="1"/>
  <c r="K953" i="38"/>
  <c r="L953" i="38" s="1"/>
  <c r="K954" i="38"/>
  <c r="L954" i="38" s="1"/>
  <c r="K955" i="38"/>
  <c r="L955" i="38" s="1"/>
  <c r="K956" i="38"/>
  <c r="L956" i="38" s="1"/>
  <c r="K957" i="38"/>
  <c r="L957" i="38" s="1"/>
  <c r="K958" i="38"/>
  <c r="L958" i="38" s="1"/>
  <c r="K959" i="38"/>
  <c r="L959" i="38" s="1"/>
  <c r="K960" i="38"/>
  <c r="L960" i="38" s="1"/>
  <c r="K961" i="38"/>
  <c r="L961" i="38" s="1"/>
  <c r="K962" i="38"/>
  <c r="L962" i="38" s="1"/>
  <c r="K963" i="38"/>
  <c r="L963" i="38" s="1"/>
  <c r="K964" i="38"/>
  <c r="L964" i="38" s="1"/>
  <c r="K965" i="38"/>
  <c r="L965" i="38" s="1"/>
  <c r="K966" i="38"/>
  <c r="L966" i="38" s="1"/>
  <c r="K967" i="38"/>
  <c r="L967" i="38" s="1"/>
  <c r="K968" i="38"/>
  <c r="L968" i="38" s="1"/>
  <c r="K969" i="38"/>
  <c r="L969" i="38" s="1"/>
  <c r="K970" i="38"/>
  <c r="L970" i="38" s="1"/>
  <c r="K971" i="38"/>
  <c r="L971" i="38" s="1"/>
  <c r="K972" i="38"/>
  <c r="L972" i="38" s="1"/>
  <c r="K973" i="38"/>
  <c r="L973" i="38" s="1"/>
  <c r="K974" i="38"/>
  <c r="L974" i="38" s="1"/>
  <c r="K975" i="38"/>
  <c r="L975" i="38" s="1"/>
  <c r="K976" i="38"/>
  <c r="L976" i="38" s="1"/>
  <c r="K977" i="38"/>
  <c r="L977" i="38" s="1"/>
  <c r="K978" i="38"/>
  <c r="L978" i="38" s="1"/>
  <c r="K979" i="38"/>
  <c r="L979" i="38" s="1"/>
  <c r="K980" i="38"/>
  <c r="L980" i="38" s="1"/>
  <c r="K981" i="38"/>
  <c r="L981" i="38" s="1"/>
  <c r="K982" i="38"/>
  <c r="L982" i="38" s="1"/>
  <c r="K983" i="38"/>
  <c r="L983" i="38" s="1"/>
  <c r="K984" i="38"/>
  <c r="L984" i="38" s="1"/>
  <c r="K985" i="38"/>
  <c r="L985" i="38" s="1"/>
  <c r="K986" i="38"/>
  <c r="L986" i="38" s="1"/>
  <c r="K987" i="38"/>
  <c r="L987" i="38" s="1"/>
  <c r="K988" i="38"/>
  <c r="L988" i="38" s="1"/>
  <c r="K989" i="38"/>
  <c r="L989" i="38" s="1"/>
  <c r="K990" i="38"/>
  <c r="L990" i="38" s="1"/>
  <c r="K991" i="38"/>
  <c r="L991" i="38" s="1"/>
  <c r="K992" i="38"/>
  <c r="L992" i="38" s="1"/>
  <c r="K993" i="38"/>
  <c r="L993" i="38" s="1"/>
  <c r="K994" i="38"/>
  <c r="L994" i="38" s="1"/>
  <c r="K995" i="38"/>
  <c r="L995" i="38" s="1"/>
  <c r="K996" i="38"/>
  <c r="L996" i="38" s="1"/>
  <c r="K997" i="38"/>
  <c r="L997" i="38" s="1"/>
  <c r="K998" i="38"/>
  <c r="L998" i="38" s="1"/>
  <c r="K999" i="38"/>
  <c r="L999" i="38" s="1"/>
  <c r="K1000" i="38"/>
  <c r="L1000" i="38" s="1"/>
  <c r="K1001" i="38"/>
  <c r="L1001" i="38" s="1"/>
  <c r="K1002" i="38"/>
  <c r="L1002" i="38" s="1"/>
  <c r="K1003" i="38"/>
  <c r="L1003" i="38" s="1"/>
  <c r="K1004" i="38"/>
  <c r="L1004" i="38" s="1"/>
  <c r="K1005" i="38"/>
  <c r="L1005" i="38" s="1"/>
  <c r="K1006" i="38"/>
  <c r="L1006" i="38" s="1"/>
  <c r="K1007" i="38"/>
  <c r="L1007" i="38" s="1"/>
  <c r="K1008" i="38"/>
  <c r="L1008" i="38" s="1"/>
  <c r="K1009" i="38"/>
  <c r="L1009" i="38" s="1"/>
  <c r="K1010" i="38"/>
  <c r="L1010" i="38" s="1"/>
  <c r="K1011" i="38"/>
  <c r="L1011" i="38" s="1"/>
  <c r="K1012" i="38"/>
  <c r="L1012" i="38" s="1"/>
  <c r="K1013" i="38"/>
  <c r="L1013" i="38" s="1"/>
  <c r="K1014" i="38"/>
  <c r="L1014" i="38" s="1"/>
  <c r="K1015" i="38"/>
  <c r="L1015" i="38" s="1"/>
  <c r="K1016" i="38"/>
  <c r="L1016" i="38" s="1"/>
  <c r="K1017" i="38"/>
  <c r="L1017" i="38" s="1"/>
  <c r="K1018" i="38"/>
  <c r="L1018" i="38" s="1"/>
  <c r="K1019" i="38"/>
  <c r="L1019" i="38" s="1"/>
  <c r="K1020" i="38"/>
  <c r="L1020" i="38" s="1"/>
  <c r="K1021" i="38"/>
  <c r="L1021" i="38" s="1"/>
  <c r="K1022" i="38"/>
  <c r="L1022" i="38" s="1"/>
  <c r="K1023" i="38"/>
  <c r="L1023" i="38" s="1"/>
  <c r="K1024" i="38"/>
  <c r="L1024" i="38" s="1"/>
  <c r="K1025" i="38"/>
  <c r="L1025" i="38" s="1"/>
  <c r="K1026" i="38"/>
  <c r="L1026" i="38" s="1"/>
  <c r="K1027" i="38"/>
  <c r="L1027" i="38" s="1"/>
  <c r="K1028" i="38"/>
  <c r="L1028" i="38" s="1"/>
  <c r="K1029" i="38"/>
  <c r="L1029" i="38" s="1"/>
  <c r="K1030" i="38"/>
  <c r="L1030" i="38" s="1"/>
  <c r="K1031" i="38"/>
  <c r="L1031" i="38" s="1"/>
  <c r="K1032" i="38"/>
  <c r="L1032" i="38" s="1"/>
  <c r="K1033" i="38"/>
  <c r="L1033" i="38" s="1"/>
  <c r="K1034" i="38"/>
  <c r="L1034" i="38" s="1"/>
  <c r="K1035" i="38"/>
  <c r="L1035" i="38" s="1"/>
  <c r="K1036" i="38"/>
  <c r="L1036" i="38" s="1"/>
  <c r="K1037" i="38"/>
  <c r="L1037" i="38" s="1"/>
  <c r="K1038" i="38"/>
  <c r="L1038" i="38" s="1"/>
  <c r="K1039" i="38"/>
  <c r="L1039" i="38" s="1"/>
  <c r="K1040" i="38"/>
  <c r="L1040" i="38" s="1"/>
  <c r="K1041" i="38"/>
  <c r="L1041" i="38" s="1"/>
  <c r="K1042" i="38"/>
  <c r="L1042" i="38" s="1"/>
  <c r="K1043" i="38"/>
  <c r="L1043" i="38" s="1"/>
  <c r="K1044" i="38"/>
  <c r="L1044" i="38" s="1"/>
  <c r="K1045" i="38"/>
  <c r="L1045" i="38" s="1"/>
  <c r="K1046" i="38"/>
  <c r="L1046" i="38" s="1"/>
  <c r="K1047" i="38"/>
  <c r="L1047" i="38" s="1"/>
  <c r="K1048" i="38"/>
  <c r="L1048" i="38" s="1"/>
  <c r="K1049" i="38"/>
  <c r="L1049" i="38" s="1"/>
  <c r="K1050" i="38"/>
  <c r="L1050" i="38" s="1"/>
  <c r="K1051" i="38"/>
  <c r="L1051" i="38" s="1"/>
  <c r="K1052" i="38"/>
  <c r="L1052" i="38" s="1"/>
  <c r="K1053" i="38"/>
  <c r="L1053" i="38" s="1"/>
  <c r="K1054" i="38"/>
  <c r="L1054" i="38" s="1"/>
  <c r="K1055" i="38"/>
  <c r="L1055" i="38" s="1"/>
  <c r="K1056" i="38"/>
  <c r="L1056" i="38" s="1"/>
  <c r="K1057" i="38"/>
  <c r="L1057" i="38" s="1"/>
  <c r="K1058" i="38"/>
  <c r="L1058" i="38" s="1"/>
  <c r="K1059" i="38"/>
  <c r="L1059" i="38" s="1"/>
  <c r="K1060" i="38"/>
  <c r="L1060" i="38" s="1"/>
  <c r="K1061" i="38"/>
  <c r="L1061" i="38" s="1"/>
  <c r="K1062" i="38"/>
  <c r="L1062" i="38" s="1"/>
  <c r="K1063" i="38"/>
  <c r="L1063" i="38" s="1"/>
  <c r="K1064" i="38"/>
  <c r="L1064" i="38" s="1"/>
  <c r="K1065" i="38"/>
  <c r="L1065" i="38" s="1"/>
  <c r="K1066" i="38"/>
  <c r="L1066" i="38" s="1"/>
  <c r="K1067" i="38"/>
  <c r="L1067" i="38" s="1"/>
  <c r="K1068" i="38"/>
  <c r="L1068" i="38" s="1"/>
  <c r="K1069" i="38"/>
  <c r="L1069" i="38" s="1"/>
  <c r="K1070" i="38"/>
  <c r="L1070" i="38" s="1"/>
  <c r="K1071" i="38"/>
  <c r="L1071" i="38" s="1"/>
  <c r="K1072" i="38"/>
  <c r="L1072" i="38" s="1"/>
  <c r="K1073" i="38"/>
  <c r="L1073" i="38" s="1"/>
  <c r="K1074" i="38"/>
  <c r="L1074" i="38" s="1"/>
  <c r="K1075" i="38"/>
  <c r="L1075" i="38" s="1"/>
  <c r="K1076" i="38"/>
  <c r="L1076" i="38" s="1"/>
  <c r="K1077" i="38"/>
  <c r="L1077" i="38" s="1"/>
  <c r="K1078" i="38"/>
  <c r="L1078" i="38" s="1"/>
  <c r="K1079" i="38"/>
  <c r="L1079" i="38" s="1"/>
  <c r="K1080" i="38"/>
  <c r="L1080" i="38" s="1"/>
  <c r="K1081" i="38"/>
  <c r="L1081" i="38" s="1"/>
  <c r="K1082" i="38"/>
  <c r="L1082" i="38" s="1"/>
  <c r="K1083" i="38"/>
  <c r="L1083" i="38" s="1"/>
  <c r="K1084" i="38"/>
  <c r="L1084" i="38" s="1"/>
  <c r="K1085" i="38"/>
  <c r="L1085" i="38" s="1"/>
  <c r="K1086" i="38"/>
  <c r="L1086" i="38" s="1"/>
  <c r="K1087" i="38"/>
  <c r="L1087" i="38" s="1"/>
  <c r="K1088" i="38"/>
  <c r="L1088" i="38" s="1"/>
  <c r="K1089" i="38"/>
  <c r="L1089" i="38" s="1"/>
  <c r="K1090" i="38"/>
  <c r="L1090" i="38" s="1"/>
  <c r="K1091" i="38"/>
  <c r="L1091" i="38" s="1"/>
  <c r="K1092" i="38"/>
  <c r="L1092" i="38" s="1"/>
  <c r="K1093" i="38"/>
  <c r="L1093" i="38" s="1"/>
  <c r="K1094" i="38"/>
  <c r="L1094" i="38" s="1"/>
  <c r="K1095" i="38"/>
  <c r="L1095" i="38" s="1"/>
  <c r="K1096" i="38"/>
  <c r="L1096" i="38" s="1"/>
  <c r="K1097" i="38"/>
  <c r="L1097" i="38" s="1"/>
  <c r="K1098" i="38"/>
  <c r="L1098" i="38" s="1"/>
  <c r="K1099" i="38"/>
  <c r="L1099" i="38" s="1"/>
  <c r="K1100" i="38"/>
  <c r="L1100" i="38" s="1"/>
  <c r="K1101" i="38"/>
  <c r="L1101" i="38" s="1"/>
  <c r="K1102" i="38"/>
  <c r="L1102" i="38" s="1"/>
  <c r="K1103" i="38"/>
  <c r="L1103" i="38" s="1"/>
  <c r="K1104" i="38"/>
  <c r="L1104" i="38" s="1"/>
  <c r="K1105" i="38"/>
  <c r="L1105" i="38" s="1"/>
  <c r="K1106" i="38"/>
  <c r="L1106" i="38" s="1"/>
  <c r="K1107" i="38"/>
  <c r="L1107" i="38" s="1"/>
  <c r="K1108" i="38"/>
  <c r="L1108" i="38" s="1"/>
  <c r="K1109" i="38"/>
  <c r="L1109" i="38" s="1"/>
  <c r="K1110" i="38"/>
  <c r="L1110" i="38" s="1"/>
  <c r="K1111" i="38"/>
  <c r="L1111" i="38" s="1"/>
  <c r="K1112" i="38"/>
  <c r="L1112" i="38" s="1"/>
  <c r="K1113" i="38"/>
  <c r="L1113" i="38" s="1"/>
  <c r="K1114" i="38"/>
  <c r="L1114" i="38" s="1"/>
  <c r="K1115" i="38"/>
  <c r="L1115" i="38" s="1"/>
  <c r="K1116" i="38"/>
  <c r="L1116" i="38" s="1"/>
  <c r="K1117" i="38"/>
  <c r="L1117" i="38" s="1"/>
  <c r="K1118" i="38"/>
  <c r="L1118" i="38" s="1"/>
  <c r="K1119" i="38"/>
  <c r="L1119" i="38" s="1"/>
  <c r="K1120" i="38"/>
  <c r="L1120" i="38" s="1"/>
  <c r="K1121" i="38"/>
  <c r="L1121" i="38" s="1"/>
  <c r="K1122" i="38"/>
  <c r="L1122" i="38" s="1"/>
  <c r="K1123" i="38"/>
  <c r="L1123" i="38" s="1"/>
  <c r="K1124" i="38"/>
  <c r="L1124" i="38" s="1"/>
  <c r="K1125" i="38"/>
  <c r="L1125" i="38" s="1"/>
  <c r="K1126" i="38"/>
  <c r="L1126" i="38" s="1"/>
  <c r="K1127" i="38"/>
  <c r="L1127" i="38" s="1"/>
  <c r="K1128" i="38"/>
  <c r="L1128" i="38" s="1"/>
  <c r="K1129" i="38"/>
  <c r="L1129" i="38" s="1"/>
  <c r="K1130" i="38"/>
  <c r="L1130" i="38" s="1"/>
  <c r="K1131" i="38"/>
  <c r="L1131" i="38" s="1"/>
  <c r="K1132" i="38"/>
  <c r="L1132" i="38" s="1"/>
  <c r="K1133" i="38"/>
  <c r="L1133" i="38" s="1"/>
  <c r="K1134" i="38"/>
  <c r="L1134" i="38" s="1"/>
  <c r="K1135" i="38"/>
  <c r="L1135" i="38" s="1"/>
  <c r="K1136" i="38"/>
  <c r="L1136" i="38" s="1"/>
  <c r="K1137" i="38"/>
  <c r="L1137" i="38" s="1"/>
  <c r="K1138" i="38"/>
  <c r="L1138" i="38" s="1"/>
  <c r="K1139" i="38"/>
  <c r="L1139" i="38" s="1"/>
  <c r="K1140" i="38"/>
  <c r="L1140" i="38" s="1"/>
  <c r="K1141" i="38"/>
  <c r="L1141" i="38" s="1"/>
  <c r="K1142" i="38"/>
  <c r="L1142" i="38" s="1"/>
  <c r="K1143" i="38"/>
  <c r="L1143" i="38" s="1"/>
  <c r="K1144" i="38"/>
  <c r="L1144" i="38" s="1"/>
  <c r="K1145" i="38"/>
  <c r="L1145" i="38" s="1"/>
  <c r="K1146" i="38"/>
  <c r="L1146" i="38" s="1"/>
  <c r="K1147" i="38"/>
  <c r="L1147" i="38" s="1"/>
  <c r="K1148" i="38"/>
  <c r="L1148" i="38" s="1"/>
  <c r="K1149" i="38"/>
  <c r="L1149" i="38" s="1"/>
  <c r="K1150" i="38"/>
  <c r="L1150" i="38" s="1"/>
  <c r="K1151" i="38"/>
  <c r="L1151" i="38" s="1"/>
  <c r="K1152" i="38"/>
  <c r="L1152" i="38" s="1"/>
  <c r="K1153" i="38"/>
  <c r="L1153" i="38" s="1"/>
  <c r="K1154" i="38"/>
  <c r="L1154" i="38" s="1"/>
  <c r="K1155" i="38"/>
  <c r="L1155" i="38" s="1"/>
  <c r="K1156" i="38"/>
  <c r="L1156" i="38" s="1"/>
  <c r="K1157" i="38"/>
  <c r="L1157" i="38" s="1"/>
  <c r="K1158" i="38"/>
  <c r="L1158" i="38" s="1"/>
  <c r="K1159" i="38"/>
  <c r="L1159" i="38" s="1"/>
  <c r="K1160" i="38"/>
  <c r="L1160" i="38" s="1"/>
  <c r="K1161" i="38"/>
  <c r="L1161" i="38" s="1"/>
  <c r="K1162" i="38"/>
  <c r="L1162" i="38" s="1"/>
  <c r="K1163" i="38"/>
  <c r="L1163" i="38" s="1"/>
  <c r="K1164" i="38"/>
  <c r="L1164" i="38" s="1"/>
  <c r="K1165" i="38"/>
  <c r="L1165" i="38" s="1"/>
  <c r="K1166" i="38"/>
  <c r="L1166" i="38" s="1"/>
  <c r="K1167" i="38"/>
  <c r="L1167" i="38" s="1"/>
  <c r="K1168" i="38"/>
  <c r="L1168" i="38" s="1"/>
  <c r="K1169" i="38"/>
  <c r="L1169" i="38" s="1"/>
  <c r="K1170" i="38"/>
  <c r="L1170" i="38" s="1"/>
  <c r="K1171" i="38"/>
  <c r="L1171" i="38" s="1"/>
  <c r="K1172" i="38"/>
  <c r="L1172" i="38" s="1"/>
  <c r="K1173" i="38"/>
  <c r="L1173" i="38" s="1"/>
  <c r="K1174" i="38"/>
  <c r="L1174" i="38" s="1"/>
  <c r="K1175" i="38"/>
  <c r="L1175" i="38" s="1"/>
  <c r="K1176" i="38"/>
  <c r="L1176" i="38" s="1"/>
  <c r="K1177" i="38"/>
  <c r="L1177" i="38" s="1"/>
  <c r="K1178" i="38"/>
  <c r="L1178" i="38" s="1"/>
  <c r="K1179" i="38"/>
  <c r="L1179" i="38" s="1"/>
  <c r="K1180" i="38"/>
  <c r="L1180" i="38" s="1"/>
  <c r="K1181" i="38"/>
  <c r="L1181" i="38" s="1"/>
  <c r="K1182" i="38"/>
  <c r="L1182" i="38" s="1"/>
  <c r="K1183" i="38"/>
  <c r="L1183" i="38" s="1"/>
  <c r="K1184" i="38"/>
  <c r="L1184" i="38" s="1"/>
  <c r="K1185" i="38"/>
  <c r="L1185" i="38" s="1"/>
  <c r="K1186" i="38"/>
  <c r="L1186" i="38" s="1"/>
  <c r="K1187" i="38"/>
  <c r="L1187" i="38" s="1"/>
  <c r="K1188" i="38"/>
  <c r="L1188" i="38" s="1"/>
  <c r="K1189" i="38"/>
  <c r="L1189" i="38" s="1"/>
  <c r="K1190" i="38"/>
  <c r="L1190" i="38" s="1"/>
  <c r="K1191" i="38"/>
  <c r="L1191" i="38" s="1"/>
  <c r="K1192" i="38"/>
  <c r="L1192" i="38" s="1"/>
  <c r="K1193" i="38"/>
  <c r="L1193" i="38" s="1"/>
  <c r="K1194" i="38"/>
  <c r="L1194" i="38" s="1"/>
  <c r="K1195" i="38"/>
  <c r="L1195" i="38" s="1"/>
  <c r="K1196" i="38"/>
  <c r="L1196" i="38" s="1"/>
  <c r="K1197" i="38"/>
  <c r="L1197" i="38" s="1"/>
  <c r="K1198" i="38"/>
  <c r="L1198" i="38" s="1"/>
  <c r="K1199" i="38"/>
  <c r="L1199" i="38" s="1"/>
  <c r="K1200" i="38"/>
  <c r="L1200" i="38" s="1"/>
  <c r="K1201" i="38"/>
  <c r="L1201" i="38" s="1"/>
  <c r="K1202" i="38"/>
  <c r="L1202" i="38" s="1"/>
  <c r="K1203" i="38"/>
  <c r="L1203" i="38" s="1"/>
  <c r="K1204" i="38"/>
  <c r="L1204" i="38" s="1"/>
  <c r="K1205" i="38"/>
  <c r="L1205" i="38" s="1"/>
  <c r="K1206" i="38"/>
  <c r="L1206" i="38" s="1"/>
  <c r="K1207" i="38"/>
  <c r="L1207" i="38" s="1"/>
  <c r="K1208" i="38"/>
  <c r="L1208" i="38" s="1"/>
  <c r="K1209" i="38"/>
  <c r="L1209" i="38" s="1"/>
  <c r="K1210" i="38"/>
  <c r="L1210" i="38" s="1"/>
  <c r="K1211" i="38"/>
  <c r="L1211" i="38" s="1"/>
  <c r="K1212" i="38"/>
  <c r="L1212" i="38" s="1"/>
  <c r="K1213" i="38"/>
  <c r="L1213" i="38" s="1"/>
  <c r="K1214" i="38"/>
  <c r="L1214" i="38" s="1"/>
  <c r="K1215" i="38"/>
  <c r="L1215" i="38" s="1"/>
  <c r="K1216" i="38"/>
  <c r="L1216" i="38" s="1"/>
  <c r="K1217" i="38"/>
  <c r="L1217" i="38" s="1"/>
  <c r="K1218" i="38"/>
  <c r="L1218" i="38" s="1"/>
  <c r="K1219" i="38"/>
  <c r="L1219" i="38" s="1"/>
  <c r="K1220" i="38"/>
  <c r="L1220" i="38" s="1"/>
  <c r="K1221" i="38"/>
  <c r="L1221" i="38" s="1"/>
  <c r="K1222" i="38"/>
  <c r="L1222" i="38" s="1"/>
  <c r="K1223" i="38"/>
  <c r="L1223" i="38" s="1"/>
  <c r="K1224" i="38"/>
  <c r="L1224" i="38" s="1"/>
  <c r="K1225" i="38"/>
  <c r="L1225" i="38" s="1"/>
  <c r="K1226" i="38"/>
  <c r="L1226" i="38" s="1"/>
  <c r="K1227" i="38"/>
  <c r="L1227" i="38" s="1"/>
  <c r="K1228" i="38"/>
  <c r="L1228" i="38" s="1"/>
  <c r="K1229" i="38"/>
  <c r="L1229" i="38" s="1"/>
  <c r="K1230" i="38"/>
  <c r="L1230" i="38" s="1"/>
  <c r="K1231" i="38"/>
  <c r="L1231" i="38" s="1"/>
  <c r="K1232" i="38"/>
  <c r="L1232" i="38" s="1"/>
  <c r="K1233" i="38"/>
  <c r="L1233" i="38" s="1"/>
  <c r="K1234" i="38"/>
  <c r="L1234" i="38" s="1"/>
  <c r="K1235" i="38"/>
  <c r="L1235" i="38" s="1"/>
  <c r="K1236" i="38"/>
  <c r="L1236" i="38" s="1"/>
  <c r="K1237" i="38"/>
  <c r="L1237" i="38" s="1"/>
  <c r="K1238" i="38"/>
  <c r="L1238" i="38" s="1"/>
  <c r="K1239" i="38"/>
  <c r="L1239" i="38" s="1"/>
  <c r="K1240" i="38"/>
  <c r="L1240" i="38" s="1"/>
  <c r="K1241" i="38"/>
  <c r="L1241" i="38" s="1"/>
  <c r="K1242" i="38"/>
  <c r="L1242" i="38" s="1"/>
  <c r="K1243" i="38"/>
  <c r="L1243" i="38" s="1"/>
  <c r="K1244" i="38"/>
  <c r="L1244" i="38" s="1"/>
  <c r="K1245" i="38"/>
  <c r="L1245" i="38" s="1"/>
  <c r="K1246" i="38"/>
  <c r="L1246" i="38" s="1"/>
  <c r="K1247" i="38"/>
  <c r="L1247" i="38" s="1"/>
  <c r="K1248" i="38"/>
  <c r="L1248" i="38" s="1"/>
  <c r="K1249" i="38"/>
  <c r="L1249" i="38" s="1"/>
  <c r="K1250" i="38"/>
  <c r="L1250" i="38" s="1"/>
  <c r="K1251" i="38"/>
  <c r="L1251" i="38" s="1"/>
  <c r="K1252" i="38"/>
  <c r="L1252" i="38" s="1"/>
  <c r="K1253" i="38"/>
  <c r="L1253" i="38" s="1"/>
  <c r="K1254" i="38"/>
  <c r="L1254" i="38" s="1"/>
  <c r="K1255" i="38"/>
  <c r="L1255" i="38" s="1"/>
  <c r="K1256" i="38"/>
  <c r="L1256" i="38" s="1"/>
  <c r="K1257" i="38"/>
  <c r="L1257" i="38" s="1"/>
  <c r="K1258" i="38"/>
  <c r="L1258" i="38" s="1"/>
  <c r="K1259" i="38"/>
  <c r="L1259" i="38" s="1"/>
  <c r="K1260" i="38"/>
  <c r="L1260" i="38" s="1"/>
  <c r="K1261" i="38"/>
  <c r="L1261" i="38" s="1"/>
  <c r="K1262" i="38"/>
  <c r="L1262" i="38" s="1"/>
  <c r="K1263" i="38"/>
  <c r="L1263" i="38" s="1"/>
  <c r="K1264" i="38"/>
  <c r="L1264" i="38" s="1"/>
  <c r="K1265" i="38"/>
  <c r="L1265" i="38" s="1"/>
  <c r="K1266" i="38"/>
  <c r="L1266" i="38" s="1"/>
  <c r="K1267" i="38"/>
  <c r="L1267" i="38" s="1"/>
  <c r="K1268" i="38"/>
  <c r="L1268" i="38" s="1"/>
  <c r="K1269" i="38"/>
  <c r="L1269" i="38" s="1"/>
  <c r="K1270" i="38"/>
  <c r="L1270" i="38" s="1"/>
  <c r="K1271" i="38"/>
  <c r="L1271" i="38" s="1"/>
  <c r="K1272" i="38"/>
  <c r="L1272" i="38" s="1"/>
  <c r="K1273" i="38"/>
  <c r="L1273" i="38" s="1"/>
  <c r="K1274" i="38"/>
  <c r="L1274" i="38" s="1"/>
  <c r="K1275" i="38"/>
  <c r="L1275" i="38" s="1"/>
  <c r="K1276" i="38"/>
  <c r="L1276" i="38" s="1"/>
  <c r="K1277" i="38"/>
  <c r="L1277" i="38" s="1"/>
  <c r="K1278" i="38"/>
  <c r="L1278" i="38" s="1"/>
  <c r="K1279" i="38"/>
  <c r="L1279" i="38" s="1"/>
  <c r="K1280" i="38"/>
  <c r="L1280" i="38" s="1"/>
  <c r="K1281" i="38"/>
  <c r="L1281" i="38" s="1"/>
  <c r="K1282" i="38"/>
  <c r="L1282" i="38" s="1"/>
  <c r="K1283" i="38"/>
  <c r="L1283" i="38" s="1"/>
  <c r="K1284" i="38"/>
  <c r="L1284" i="38" s="1"/>
  <c r="K1285" i="38"/>
  <c r="L1285" i="38" s="1"/>
  <c r="K1286" i="38"/>
  <c r="L1286" i="38" s="1"/>
  <c r="K1287" i="38"/>
  <c r="L1287" i="38" s="1"/>
  <c r="K1288" i="38"/>
  <c r="L1288" i="38" s="1"/>
  <c r="K1289" i="38"/>
  <c r="L1289" i="38" s="1"/>
  <c r="K1290" i="38"/>
  <c r="L1290" i="38" s="1"/>
  <c r="K1291" i="38"/>
  <c r="L1291" i="38" s="1"/>
  <c r="K1292" i="38"/>
  <c r="L1292" i="38" s="1"/>
  <c r="K1293" i="38"/>
  <c r="L1293" i="38" s="1"/>
  <c r="K1294" i="38"/>
  <c r="L1294" i="38" s="1"/>
  <c r="K1295" i="38"/>
  <c r="L1295" i="38" s="1"/>
  <c r="K1296" i="38"/>
  <c r="L1296" i="38" s="1"/>
  <c r="K1297" i="38"/>
  <c r="L1297" i="38" s="1"/>
  <c r="K1298" i="38"/>
  <c r="L1298" i="38" s="1"/>
  <c r="K1299" i="38"/>
  <c r="L1299" i="38" s="1"/>
  <c r="K1300" i="38"/>
  <c r="L1300" i="38" s="1"/>
  <c r="K1301" i="38"/>
  <c r="L1301" i="38" s="1"/>
  <c r="K1302" i="38"/>
  <c r="L1302" i="38" s="1"/>
  <c r="K1303" i="38"/>
  <c r="L1303" i="38" s="1"/>
  <c r="K1304" i="38"/>
  <c r="L1304" i="38" s="1"/>
  <c r="K1305" i="38"/>
  <c r="L1305" i="38" s="1"/>
  <c r="K1306" i="38"/>
  <c r="L1306" i="38" s="1"/>
  <c r="K1307" i="38"/>
  <c r="L1307" i="38" s="1"/>
  <c r="K1308" i="38"/>
  <c r="L1308" i="38" s="1"/>
  <c r="K1309" i="38"/>
  <c r="L1309" i="38" s="1"/>
  <c r="K1310" i="38"/>
  <c r="L1310" i="38" s="1"/>
  <c r="K1311" i="38"/>
  <c r="L1311" i="38" s="1"/>
  <c r="K1312" i="38"/>
  <c r="L1312" i="38" s="1"/>
  <c r="K1313" i="38"/>
  <c r="L1313" i="38" s="1"/>
  <c r="K1314" i="38"/>
  <c r="L1314" i="38" s="1"/>
  <c r="K1315" i="38"/>
  <c r="L1315" i="38" s="1"/>
  <c r="K1316" i="38"/>
  <c r="L1316" i="38" s="1"/>
  <c r="K1317" i="38"/>
  <c r="L1317" i="38" s="1"/>
  <c r="K1318" i="38"/>
  <c r="L1318" i="38" s="1"/>
  <c r="K1319" i="38"/>
  <c r="L1319" i="38" s="1"/>
  <c r="K1320" i="38"/>
  <c r="L1320" i="38" s="1"/>
  <c r="K1321" i="38"/>
  <c r="L1321" i="38" s="1"/>
  <c r="K1322" i="38"/>
  <c r="L1322" i="38" s="1"/>
  <c r="K1323" i="38"/>
  <c r="L1323" i="38" s="1"/>
  <c r="K1324" i="38"/>
  <c r="L1324" i="38" s="1"/>
  <c r="K1325" i="38"/>
  <c r="L1325" i="38" s="1"/>
  <c r="K1326" i="38"/>
  <c r="L1326" i="38" s="1"/>
  <c r="K1327" i="38"/>
  <c r="L1327" i="38" s="1"/>
  <c r="K1328" i="38"/>
  <c r="L1328" i="38" s="1"/>
  <c r="K1329" i="38"/>
  <c r="L1329" i="38" s="1"/>
  <c r="K1330" i="38"/>
  <c r="L1330" i="38" s="1"/>
  <c r="K1331" i="38"/>
  <c r="L1331" i="38" s="1"/>
  <c r="K1332" i="38"/>
  <c r="L1332" i="38" s="1"/>
  <c r="K1333" i="38"/>
  <c r="L1333" i="38" s="1"/>
  <c r="K1334" i="38"/>
  <c r="L1334" i="38" s="1"/>
  <c r="K1335" i="38"/>
  <c r="L1335" i="38" s="1"/>
  <c r="K1336" i="38"/>
  <c r="L1336" i="38" s="1"/>
  <c r="K1337" i="38"/>
  <c r="L1337" i="38" s="1"/>
  <c r="K1338" i="38"/>
  <c r="L1338" i="38" s="1"/>
  <c r="K1339" i="38"/>
  <c r="L1339" i="38" s="1"/>
  <c r="K1340" i="38"/>
  <c r="L1340" i="38" s="1"/>
  <c r="K1341" i="38"/>
  <c r="L1341" i="38" s="1"/>
  <c r="K1342" i="38"/>
  <c r="L1342" i="38" s="1"/>
  <c r="K1343" i="38"/>
  <c r="L1343" i="38" s="1"/>
  <c r="K1344" i="38"/>
  <c r="L1344" i="38" s="1"/>
  <c r="K1345" i="38"/>
  <c r="L1345" i="38" s="1"/>
  <c r="K1346" i="38"/>
  <c r="L1346" i="38" s="1"/>
  <c r="K1347" i="38"/>
  <c r="L1347" i="38" s="1"/>
  <c r="K1348" i="38"/>
  <c r="L1348" i="38" s="1"/>
  <c r="K1349" i="38"/>
  <c r="L1349" i="38" s="1"/>
  <c r="K1350" i="38"/>
  <c r="L1350" i="38" s="1"/>
  <c r="K1351" i="38"/>
  <c r="L1351" i="38" s="1"/>
  <c r="K1352" i="38"/>
  <c r="L1352" i="38" s="1"/>
  <c r="K1353" i="38"/>
  <c r="L1353" i="38" s="1"/>
  <c r="K1354" i="38"/>
  <c r="L1354" i="38" s="1"/>
  <c r="K1355" i="38"/>
  <c r="L1355" i="38" s="1"/>
  <c r="K1356" i="38"/>
  <c r="L1356" i="38" s="1"/>
  <c r="K1357" i="38"/>
  <c r="L1357" i="38" s="1"/>
  <c r="K1358" i="38"/>
  <c r="L1358" i="38" s="1"/>
  <c r="K1359" i="38"/>
  <c r="L1359" i="38" s="1"/>
  <c r="K1360" i="38"/>
  <c r="L1360" i="38" s="1"/>
  <c r="K1361" i="38"/>
  <c r="L1361" i="38" s="1"/>
  <c r="K1362" i="38"/>
  <c r="L1362" i="38" s="1"/>
  <c r="K1363" i="38"/>
  <c r="L1363" i="38" s="1"/>
  <c r="K1364" i="38"/>
  <c r="L1364" i="38" s="1"/>
  <c r="K1365" i="38"/>
  <c r="L1365" i="38" s="1"/>
  <c r="K1366" i="38"/>
  <c r="L1366" i="38" s="1"/>
  <c r="K1367" i="38"/>
  <c r="L1367" i="38" s="1"/>
  <c r="K1368" i="38"/>
  <c r="L1368" i="38" s="1"/>
  <c r="K1369" i="38"/>
  <c r="L1369" i="38" s="1"/>
  <c r="K1370" i="38"/>
  <c r="L1370" i="38" s="1"/>
  <c r="K1371" i="38"/>
  <c r="L1371" i="38" s="1"/>
  <c r="K1372" i="38"/>
  <c r="L1372" i="38" s="1"/>
  <c r="K1373" i="38"/>
  <c r="L1373" i="38" s="1"/>
  <c r="K1374" i="38"/>
  <c r="L1374" i="38" s="1"/>
  <c r="K1375" i="38"/>
  <c r="L1375" i="38" s="1"/>
  <c r="K1376" i="38"/>
  <c r="L1376" i="38" s="1"/>
  <c r="K1377" i="38"/>
  <c r="L1377" i="38" s="1"/>
  <c r="K1378" i="38"/>
  <c r="L1378" i="38" s="1"/>
  <c r="K1379" i="38"/>
  <c r="L1379" i="38" s="1"/>
  <c r="K1380" i="38"/>
  <c r="L1380" i="38" s="1"/>
  <c r="K1381" i="38"/>
  <c r="L1381" i="38" s="1"/>
  <c r="K1382" i="38"/>
  <c r="L1382" i="38" s="1"/>
  <c r="K1383" i="38"/>
  <c r="L1383" i="38" s="1"/>
  <c r="K1384" i="38"/>
  <c r="L1384" i="38" s="1"/>
  <c r="K1385" i="38"/>
  <c r="L1385" i="38" s="1"/>
  <c r="K1386" i="38"/>
  <c r="L1386" i="38" s="1"/>
  <c r="K1387" i="38"/>
  <c r="L1387" i="38" s="1"/>
  <c r="K1388" i="38"/>
  <c r="L1388" i="38" s="1"/>
  <c r="K1389" i="38"/>
  <c r="L1389" i="38" s="1"/>
  <c r="K1390" i="38"/>
  <c r="L1390" i="38" s="1"/>
  <c r="K1391" i="38"/>
  <c r="L1391" i="38" s="1"/>
  <c r="K1392" i="38"/>
  <c r="L1392" i="38" s="1"/>
  <c r="K1393" i="38"/>
  <c r="L1393" i="38" s="1"/>
  <c r="K1394" i="38"/>
  <c r="L1394" i="38" s="1"/>
  <c r="K1395" i="38"/>
  <c r="L1395" i="38" s="1"/>
  <c r="K1396" i="38"/>
  <c r="L1396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DS24" i="51" l="1"/>
  <c r="EB7" i="51"/>
  <c r="EB17" i="51"/>
  <c r="DZ15" i="51"/>
  <c r="DX13" i="51"/>
  <c r="EA10" i="51"/>
  <c r="DY8" i="51"/>
  <c r="EA17" i="51"/>
  <c r="DY15" i="51"/>
  <c r="EB12" i="51"/>
  <c r="DZ10" i="51"/>
  <c r="DX8" i="51"/>
  <c r="DZ17" i="51"/>
  <c r="DX15" i="51"/>
  <c r="EA12" i="51"/>
  <c r="DY10" i="51"/>
  <c r="DW7" i="51"/>
  <c r="DY17" i="51"/>
  <c r="EB14" i="51"/>
  <c r="DZ12" i="51"/>
  <c r="DX10" i="51"/>
  <c r="EA7" i="51"/>
  <c r="DX17" i="51"/>
  <c r="EA14" i="51"/>
  <c r="DY12" i="51"/>
  <c r="EB9" i="51"/>
  <c r="DZ7" i="51"/>
  <c r="EB16" i="51"/>
  <c r="DZ14" i="51"/>
  <c r="DX12" i="51"/>
  <c r="EA9" i="51"/>
  <c r="DY7" i="51"/>
  <c r="EA16" i="51"/>
  <c r="DY14" i="51"/>
  <c r="EB11" i="51"/>
  <c r="DZ9" i="51"/>
  <c r="DX7" i="51"/>
  <c r="EB18" i="51"/>
  <c r="DZ16" i="51"/>
  <c r="DX14" i="51"/>
  <c r="EA11" i="51"/>
  <c r="DY9" i="51"/>
  <c r="EB6" i="51"/>
  <c r="EA18" i="51"/>
  <c r="DY16" i="51"/>
  <c r="EB13" i="51"/>
  <c r="DZ11" i="51"/>
  <c r="DX9" i="51"/>
  <c r="EA6" i="51"/>
  <c r="DZ18" i="51"/>
  <c r="DX16" i="51"/>
  <c r="EA13" i="51"/>
  <c r="DY11" i="51"/>
  <c r="EB8" i="51"/>
  <c r="DZ6" i="51"/>
  <c r="DY18" i="51"/>
  <c r="EB15" i="51"/>
  <c r="DZ13" i="51"/>
  <c r="DX11" i="51"/>
  <c r="EA8" i="51"/>
  <c r="DY6" i="51"/>
  <c r="DX18" i="51"/>
  <c r="EA15" i="51"/>
  <c r="DY13" i="51"/>
  <c r="EB10" i="51"/>
  <c r="DZ8" i="51"/>
  <c r="DX6" i="51"/>
  <c r="DW17" i="51"/>
  <c r="DU15" i="51"/>
  <c r="DS13" i="51"/>
  <c r="DV10" i="51"/>
  <c r="DT8" i="51"/>
  <c r="DV17" i="51"/>
  <c r="DT15" i="51"/>
  <c r="DW12" i="51"/>
  <c r="DU10" i="51"/>
  <c r="DS8" i="51"/>
  <c r="DU17" i="51"/>
  <c r="DS15" i="51"/>
  <c r="DV12" i="51"/>
  <c r="DT10" i="51"/>
  <c r="DN6" i="51"/>
  <c r="DT17" i="51"/>
  <c r="DW14" i="51"/>
  <c r="DU12" i="51"/>
  <c r="DS10" i="51"/>
  <c r="DV7" i="51"/>
  <c r="DS17" i="51"/>
  <c r="DV14" i="51"/>
  <c r="DT12" i="51"/>
  <c r="DW9" i="51"/>
  <c r="DU7" i="51"/>
  <c r="DW16" i="51"/>
  <c r="DU14" i="51"/>
  <c r="DS12" i="51"/>
  <c r="DV9" i="51"/>
  <c r="DT7" i="51"/>
  <c r="DV16" i="51"/>
  <c r="DT14" i="51"/>
  <c r="DW11" i="51"/>
  <c r="DU9" i="51"/>
  <c r="DS7" i="51"/>
  <c r="DW18" i="51"/>
  <c r="DU16" i="51"/>
  <c r="DS14" i="51"/>
  <c r="DV11" i="51"/>
  <c r="DT9" i="51"/>
  <c r="DW6" i="51"/>
  <c r="DV18" i="51"/>
  <c r="DT16" i="51"/>
  <c r="DW13" i="51"/>
  <c r="DU11" i="51"/>
  <c r="DS9" i="51"/>
  <c r="DV6" i="51"/>
  <c r="DU18" i="51"/>
  <c r="DS16" i="51"/>
  <c r="DV13" i="51"/>
  <c r="DT11" i="51"/>
  <c r="DW8" i="51"/>
  <c r="DU6" i="51"/>
  <c r="DT18" i="51"/>
  <c r="DW15" i="51"/>
  <c r="DU13" i="51"/>
  <c r="DS11" i="51"/>
  <c r="DV8" i="51"/>
  <c r="DT6" i="51"/>
  <c r="DS18" i="51"/>
  <c r="DV15" i="51"/>
  <c r="DT13" i="51"/>
  <c r="DW10" i="51"/>
  <c r="DU8" i="51"/>
  <c r="DS6" i="51"/>
  <c r="DQ17" i="51"/>
  <c r="DO15" i="51"/>
  <c r="DM13" i="51"/>
  <c r="DP10" i="51"/>
  <c r="DN8" i="51"/>
  <c r="DP17" i="51"/>
  <c r="DN15" i="51"/>
  <c r="DQ12" i="51"/>
  <c r="DO10" i="51"/>
  <c r="DM8" i="51"/>
  <c r="DO17" i="51"/>
  <c r="DM15" i="51"/>
  <c r="DP12" i="51"/>
  <c r="DN10" i="51"/>
  <c r="DQ7" i="51"/>
  <c r="DN17" i="51"/>
  <c r="DQ14" i="51"/>
  <c r="DO12" i="51"/>
  <c r="DM10" i="51"/>
  <c r="DP7" i="51"/>
  <c r="DM17" i="51"/>
  <c r="DP14" i="51"/>
  <c r="DN12" i="51"/>
  <c r="DQ9" i="51"/>
  <c r="DO7" i="51"/>
  <c r="DQ16" i="51"/>
  <c r="DO14" i="51"/>
  <c r="DM12" i="51"/>
  <c r="DP9" i="51"/>
  <c r="DN7" i="51"/>
  <c r="DP16" i="51"/>
  <c r="DN14" i="51"/>
  <c r="DQ11" i="51"/>
  <c r="DO9" i="51"/>
  <c r="DM7" i="51"/>
  <c r="DQ18" i="51"/>
  <c r="DO16" i="51"/>
  <c r="DM14" i="51"/>
  <c r="DP11" i="51"/>
  <c r="DN9" i="51"/>
  <c r="DQ6" i="51"/>
  <c r="DP18" i="51"/>
  <c r="DN16" i="51"/>
  <c r="DQ13" i="51"/>
  <c r="DO11" i="51"/>
  <c r="DM9" i="51"/>
  <c r="DP6" i="51"/>
  <c r="DO18" i="51"/>
  <c r="DM16" i="51"/>
  <c r="DP13" i="51"/>
  <c r="DN11" i="51"/>
  <c r="DQ8" i="51"/>
  <c r="DO6" i="51"/>
  <c r="DN18" i="51"/>
  <c r="DQ15" i="51"/>
  <c r="DO13" i="51"/>
  <c r="DM11" i="51"/>
  <c r="DP8" i="51"/>
  <c r="DL7" i="51"/>
  <c r="DM18" i="51"/>
  <c r="DP15" i="51"/>
  <c r="DN13" i="51"/>
  <c r="DQ10" i="51"/>
  <c r="DO8" i="51"/>
  <c r="DM6" i="51"/>
  <c r="DL17" i="51"/>
  <c r="DJ15" i="51"/>
  <c r="DH13" i="51"/>
  <c r="DK10" i="51"/>
  <c r="DI8" i="51"/>
  <c r="DK17" i="51"/>
  <c r="DI15" i="51"/>
  <c r="DL12" i="51"/>
  <c r="DJ10" i="51"/>
  <c r="DH8" i="51"/>
  <c r="DJ17" i="51"/>
  <c r="DH15" i="51"/>
  <c r="DK12" i="51"/>
  <c r="DI10" i="51"/>
  <c r="DF7" i="51"/>
  <c r="DI17" i="51"/>
  <c r="DL14" i="51"/>
  <c r="DJ12" i="51"/>
  <c r="DH10" i="51"/>
  <c r="DK7" i="51"/>
  <c r="DH17" i="51"/>
  <c r="DK14" i="51"/>
  <c r="DI12" i="51"/>
  <c r="DL9" i="51"/>
  <c r="DJ7" i="51"/>
  <c r="DL16" i="51"/>
  <c r="DJ14" i="51"/>
  <c r="DH12" i="51"/>
  <c r="DK9" i="51"/>
  <c r="DI7" i="51"/>
  <c r="DK16" i="51"/>
  <c r="DI14" i="51"/>
  <c r="DL11" i="51"/>
  <c r="DJ9" i="51"/>
  <c r="DH7" i="51"/>
  <c r="DL18" i="51"/>
  <c r="DJ16" i="51"/>
  <c r="DH14" i="51"/>
  <c r="DK11" i="51"/>
  <c r="DI9" i="51"/>
  <c r="DL6" i="51"/>
  <c r="DK18" i="51"/>
  <c r="DI16" i="51"/>
  <c r="DL13" i="51"/>
  <c r="DJ11" i="51"/>
  <c r="DH9" i="51"/>
  <c r="DK6" i="51"/>
  <c r="DJ18" i="51"/>
  <c r="DH16" i="51"/>
  <c r="DK13" i="51"/>
  <c r="DI11" i="51"/>
  <c r="DL8" i="51"/>
  <c r="DJ6" i="51"/>
  <c r="DI18" i="51"/>
  <c r="DL15" i="51"/>
  <c r="DJ13" i="51"/>
  <c r="DH11" i="51"/>
  <c r="DK8" i="51"/>
  <c r="DI6" i="51"/>
  <c r="DH18" i="51"/>
  <c r="DK15" i="51"/>
  <c r="DI13" i="51"/>
  <c r="DL10" i="51"/>
  <c r="DJ8" i="51"/>
  <c r="DH6" i="51"/>
  <c r="DF17" i="51"/>
  <c r="DD15" i="51"/>
  <c r="DB13" i="51"/>
  <c r="DE10" i="51"/>
  <c r="DC8" i="51"/>
  <c r="DE17" i="51"/>
  <c r="DC15" i="51"/>
  <c r="DF12" i="51"/>
  <c r="DD10" i="51"/>
  <c r="DB8" i="51"/>
  <c r="DD17" i="51"/>
  <c r="DB15" i="51"/>
  <c r="DE12" i="51"/>
  <c r="DC10" i="51"/>
  <c r="DA7" i="51"/>
  <c r="DC17" i="51"/>
  <c r="DF14" i="51"/>
  <c r="DD12" i="51"/>
  <c r="DB10" i="51"/>
  <c r="DE7" i="51"/>
  <c r="DB17" i="51"/>
  <c r="DE14" i="51"/>
  <c r="DC12" i="51"/>
  <c r="DF9" i="51"/>
  <c r="DD7" i="51"/>
  <c r="DF16" i="51"/>
  <c r="DD14" i="51"/>
  <c r="DB12" i="51"/>
  <c r="DE9" i="51"/>
  <c r="DC7" i="51"/>
  <c r="DE16" i="51"/>
  <c r="DC14" i="51"/>
  <c r="DF11" i="51"/>
  <c r="DD9" i="51"/>
  <c r="DB7" i="51"/>
  <c r="DF18" i="51"/>
  <c r="DD16" i="51"/>
  <c r="DB14" i="51"/>
  <c r="DE11" i="51"/>
  <c r="DC9" i="51"/>
  <c r="DF6" i="51"/>
  <c r="DE18" i="51"/>
  <c r="DC16" i="51"/>
  <c r="DF13" i="51"/>
  <c r="DD11" i="51"/>
  <c r="DB9" i="51"/>
  <c r="DE6" i="51"/>
  <c r="DD18" i="51"/>
  <c r="DB16" i="51"/>
  <c r="DE13" i="51"/>
  <c r="DC11" i="51"/>
  <c r="DF8" i="51"/>
  <c r="DD6" i="51"/>
  <c r="DC18" i="51"/>
  <c r="DF15" i="51"/>
  <c r="DD13" i="51"/>
  <c r="DB11" i="51"/>
  <c r="DE8" i="51"/>
  <c r="DC6" i="51"/>
  <c r="DB18" i="51"/>
  <c r="DE15" i="51"/>
  <c r="DC13" i="51"/>
  <c r="DF10" i="51"/>
  <c r="DD8" i="51"/>
  <c r="DB6" i="51"/>
  <c r="DA17" i="51"/>
  <c r="CY15" i="51"/>
  <c r="CW13" i="51"/>
  <c r="CZ10" i="51"/>
  <c r="CX8" i="51"/>
  <c r="CZ17" i="51"/>
  <c r="CX15" i="51"/>
  <c r="DA12" i="51"/>
  <c r="CY10" i="51"/>
  <c r="CW8" i="51"/>
  <c r="CY17" i="51"/>
  <c r="CW15" i="51"/>
  <c r="CZ12" i="51"/>
  <c r="CX10" i="51"/>
  <c r="CU7" i="51"/>
  <c r="CX17" i="51"/>
  <c r="DA14" i="51"/>
  <c r="CY12" i="51"/>
  <c r="CW10" i="51"/>
  <c r="CZ7" i="51"/>
  <c r="CW17" i="51"/>
  <c r="CZ14" i="51"/>
  <c r="CX12" i="51"/>
  <c r="DA9" i="51"/>
  <c r="CY7" i="51"/>
  <c r="DA16" i="51"/>
  <c r="CY14" i="51"/>
  <c r="CW12" i="51"/>
  <c r="CZ9" i="51"/>
  <c r="CX7" i="51"/>
  <c r="CZ16" i="51"/>
  <c r="CX14" i="51"/>
  <c r="DA11" i="51"/>
  <c r="CY9" i="51"/>
  <c r="CW7" i="51"/>
  <c r="DA18" i="51"/>
  <c r="CY16" i="51"/>
  <c r="CW14" i="51"/>
  <c r="CZ11" i="51"/>
  <c r="CX9" i="51"/>
  <c r="DA6" i="51"/>
  <c r="CZ18" i="51"/>
  <c r="CX16" i="51"/>
  <c r="DA13" i="51"/>
  <c r="CY11" i="51"/>
  <c r="CW9" i="51"/>
  <c r="CZ6" i="51"/>
  <c r="CY18" i="51"/>
  <c r="CW16" i="51"/>
  <c r="CZ13" i="51"/>
  <c r="CX11" i="51"/>
  <c r="DA8" i="51"/>
  <c r="CY6" i="51"/>
  <c r="CX18" i="51"/>
  <c r="DA15" i="51"/>
  <c r="CY13" i="51"/>
  <c r="CW11" i="51"/>
  <c r="CZ8" i="51"/>
  <c r="CX6" i="51"/>
  <c r="CW18" i="51"/>
  <c r="CZ15" i="51"/>
  <c r="CX13" i="51"/>
  <c r="DA10" i="51"/>
  <c r="CY8" i="51"/>
  <c r="CW6" i="51"/>
  <c r="CU17" i="51"/>
  <c r="CS15" i="51"/>
  <c r="CT10" i="51"/>
  <c r="CT17" i="51"/>
  <c r="CR15" i="51"/>
  <c r="CU12" i="51"/>
  <c r="CS10" i="51"/>
  <c r="CQ8" i="51"/>
  <c r="CS17" i="51"/>
  <c r="CQ15" i="51"/>
  <c r="CR10" i="51"/>
  <c r="CP7" i="51"/>
  <c r="CR17" i="51"/>
  <c r="CU14" i="51"/>
  <c r="CS12" i="51"/>
  <c r="CQ10" i="51"/>
  <c r="CT7" i="51"/>
  <c r="CQ17" i="51"/>
  <c r="CU9" i="51"/>
  <c r="CS7" i="51"/>
  <c r="CU16" i="51"/>
  <c r="CS14" i="51"/>
  <c r="CT9" i="51"/>
  <c r="CR7" i="51"/>
  <c r="CU11" i="51"/>
  <c r="CS9" i="51"/>
  <c r="CQ7" i="51"/>
  <c r="CU18" i="51"/>
  <c r="CT11" i="51"/>
  <c r="CR9" i="51"/>
  <c r="CU6" i="51"/>
  <c r="CT18" i="51"/>
  <c r="CU13" i="51"/>
  <c r="CT6" i="51"/>
  <c r="CS18" i="51"/>
  <c r="CQ16" i="51"/>
  <c r="CT13" i="51"/>
  <c r="CU8" i="51"/>
  <c r="CS6" i="51"/>
  <c r="CR18" i="51"/>
  <c r="CU15" i="51"/>
  <c r="CS13" i="51"/>
  <c r="CQ11" i="51"/>
  <c r="CT8" i="51"/>
  <c r="CQ18" i="51"/>
  <c r="CT15" i="51"/>
  <c r="CR13" i="51"/>
  <c r="CU10" i="51"/>
  <c r="CP17" i="51"/>
  <c r="CN15" i="51"/>
  <c r="CO10" i="51"/>
  <c r="CO17" i="51"/>
  <c r="CM15" i="51"/>
  <c r="CP12" i="51"/>
  <c r="CN10" i="51"/>
  <c r="CL8" i="51"/>
  <c r="CN17" i="51"/>
  <c r="CL15" i="51"/>
  <c r="CM10" i="51"/>
  <c r="CJ7" i="51"/>
  <c r="CM17" i="51"/>
  <c r="CP14" i="51"/>
  <c r="CN12" i="51"/>
  <c r="CL10" i="51"/>
  <c r="CO7" i="51"/>
  <c r="CL17" i="51"/>
  <c r="CP9" i="51"/>
  <c r="CN7" i="51"/>
  <c r="CP16" i="51"/>
  <c r="CN14" i="51"/>
  <c r="CO9" i="51"/>
  <c r="CM7" i="51"/>
  <c r="CP11" i="51"/>
  <c r="CN9" i="51"/>
  <c r="CL7" i="51"/>
  <c r="CP18" i="51"/>
  <c r="CO11" i="51"/>
  <c r="CM9" i="51"/>
  <c r="CP6" i="51"/>
  <c r="CO18" i="51"/>
  <c r="CP13" i="51"/>
  <c r="CO6" i="51"/>
  <c r="CN18" i="51"/>
  <c r="CL16" i="51"/>
  <c r="CO13" i="51"/>
  <c r="CP8" i="51"/>
  <c r="CN6" i="51"/>
  <c r="CM18" i="51"/>
  <c r="CP15" i="51"/>
  <c r="CN13" i="51"/>
  <c r="CL11" i="51"/>
  <c r="CO8" i="51"/>
  <c r="CL18" i="51"/>
  <c r="CO15" i="51"/>
  <c r="CM13" i="51"/>
  <c r="CP10" i="51"/>
  <c r="CH15" i="51"/>
  <c r="CI10" i="51"/>
  <c r="CG8" i="51"/>
  <c r="CI17" i="51"/>
  <c r="CG15" i="51"/>
  <c r="CH10" i="51"/>
  <c r="CH17" i="51"/>
  <c r="CI12" i="51"/>
  <c r="CG10" i="51"/>
  <c r="CE7" i="51"/>
  <c r="CG17" i="51"/>
  <c r="CI7" i="51"/>
  <c r="CF17" i="51"/>
  <c r="CI14" i="51"/>
  <c r="CH7" i="51"/>
  <c r="CJ16" i="51"/>
  <c r="CH14" i="51"/>
  <c r="CG7" i="51"/>
  <c r="CI16" i="51"/>
  <c r="CJ11" i="51"/>
  <c r="CH9" i="51"/>
  <c r="CF7" i="51"/>
  <c r="CJ18" i="51"/>
  <c r="CH16" i="51"/>
  <c r="CI18" i="51"/>
  <c r="CG16" i="51"/>
  <c r="CH11" i="51"/>
  <c r="CH18" i="51"/>
  <c r="CF16" i="51"/>
  <c r="CI13" i="51"/>
  <c r="CG11" i="51"/>
  <c r="CJ8" i="51"/>
  <c r="CH6" i="51"/>
  <c r="CG18" i="51"/>
  <c r="CJ15" i="51"/>
  <c r="CG6" i="51"/>
  <c r="CF18" i="51"/>
  <c r="CI15" i="51"/>
  <c r="CJ10" i="51"/>
  <c r="CH8" i="51"/>
  <c r="CF6" i="51"/>
  <c r="CC15" i="51"/>
  <c r="CD10" i="51"/>
  <c r="CB8" i="51"/>
  <c r="CD17" i="51"/>
  <c r="CB15" i="51"/>
  <c r="CC10" i="51"/>
  <c r="CC17" i="51"/>
  <c r="CD12" i="51"/>
  <c r="CB10" i="51"/>
  <c r="BY7" i="51"/>
  <c r="CB17" i="51"/>
  <c r="CD7" i="51"/>
  <c r="CA17" i="51"/>
  <c r="CD14" i="51"/>
  <c r="CC7" i="51"/>
  <c r="CE16" i="51"/>
  <c r="CC14" i="51"/>
  <c r="CB7" i="51"/>
  <c r="CD16" i="51"/>
  <c r="CE11" i="51"/>
  <c r="CC9" i="51"/>
  <c r="CA7" i="51"/>
  <c r="CE18" i="51"/>
  <c r="CC16" i="51"/>
  <c r="CD18" i="51"/>
  <c r="CB16" i="51"/>
  <c r="CC11" i="51"/>
  <c r="CC18" i="51"/>
  <c r="CA16" i="51"/>
  <c r="CD13" i="51"/>
  <c r="CB11" i="51"/>
  <c r="CE8" i="51"/>
  <c r="CC6" i="51"/>
  <c r="CB18" i="51"/>
  <c r="CE15" i="51"/>
  <c r="CB6" i="51"/>
  <c r="CA18" i="51"/>
  <c r="CD15" i="51"/>
  <c r="CE10" i="51"/>
  <c r="CC8" i="51"/>
  <c r="CA6" i="51"/>
  <c r="BY17" i="51"/>
  <c r="BX10" i="51"/>
  <c r="BX17" i="51"/>
  <c r="BY12" i="51"/>
  <c r="BW10" i="51"/>
  <c r="BU8" i="51"/>
  <c r="BV8" i="51"/>
  <c r="BW17" i="51"/>
  <c r="BX12" i="51"/>
  <c r="BV10" i="51"/>
  <c r="BT7" i="51"/>
  <c r="BV17" i="51"/>
  <c r="BY14" i="51"/>
  <c r="BW12" i="51"/>
  <c r="BX7" i="51"/>
  <c r="BU17" i="51"/>
  <c r="BX14" i="51"/>
  <c r="BV12" i="51"/>
  <c r="BY9" i="51"/>
  <c r="BW7" i="51"/>
  <c r="BY16" i="51"/>
  <c r="BW14" i="51"/>
  <c r="BU12" i="51"/>
  <c r="BX9" i="51"/>
  <c r="BV7" i="51"/>
  <c r="BX16" i="51"/>
  <c r="BY11" i="51"/>
  <c r="BU7" i="51"/>
  <c r="BY18" i="51"/>
  <c r="BW16" i="51"/>
  <c r="BX11" i="51"/>
  <c r="BY6" i="51"/>
  <c r="BX18" i="51"/>
  <c r="BV16" i="51"/>
  <c r="BY13" i="51"/>
  <c r="BW11" i="51"/>
  <c r="BX6" i="51"/>
  <c r="BW18" i="51"/>
  <c r="BU16" i="51"/>
  <c r="BX13" i="51"/>
  <c r="BV11" i="51"/>
  <c r="BY8" i="51"/>
  <c r="BW6" i="51"/>
  <c r="BV18" i="51"/>
  <c r="BY15" i="51"/>
  <c r="BW13" i="51"/>
  <c r="BX8" i="51"/>
  <c r="BU18" i="51"/>
  <c r="BX15" i="51"/>
  <c r="BY10" i="51"/>
  <c r="BW8" i="51"/>
  <c r="BT17" i="51"/>
  <c r="BS10" i="51"/>
  <c r="BQ8" i="51"/>
  <c r="BS17" i="51"/>
  <c r="BT12" i="51"/>
  <c r="BR10" i="51"/>
  <c r="BP8" i="51"/>
  <c r="BR17" i="51"/>
  <c r="BS12" i="51"/>
  <c r="BQ10" i="51"/>
  <c r="BN7" i="51"/>
  <c r="BQ17" i="51"/>
  <c r="BT14" i="51"/>
  <c r="BR12" i="51"/>
  <c r="BS7" i="51"/>
  <c r="BP17" i="51"/>
  <c r="BS14" i="51"/>
  <c r="BQ12" i="51"/>
  <c r="BT9" i="51"/>
  <c r="BR7" i="51"/>
  <c r="BT16" i="51"/>
  <c r="BR14" i="51"/>
  <c r="BP12" i="51"/>
  <c r="BS9" i="51"/>
  <c r="BQ7" i="51"/>
  <c r="BS16" i="51"/>
  <c r="BT11" i="51"/>
  <c r="BP7" i="51"/>
  <c r="BT18" i="51"/>
  <c r="BR16" i="51"/>
  <c r="BS11" i="51"/>
  <c r="BT6" i="51"/>
  <c r="BS18" i="51"/>
  <c r="BQ16" i="51"/>
  <c r="BT13" i="51"/>
  <c r="BR11" i="51"/>
  <c r="BS6" i="51"/>
  <c r="BR18" i="51"/>
  <c r="BP16" i="51"/>
  <c r="BS13" i="51"/>
  <c r="BQ11" i="51"/>
  <c r="BT8" i="51"/>
  <c r="BR6" i="51"/>
  <c r="BQ18" i="51"/>
  <c r="BT15" i="51"/>
  <c r="BR13" i="51"/>
  <c r="BS8" i="51"/>
  <c r="BP18" i="51"/>
  <c r="BS15" i="51"/>
  <c r="BT10" i="51"/>
  <c r="BR8" i="51"/>
  <c r="BN17" i="51"/>
  <c r="BK8" i="51"/>
  <c r="BM17" i="51"/>
  <c r="BK15" i="51"/>
  <c r="BN12" i="51"/>
  <c r="BL10" i="51"/>
  <c r="BJ8" i="51"/>
  <c r="BL17" i="51"/>
  <c r="BM12" i="51"/>
  <c r="BK10" i="51"/>
  <c r="BI7" i="51"/>
  <c r="BK17" i="51"/>
  <c r="BL12" i="51"/>
  <c r="BJ10" i="51"/>
  <c r="BM7" i="51"/>
  <c r="BJ17" i="51"/>
  <c r="BM14" i="51"/>
  <c r="BK12" i="51"/>
  <c r="BL7" i="51"/>
  <c r="BN16" i="51"/>
  <c r="BJ12" i="51"/>
  <c r="BM9" i="51"/>
  <c r="BK7" i="51"/>
  <c r="BM16" i="51"/>
  <c r="BK14" i="51"/>
  <c r="BL9" i="51"/>
  <c r="BJ7" i="51"/>
  <c r="BN18" i="51"/>
  <c r="BL16" i="51"/>
  <c r="BK16" i="51"/>
  <c r="BJ9" i="51"/>
  <c r="BM6" i="51"/>
  <c r="BL18" i="51"/>
  <c r="BJ16" i="51"/>
  <c r="BM13" i="51"/>
  <c r="BN8" i="51"/>
  <c r="BK18" i="51"/>
  <c r="BM8" i="51"/>
  <c r="BJ18" i="51"/>
  <c r="BM15" i="51"/>
  <c r="BN10" i="51"/>
  <c r="BI17" i="51"/>
  <c r="BF8" i="51"/>
  <c r="BH17" i="51"/>
  <c r="BF15" i="51"/>
  <c r="BI12" i="51"/>
  <c r="BG10" i="51"/>
  <c r="BE8" i="51"/>
  <c r="BG17" i="51"/>
  <c r="BH12" i="51"/>
  <c r="BF10" i="51"/>
  <c r="BC7" i="51"/>
  <c r="BF17" i="51"/>
  <c r="BG12" i="51"/>
  <c r="BE10" i="51"/>
  <c r="BH7" i="51"/>
  <c r="BE17" i="51"/>
  <c r="BH14" i="51"/>
  <c r="BF12" i="51"/>
  <c r="BG7" i="51"/>
  <c r="BI16" i="51"/>
  <c r="BE12" i="51"/>
  <c r="BH9" i="51"/>
  <c r="BF7" i="51"/>
  <c r="BH16" i="51"/>
  <c r="BF14" i="51"/>
  <c r="BG9" i="51"/>
  <c r="BE7" i="51"/>
  <c r="BI18" i="51"/>
  <c r="BG16" i="51"/>
  <c r="BF16" i="51"/>
  <c r="BE9" i="51"/>
  <c r="BH6" i="51"/>
  <c r="BG18" i="51"/>
  <c r="BE16" i="51"/>
  <c r="BH13" i="51"/>
  <c r="BI8" i="51"/>
  <c r="BF18" i="51"/>
  <c r="BH8" i="51"/>
  <c r="BE18" i="51"/>
  <c r="BH15" i="51"/>
  <c r="BI10" i="51"/>
  <c r="BC17" i="51"/>
  <c r="AZ8" i="51"/>
  <c r="BB17" i="51"/>
  <c r="AZ15" i="51"/>
  <c r="BC12" i="51"/>
  <c r="BA10" i="51"/>
  <c r="AY8" i="51"/>
  <c r="BA17" i="51"/>
  <c r="BB12" i="51"/>
  <c r="AZ10" i="51"/>
  <c r="AX7" i="51"/>
  <c r="AZ17" i="51"/>
  <c r="BA12" i="51"/>
  <c r="AY10" i="51"/>
  <c r="BB7" i="51"/>
  <c r="AY17" i="51"/>
  <c r="BB14" i="51"/>
  <c r="AZ12" i="51"/>
  <c r="BA7" i="51"/>
  <c r="BC16" i="51"/>
  <c r="AY12" i="51"/>
  <c r="BB9" i="51"/>
  <c r="AZ7" i="51"/>
  <c r="BB16" i="51"/>
  <c r="AZ14" i="51"/>
  <c r="BA9" i="51"/>
  <c r="AY7" i="51"/>
  <c r="BC18" i="51"/>
  <c r="BA16" i="51"/>
  <c r="AZ16" i="51"/>
  <c r="AY9" i="51"/>
  <c r="BB6" i="51"/>
  <c r="BA18" i="51"/>
  <c r="AY16" i="51"/>
  <c r="BB13" i="51"/>
  <c r="BC8" i="51"/>
  <c r="AZ18" i="51"/>
  <c r="BB8" i="51"/>
  <c r="AY18" i="51"/>
  <c r="BB15" i="51"/>
  <c r="BC10" i="51"/>
  <c r="AX17" i="51"/>
  <c r="AU8" i="51"/>
  <c r="AW17" i="51"/>
  <c r="AU15" i="51"/>
  <c r="AX12" i="51"/>
  <c r="AV10" i="51"/>
  <c r="AT8" i="51"/>
  <c r="AV17" i="51"/>
  <c r="AW12" i="51"/>
  <c r="AU10" i="51"/>
  <c r="AR7" i="51"/>
  <c r="AU17" i="51"/>
  <c r="AV12" i="51"/>
  <c r="AT10" i="51"/>
  <c r="AW7" i="51"/>
  <c r="AT17" i="51"/>
  <c r="AW14" i="51"/>
  <c r="AU12" i="51"/>
  <c r="AV7" i="51"/>
  <c r="AX16" i="51"/>
  <c r="AT12" i="51"/>
  <c r="AW9" i="51"/>
  <c r="AU7" i="51"/>
  <c r="AW16" i="51"/>
  <c r="AU14" i="51"/>
  <c r="AV9" i="51"/>
  <c r="AT7" i="51"/>
  <c r="AX18" i="51"/>
  <c r="AV16" i="51"/>
  <c r="AU16" i="51"/>
  <c r="AT9" i="51"/>
  <c r="AW6" i="51"/>
  <c r="AV18" i="51"/>
  <c r="AT16" i="51"/>
  <c r="AW13" i="51"/>
  <c r="AX8" i="51"/>
  <c r="AU18" i="51"/>
  <c r="AW8" i="51"/>
  <c r="AT18" i="51"/>
  <c r="AW15" i="51"/>
  <c r="AX10" i="51"/>
  <c r="AR17" i="51"/>
  <c r="AQ10" i="51"/>
  <c r="AO8" i="51"/>
  <c r="AQ17" i="51"/>
  <c r="AO15" i="51"/>
  <c r="AR12" i="51"/>
  <c r="AN8" i="51"/>
  <c r="AP17" i="51"/>
  <c r="AQ12" i="51"/>
  <c r="AO10" i="51"/>
  <c r="AM7" i="51"/>
  <c r="AO17" i="51"/>
  <c r="AR14" i="51"/>
  <c r="AP12" i="51"/>
  <c r="AN10" i="51"/>
  <c r="AQ7" i="51"/>
  <c r="AN17" i="51"/>
  <c r="AO12" i="51"/>
  <c r="AR9" i="51"/>
  <c r="AP7" i="51"/>
  <c r="AR16" i="51"/>
  <c r="AP14" i="51"/>
  <c r="AN12" i="51"/>
  <c r="AO7" i="51"/>
  <c r="AQ16" i="51"/>
  <c r="AO14" i="51"/>
  <c r="AR11" i="51"/>
  <c r="AP9" i="51"/>
  <c r="AN7" i="51"/>
  <c r="AR18" i="51"/>
  <c r="AP16" i="51"/>
  <c r="AO9" i="51"/>
  <c r="AR6" i="51"/>
  <c r="AQ18" i="51"/>
  <c r="AO16" i="51"/>
  <c r="AR13" i="51"/>
  <c r="AP11" i="51"/>
  <c r="AN9" i="51"/>
  <c r="AQ6" i="51"/>
  <c r="AP18" i="51"/>
  <c r="AN16" i="51"/>
  <c r="AO11" i="51"/>
  <c r="AR8" i="51"/>
  <c r="AO18" i="51"/>
  <c r="AR15" i="51"/>
  <c r="AP13" i="51"/>
  <c r="AQ8" i="51"/>
  <c r="AO6" i="51"/>
  <c r="AN18" i="51"/>
  <c r="AO13" i="51"/>
  <c r="AR10" i="51"/>
  <c r="AP8" i="51"/>
  <c r="AM17" i="51"/>
  <c r="AL10" i="51"/>
  <c r="AJ8" i="51"/>
  <c r="AL17" i="51"/>
  <c r="AJ15" i="51"/>
  <c r="AM12" i="51"/>
  <c r="AI8" i="51"/>
  <c r="AK17" i="51"/>
  <c r="AL12" i="51"/>
  <c r="AJ10" i="51"/>
  <c r="AG7" i="51"/>
  <c r="AJ17" i="51"/>
  <c r="AM14" i="51"/>
  <c r="AK12" i="51"/>
  <c r="AI10" i="51"/>
  <c r="AL7" i="51"/>
  <c r="AI17" i="51"/>
  <c r="AJ12" i="51"/>
  <c r="AM9" i="51"/>
  <c r="AK7" i="51"/>
  <c r="AM16" i="51"/>
  <c r="AK14" i="51"/>
  <c r="AI12" i="51"/>
  <c r="AJ7" i="51"/>
  <c r="AL16" i="51"/>
  <c r="AJ14" i="51"/>
  <c r="AM11" i="51"/>
  <c r="AK9" i="51"/>
  <c r="AI7" i="51"/>
  <c r="AM18" i="51"/>
  <c r="AK16" i="51"/>
  <c r="AJ9" i="51"/>
  <c r="AM6" i="51"/>
  <c r="AL18" i="51"/>
  <c r="AJ16" i="51"/>
  <c r="AM13" i="51"/>
  <c r="AK11" i="51"/>
  <c r="AI9" i="51"/>
  <c r="AL6" i="51"/>
  <c r="AK18" i="51"/>
  <c r="AI16" i="51"/>
  <c r="AJ11" i="51"/>
  <c r="AM8" i="51"/>
  <c r="AJ18" i="51"/>
  <c r="AM15" i="51"/>
  <c r="AK13" i="51"/>
  <c r="AL8" i="51"/>
  <c r="AJ6" i="51"/>
  <c r="AI18" i="51"/>
  <c r="AJ13" i="51"/>
  <c r="AM10" i="51"/>
  <c r="AK8" i="51"/>
  <c r="AG17" i="51"/>
  <c r="AC13" i="51"/>
  <c r="AF10" i="51"/>
  <c r="AF17" i="51"/>
  <c r="AG12" i="51"/>
  <c r="AE10" i="51"/>
  <c r="AC8" i="51"/>
  <c r="AE17" i="51"/>
  <c r="AC15" i="51"/>
  <c r="AF12" i="51"/>
  <c r="AB7" i="51"/>
  <c r="AD17" i="51"/>
  <c r="AG14" i="51"/>
  <c r="AE12" i="51"/>
  <c r="AC10" i="51"/>
  <c r="AF7" i="51"/>
  <c r="AC17" i="51"/>
  <c r="AF14" i="51"/>
  <c r="AD12" i="51"/>
  <c r="AG9" i="51"/>
  <c r="AE7" i="51"/>
  <c r="AG16" i="51"/>
  <c r="AC12" i="51"/>
  <c r="AF9" i="51"/>
  <c r="AD7" i="51"/>
  <c r="AF16" i="51"/>
  <c r="AG11" i="51"/>
  <c r="AC7" i="51"/>
  <c r="AG18" i="51"/>
  <c r="AE16" i="51"/>
  <c r="AC14" i="51"/>
  <c r="AG6" i="51"/>
  <c r="AF18" i="51"/>
  <c r="AD16" i="51"/>
  <c r="AG13" i="51"/>
  <c r="AF6" i="51"/>
  <c r="AE18" i="51"/>
  <c r="AC16" i="51"/>
  <c r="AF13" i="51"/>
  <c r="AG8" i="51"/>
  <c r="AD18" i="51"/>
  <c r="AG15" i="51"/>
  <c r="AF8" i="51"/>
  <c r="AD6" i="51"/>
  <c r="AC18" i="51"/>
  <c r="AG10" i="51"/>
  <c r="AE8" i="51"/>
  <c r="V17" i="51"/>
  <c r="AB17" i="51"/>
  <c r="X13" i="51"/>
  <c r="AA10" i="51"/>
  <c r="AA17" i="51"/>
  <c r="AB12" i="51"/>
  <c r="Z10" i="51"/>
  <c r="X8" i="51"/>
  <c r="Z17" i="51"/>
  <c r="X15" i="51"/>
  <c r="AA12" i="51"/>
  <c r="V7" i="51"/>
  <c r="Y17" i="51"/>
  <c r="AB14" i="51"/>
  <c r="Z12" i="51"/>
  <c r="X10" i="51"/>
  <c r="AA7" i="51"/>
  <c r="X17" i="51"/>
  <c r="AA14" i="51"/>
  <c r="Y12" i="51"/>
  <c r="AB9" i="51"/>
  <c r="Z7" i="51"/>
  <c r="AB16" i="51"/>
  <c r="X12" i="51"/>
  <c r="AA9" i="51"/>
  <c r="Y7" i="51"/>
  <c r="AA16" i="51"/>
  <c r="AB11" i="51"/>
  <c r="X7" i="51"/>
  <c r="AB18" i="51"/>
  <c r="Z16" i="51"/>
  <c r="X14" i="51"/>
  <c r="AB6" i="51"/>
  <c r="AA18" i="51"/>
  <c r="Y16" i="51"/>
  <c r="AB13" i="51"/>
  <c r="AA6" i="51"/>
  <c r="Z18" i="51"/>
  <c r="X16" i="51"/>
  <c r="AA13" i="51"/>
  <c r="AB8" i="51"/>
  <c r="Y18" i="51"/>
  <c r="AB15" i="51"/>
  <c r="AA8" i="51"/>
  <c r="Y6" i="51"/>
  <c r="X18" i="51"/>
  <c r="AB10" i="51"/>
  <c r="Z8" i="51"/>
  <c r="R13" i="51"/>
  <c r="U17" i="51"/>
  <c r="V12" i="51"/>
  <c r="T10" i="51"/>
  <c r="T17" i="51"/>
  <c r="U12" i="51"/>
  <c r="S10" i="51"/>
  <c r="T15" i="51"/>
  <c r="Q7" i="51"/>
  <c r="S17" i="51"/>
  <c r="T12" i="51"/>
  <c r="R10" i="51"/>
  <c r="U7" i="51"/>
  <c r="S8" i="51"/>
  <c r="R17" i="51"/>
  <c r="S12" i="51"/>
  <c r="V9" i="51"/>
  <c r="T7" i="51"/>
  <c r="U10" i="51"/>
  <c r="V16" i="51"/>
  <c r="T14" i="51"/>
  <c r="R12" i="51"/>
  <c r="S7" i="51"/>
  <c r="U16" i="51"/>
  <c r="V11" i="51"/>
  <c r="T9" i="51"/>
  <c r="R7" i="51"/>
  <c r="V18" i="51"/>
  <c r="T16" i="51"/>
  <c r="R14" i="51"/>
  <c r="S9" i="51"/>
  <c r="V6" i="51"/>
  <c r="U18" i="51"/>
  <c r="S16" i="51"/>
  <c r="R9" i="51"/>
  <c r="U6" i="51"/>
  <c r="T18" i="51"/>
  <c r="R16" i="51"/>
  <c r="V8" i="51"/>
  <c r="S18" i="51"/>
  <c r="T13" i="51"/>
  <c r="U8" i="51"/>
  <c r="S6" i="51"/>
  <c r="R18" i="51"/>
  <c r="V10" i="51"/>
  <c r="Q17" i="51"/>
  <c r="O15" i="51"/>
  <c r="M13" i="51"/>
  <c r="P10" i="51"/>
  <c r="N8" i="51"/>
  <c r="P17" i="51"/>
  <c r="Q12" i="51"/>
  <c r="O10" i="51"/>
  <c r="O17" i="51"/>
  <c r="P12" i="51"/>
  <c r="N10" i="51"/>
  <c r="K7" i="51"/>
  <c r="N17" i="51"/>
  <c r="O12" i="51"/>
  <c r="M10" i="51"/>
  <c r="P7" i="51"/>
  <c r="M17" i="51"/>
  <c r="N12" i="51"/>
  <c r="Q9" i="51"/>
  <c r="O7" i="51"/>
  <c r="Q16" i="51"/>
  <c r="O14" i="51"/>
  <c r="M12" i="51"/>
  <c r="N7" i="51"/>
  <c r="P16" i="51"/>
  <c r="Q11" i="51"/>
  <c r="O9" i="51"/>
  <c r="M7" i="51"/>
  <c r="Q18" i="51"/>
  <c r="O16" i="51"/>
  <c r="M14" i="51"/>
  <c r="N9" i="51"/>
  <c r="Q6" i="51"/>
  <c r="P18" i="51"/>
  <c r="N16" i="51"/>
  <c r="M9" i="51"/>
  <c r="P6" i="51"/>
  <c r="O18" i="51"/>
  <c r="M16" i="51"/>
  <c r="Q8" i="51"/>
  <c r="N18" i="51"/>
  <c r="O13" i="51"/>
  <c r="P8" i="51"/>
  <c r="N6" i="51"/>
  <c r="M18" i="51"/>
  <c r="Q10" i="51"/>
  <c r="K17" i="51"/>
  <c r="G13" i="51"/>
  <c r="J10" i="51"/>
  <c r="H8" i="51"/>
  <c r="J17" i="51"/>
  <c r="K12" i="51"/>
  <c r="I10" i="51"/>
  <c r="G8" i="51"/>
  <c r="I17" i="51"/>
  <c r="J12" i="51"/>
  <c r="H10" i="51"/>
  <c r="B6" i="51"/>
  <c r="H17" i="51"/>
  <c r="K14" i="51"/>
  <c r="I12" i="51"/>
  <c r="G10" i="51"/>
  <c r="J7" i="51"/>
  <c r="G17" i="51"/>
  <c r="H12" i="51"/>
  <c r="K9" i="51"/>
  <c r="I7" i="51"/>
  <c r="K16" i="51"/>
  <c r="G12" i="51"/>
  <c r="J9" i="51"/>
  <c r="J16" i="51"/>
  <c r="H14" i="51"/>
  <c r="K11" i="51"/>
  <c r="G7" i="51"/>
  <c r="K18" i="51"/>
  <c r="I16" i="51"/>
  <c r="G14" i="51"/>
  <c r="H9" i="51"/>
  <c r="K6" i="51"/>
  <c r="J18" i="51"/>
  <c r="H16" i="51"/>
  <c r="K13" i="51"/>
  <c r="G9" i="51"/>
  <c r="J6" i="51"/>
  <c r="I18" i="51"/>
  <c r="G16" i="51"/>
  <c r="K8" i="51"/>
  <c r="H18" i="51"/>
  <c r="K15" i="51"/>
  <c r="H6" i="51"/>
  <c r="G18" i="51"/>
  <c r="H13" i="51"/>
  <c r="K10" i="51"/>
  <c r="I8" i="51"/>
  <c r="G6" i="51"/>
  <c r="F17" i="51"/>
  <c r="B13" i="51"/>
  <c r="E10" i="51"/>
  <c r="C8" i="51"/>
  <c r="E17" i="51"/>
  <c r="F12" i="51"/>
  <c r="D10" i="51"/>
  <c r="B8" i="51"/>
  <c r="D17" i="51"/>
  <c r="E12" i="51"/>
  <c r="C10" i="51"/>
  <c r="F7" i="51"/>
  <c r="DH24" i="51"/>
  <c r="C17" i="51"/>
  <c r="F14" i="51"/>
  <c r="D12" i="51"/>
  <c r="B10" i="51"/>
  <c r="E7" i="51"/>
  <c r="B17" i="51"/>
  <c r="C12" i="51"/>
  <c r="F9" i="51"/>
  <c r="D7" i="51"/>
  <c r="F16" i="51"/>
  <c r="B12" i="51"/>
  <c r="E9" i="51"/>
  <c r="E16" i="51"/>
  <c r="C14" i="51"/>
  <c r="F11" i="51"/>
  <c r="B7" i="51"/>
  <c r="F18" i="51"/>
  <c r="D16" i="51"/>
  <c r="B14" i="51"/>
  <c r="C9" i="51"/>
  <c r="F6" i="51"/>
  <c r="E18" i="51"/>
  <c r="C16" i="51"/>
  <c r="F13" i="51"/>
  <c r="B9" i="51"/>
  <c r="E6" i="51"/>
  <c r="D18" i="51"/>
  <c r="B16" i="51"/>
  <c r="F8" i="51"/>
  <c r="C18" i="51"/>
  <c r="F15" i="51"/>
  <c r="C6" i="51"/>
  <c r="B18" i="51"/>
  <c r="C13" i="51"/>
  <c r="F10" i="51"/>
  <c r="D8" i="51"/>
  <c r="DM24" i="51"/>
  <c r="DX24" i="51"/>
  <c r="DZ20" i="51"/>
  <c r="AS6" i="51"/>
  <c r="S1393" i="38"/>
  <c r="S1381" i="38"/>
  <c r="S1369" i="38"/>
  <c r="S1357" i="38"/>
  <c r="S1345" i="38"/>
  <c r="S1333" i="38"/>
  <c r="S1321" i="38"/>
  <c r="S1309" i="38"/>
  <c r="S1297" i="38"/>
  <c r="S1285" i="38"/>
  <c r="S1273" i="38"/>
  <c r="S1261" i="38"/>
  <c r="S1249" i="38"/>
  <c r="S1237" i="38"/>
  <c r="S1225" i="38"/>
  <c r="S1213" i="38"/>
  <c r="S1201" i="38"/>
  <c r="S1189" i="38"/>
  <c r="S1177" i="38"/>
  <c r="S1165" i="38"/>
  <c r="S1153" i="38"/>
  <c r="S1141" i="38"/>
  <c r="S1129" i="38"/>
  <c r="S1117" i="38"/>
  <c r="S1105" i="38"/>
  <c r="S1093" i="38"/>
  <c r="S1081" i="38"/>
  <c r="S1069" i="38"/>
  <c r="S1057" i="38"/>
  <c r="S1045" i="38"/>
  <c r="S1033" i="38"/>
  <c r="S1021" i="38"/>
  <c r="S1009" i="38"/>
  <c r="S997" i="38"/>
  <c r="S985" i="38"/>
  <c r="S973" i="38"/>
  <c r="S961" i="38"/>
  <c r="S949" i="38"/>
  <c r="S937" i="38"/>
  <c r="S925" i="38"/>
  <c r="S913" i="38"/>
  <c r="S901" i="38"/>
  <c r="S889" i="38"/>
  <c r="S877" i="38"/>
  <c r="S865" i="38"/>
  <c r="S853" i="38"/>
  <c r="S841" i="38"/>
  <c r="S829" i="38"/>
  <c r="S817" i="38"/>
  <c r="S805" i="38"/>
  <c r="S793" i="38"/>
  <c r="S781" i="38"/>
  <c r="S769" i="38"/>
  <c r="S757" i="38"/>
  <c r="S745" i="38"/>
  <c r="S733" i="38"/>
  <c r="S721" i="38"/>
  <c r="S709" i="38"/>
  <c r="S697" i="38"/>
  <c r="S685" i="38"/>
  <c r="S673" i="38"/>
  <c r="S661" i="38"/>
  <c r="S649" i="38"/>
  <c r="S637" i="38"/>
  <c r="S625" i="38"/>
  <c r="S613" i="38"/>
  <c r="S601" i="38"/>
  <c r="S589" i="38"/>
  <c r="S577" i="38"/>
  <c r="S565" i="38"/>
  <c r="S553" i="38"/>
  <c r="S541" i="38"/>
  <c r="S529" i="38"/>
  <c r="S517" i="38"/>
  <c r="S505" i="38"/>
  <c r="S493" i="38"/>
  <c r="S481" i="38"/>
  <c r="S469" i="38"/>
  <c r="S457" i="38"/>
  <c r="S445" i="38"/>
  <c r="S433" i="38"/>
  <c r="S421" i="38"/>
  <c r="S409" i="38"/>
  <c r="S397" i="38"/>
  <c r="S385" i="38"/>
  <c r="S373" i="38"/>
  <c r="S361" i="38"/>
  <c r="S349" i="38"/>
  <c r="S337" i="38"/>
  <c r="S325" i="38"/>
  <c r="S313" i="38"/>
  <c r="S301" i="38"/>
  <c r="S289" i="38"/>
  <c r="S277" i="38"/>
  <c r="S265" i="38"/>
  <c r="S253" i="38"/>
  <c r="S241" i="38"/>
  <c r="S229" i="38"/>
  <c r="S217" i="38"/>
  <c r="S205" i="38"/>
  <c r="S193" i="38"/>
  <c r="S181" i="38"/>
  <c r="S169" i="38"/>
  <c r="S157" i="38"/>
  <c r="S145" i="38"/>
  <c r="S133" i="38"/>
  <c r="S121" i="38"/>
  <c r="S109" i="38"/>
  <c r="S97" i="38"/>
  <c r="S85" i="38"/>
  <c r="S73" i="38"/>
  <c r="S61" i="38"/>
  <c r="S49" i="38"/>
  <c r="S37" i="38"/>
  <c r="S25" i="38"/>
  <c r="S13" i="38"/>
  <c r="S1390" i="38"/>
  <c r="S1395" i="38"/>
  <c r="S1383" i="38"/>
  <c r="S1371" i="38"/>
  <c r="S1359" i="38"/>
  <c r="S1347" i="38"/>
  <c r="S1335" i="38"/>
  <c r="S1323" i="38"/>
  <c r="S1311" i="38"/>
  <c r="S1299" i="38"/>
  <c r="S1287" i="38"/>
  <c r="S1275" i="38"/>
  <c r="S1263" i="38"/>
  <c r="S1251" i="38"/>
  <c r="S1239" i="38"/>
  <c r="S1227" i="38"/>
  <c r="S1392" i="38"/>
  <c r="S1380" i="38"/>
  <c r="S1368" i="38"/>
  <c r="S1356" i="38"/>
  <c r="S1344" i="38"/>
  <c r="S1332" i="38"/>
  <c r="S1320" i="38"/>
  <c r="S1308" i="38"/>
  <c r="S1296" i="38"/>
  <c r="S1284" i="38"/>
  <c r="S1272" i="38"/>
  <c r="S1260" i="38"/>
  <c r="S1248" i="38"/>
  <c r="S1236" i="38"/>
  <c r="S1224" i="38"/>
  <c r="S1212" i="38"/>
  <c r="S1200" i="38"/>
  <c r="S1188" i="38"/>
  <c r="S1176" i="38"/>
  <c r="S1164" i="38"/>
  <c r="S1152" i="38"/>
  <c r="S1140" i="38"/>
  <c r="S1128" i="38"/>
  <c r="S1116" i="38"/>
  <c r="S1104" i="38"/>
  <c r="S1092" i="38"/>
  <c r="S1080" i="38"/>
  <c r="S1068" i="38"/>
  <c r="S1056" i="38"/>
  <c r="S1044" i="38"/>
  <c r="S1032" i="38"/>
  <c r="S1020" i="38"/>
  <c r="S1008" i="38"/>
  <c r="S996" i="38"/>
  <c r="S984" i="38"/>
  <c r="S972" i="38"/>
  <c r="S960" i="38"/>
  <c r="S948" i="38"/>
  <c r="S936" i="38"/>
  <c r="S924" i="38"/>
  <c r="S912" i="38"/>
  <c r="S900" i="38"/>
  <c r="S888" i="38"/>
  <c r="S876" i="38"/>
  <c r="S864" i="38"/>
  <c r="S852" i="38"/>
  <c r="S840" i="38"/>
  <c r="S828" i="38"/>
  <c r="S816" i="38"/>
  <c r="S804" i="38"/>
  <c r="S792" i="38"/>
  <c r="S780" i="38"/>
  <c r="S768" i="38"/>
  <c r="S756" i="38"/>
  <c r="S744" i="38"/>
  <c r="S732" i="38"/>
  <c r="S720" i="38"/>
  <c r="S708" i="38"/>
  <c r="S696" i="38"/>
  <c r="S684" i="38"/>
  <c r="S672" i="38"/>
  <c r="S660" i="38"/>
  <c r="S648" i="38"/>
  <c r="S636" i="38"/>
  <c r="S624" i="38"/>
  <c r="S612" i="38"/>
  <c r="S600" i="38"/>
  <c r="S588" i="38"/>
  <c r="S576" i="38"/>
  <c r="S564" i="38"/>
  <c r="S552" i="38"/>
  <c r="S540" i="38"/>
  <c r="S528" i="38"/>
  <c r="S516" i="38"/>
  <c r="S504" i="38"/>
  <c r="S1391" i="38"/>
  <c r="S1379" i="38"/>
  <c r="S1367" i="38"/>
  <c r="S1355" i="38"/>
  <c r="S1343" i="38"/>
  <c r="S1331" i="38"/>
  <c r="S1319" i="38"/>
  <c r="S1307" i="38"/>
  <c r="S1295" i="38"/>
  <c r="S1283" i="38"/>
  <c r="S1271" i="38"/>
  <c r="S1259" i="38"/>
  <c r="S1247" i="38"/>
  <c r="S1235" i="38"/>
  <c r="S1223" i="38"/>
  <c r="S1211" i="38"/>
  <c r="S1199" i="38"/>
  <c r="S1187" i="38"/>
  <c r="S1175" i="38"/>
  <c r="S1163" i="38"/>
  <c r="S1151" i="38"/>
  <c r="S1139" i="38"/>
  <c r="S1127" i="38"/>
  <c r="S1115" i="38"/>
  <c r="S1103" i="38"/>
  <c r="S1091" i="38"/>
  <c r="S1079" i="38"/>
  <c r="S1067" i="38"/>
  <c r="S1055" i="38"/>
  <c r="S1043" i="38"/>
  <c r="S1031" i="38"/>
  <c r="S1019" i="38"/>
  <c r="S1007" i="38"/>
  <c r="S995" i="38"/>
  <c r="S983" i="38"/>
  <c r="S971" i="38"/>
  <c r="S959" i="38"/>
  <c r="S947" i="38"/>
  <c r="S935" i="38"/>
  <c r="S923" i="38"/>
  <c r="S911" i="38"/>
  <c r="S899" i="38"/>
  <c r="S887" i="38"/>
  <c r="S875" i="38"/>
  <c r="S863" i="38"/>
  <c r="S851" i="38"/>
  <c r="S839" i="38"/>
  <c r="S827" i="38"/>
  <c r="S815" i="38"/>
  <c r="S803" i="38"/>
  <c r="S791" i="38"/>
  <c r="S779" i="38"/>
  <c r="S767" i="38"/>
  <c r="S755" i="38"/>
  <c r="S743" i="38"/>
  <c r="S731" i="38"/>
  <c r="S719" i="38"/>
  <c r="S707" i="38"/>
  <c r="S695" i="38"/>
  <c r="S683" i="38"/>
  <c r="S671" i="38"/>
  <c r="S659" i="38"/>
  <c r="S647" i="38"/>
  <c r="S635" i="38"/>
  <c r="S623" i="38"/>
  <c r="S611" i="38"/>
  <c r="S599" i="38"/>
  <c r="S587" i="38"/>
  <c r="S575" i="38"/>
  <c r="S563" i="38"/>
  <c r="S551" i="38"/>
  <c r="S539" i="38"/>
  <c r="S527" i="38"/>
  <c r="S515" i="38"/>
  <c r="S503" i="38"/>
  <c r="S491" i="38"/>
  <c r="S479" i="38"/>
  <c r="S467" i="38"/>
  <c r="S455" i="38"/>
  <c r="S443" i="38"/>
  <c r="S431" i="38"/>
  <c r="S419" i="38"/>
  <c r="S407" i="38"/>
  <c r="S1378" i="38"/>
  <c r="S1366" i="38"/>
  <c r="S1354" i="38"/>
  <c r="S1342" i="38"/>
  <c r="S1330" i="38"/>
  <c r="S1318" i="38"/>
  <c r="S1306" i="38"/>
  <c r="S1294" i="38"/>
  <c r="S1282" i="38"/>
  <c r="S1270" i="38"/>
  <c r="S1258" i="38"/>
  <c r="S1246" i="38"/>
  <c r="S1234" i="38"/>
  <c r="S1222" i="38"/>
  <c r="S1210" i="38"/>
  <c r="S1198" i="38"/>
  <c r="S1186" i="38"/>
  <c r="S1174" i="38"/>
  <c r="S1162" i="38"/>
  <c r="S1150" i="38"/>
  <c r="S1138" i="38"/>
  <c r="S1126" i="38"/>
  <c r="S1114" i="38"/>
  <c r="S1102" i="38"/>
  <c r="S1090" i="38"/>
  <c r="S1078" i="38"/>
  <c r="S1066" i="38"/>
  <c r="S1054" i="38"/>
  <c r="S1042" i="38"/>
  <c r="S1030" i="38"/>
  <c r="S1018" i="38"/>
  <c r="S1006" i="38"/>
  <c r="S994" i="38"/>
  <c r="S982" i="38"/>
  <c r="S970" i="38"/>
  <c r="S958" i="38"/>
  <c r="S946" i="38"/>
  <c r="S934" i="38"/>
  <c r="S922" i="38"/>
  <c r="S910" i="38"/>
  <c r="S898" i="38"/>
  <c r="S886" i="38"/>
  <c r="S874" i="38"/>
  <c r="S862" i="38"/>
  <c r="S850" i="38"/>
  <c r="S838" i="38"/>
  <c r="S826" i="38"/>
  <c r="S814" i="38"/>
  <c r="S802" i="38"/>
  <c r="S790" i="38"/>
  <c r="S778" i="38"/>
  <c r="S766" i="38"/>
  <c r="S754" i="38"/>
  <c r="S742" i="38"/>
  <c r="S730" i="38"/>
  <c r="S718" i="38"/>
  <c r="S706" i="38"/>
  <c r="S694" i="38"/>
  <c r="S682" i="38"/>
  <c r="S670" i="38"/>
  <c r="S658" i="38"/>
  <c r="S646" i="38"/>
  <c r="S634" i="38"/>
  <c r="S622" i="38"/>
  <c r="S610" i="38"/>
  <c r="S598" i="38"/>
  <c r="S586" i="38"/>
  <c r="S574" i="38"/>
  <c r="S562" i="38"/>
  <c r="S550" i="38"/>
  <c r="S538" i="38"/>
  <c r="S526" i="38"/>
  <c r="S514" i="38"/>
  <c r="S502" i="38"/>
  <c r="S490" i="38"/>
  <c r="S478" i="38"/>
  <c r="S466" i="38"/>
  <c r="S454" i="38"/>
  <c r="S442" i="38"/>
  <c r="S430" i="38"/>
  <c r="S418" i="38"/>
  <c r="S406" i="38"/>
  <c r="S394" i="38"/>
  <c r="S382" i="38"/>
  <c r="S370" i="38"/>
  <c r="S1389" i="38"/>
  <c r="S1377" i="38"/>
  <c r="S1365" i="38"/>
  <c r="S1353" i="38"/>
  <c r="S1341" i="38"/>
  <c r="S1329" i="38"/>
  <c r="S1317" i="38"/>
  <c r="S1305" i="38"/>
  <c r="S1293" i="38"/>
  <c r="S1281" i="38"/>
  <c r="S1269" i="38"/>
  <c r="S1257" i="38"/>
  <c r="S1245" i="38"/>
  <c r="S1233" i="38"/>
  <c r="S1221" i="38"/>
  <c r="S1209" i="38"/>
  <c r="S1197" i="38"/>
  <c r="S1185" i="38"/>
  <c r="S1173" i="38"/>
  <c r="S1161" i="38"/>
  <c r="S1149" i="38"/>
  <c r="S1137" i="38"/>
  <c r="S1125" i="38"/>
  <c r="S1113" i="38"/>
  <c r="S1101" i="38"/>
  <c r="S1089" i="38"/>
  <c r="S1077" i="38"/>
  <c r="S1065" i="38"/>
  <c r="S1053" i="38"/>
  <c r="S1041" i="38"/>
  <c r="S1029" i="38"/>
  <c r="S1017" i="38"/>
  <c r="S1005" i="38"/>
  <c r="S993" i="38"/>
  <c r="S981" i="38"/>
  <c r="S969" i="38"/>
  <c r="S957" i="38"/>
  <c r="S945" i="38"/>
  <c r="S933" i="38"/>
  <c r="S921" i="38"/>
  <c r="S909" i="38"/>
  <c r="S897" i="38"/>
  <c r="S885" i="38"/>
  <c r="S873" i="38"/>
  <c r="S861" i="38"/>
  <c r="S849" i="38"/>
  <c r="S837" i="38"/>
  <c r="S825" i="38"/>
  <c r="S813" i="38"/>
  <c r="S801" i="38"/>
  <c r="S789" i="38"/>
  <c r="S777" i="38"/>
  <c r="S765" i="38"/>
  <c r="S753" i="38"/>
  <c r="S741" i="38"/>
  <c r="S729" i="38"/>
  <c r="S717" i="38"/>
  <c r="S705" i="38"/>
  <c r="S693" i="38"/>
  <c r="S681" i="38"/>
  <c r="S669" i="38"/>
  <c r="S657" i="38"/>
  <c r="S645" i="38"/>
  <c r="S633" i="38"/>
  <c r="S621" i="38"/>
  <c r="S609" i="38"/>
  <c r="S597" i="38"/>
  <c r="S585" i="38"/>
  <c r="S573" i="38"/>
  <c r="S561" i="38"/>
  <c r="S549" i="38"/>
  <c r="S537" i="38"/>
  <c r="S525" i="38"/>
  <c r="S513" i="38"/>
  <c r="S501" i="38"/>
  <c r="S489" i="38"/>
  <c r="S1388" i="38"/>
  <c r="S1376" i="38"/>
  <c r="S1364" i="38"/>
  <c r="S1352" i="38"/>
  <c r="S1340" i="38"/>
  <c r="S1328" i="38"/>
  <c r="S1316" i="38"/>
  <c r="S1304" i="38"/>
  <c r="S1292" i="38"/>
  <c r="S1280" i="38"/>
  <c r="S1268" i="38"/>
  <c r="S1256" i="38"/>
  <c r="S1244" i="38"/>
  <c r="S1232" i="38"/>
  <c r="S1220" i="38"/>
  <c r="S1208" i="38"/>
  <c r="S1196" i="38"/>
  <c r="S1184" i="38"/>
  <c r="S1172" i="38"/>
  <c r="S1160" i="38"/>
  <c r="S1148" i="38"/>
  <c r="S1136" i="38"/>
  <c r="S1124" i="38"/>
  <c r="S1112" i="38"/>
  <c r="S1100" i="38"/>
  <c r="S1088" i="38"/>
  <c r="S1076" i="38"/>
  <c r="S1064" i="38"/>
  <c r="S1052" i="38"/>
  <c r="S1040" i="38"/>
  <c r="S1028" i="38"/>
  <c r="S1016" i="38"/>
  <c r="S1004" i="38"/>
  <c r="S992" i="38"/>
  <c r="S980" i="38"/>
  <c r="S968" i="38"/>
  <c r="S956" i="38"/>
  <c r="S944" i="38"/>
  <c r="S932" i="38"/>
  <c r="S920" i="38"/>
  <c r="S908" i="38"/>
  <c r="S896" i="38"/>
  <c r="S884" i="38"/>
  <c r="S872" i="38"/>
  <c r="S860" i="38"/>
  <c r="S848" i="38"/>
  <c r="S836" i="38"/>
  <c r="S824" i="38"/>
  <c r="S812" i="38"/>
  <c r="S800" i="38"/>
  <c r="S788" i="38"/>
  <c r="S776" i="38"/>
  <c r="S764" i="38"/>
  <c r="S752" i="38"/>
  <c r="S740" i="38"/>
  <c r="S728" i="38"/>
  <c r="S716" i="38"/>
  <c r="S704" i="38"/>
  <c r="S692" i="38"/>
  <c r="S680" i="38"/>
  <c r="S668" i="38"/>
  <c r="S656" i="38"/>
  <c r="S644" i="38"/>
  <c r="S632" i="38"/>
  <c r="S620" i="38"/>
  <c r="S608" i="38"/>
  <c r="S596" i="38"/>
  <c r="S584" i="38"/>
  <c r="S572" i="38"/>
  <c r="S560" i="38"/>
  <c r="S548" i="38"/>
  <c r="S536" i="38"/>
  <c r="S524" i="38"/>
  <c r="S512" i="38"/>
  <c r="S500" i="38"/>
  <c r="S1387" i="38"/>
  <c r="S1375" i="38"/>
  <c r="S1363" i="38"/>
  <c r="S1351" i="38"/>
  <c r="S1339" i="38"/>
  <c r="S1327" i="38"/>
  <c r="S1315" i="38"/>
  <c r="S1303" i="38"/>
  <c r="S1291" i="38"/>
  <c r="S1279" i="38"/>
  <c r="S1267" i="38"/>
  <c r="S1255" i="38"/>
  <c r="S1243" i="38"/>
  <c r="S1231" i="38"/>
  <c r="S1219" i="38"/>
  <c r="S1207" i="38"/>
  <c r="S1195" i="38"/>
  <c r="S1183" i="38"/>
  <c r="S1171" i="38"/>
  <c r="S1159" i="38"/>
  <c r="S1147" i="38"/>
  <c r="S1135" i="38"/>
  <c r="S1123" i="38"/>
  <c r="S1111" i="38"/>
  <c r="S1099" i="38"/>
  <c r="S1087" i="38"/>
  <c r="S1075" i="38"/>
  <c r="S1063" i="38"/>
  <c r="S1051" i="38"/>
  <c r="S1039" i="38"/>
  <c r="S1027" i="38"/>
  <c r="S1015" i="38"/>
  <c r="S1003" i="38"/>
  <c r="S991" i="38"/>
  <c r="S979" i="38"/>
  <c r="S967" i="38"/>
  <c r="S955" i="38"/>
  <c r="S943" i="38"/>
  <c r="S931" i="38"/>
  <c r="S919" i="38"/>
  <c r="S907" i="38"/>
  <c r="S895" i="38"/>
  <c r="S883" i="38"/>
  <c r="S871" i="38"/>
  <c r="S859" i="38"/>
  <c r="S847" i="38"/>
  <c r="S835" i="38"/>
  <c r="S823" i="38"/>
  <c r="S811" i="38"/>
  <c r="S799" i="38"/>
  <c r="S787" i="38"/>
  <c r="S775" i="38"/>
  <c r="S763" i="38"/>
  <c r="S751" i="38"/>
  <c r="S739" i="38"/>
  <c r="S727" i="38"/>
  <c r="S715" i="38"/>
  <c r="S703" i="38"/>
  <c r="S691" i="38"/>
  <c r="S679" i="38"/>
  <c r="S667" i="38"/>
  <c r="S655" i="38"/>
  <c r="S643" i="38"/>
  <c r="S631" i="38"/>
  <c r="S619" i="38"/>
  <c r="S607" i="38"/>
  <c r="S595" i="38"/>
  <c r="S583" i="38"/>
  <c r="S571" i="38"/>
  <c r="S559" i="38"/>
  <c r="S547" i="38"/>
  <c r="S535" i="38"/>
  <c r="S523" i="38"/>
  <c r="S511" i="38"/>
  <c r="S499" i="38"/>
  <c r="S487" i="38"/>
  <c r="S475" i="38"/>
  <c r="S1386" i="38"/>
  <c r="S1374" i="38"/>
  <c r="S1362" i="38"/>
  <c r="S1350" i="38"/>
  <c r="S1338" i="38"/>
  <c r="S1326" i="38"/>
  <c r="S1314" i="38"/>
  <c r="S1302" i="38"/>
  <c r="S1290" i="38"/>
  <c r="S1278" i="38"/>
  <c r="S1266" i="38"/>
  <c r="S1254" i="38"/>
  <c r="S1242" i="38"/>
  <c r="S1230" i="38"/>
  <c r="S1218" i="38"/>
  <c r="S1206" i="38"/>
  <c r="S1194" i="38"/>
  <c r="S1182" i="38"/>
  <c r="S1170" i="38"/>
  <c r="S1158" i="38"/>
  <c r="S1146" i="38"/>
  <c r="S1134" i="38"/>
  <c r="S1122" i="38"/>
  <c r="S1110" i="38"/>
  <c r="S1098" i="38"/>
  <c r="S1086" i="38"/>
  <c r="S1074" i="38"/>
  <c r="S1062" i="38"/>
  <c r="S1050" i="38"/>
  <c r="S1038" i="38"/>
  <c r="S1026" i="38"/>
  <c r="S1014" i="38"/>
  <c r="S1002" i="38"/>
  <c r="S990" i="38"/>
  <c r="S978" i="38"/>
  <c r="S966" i="38"/>
  <c r="S954" i="38"/>
  <c r="S942" i="38"/>
  <c r="S930" i="38"/>
  <c r="S918" i="38"/>
  <c r="S906" i="38"/>
  <c r="S894" i="38"/>
  <c r="S882" i="38"/>
  <c r="S870" i="38"/>
  <c r="S858" i="38"/>
  <c r="S846" i="38"/>
  <c r="S834" i="38"/>
  <c r="S822" i="38"/>
  <c r="S810" i="38"/>
  <c r="S798" i="38"/>
  <c r="S786" i="38"/>
  <c r="S774" i="38"/>
  <c r="S762" i="38"/>
  <c r="S750" i="38"/>
  <c r="S738" i="38"/>
  <c r="S726" i="38"/>
  <c r="S714" i="38"/>
  <c r="S702" i="38"/>
  <c r="S690" i="38"/>
  <c r="S678" i="38"/>
  <c r="S666" i="38"/>
  <c r="S654" i="38"/>
  <c r="S642" i="38"/>
  <c r="S630" i="38"/>
  <c r="S618" i="38"/>
  <c r="S606" i="38"/>
  <c r="S594" i="38"/>
  <c r="S582" i="38"/>
  <c r="S570" i="38"/>
  <c r="S558" i="38"/>
  <c r="S546" i="38"/>
  <c r="S534" i="38"/>
  <c r="S522" i="38"/>
  <c r="S510" i="38"/>
  <c r="S498" i="38"/>
  <c r="S486" i="38"/>
  <c r="S1385" i="38"/>
  <c r="S1373" i="38"/>
  <c r="S1361" i="38"/>
  <c r="S1349" i="38"/>
  <c r="S1337" i="38"/>
  <c r="S1325" i="38"/>
  <c r="S1313" i="38"/>
  <c r="S1301" i="38"/>
  <c r="S1289" i="38"/>
  <c r="S1277" i="38"/>
  <c r="S1265" i="38"/>
  <c r="S1253" i="38"/>
  <c r="S1241" i="38"/>
  <c r="S1229" i="38"/>
  <c r="S1217" i="38"/>
  <c r="S1205" i="38"/>
  <c r="S1193" i="38"/>
  <c r="S1181" i="38"/>
  <c r="S1169" i="38"/>
  <c r="S1157" i="38"/>
  <c r="S1145" i="38"/>
  <c r="S1133" i="38"/>
  <c r="S1121" i="38"/>
  <c r="S1109" i="38"/>
  <c r="S1097" i="38"/>
  <c r="S1085" i="38"/>
  <c r="S1073" i="38"/>
  <c r="S1061" i="38"/>
  <c r="S1049" i="38"/>
  <c r="S1037" i="38"/>
  <c r="S1025" i="38"/>
  <c r="S1013" i="38"/>
  <c r="S1001" i="38"/>
  <c r="S989" i="38"/>
  <c r="S977" i="38"/>
  <c r="S965" i="38"/>
  <c r="S953" i="38"/>
  <c r="S941" i="38"/>
  <c r="S929" i="38"/>
  <c r="S917" i="38"/>
  <c r="S905" i="38"/>
  <c r="S893" i="38"/>
  <c r="S881" i="38"/>
  <c r="S869" i="38"/>
  <c r="S857" i="38"/>
  <c r="S845" i="38"/>
  <c r="S833" i="38"/>
  <c r="S821" i="38"/>
  <c r="S809" i="38"/>
  <c r="S797" i="38"/>
  <c r="S785" i="38"/>
  <c r="S773" i="38"/>
  <c r="S761" i="38"/>
  <c r="S749" i="38"/>
  <c r="S737" i="38"/>
  <c r="S725" i="38"/>
  <c r="S713" i="38"/>
  <c r="S701" i="38"/>
  <c r="S689" i="38"/>
  <c r="S677" i="38"/>
  <c r="S665" i="38"/>
  <c r="S653" i="38"/>
  <c r="S641" i="38"/>
  <c r="S629" i="38"/>
  <c r="S617" i="38"/>
  <c r="S605" i="38"/>
  <c r="S593" i="38"/>
  <c r="S581" i="38"/>
  <c r="S569" i="38"/>
  <c r="S557" i="38"/>
  <c r="S545" i="38"/>
  <c r="S533" i="38"/>
  <c r="S521" i="38"/>
  <c r="S509" i="38"/>
  <c r="S497" i="38"/>
  <c r="S485" i="38"/>
  <c r="S473" i="38"/>
  <c r="S1396" i="38"/>
  <c r="S1384" i="38"/>
  <c r="S1372" i="38"/>
  <c r="S1360" i="38"/>
  <c r="S1348" i="38"/>
  <c r="S1336" i="38"/>
  <c r="S1324" i="38"/>
  <c r="S1312" i="38"/>
  <c r="S1300" i="38"/>
  <c r="S1288" i="38"/>
  <c r="S1276" i="38"/>
  <c r="S1264" i="38"/>
  <c r="S1252" i="38"/>
  <c r="S1240" i="38"/>
  <c r="S1228" i="38"/>
  <c r="S1216" i="38"/>
  <c r="S1204" i="38"/>
  <c r="S1192" i="38"/>
  <c r="S1180" i="38"/>
  <c r="S1168" i="38"/>
  <c r="S1156" i="38"/>
  <c r="S1144" i="38"/>
  <c r="S1132" i="38"/>
  <c r="S1120" i="38"/>
  <c r="S1108" i="38"/>
  <c r="S1096" i="38"/>
  <c r="S1084" i="38"/>
  <c r="S1072" i="38"/>
  <c r="S1060" i="38"/>
  <c r="S1048" i="38"/>
  <c r="S1036" i="38"/>
  <c r="S1024" i="38"/>
  <c r="S1012" i="38"/>
  <c r="S1000" i="38"/>
  <c r="S988" i="38"/>
  <c r="S976" i="38"/>
  <c r="S964" i="38"/>
  <c r="S952" i="38"/>
  <c r="S940" i="38"/>
  <c r="S928" i="38"/>
  <c r="S916" i="38"/>
  <c r="S904" i="38"/>
  <c r="S892" i="38"/>
  <c r="S880" i="38"/>
  <c r="S868" i="38"/>
  <c r="S856" i="38"/>
  <c r="S844" i="38"/>
  <c r="S832" i="38"/>
  <c r="S820" i="38"/>
  <c r="S808" i="38"/>
  <c r="S796" i="38"/>
  <c r="S784" i="38"/>
  <c r="S772" i="38"/>
  <c r="S760" i="38"/>
  <c r="S748" i="38"/>
  <c r="S736" i="38"/>
  <c r="S724" i="38"/>
  <c r="S712" i="38"/>
  <c r="S700" i="38"/>
  <c r="S688" i="38"/>
  <c r="S676" i="38"/>
  <c r="S664" i="38"/>
  <c r="S652" i="38"/>
  <c r="S640" i="38"/>
  <c r="S628" i="38"/>
  <c r="S616" i="38"/>
  <c r="S604" i="38"/>
  <c r="S592" i="38"/>
  <c r="S580" i="38"/>
  <c r="S568" i="38"/>
  <c r="S556" i="38"/>
  <c r="S544" i="38"/>
  <c r="S532" i="38"/>
  <c r="S520" i="38"/>
  <c r="S508" i="38"/>
  <c r="S496" i="38"/>
  <c r="S1215" i="38"/>
  <c r="S1203" i="38"/>
  <c r="S1191" i="38"/>
  <c r="S1179" i="38"/>
  <c r="S1167" i="38"/>
  <c r="S1155" i="38"/>
  <c r="S1143" i="38"/>
  <c r="S1131" i="38"/>
  <c r="S1119" i="38"/>
  <c r="S1107" i="38"/>
  <c r="S1095" i="38"/>
  <c r="S1083" i="38"/>
  <c r="S1071" i="38"/>
  <c r="S1059" i="38"/>
  <c r="S1047" i="38"/>
  <c r="S1035" i="38"/>
  <c r="S1023" i="38"/>
  <c r="S1011" i="38"/>
  <c r="S999" i="38"/>
  <c r="S987" i="38"/>
  <c r="S975" i="38"/>
  <c r="S963" i="38"/>
  <c r="S951" i="38"/>
  <c r="S939" i="38"/>
  <c r="S927" i="38"/>
  <c r="S915" i="38"/>
  <c r="S903" i="38"/>
  <c r="S891" i="38"/>
  <c r="S879" i="38"/>
  <c r="S867" i="38"/>
  <c r="S855" i="38"/>
  <c r="S843" i="38"/>
  <c r="S831" i="38"/>
  <c r="S819" i="38"/>
  <c r="S807" i="38"/>
  <c r="S795" i="38"/>
  <c r="S783" i="38"/>
  <c r="S771" i="38"/>
  <c r="S759" i="38"/>
  <c r="S747" i="38"/>
  <c r="S735" i="38"/>
  <c r="S723" i="38"/>
  <c r="S711" i="38"/>
  <c r="S699" i="38"/>
  <c r="S687" i="38"/>
  <c r="S675" i="38"/>
  <c r="S663" i="38"/>
  <c r="S651" i="38"/>
  <c r="S639" i="38"/>
  <c r="S627" i="38"/>
  <c r="S615" i="38"/>
  <c r="S603" i="38"/>
  <c r="S591" i="38"/>
  <c r="S579" i="38"/>
  <c r="S567" i="38"/>
  <c r="S555" i="38"/>
  <c r="S543" i="38"/>
  <c r="S531" i="38"/>
  <c r="S519" i="38"/>
  <c r="S507" i="38"/>
  <c r="S495" i="38"/>
  <c r="S483" i="38"/>
  <c r="S471" i="38"/>
  <c r="S1394" i="38"/>
  <c r="S1382" i="38"/>
  <c r="S1370" i="38"/>
  <c r="S1358" i="38"/>
  <c r="S1346" i="38"/>
  <c r="S1334" i="38"/>
  <c r="S1322" i="38"/>
  <c r="S1310" i="38"/>
  <c r="S1298" i="38"/>
  <c r="S1286" i="38"/>
  <c r="S1274" i="38"/>
  <c r="S1262" i="38"/>
  <c r="S1250" i="38"/>
  <c r="S1238" i="38"/>
  <c r="S1226" i="38"/>
  <c r="S1214" i="38"/>
  <c r="S1202" i="38"/>
  <c r="S1190" i="38"/>
  <c r="S1178" i="38"/>
  <c r="S1166" i="38"/>
  <c r="S1154" i="38"/>
  <c r="S1142" i="38"/>
  <c r="S1130" i="38"/>
  <c r="S1118" i="38"/>
  <c r="S1106" i="38"/>
  <c r="S1094" i="38"/>
  <c r="S1082" i="38"/>
  <c r="S1070" i="38"/>
  <c r="S1058" i="38"/>
  <c r="S1046" i="38"/>
  <c r="S1034" i="38"/>
  <c r="S1022" i="38"/>
  <c r="S1010" i="38"/>
  <c r="S998" i="38"/>
  <c r="S986" i="38"/>
  <c r="S974" i="38"/>
  <c r="S962" i="38"/>
  <c r="S950" i="38"/>
  <c r="S938" i="38"/>
  <c r="S926" i="38"/>
  <c r="S914" i="38"/>
  <c r="S902" i="38"/>
  <c r="S890" i="38"/>
  <c r="S878" i="38"/>
  <c r="S866" i="38"/>
  <c r="S854" i="38"/>
  <c r="S842" i="38"/>
  <c r="S830" i="38"/>
  <c r="S818" i="38"/>
  <c r="S806" i="38"/>
  <c r="S794" i="38"/>
  <c r="S782" i="38"/>
  <c r="S770" i="38"/>
  <c r="S758" i="38"/>
  <c r="S746" i="38"/>
  <c r="S734" i="38"/>
  <c r="S722" i="38"/>
  <c r="S710" i="38"/>
  <c r="S698" i="38"/>
  <c r="S686" i="38"/>
  <c r="S674" i="38"/>
  <c r="S662" i="38"/>
  <c r="S650" i="38"/>
  <c r="S638" i="38"/>
  <c r="S626" i="38"/>
  <c r="S614" i="38"/>
  <c r="S602" i="38"/>
  <c r="S590" i="38"/>
  <c r="S578" i="38"/>
  <c r="S566" i="38"/>
  <c r="S554" i="38"/>
  <c r="S542" i="38"/>
  <c r="S530" i="38"/>
  <c r="S518" i="38"/>
  <c r="S506" i="38"/>
  <c r="S494" i="38"/>
  <c r="S482" i="38"/>
  <c r="S395" i="38"/>
  <c r="S383" i="38"/>
  <c r="S371" i="38"/>
  <c r="S359" i="38"/>
  <c r="S347" i="38"/>
  <c r="S335" i="38"/>
  <c r="S323" i="38"/>
  <c r="S311" i="38"/>
  <c r="S299" i="38"/>
  <c r="S287" i="38"/>
  <c r="S275" i="38"/>
  <c r="S263" i="38"/>
  <c r="S251" i="38"/>
  <c r="S239" i="38"/>
  <c r="S227" i="38"/>
  <c r="S215" i="38"/>
  <c r="S203" i="38"/>
  <c r="S191" i="38"/>
  <c r="S179" i="38"/>
  <c r="S167" i="38"/>
  <c r="S155" i="38"/>
  <c r="S143" i="38"/>
  <c r="S131" i="38"/>
  <c r="S119" i="38"/>
  <c r="S107" i="38"/>
  <c r="S95" i="38"/>
  <c r="S83" i="38"/>
  <c r="S71" i="38"/>
  <c r="S59" i="38"/>
  <c r="S47" i="38"/>
  <c r="S35" i="38"/>
  <c r="S23" i="38"/>
  <c r="S11" i="38"/>
  <c r="S358" i="38"/>
  <c r="S346" i="38"/>
  <c r="S334" i="38"/>
  <c r="S322" i="38"/>
  <c r="S310" i="38"/>
  <c r="S298" i="38"/>
  <c r="S286" i="38"/>
  <c r="S274" i="38"/>
  <c r="S262" i="38"/>
  <c r="S250" i="38"/>
  <c r="S238" i="38"/>
  <c r="S226" i="38"/>
  <c r="S214" i="38"/>
  <c r="S202" i="38"/>
  <c r="S190" i="38"/>
  <c r="S178" i="38"/>
  <c r="S166" i="38"/>
  <c r="S154" i="38"/>
  <c r="S142" i="38"/>
  <c r="S130" i="38"/>
  <c r="S118" i="38"/>
  <c r="S106" i="38"/>
  <c r="S94" i="38"/>
  <c r="S82" i="38"/>
  <c r="S70" i="38"/>
  <c r="S58" i="38"/>
  <c r="S46" i="38"/>
  <c r="S34" i="38"/>
  <c r="S22" i="38"/>
  <c r="S10" i="38"/>
  <c r="S477" i="38"/>
  <c r="S465" i="38"/>
  <c r="S453" i="38"/>
  <c r="S441" i="38"/>
  <c r="S429" i="38"/>
  <c r="S417" i="38"/>
  <c r="S405" i="38"/>
  <c r="S393" i="38"/>
  <c r="S381" i="38"/>
  <c r="S369" i="38"/>
  <c r="S357" i="38"/>
  <c r="S345" i="38"/>
  <c r="S333" i="38"/>
  <c r="S321" i="38"/>
  <c r="S309" i="38"/>
  <c r="S297" i="38"/>
  <c r="S285" i="38"/>
  <c r="S273" i="38"/>
  <c r="S261" i="38"/>
  <c r="S249" i="38"/>
  <c r="S237" i="38"/>
  <c r="S225" i="38"/>
  <c r="S213" i="38"/>
  <c r="S201" i="38"/>
  <c r="S189" i="38"/>
  <c r="S177" i="38"/>
  <c r="S165" i="38"/>
  <c r="S153" i="38"/>
  <c r="S141" i="38"/>
  <c r="S129" i="38"/>
  <c r="S117" i="38"/>
  <c r="S105" i="38"/>
  <c r="S93" i="38"/>
  <c r="S81" i="38"/>
  <c r="S69" i="38"/>
  <c r="S57" i="38"/>
  <c r="S45" i="38"/>
  <c r="S33" i="38"/>
  <c r="S21" i="38"/>
  <c r="S9" i="38"/>
  <c r="S488" i="38"/>
  <c r="S476" i="38"/>
  <c r="S464" i="38"/>
  <c r="S452" i="38"/>
  <c r="S440" i="38"/>
  <c r="S428" i="38"/>
  <c r="S416" i="38"/>
  <c r="S404" i="38"/>
  <c r="S392" i="38"/>
  <c r="S380" i="38"/>
  <c r="S368" i="38"/>
  <c r="S356" i="38"/>
  <c r="S344" i="38"/>
  <c r="S332" i="38"/>
  <c r="S320" i="38"/>
  <c r="S308" i="38"/>
  <c r="S296" i="38"/>
  <c r="S284" i="38"/>
  <c r="S272" i="38"/>
  <c r="S260" i="38"/>
  <c r="S248" i="38"/>
  <c r="S236" i="38"/>
  <c r="S224" i="38"/>
  <c r="S212" i="38"/>
  <c r="S200" i="38"/>
  <c r="S188" i="38"/>
  <c r="S176" i="38"/>
  <c r="S164" i="38"/>
  <c r="S152" i="38"/>
  <c r="S140" i="38"/>
  <c r="S128" i="38"/>
  <c r="S116" i="38"/>
  <c r="S104" i="38"/>
  <c r="S92" i="38"/>
  <c r="S80" i="38"/>
  <c r="S68" i="38"/>
  <c r="S56" i="38"/>
  <c r="S44" i="38"/>
  <c r="S32" i="38"/>
  <c r="S20" i="38"/>
  <c r="S8" i="38"/>
  <c r="S463" i="38"/>
  <c r="S451" i="38"/>
  <c r="S439" i="38"/>
  <c r="S427" i="38"/>
  <c r="S415" i="38"/>
  <c r="S403" i="38"/>
  <c r="S391" i="38"/>
  <c r="S379" i="38"/>
  <c r="S367" i="38"/>
  <c r="S355" i="38"/>
  <c r="S343" i="38"/>
  <c r="S331" i="38"/>
  <c r="S319" i="38"/>
  <c r="S307" i="38"/>
  <c r="S295" i="38"/>
  <c r="S283" i="38"/>
  <c r="S271" i="38"/>
  <c r="S259" i="38"/>
  <c r="S247" i="38"/>
  <c r="S235" i="38"/>
  <c r="S223" i="38"/>
  <c r="S211" i="38"/>
  <c r="S199" i="38"/>
  <c r="S187" i="38"/>
  <c r="S175" i="38"/>
  <c r="S163" i="38"/>
  <c r="S151" i="38"/>
  <c r="S139" i="38"/>
  <c r="S127" i="38"/>
  <c r="S115" i="38"/>
  <c r="S103" i="38"/>
  <c r="S91" i="38"/>
  <c r="S79" i="38"/>
  <c r="S67" i="38"/>
  <c r="S55" i="38"/>
  <c r="S43" i="38"/>
  <c r="S31" i="38"/>
  <c r="S19" i="38"/>
  <c r="S7" i="38"/>
  <c r="S474" i="38"/>
  <c r="S462" i="38"/>
  <c r="S450" i="38"/>
  <c r="S438" i="38"/>
  <c r="S426" i="38"/>
  <c r="S414" i="38"/>
  <c r="S402" i="38"/>
  <c r="S390" i="38"/>
  <c r="S378" i="38"/>
  <c r="S366" i="38"/>
  <c r="S354" i="38"/>
  <c r="S342" i="38"/>
  <c r="S330" i="38"/>
  <c r="S318" i="38"/>
  <c r="S306" i="38"/>
  <c r="S294" i="38"/>
  <c r="S282" i="38"/>
  <c r="S270" i="38"/>
  <c r="S258" i="38"/>
  <c r="S246" i="38"/>
  <c r="S234" i="38"/>
  <c r="S222" i="38"/>
  <c r="S210" i="38"/>
  <c r="S198" i="38"/>
  <c r="S186" i="38"/>
  <c r="S174" i="38"/>
  <c r="S162" i="38"/>
  <c r="S150" i="38"/>
  <c r="S138" i="38"/>
  <c r="S126" i="38"/>
  <c r="S114" i="38"/>
  <c r="S102" i="38"/>
  <c r="S90" i="38"/>
  <c r="S78" i="38"/>
  <c r="S66" i="38"/>
  <c r="S54" i="38"/>
  <c r="S42" i="38"/>
  <c r="S30" i="38"/>
  <c r="S18" i="38"/>
  <c r="S6" i="38"/>
  <c r="S461" i="38"/>
  <c r="S449" i="38"/>
  <c r="S437" i="38"/>
  <c r="S425" i="38"/>
  <c r="S413" i="38"/>
  <c r="S401" i="38"/>
  <c r="S389" i="38"/>
  <c r="S377" i="38"/>
  <c r="S365" i="38"/>
  <c r="S353" i="38"/>
  <c r="S341" i="38"/>
  <c r="S329" i="38"/>
  <c r="S317" i="38"/>
  <c r="S305" i="38"/>
  <c r="S293" i="38"/>
  <c r="S281" i="38"/>
  <c r="S269" i="38"/>
  <c r="S257" i="38"/>
  <c r="S245" i="38"/>
  <c r="S233" i="38"/>
  <c r="S221" i="38"/>
  <c r="S209" i="38"/>
  <c r="S197" i="38"/>
  <c r="S185" i="38"/>
  <c r="S173" i="38"/>
  <c r="S161" i="38"/>
  <c r="S149" i="38"/>
  <c r="S137" i="38"/>
  <c r="S125" i="38"/>
  <c r="S113" i="38"/>
  <c r="S101" i="38"/>
  <c r="S89" i="38"/>
  <c r="S77" i="38"/>
  <c r="S65" i="38"/>
  <c r="S53" i="38"/>
  <c r="S41" i="38"/>
  <c r="S29" i="38"/>
  <c r="S17" i="38"/>
  <c r="S5" i="38"/>
  <c r="S484" i="38"/>
  <c r="S472" i="38"/>
  <c r="S460" i="38"/>
  <c r="S448" i="38"/>
  <c r="S436" i="38"/>
  <c r="S424" i="38"/>
  <c r="S412" i="38"/>
  <c r="S400" i="38"/>
  <c r="S388" i="38"/>
  <c r="S376" i="38"/>
  <c r="S364" i="38"/>
  <c r="S352" i="38"/>
  <c r="S340" i="38"/>
  <c r="S328" i="38"/>
  <c r="S316" i="38"/>
  <c r="S304" i="38"/>
  <c r="S292" i="38"/>
  <c r="S280" i="38"/>
  <c r="S268" i="38"/>
  <c r="S256" i="38"/>
  <c r="S244" i="38"/>
  <c r="S232" i="38"/>
  <c r="S220" i="38"/>
  <c r="S208" i="38"/>
  <c r="S196" i="38"/>
  <c r="S184" i="38"/>
  <c r="S172" i="38"/>
  <c r="S160" i="38"/>
  <c r="S148" i="38"/>
  <c r="S136" i="38"/>
  <c r="S124" i="38"/>
  <c r="S112" i="38"/>
  <c r="S100" i="38"/>
  <c r="S88" i="38"/>
  <c r="S76" i="38"/>
  <c r="S64" i="38"/>
  <c r="S52" i="38"/>
  <c r="S40" i="38"/>
  <c r="S28" i="38"/>
  <c r="S16" i="38"/>
  <c r="S4" i="38"/>
  <c r="S459" i="38"/>
  <c r="S447" i="38"/>
  <c r="S435" i="38"/>
  <c r="S423" i="38"/>
  <c r="S411" i="38"/>
  <c r="S399" i="38"/>
  <c r="S387" i="38"/>
  <c r="S375" i="38"/>
  <c r="S363" i="38"/>
  <c r="S351" i="38"/>
  <c r="S339" i="38"/>
  <c r="S327" i="38"/>
  <c r="S315" i="38"/>
  <c r="S303" i="38"/>
  <c r="S291" i="38"/>
  <c r="S279" i="38"/>
  <c r="S267" i="38"/>
  <c r="S255" i="38"/>
  <c r="S243" i="38"/>
  <c r="S231" i="38"/>
  <c r="S219" i="38"/>
  <c r="S207" i="38"/>
  <c r="S195" i="38"/>
  <c r="S183" i="38"/>
  <c r="S171" i="38"/>
  <c r="S159" i="38"/>
  <c r="S147" i="38"/>
  <c r="S135" i="38"/>
  <c r="S123" i="38"/>
  <c r="S111" i="38"/>
  <c r="S99" i="38"/>
  <c r="S87" i="38"/>
  <c r="S75" i="38"/>
  <c r="S63" i="38"/>
  <c r="S51" i="38"/>
  <c r="S39" i="38"/>
  <c r="S27" i="38"/>
  <c r="S15" i="38"/>
  <c r="S3" i="38"/>
  <c r="S470" i="38"/>
  <c r="S458" i="38"/>
  <c r="S446" i="38"/>
  <c r="S434" i="38"/>
  <c r="S422" i="38"/>
  <c r="S410" i="38"/>
  <c r="S398" i="38"/>
  <c r="S386" i="38"/>
  <c r="S374" i="38"/>
  <c r="S362" i="38"/>
  <c r="S350" i="38"/>
  <c r="S338" i="38"/>
  <c r="S326" i="38"/>
  <c r="S314" i="38"/>
  <c r="S302" i="38"/>
  <c r="S290" i="38"/>
  <c r="S278" i="38"/>
  <c r="S266" i="38"/>
  <c r="S254" i="38"/>
  <c r="S242" i="38"/>
  <c r="S230" i="38"/>
  <c r="S218" i="38"/>
  <c r="S206" i="38"/>
  <c r="S194" i="38"/>
  <c r="S182" i="38"/>
  <c r="S170" i="38"/>
  <c r="S158" i="38"/>
  <c r="S146" i="38"/>
  <c r="S134" i="38"/>
  <c r="S122" i="38"/>
  <c r="S110" i="38"/>
  <c r="S98" i="38"/>
  <c r="S86" i="38"/>
  <c r="S74" i="38"/>
  <c r="S62" i="38"/>
  <c r="S50" i="38"/>
  <c r="S38" i="38"/>
  <c r="S26" i="38"/>
  <c r="S14" i="38"/>
  <c r="S2" i="38"/>
  <c r="S492" i="38"/>
  <c r="S480" i="38"/>
  <c r="S468" i="38"/>
  <c r="S456" i="38"/>
  <c r="S444" i="38"/>
  <c r="S432" i="38"/>
  <c r="S420" i="38"/>
  <c r="S408" i="38"/>
  <c r="S396" i="38"/>
  <c r="S384" i="38"/>
  <c r="S372" i="38"/>
  <c r="S360" i="38"/>
  <c r="S348" i="38"/>
  <c r="S336" i="38"/>
  <c r="S324" i="38"/>
  <c r="S312" i="38"/>
  <c r="S300" i="38"/>
  <c r="S288" i="38"/>
  <c r="S276" i="38"/>
  <c r="S264" i="38"/>
  <c r="S252" i="38"/>
  <c r="S240" i="38"/>
  <c r="S228" i="38"/>
  <c r="S216" i="38"/>
  <c r="S204" i="38"/>
  <c r="S192" i="38"/>
  <c r="S180" i="38"/>
  <c r="S168" i="38"/>
  <c r="S156" i="38"/>
  <c r="S144" i="38"/>
  <c r="S132" i="38"/>
  <c r="S120" i="38"/>
  <c r="S108" i="38"/>
  <c r="S96" i="38"/>
  <c r="S84" i="38"/>
  <c r="S72" i="38"/>
  <c r="S60" i="38"/>
  <c r="S48" i="38"/>
  <c r="S36" i="38"/>
  <c r="S24" i="38"/>
  <c r="S12" i="38"/>
  <c r="R1393" i="38"/>
  <c r="R1381" i="38"/>
  <c r="R1369" i="38"/>
  <c r="R1357" i="38"/>
  <c r="R1345" i="38"/>
  <c r="R1333" i="38"/>
  <c r="R1321" i="38"/>
  <c r="R1309" i="38"/>
  <c r="R1297" i="38"/>
  <c r="R1285" i="38"/>
  <c r="R1273" i="38"/>
  <c r="R1261" i="38"/>
  <c r="R1249" i="38"/>
  <c r="R1237" i="38"/>
  <c r="R1225" i="38"/>
  <c r="R1213" i="38"/>
  <c r="R1201" i="38"/>
  <c r="R1189" i="38"/>
  <c r="R1177" i="38"/>
  <c r="R1165" i="38"/>
  <c r="R1153" i="38"/>
  <c r="R1141" i="38"/>
  <c r="R1129" i="38"/>
  <c r="R1117" i="38"/>
  <c r="R1105" i="38"/>
  <c r="R1093" i="38"/>
  <c r="R1081" i="38"/>
  <c r="R1069" i="38"/>
  <c r="R1057" i="38"/>
  <c r="R1045" i="38"/>
  <c r="R1033" i="38"/>
  <c r="R1392" i="38"/>
  <c r="R1380" i="38"/>
  <c r="R1368" i="38"/>
  <c r="R1356" i="38"/>
  <c r="R1344" i="38"/>
  <c r="R1332" i="38"/>
  <c r="R1320" i="38"/>
  <c r="R1308" i="38"/>
  <c r="R1296" i="38"/>
  <c r="R1284" i="38"/>
  <c r="R1272" i="38"/>
  <c r="R1260" i="38"/>
  <c r="R1248" i="38"/>
  <c r="R1236" i="38"/>
  <c r="R1224" i="38"/>
  <c r="R1212" i="38"/>
  <c r="R1200" i="38"/>
  <c r="R1188" i="38"/>
  <c r="R1176" i="38"/>
  <c r="R1164" i="38"/>
  <c r="R1152" i="38"/>
  <c r="R1140" i="38"/>
  <c r="R1128" i="38"/>
  <c r="R1116" i="38"/>
  <c r="R1104" i="38"/>
  <c r="R1092" i="38"/>
  <c r="R1080" i="38"/>
  <c r="R1068" i="38"/>
  <c r="R1056" i="38"/>
  <c r="R1044" i="38"/>
  <c r="R1032" i="38"/>
  <c r="R1020" i="38"/>
  <c r="R1008" i="38"/>
  <c r="R996" i="38"/>
  <c r="R984" i="38"/>
  <c r="R1391" i="38"/>
  <c r="R1379" i="38"/>
  <c r="R1367" i="38"/>
  <c r="R1355" i="38"/>
  <c r="R1343" i="38"/>
  <c r="R1331" i="38"/>
  <c r="R1319" i="38"/>
  <c r="R1307" i="38"/>
  <c r="R1295" i="38"/>
  <c r="R1283" i="38"/>
  <c r="R1271" i="38"/>
  <c r="R1259" i="38"/>
  <c r="R1247" i="38"/>
  <c r="R1235" i="38"/>
  <c r="R1223" i="38"/>
  <c r="R1211" i="38"/>
  <c r="R1199" i="38"/>
  <c r="R1187" i="38"/>
  <c r="R1175" i="38"/>
  <c r="R1163" i="38"/>
  <c r="R1151" i="38"/>
  <c r="R1139" i="38"/>
  <c r="R1127" i="38"/>
  <c r="R1115" i="38"/>
  <c r="R1103" i="38"/>
  <c r="R1091" i="38"/>
  <c r="R1079" i="38"/>
  <c r="R1067" i="38"/>
  <c r="R1055" i="38"/>
  <c r="R1043" i="38"/>
  <c r="R1031" i="38"/>
  <c r="R1019" i="38"/>
  <c r="R1007" i="38"/>
  <c r="R995" i="38"/>
  <c r="R983" i="38"/>
  <c r="R971" i="38"/>
  <c r="R959" i="38"/>
  <c r="R947" i="38"/>
  <c r="R935" i="38"/>
  <c r="R923" i="38"/>
  <c r="R1390" i="38"/>
  <c r="R1378" i="38"/>
  <c r="R1366" i="38"/>
  <c r="R1354" i="38"/>
  <c r="R1342" i="38"/>
  <c r="R1330" i="38"/>
  <c r="R1318" i="38"/>
  <c r="R1306" i="38"/>
  <c r="R1294" i="38"/>
  <c r="R1282" i="38"/>
  <c r="R1270" i="38"/>
  <c r="R1258" i="38"/>
  <c r="R1246" i="38"/>
  <c r="R1234" i="38"/>
  <c r="R1222" i="38"/>
  <c r="R1210" i="38"/>
  <c r="R1198" i="38"/>
  <c r="R1186" i="38"/>
  <c r="R1174" i="38"/>
  <c r="R1162" i="38"/>
  <c r="R1150" i="38"/>
  <c r="R1138" i="38"/>
  <c r="R1126" i="38"/>
  <c r="R1114" i="38"/>
  <c r="R1102" i="38"/>
  <c r="R1090" i="38"/>
  <c r="R1078" i="38"/>
  <c r="R1066" i="38"/>
  <c r="R1054" i="38"/>
  <c r="R1042" i="38"/>
  <c r="R1030" i="38"/>
  <c r="R1018" i="38"/>
  <c r="R1389" i="38"/>
  <c r="R1377" i="38"/>
  <c r="R1365" i="38"/>
  <c r="R1353" i="38"/>
  <c r="R1341" i="38"/>
  <c r="R1329" i="38"/>
  <c r="R1317" i="38"/>
  <c r="R1305" i="38"/>
  <c r="R1293" i="38"/>
  <c r="R1281" i="38"/>
  <c r="R1269" i="38"/>
  <c r="R1257" i="38"/>
  <c r="R1245" i="38"/>
  <c r="R1233" i="38"/>
  <c r="R1221" i="38"/>
  <c r="R1209" i="38"/>
  <c r="R1197" i="38"/>
  <c r="R1185" i="38"/>
  <c r="R1173" i="38"/>
  <c r="R1161" i="38"/>
  <c r="R1149" i="38"/>
  <c r="R1137" i="38"/>
  <c r="R1125" i="38"/>
  <c r="R1113" i="38"/>
  <c r="R1101" i="38"/>
  <c r="R1089" i="38"/>
  <c r="R1077" i="38"/>
  <c r="R1065" i="38"/>
  <c r="R1053" i="38"/>
  <c r="R1041" i="38"/>
  <c r="R1029" i="38"/>
  <c r="R1017" i="38"/>
  <c r="R1005" i="38"/>
  <c r="R1388" i="38"/>
  <c r="R1376" i="38"/>
  <c r="R1364" i="38"/>
  <c r="R1352" i="38"/>
  <c r="R1340" i="38"/>
  <c r="R1328" i="38"/>
  <c r="R1316" i="38"/>
  <c r="R1304" i="38"/>
  <c r="R1292" i="38"/>
  <c r="R1280" i="38"/>
  <c r="R1268" i="38"/>
  <c r="R1256" i="38"/>
  <c r="R1244" i="38"/>
  <c r="R1232" i="38"/>
  <c r="R1220" i="38"/>
  <c r="R1208" i="38"/>
  <c r="R1196" i="38"/>
  <c r="R1184" i="38"/>
  <c r="R1172" i="38"/>
  <c r="R1160" i="38"/>
  <c r="R1148" i="38"/>
  <c r="R1136" i="38"/>
  <c r="R1124" i="38"/>
  <c r="R1112" i="38"/>
  <c r="R1100" i="38"/>
  <c r="R1088" i="38"/>
  <c r="R1076" i="38"/>
  <c r="R1064" i="38"/>
  <c r="R1052" i="38"/>
  <c r="R1040" i="38"/>
  <c r="R1028" i="38"/>
  <c r="R1016" i="38"/>
  <c r="R1004" i="38"/>
  <c r="R992" i="38"/>
  <c r="R980" i="38"/>
  <c r="R968" i="38"/>
  <c r="R956" i="38"/>
  <c r="R1387" i="38"/>
  <c r="R1375" i="38"/>
  <c r="R1363" i="38"/>
  <c r="R1351" i="38"/>
  <c r="R1339" i="38"/>
  <c r="R1327" i="38"/>
  <c r="R1315" i="38"/>
  <c r="R1303" i="38"/>
  <c r="R1291" i="38"/>
  <c r="R1279" i="38"/>
  <c r="R1267" i="38"/>
  <c r="R1255" i="38"/>
  <c r="R1243" i="38"/>
  <c r="R1231" i="38"/>
  <c r="R1219" i="38"/>
  <c r="R1207" i="38"/>
  <c r="R1195" i="38"/>
  <c r="R1183" i="38"/>
  <c r="R1171" i="38"/>
  <c r="R1159" i="38"/>
  <c r="R1147" i="38"/>
  <c r="R1135" i="38"/>
  <c r="R1123" i="38"/>
  <c r="R1111" i="38"/>
  <c r="R1099" i="38"/>
  <c r="R1087" i="38"/>
  <c r="R1075" i="38"/>
  <c r="R1063" i="38"/>
  <c r="R1051" i="38"/>
  <c r="R1039" i="38"/>
  <c r="R1027" i="38"/>
  <c r="R1015" i="38"/>
  <c r="R1003" i="38"/>
  <c r="R1386" i="38"/>
  <c r="R1374" i="38"/>
  <c r="R1362" i="38"/>
  <c r="R1350" i="38"/>
  <c r="R1338" i="38"/>
  <c r="R1326" i="38"/>
  <c r="R1314" i="38"/>
  <c r="R1302" i="38"/>
  <c r="R1290" i="38"/>
  <c r="R1278" i="38"/>
  <c r="R1266" i="38"/>
  <c r="R1254" i="38"/>
  <c r="R1242" i="38"/>
  <c r="R1230" i="38"/>
  <c r="R1218" i="38"/>
  <c r="R1206" i="38"/>
  <c r="R1194" i="38"/>
  <c r="R1182" i="38"/>
  <c r="R1170" i="38"/>
  <c r="R1158" i="38"/>
  <c r="R1146" i="38"/>
  <c r="R1134" i="38"/>
  <c r="R1122" i="38"/>
  <c r="R1110" i="38"/>
  <c r="R1098" i="38"/>
  <c r="R1086" i="38"/>
  <c r="R1074" i="38"/>
  <c r="R1062" i="38"/>
  <c r="R1050" i="38"/>
  <c r="R1038" i="38"/>
  <c r="R1026" i="38"/>
  <c r="R1014" i="38"/>
  <c r="R1385" i="38"/>
  <c r="R1373" i="38"/>
  <c r="R1361" i="38"/>
  <c r="R1349" i="38"/>
  <c r="R1337" i="38"/>
  <c r="R1325" i="38"/>
  <c r="R1313" i="38"/>
  <c r="R1301" i="38"/>
  <c r="R1289" i="38"/>
  <c r="R1277" i="38"/>
  <c r="R1265" i="38"/>
  <c r="R1253" i="38"/>
  <c r="R1241" i="38"/>
  <c r="R1229" i="38"/>
  <c r="R1217" i="38"/>
  <c r="R1205" i="38"/>
  <c r="R1193" i="38"/>
  <c r="R1181" i="38"/>
  <c r="R1169" i="38"/>
  <c r="R1157" i="38"/>
  <c r="R1145" i="38"/>
  <c r="R1133" i="38"/>
  <c r="R1121" i="38"/>
  <c r="R1109" i="38"/>
  <c r="R1097" i="38"/>
  <c r="R1085" i="38"/>
  <c r="R1073" i="38"/>
  <c r="R1061" i="38"/>
  <c r="R1049" i="38"/>
  <c r="R1037" i="38"/>
  <c r="R1025" i="38"/>
  <c r="R1396" i="38"/>
  <c r="R1384" i="38"/>
  <c r="R1372" i="38"/>
  <c r="R1360" i="38"/>
  <c r="R1348" i="38"/>
  <c r="R1336" i="38"/>
  <c r="R1324" i="38"/>
  <c r="R1312" i="38"/>
  <c r="R1300" i="38"/>
  <c r="R1288" i="38"/>
  <c r="R1276" i="38"/>
  <c r="R1264" i="38"/>
  <c r="R1252" i="38"/>
  <c r="R1240" i="38"/>
  <c r="R1228" i="38"/>
  <c r="R1216" i="38"/>
  <c r="R1204" i="38"/>
  <c r="R1192" i="38"/>
  <c r="R1180" i="38"/>
  <c r="R1168" i="38"/>
  <c r="R1156" i="38"/>
  <c r="R1144" i="38"/>
  <c r="R1132" i="38"/>
  <c r="R1120" i="38"/>
  <c r="R1108" i="38"/>
  <c r="R1096" i="38"/>
  <c r="R1084" i="38"/>
  <c r="R1072" i="38"/>
  <c r="R1060" i="38"/>
  <c r="R1048" i="38"/>
  <c r="R1036" i="38"/>
  <c r="R1024" i="38"/>
  <c r="R1395" i="38"/>
  <c r="R1383" i="38"/>
  <c r="R1371" i="38"/>
  <c r="R1359" i="38"/>
  <c r="R1347" i="38"/>
  <c r="R1335" i="38"/>
  <c r="R1323" i="38"/>
  <c r="R1311" i="38"/>
  <c r="R1299" i="38"/>
  <c r="R1287" i="38"/>
  <c r="R1275" i="38"/>
  <c r="R1263" i="38"/>
  <c r="R1251" i="38"/>
  <c r="R1239" i="38"/>
  <c r="R1227" i="38"/>
  <c r="R1215" i="38"/>
  <c r="R1203" i="38"/>
  <c r="R1191" i="38"/>
  <c r="R1179" i="38"/>
  <c r="R1167" i="38"/>
  <c r="R1155" i="38"/>
  <c r="R1143" i="38"/>
  <c r="R1131" i="38"/>
  <c r="R1119" i="38"/>
  <c r="R1107" i="38"/>
  <c r="R1095" i="38"/>
  <c r="R1083" i="38"/>
  <c r="R1071" i="38"/>
  <c r="R1059" i="38"/>
  <c r="R1047" i="38"/>
  <c r="R1035" i="38"/>
  <c r="R1023" i="38"/>
  <c r="R1011" i="38"/>
  <c r="R999" i="38"/>
  <c r="R1394" i="38"/>
  <c r="R1382" i="38"/>
  <c r="R1370" i="38"/>
  <c r="R1358" i="38"/>
  <c r="R1346" i="38"/>
  <c r="R1334" i="38"/>
  <c r="R1322" i="38"/>
  <c r="R1310" i="38"/>
  <c r="R1298" i="38"/>
  <c r="R1286" i="38"/>
  <c r="R1274" i="38"/>
  <c r="R1262" i="38"/>
  <c r="R1250" i="38"/>
  <c r="R1238" i="38"/>
  <c r="R1226" i="38"/>
  <c r="R1214" i="38"/>
  <c r="R1202" i="38"/>
  <c r="R1190" i="38"/>
  <c r="R1178" i="38"/>
  <c r="R1166" i="38"/>
  <c r="R1154" i="38"/>
  <c r="R1142" i="38"/>
  <c r="R1130" i="38"/>
  <c r="R1118" i="38"/>
  <c r="R1106" i="38"/>
  <c r="R1094" i="38"/>
  <c r="R1082" i="38"/>
  <c r="R1070" i="38"/>
  <c r="R1058" i="38"/>
  <c r="R1046" i="38"/>
  <c r="R1034" i="38"/>
  <c r="R1021" i="38"/>
  <c r="R1009" i="38"/>
  <c r="R997" i="38"/>
  <c r="R985" i="38"/>
  <c r="R973" i="38"/>
  <c r="R961" i="38"/>
  <c r="R949" i="38"/>
  <c r="R937" i="38"/>
  <c r="R925" i="38"/>
  <c r="R913" i="38"/>
  <c r="R901" i="38"/>
  <c r="R889" i="38"/>
  <c r="R877" i="38"/>
  <c r="R865" i="38"/>
  <c r="R853" i="38"/>
  <c r="R841" i="38"/>
  <c r="R829" i="38"/>
  <c r="R817" i="38"/>
  <c r="R805" i="38"/>
  <c r="R793" i="38"/>
  <c r="R781" i="38"/>
  <c r="R769" i="38"/>
  <c r="R757" i="38"/>
  <c r="R745" i="38"/>
  <c r="R733" i="38"/>
  <c r="R721" i="38"/>
  <c r="R709" i="38"/>
  <c r="R697" i="38"/>
  <c r="R685" i="38"/>
  <c r="R673" i="38"/>
  <c r="R661" i="38"/>
  <c r="R649" i="38"/>
  <c r="R637" i="38"/>
  <c r="R625" i="38"/>
  <c r="R613" i="38"/>
  <c r="R601" i="38"/>
  <c r="R589" i="38"/>
  <c r="R577" i="38"/>
  <c r="R565" i="38"/>
  <c r="R553" i="38"/>
  <c r="R541" i="38"/>
  <c r="R529" i="38"/>
  <c r="R517" i="38"/>
  <c r="R505" i="38"/>
  <c r="R493" i="38"/>
  <c r="R481" i="38"/>
  <c r="R469" i="38"/>
  <c r="R457" i="38"/>
  <c r="R445" i="38"/>
  <c r="R433" i="38"/>
  <c r="R421" i="38"/>
  <c r="R409" i="38"/>
  <c r="R397" i="38"/>
  <c r="R385" i="38"/>
  <c r="R373" i="38"/>
  <c r="R361" i="38"/>
  <c r="R349" i="38"/>
  <c r="R337" i="38"/>
  <c r="R325" i="38"/>
  <c r="R313" i="38"/>
  <c r="R301" i="38"/>
  <c r="R289" i="38"/>
  <c r="R277" i="38"/>
  <c r="R265" i="38"/>
  <c r="R253" i="38"/>
  <c r="R241" i="38"/>
  <c r="R229" i="38"/>
  <c r="R217" i="38"/>
  <c r="R205" i="38"/>
  <c r="R193" i="38"/>
  <c r="R181" i="38"/>
  <c r="R169" i="38"/>
  <c r="R157" i="38"/>
  <c r="R145" i="38"/>
  <c r="R133" i="38"/>
  <c r="R121" i="38"/>
  <c r="R109" i="38"/>
  <c r="R97" i="38"/>
  <c r="R85" i="38"/>
  <c r="R73" i="38"/>
  <c r="R61" i="38"/>
  <c r="R49" i="38"/>
  <c r="R37" i="38"/>
  <c r="R25" i="38"/>
  <c r="R13" i="38"/>
  <c r="R972" i="38"/>
  <c r="R960" i="38"/>
  <c r="R948" i="38"/>
  <c r="R936" i="38"/>
  <c r="R924" i="38"/>
  <c r="R912" i="38"/>
  <c r="R900" i="38"/>
  <c r="R888" i="38"/>
  <c r="R876" i="38"/>
  <c r="R864" i="38"/>
  <c r="R852" i="38"/>
  <c r="R840" i="38"/>
  <c r="R828" i="38"/>
  <c r="R816" i="38"/>
  <c r="R804" i="38"/>
  <c r="R792" i="38"/>
  <c r="R780" i="38"/>
  <c r="R768" i="38"/>
  <c r="R756" i="38"/>
  <c r="R744" i="38"/>
  <c r="R732" i="38"/>
  <c r="R720" i="38"/>
  <c r="R708" i="38"/>
  <c r="R696" i="38"/>
  <c r="R684" i="38"/>
  <c r="R672" i="38"/>
  <c r="R660" i="38"/>
  <c r="R648" i="38"/>
  <c r="R636" i="38"/>
  <c r="R624" i="38"/>
  <c r="R612" i="38"/>
  <c r="R600" i="38"/>
  <c r="R588" i="38"/>
  <c r="R576" i="38"/>
  <c r="R564" i="38"/>
  <c r="R552" i="38"/>
  <c r="R540" i="38"/>
  <c r="R528" i="38"/>
  <c r="R516" i="38"/>
  <c r="R504" i="38"/>
  <c r="R492" i="38"/>
  <c r="R480" i="38"/>
  <c r="R468" i="38"/>
  <c r="R456" i="38"/>
  <c r="R444" i="38"/>
  <c r="R432" i="38"/>
  <c r="R420" i="38"/>
  <c r="R911" i="38"/>
  <c r="R899" i="38"/>
  <c r="R887" i="38"/>
  <c r="R875" i="38"/>
  <c r="R863" i="38"/>
  <c r="R851" i="38"/>
  <c r="R839" i="38"/>
  <c r="R827" i="38"/>
  <c r="R815" i="38"/>
  <c r="R803" i="38"/>
  <c r="R791" i="38"/>
  <c r="R779" i="38"/>
  <c r="R767" i="38"/>
  <c r="R755" i="38"/>
  <c r="R743" i="38"/>
  <c r="R731" i="38"/>
  <c r="R719" i="38"/>
  <c r="R707" i="38"/>
  <c r="R695" i="38"/>
  <c r="R683" i="38"/>
  <c r="R671" i="38"/>
  <c r="R659" i="38"/>
  <c r="R647" i="38"/>
  <c r="R635" i="38"/>
  <c r="R623" i="38"/>
  <c r="R611" i="38"/>
  <c r="R599" i="38"/>
  <c r="R587" i="38"/>
  <c r="R575" i="38"/>
  <c r="R563" i="38"/>
  <c r="R551" i="38"/>
  <c r="R539" i="38"/>
  <c r="R527" i="38"/>
  <c r="R515" i="38"/>
  <c r="R503" i="38"/>
  <c r="R491" i="38"/>
  <c r="R479" i="38"/>
  <c r="R467" i="38"/>
  <c r="R455" i="38"/>
  <c r="R443" i="38"/>
  <c r="R431" i="38"/>
  <c r="R419" i="38"/>
  <c r="R407" i="38"/>
  <c r="R395" i="38"/>
  <c r="R383" i="38"/>
  <c r="R371" i="38"/>
  <c r="R359" i="38"/>
  <c r="R347" i="38"/>
  <c r="R1006" i="38"/>
  <c r="R994" i="38"/>
  <c r="R982" i="38"/>
  <c r="R970" i="38"/>
  <c r="R958" i="38"/>
  <c r="R946" i="38"/>
  <c r="R934" i="38"/>
  <c r="R922" i="38"/>
  <c r="R910" i="38"/>
  <c r="R898" i="38"/>
  <c r="R886" i="38"/>
  <c r="R874" i="38"/>
  <c r="R862" i="38"/>
  <c r="R850" i="38"/>
  <c r="R838" i="38"/>
  <c r="R826" i="38"/>
  <c r="R814" i="38"/>
  <c r="R802" i="38"/>
  <c r="R790" i="38"/>
  <c r="R778" i="38"/>
  <c r="R766" i="38"/>
  <c r="R754" i="38"/>
  <c r="R742" i="38"/>
  <c r="R730" i="38"/>
  <c r="R718" i="38"/>
  <c r="R706" i="38"/>
  <c r="R694" i="38"/>
  <c r="R682" i="38"/>
  <c r="R670" i="38"/>
  <c r="R658" i="38"/>
  <c r="R646" i="38"/>
  <c r="R634" i="38"/>
  <c r="R622" i="38"/>
  <c r="R610" i="38"/>
  <c r="R598" i="38"/>
  <c r="R586" i="38"/>
  <c r="R574" i="38"/>
  <c r="R562" i="38"/>
  <c r="R550" i="38"/>
  <c r="R538" i="38"/>
  <c r="R526" i="38"/>
  <c r="R514" i="38"/>
  <c r="R502" i="38"/>
  <c r="R490" i="38"/>
  <c r="R478" i="38"/>
  <c r="R466" i="38"/>
  <c r="R454" i="38"/>
  <c r="R442" i="38"/>
  <c r="R993" i="38"/>
  <c r="R981" i="38"/>
  <c r="R969" i="38"/>
  <c r="R957" i="38"/>
  <c r="R945" i="38"/>
  <c r="R933" i="38"/>
  <c r="R921" i="38"/>
  <c r="R909" i="38"/>
  <c r="R897" i="38"/>
  <c r="R885" i="38"/>
  <c r="R873" i="38"/>
  <c r="R861" i="38"/>
  <c r="R849" i="38"/>
  <c r="R837" i="38"/>
  <c r="R825" i="38"/>
  <c r="R813" i="38"/>
  <c r="R801" i="38"/>
  <c r="R789" i="38"/>
  <c r="R777" i="38"/>
  <c r="R765" i="38"/>
  <c r="R753" i="38"/>
  <c r="R741" i="38"/>
  <c r="R729" i="38"/>
  <c r="R717" i="38"/>
  <c r="R705" i="38"/>
  <c r="R693" i="38"/>
  <c r="R681" i="38"/>
  <c r="R669" i="38"/>
  <c r="R657" i="38"/>
  <c r="R645" i="38"/>
  <c r="R633" i="38"/>
  <c r="R621" i="38"/>
  <c r="R609" i="38"/>
  <c r="R597" i="38"/>
  <c r="R585" i="38"/>
  <c r="R573" i="38"/>
  <c r="R561" i="38"/>
  <c r="R549" i="38"/>
  <c r="R537" i="38"/>
  <c r="R525" i="38"/>
  <c r="R513" i="38"/>
  <c r="R501" i="38"/>
  <c r="R489" i="38"/>
  <c r="R477" i="38"/>
  <c r="R465" i="38"/>
  <c r="R453" i="38"/>
  <c r="R441" i="38"/>
  <c r="R944" i="38"/>
  <c r="R932" i="38"/>
  <c r="R920" i="38"/>
  <c r="R908" i="38"/>
  <c r="R896" i="38"/>
  <c r="R884" i="38"/>
  <c r="R872" i="38"/>
  <c r="R860" i="38"/>
  <c r="R848" i="38"/>
  <c r="R836" i="38"/>
  <c r="R824" i="38"/>
  <c r="R812" i="38"/>
  <c r="R800" i="38"/>
  <c r="R788" i="38"/>
  <c r="R776" i="38"/>
  <c r="R764" i="38"/>
  <c r="R752" i="38"/>
  <c r="R740" i="38"/>
  <c r="R728" i="38"/>
  <c r="R716" i="38"/>
  <c r="R704" i="38"/>
  <c r="R692" i="38"/>
  <c r="R680" i="38"/>
  <c r="R668" i="38"/>
  <c r="R656" i="38"/>
  <c r="R644" i="38"/>
  <c r="R632" i="38"/>
  <c r="R620" i="38"/>
  <c r="R608" i="38"/>
  <c r="R596" i="38"/>
  <c r="R584" i="38"/>
  <c r="R572" i="38"/>
  <c r="R560" i="38"/>
  <c r="R548" i="38"/>
  <c r="R536" i="38"/>
  <c r="R524" i="38"/>
  <c r="R512" i="38"/>
  <c r="R500" i="38"/>
  <c r="R488" i="38"/>
  <c r="R476" i="38"/>
  <c r="R464" i="38"/>
  <c r="R991" i="38"/>
  <c r="R979" i="38"/>
  <c r="R967" i="38"/>
  <c r="R955" i="38"/>
  <c r="R943" i="38"/>
  <c r="R931" i="38"/>
  <c r="R919" i="38"/>
  <c r="R907" i="38"/>
  <c r="R895" i="38"/>
  <c r="R883" i="38"/>
  <c r="R871" i="38"/>
  <c r="R859" i="38"/>
  <c r="R847" i="38"/>
  <c r="R835" i="38"/>
  <c r="R823" i="38"/>
  <c r="R811" i="38"/>
  <c r="R799" i="38"/>
  <c r="R787" i="38"/>
  <c r="R775" i="38"/>
  <c r="R763" i="38"/>
  <c r="R751" i="38"/>
  <c r="R739" i="38"/>
  <c r="R727" i="38"/>
  <c r="R715" i="38"/>
  <c r="R703" i="38"/>
  <c r="R691" i="38"/>
  <c r="R679" i="38"/>
  <c r="R667" i="38"/>
  <c r="R655" i="38"/>
  <c r="R643" i="38"/>
  <c r="R631" i="38"/>
  <c r="R619" i="38"/>
  <c r="R607" i="38"/>
  <c r="R595" i="38"/>
  <c r="R583" i="38"/>
  <c r="R571" i="38"/>
  <c r="R559" i="38"/>
  <c r="R547" i="38"/>
  <c r="R535" i="38"/>
  <c r="R523" i="38"/>
  <c r="R511" i="38"/>
  <c r="R499" i="38"/>
  <c r="R487" i="38"/>
  <c r="R475" i="38"/>
  <c r="R463" i="38"/>
  <c r="R451" i="38"/>
  <c r="R439" i="38"/>
  <c r="R1002" i="38"/>
  <c r="R990" i="38"/>
  <c r="R978" i="38"/>
  <c r="R966" i="38"/>
  <c r="R954" i="38"/>
  <c r="R942" i="38"/>
  <c r="R930" i="38"/>
  <c r="R918" i="38"/>
  <c r="R906" i="38"/>
  <c r="R894" i="38"/>
  <c r="R882" i="38"/>
  <c r="R870" i="38"/>
  <c r="R858" i="38"/>
  <c r="R846" i="38"/>
  <c r="R834" i="38"/>
  <c r="R822" i="38"/>
  <c r="R810" i="38"/>
  <c r="R798" i="38"/>
  <c r="R786" i="38"/>
  <c r="R774" i="38"/>
  <c r="R762" i="38"/>
  <c r="R750" i="38"/>
  <c r="R738" i="38"/>
  <c r="R726" i="38"/>
  <c r="R714" i="38"/>
  <c r="R702" i="38"/>
  <c r="R690" i="38"/>
  <c r="R678" i="38"/>
  <c r="R666" i="38"/>
  <c r="R654" i="38"/>
  <c r="R642" i="38"/>
  <c r="R630" i="38"/>
  <c r="R618" i="38"/>
  <c r="R606" i="38"/>
  <c r="R594" i="38"/>
  <c r="R582" i="38"/>
  <c r="R570" i="38"/>
  <c r="R558" i="38"/>
  <c r="R546" i="38"/>
  <c r="R534" i="38"/>
  <c r="R522" i="38"/>
  <c r="R510" i="38"/>
  <c r="R498" i="38"/>
  <c r="R486" i="38"/>
  <c r="R474" i="38"/>
  <c r="R462" i="38"/>
  <c r="R1013" i="38"/>
  <c r="R1001" i="38"/>
  <c r="R989" i="38"/>
  <c r="R977" i="38"/>
  <c r="R965" i="38"/>
  <c r="R953" i="38"/>
  <c r="R941" i="38"/>
  <c r="R929" i="38"/>
  <c r="R917" i="38"/>
  <c r="R905" i="38"/>
  <c r="R893" i="38"/>
  <c r="R881" i="38"/>
  <c r="R869" i="38"/>
  <c r="R857" i="38"/>
  <c r="R845" i="38"/>
  <c r="R833" i="38"/>
  <c r="R821" i="38"/>
  <c r="R809" i="38"/>
  <c r="R797" i="38"/>
  <c r="R785" i="38"/>
  <c r="R773" i="38"/>
  <c r="R761" i="38"/>
  <c r="R749" i="38"/>
  <c r="R737" i="38"/>
  <c r="R725" i="38"/>
  <c r="R713" i="38"/>
  <c r="R701" i="38"/>
  <c r="R689" i="38"/>
  <c r="R677" i="38"/>
  <c r="R665" i="38"/>
  <c r="R653" i="38"/>
  <c r="R641" i="38"/>
  <c r="R629" i="38"/>
  <c r="R617" i="38"/>
  <c r="R605" i="38"/>
  <c r="R593" i="38"/>
  <c r="R581" i="38"/>
  <c r="R569" i="38"/>
  <c r="R557" i="38"/>
  <c r="R545" i="38"/>
  <c r="R533" i="38"/>
  <c r="R521" i="38"/>
  <c r="R509" i="38"/>
  <c r="R497" i="38"/>
  <c r="R485" i="38"/>
  <c r="R473" i="38"/>
  <c r="R461" i="38"/>
  <c r="R1012" i="38"/>
  <c r="R1000" i="38"/>
  <c r="R988" i="38"/>
  <c r="R976" i="38"/>
  <c r="R964" i="38"/>
  <c r="R952" i="38"/>
  <c r="R940" i="38"/>
  <c r="R928" i="38"/>
  <c r="R916" i="38"/>
  <c r="R904" i="38"/>
  <c r="R892" i="38"/>
  <c r="R880" i="38"/>
  <c r="R868" i="38"/>
  <c r="R856" i="38"/>
  <c r="R844" i="38"/>
  <c r="R832" i="38"/>
  <c r="R820" i="38"/>
  <c r="R808" i="38"/>
  <c r="R796" i="38"/>
  <c r="R784" i="38"/>
  <c r="R772" i="38"/>
  <c r="R760" i="38"/>
  <c r="R748" i="38"/>
  <c r="R736" i="38"/>
  <c r="R724" i="38"/>
  <c r="R712" i="38"/>
  <c r="R700" i="38"/>
  <c r="R688" i="38"/>
  <c r="R676" i="38"/>
  <c r="R664" i="38"/>
  <c r="R652" i="38"/>
  <c r="R640" i="38"/>
  <c r="R628" i="38"/>
  <c r="R616" i="38"/>
  <c r="R604" i="38"/>
  <c r="R592" i="38"/>
  <c r="R580" i="38"/>
  <c r="R568" i="38"/>
  <c r="R556" i="38"/>
  <c r="R544" i="38"/>
  <c r="R532" i="38"/>
  <c r="R520" i="38"/>
  <c r="R508" i="38"/>
  <c r="R496" i="38"/>
  <c r="R484" i="38"/>
  <c r="R472" i="38"/>
  <c r="R460" i="38"/>
  <c r="R987" i="38"/>
  <c r="R975" i="38"/>
  <c r="R963" i="38"/>
  <c r="R951" i="38"/>
  <c r="R939" i="38"/>
  <c r="R927" i="38"/>
  <c r="R915" i="38"/>
  <c r="R903" i="38"/>
  <c r="R891" i="38"/>
  <c r="R879" i="38"/>
  <c r="R867" i="38"/>
  <c r="R855" i="38"/>
  <c r="R843" i="38"/>
  <c r="R831" i="38"/>
  <c r="R819" i="38"/>
  <c r="R807" i="38"/>
  <c r="R795" i="38"/>
  <c r="R783" i="38"/>
  <c r="R771" i="38"/>
  <c r="R759" i="38"/>
  <c r="R747" i="38"/>
  <c r="R735" i="38"/>
  <c r="R723" i="38"/>
  <c r="R711" i="38"/>
  <c r="R699" i="38"/>
  <c r="R687" i="38"/>
  <c r="R675" i="38"/>
  <c r="R663" i="38"/>
  <c r="R651" i="38"/>
  <c r="R639" i="38"/>
  <c r="R627" i="38"/>
  <c r="R615" i="38"/>
  <c r="R603" i="38"/>
  <c r="R591" i="38"/>
  <c r="R579" i="38"/>
  <c r="R567" i="38"/>
  <c r="R555" i="38"/>
  <c r="R543" i="38"/>
  <c r="R531" i="38"/>
  <c r="R519" i="38"/>
  <c r="R507" i="38"/>
  <c r="R495" i="38"/>
  <c r="R483" i="38"/>
  <c r="R471" i="38"/>
  <c r="R459" i="38"/>
  <c r="R447" i="38"/>
  <c r="R435" i="38"/>
  <c r="R1022" i="38"/>
  <c r="R1010" i="38"/>
  <c r="R998" i="38"/>
  <c r="R986" i="38"/>
  <c r="R974" i="38"/>
  <c r="R962" i="38"/>
  <c r="R950" i="38"/>
  <c r="R938" i="38"/>
  <c r="R926" i="38"/>
  <c r="R914" i="38"/>
  <c r="R902" i="38"/>
  <c r="R890" i="38"/>
  <c r="R878" i="38"/>
  <c r="R866" i="38"/>
  <c r="R854" i="38"/>
  <c r="R842" i="38"/>
  <c r="R830" i="38"/>
  <c r="R818" i="38"/>
  <c r="R806" i="38"/>
  <c r="R794" i="38"/>
  <c r="R782" i="38"/>
  <c r="R770" i="38"/>
  <c r="R758" i="38"/>
  <c r="R746" i="38"/>
  <c r="R734" i="38"/>
  <c r="R722" i="38"/>
  <c r="R710" i="38"/>
  <c r="R698" i="38"/>
  <c r="R686" i="38"/>
  <c r="R674" i="38"/>
  <c r="R662" i="38"/>
  <c r="R650" i="38"/>
  <c r="R638" i="38"/>
  <c r="R626" i="38"/>
  <c r="R614" i="38"/>
  <c r="R602" i="38"/>
  <c r="R590" i="38"/>
  <c r="R578" i="38"/>
  <c r="R566" i="38"/>
  <c r="R554" i="38"/>
  <c r="R542" i="38"/>
  <c r="R530" i="38"/>
  <c r="R518" i="38"/>
  <c r="R506" i="38"/>
  <c r="R494" i="38"/>
  <c r="R482" i="38"/>
  <c r="R470" i="38"/>
  <c r="R458" i="38"/>
  <c r="R446" i="38"/>
  <c r="R449" i="38"/>
  <c r="R437" i="38"/>
  <c r="R425" i="38"/>
  <c r="R413" i="38"/>
  <c r="R401" i="38"/>
  <c r="R389" i="38"/>
  <c r="R377" i="38"/>
  <c r="R365" i="38"/>
  <c r="R353" i="38"/>
  <c r="R341" i="38"/>
  <c r="R329" i="38"/>
  <c r="R317" i="38"/>
  <c r="R305" i="38"/>
  <c r="R293" i="38"/>
  <c r="R281" i="38"/>
  <c r="R269" i="38"/>
  <c r="R257" i="38"/>
  <c r="R245" i="38"/>
  <c r="R233" i="38"/>
  <c r="R221" i="38"/>
  <c r="R209" i="38"/>
  <c r="R197" i="38"/>
  <c r="R185" i="38"/>
  <c r="R173" i="38"/>
  <c r="R161" i="38"/>
  <c r="R149" i="38"/>
  <c r="R137" i="38"/>
  <c r="R125" i="38"/>
  <c r="R113" i="38"/>
  <c r="R101" i="38"/>
  <c r="R89" i="38"/>
  <c r="R77" i="38"/>
  <c r="R65" i="38"/>
  <c r="R53" i="38"/>
  <c r="R41" i="38"/>
  <c r="R29" i="38"/>
  <c r="R17" i="38"/>
  <c r="R5" i="38"/>
  <c r="R448" i="38"/>
  <c r="R436" i="38"/>
  <c r="R424" i="38"/>
  <c r="R412" i="38"/>
  <c r="R400" i="38"/>
  <c r="R388" i="38"/>
  <c r="R376" i="38"/>
  <c r="R364" i="38"/>
  <c r="R352" i="38"/>
  <c r="R340" i="38"/>
  <c r="R328" i="38"/>
  <c r="R316" i="38"/>
  <c r="R304" i="38"/>
  <c r="R292" i="38"/>
  <c r="R280" i="38"/>
  <c r="R268" i="38"/>
  <c r="R256" i="38"/>
  <c r="R244" i="38"/>
  <c r="R232" i="38"/>
  <c r="R220" i="38"/>
  <c r="R208" i="38"/>
  <c r="R196" i="38"/>
  <c r="R184" i="38"/>
  <c r="R172" i="38"/>
  <c r="R160" i="38"/>
  <c r="R148" i="38"/>
  <c r="R136" i="38"/>
  <c r="R124" i="38"/>
  <c r="R112" i="38"/>
  <c r="R100" i="38"/>
  <c r="R88" i="38"/>
  <c r="R76" i="38"/>
  <c r="R64" i="38"/>
  <c r="R52" i="38"/>
  <c r="R40" i="38"/>
  <c r="R28" i="38"/>
  <c r="R16" i="38"/>
  <c r="R4" i="38"/>
  <c r="R423" i="38"/>
  <c r="R411" i="38"/>
  <c r="R399" i="38"/>
  <c r="R387" i="38"/>
  <c r="R375" i="38"/>
  <c r="R363" i="38"/>
  <c r="R351" i="38"/>
  <c r="R339" i="38"/>
  <c r="R327" i="38"/>
  <c r="R315" i="38"/>
  <c r="R303" i="38"/>
  <c r="R291" i="38"/>
  <c r="R279" i="38"/>
  <c r="R267" i="38"/>
  <c r="R255" i="38"/>
  <c r="R243" i="38"/>
  <c r="R231" i="38"/>
  <c r="R219" i="38"/>
  <c r="R207" i="38"/>
  <c r="R195" i="38"/>
  <c r="R183" i="38"/>
  <c r="R171" i="38"/>
  <c r="R159" i="38"/>
  <c r="R147" i="38"/>
  <c r="R135" i="38"/>
  <c r="R123" i="38"/>
  <c r="R111" i="38"/>
  <c r="R99" i="38"/>
  <c r="R87" i="38"/>
  <c r="R75" i="38"/>
  <c r="R63" i="38"/>
  <c r="R51" i="38"/>
  <c r="R39" i="38"/>
  <c r="R27" i="38"/>
  <c r="R15" i="38"/>
  <c r="R3" i="38"/>
  <c r="R434" i="38"/>
  <c r="R422" i="38"/>
  <c r="R410" i="38"/>
  <c r="R398" i="38"/>
  <c r="R386" i="38"/>
  <c r="R374" i="38"/>
  <c r="R362" i="38"/>
  <c r="R350" i="38"/>
  <c r="R338" i="38"/>
  <c r="R326" i="38"/>
  <c r="R314" i="38"/>
  <c r="R302" i="38"/>
  <c r="R290" i="38"/>
  <c r="R278" i="38"/>
  <c r="R266" i="38"/>
  <c r="R254" i="38"/>
  <c r="R242" i="38"/>
  <c r="R230" i="38"/>
  <c r="R218" i="38"/>
  <c r="R206" i="38"/>
  <c r="R194" i="38"/>
  <c r="R182" i="38"/>
  <c r="R170" i="38"/>
  <c r="R158" i="38"/>
  <c r="R146" i="38"/>
  <c r="R134" i="38"/>
  <c r="R122" i="38"/>
  <c r="R110" i="38"/>
  <c r="R98" i="38"/>
  <c r="R86" i="38"/>
  <c r="R74" i="38"/>
  <c r="R62" i="38"/>
  <c r="R50" i="38"/>
  <c r="R38" i="38"/>
  <c r="R26" i="38"/>
  <c r="R14" i="38"/>
  <c r="R2" i="38"/>
  <c r="R408" i="38"/>
  <c r="R396" i="38"/>
  <c r="R384" i="38"/>
  <c r="R372" i="38"/>
  <c r="R360" i="38"/>
  <c r="R348" i="38"/>
  <c r="R336" i="38"/>
  <c r="R324" i="38"/>
  <c r="R312" i="38"/>
  <c r="R300" i="38"/>
  <c r="R288" i="38"/>
  <c r="R276" i="38"/>
  <c r="R264" i="38"/>
  <c r="R252" i="38"/>
  <c r="R240" i="38"/>
  <c r="R228" i="38"/>
  <c r="R216" i="38"/>
  <c r="R204" i="38"/>
  <c r="R192" i="38"/>
  <c r="R180" i="38"/>
  <c r="R168" i="38"/>
  <c r="R156" i="38"/>
  <c r="R144" i="38"/>
  <c r="R132" i="38"/>
  <c r="R120" i="38"/>
  <c r="R108" i="38"/>
  <c r="R96" i="38"/>
  <c r="R84" i="38"/>
  <c r="R72" i="38"/>
  <c r="R60" i="38"/>
  <c r="R48" i="38"/>
  <c r="R36" i="38"/>
  <c r="R24" i="38"/>
  <c r="R12" i="38"/>
  <c r="R335" i="38"/>
  <c r="R323" i="38"/>
  <c r="R311" i="38"/>
  <c r="R299" i="38"/>
  <c r="R287" i="38"/>
  <c r="R275" i="38"/>
  <c r="R263" i="38"/>
  <c r="R251" i="38"/>
  <c r="R239" i="38"/>
  <c r="R227" i="38"/>
  <c r="R215" i="38"/>
  <c r="R203" i="38"/>
  <c r="R191" i="38"/>
  <c r="R179" i="38"/>
  <c r="R167" i="38"/>
  <c r="R155" i="38"/>
  <c r="R143" i="38"/>
  <c r="R131" i="38"/>
  <c r="R119" i="38"/>
  <c r="R107" i="38"/>
  <c r="R95" i="38"/>
  <c r="R83" i="38"/>
  <c r="R71" i="38"/>
  <c r="R59" i="38"/>
  <c r="R47" i="38"/>
  <c r="R35" i="38"/>
  <c r="R23" i="38"/>
  <c r="R11" i="38"/>
  <c r="R430" i="38"/>
  <c r="R418" i="38"/>
  <c r="R406" i="38"/>
  <c r="R394" i="38"/>
  <c r="R382" i="38"/>
  <c r="R370" i="38"/>
  <c r="R358" i="38"/>
  <c r="R346" i="38"/>
  <c r="R334" i="38"/>
  <c r="R322" i="38"/>
  <c r="R310" i="38"/>
  <c r="R298" i="38"/>
  <c r="R286" i="38"/>
  <c r="R274" i="38"/>
  <c r="R262" i="38"/>
  <c r="R250" i="38"/>
  <c r="R238" i="38"/>
  <c r="R226" i="38"/>
  <c r="R214" i="38"/>
  <c r="R202" i="38"/>
  <c r="R190" i="38"/>
  <c r="R178" i="38"/>
  <c r="R166" i="38"/>
  <c r="R154" i="38"/>
  <c r="R142" i="38"/>
  <c r="R130" i="38"/>
  <c r="R118" i="38"/>
  <c r="R106" i="38"/>
  <c r="R94" i="38"/>
  <c r="R82" i="38"/>
  <c r="R70" i="38"/>
  <c r="R58" i="38"/>
  <c r="R46" i="38"/>
  <c r="R34" i="38"/>
  <c r="R22" i="38"/>
  <c r="R10" i="38"/>
  <c r="R429" i="38"/>
  <c r="R417" i="38"/>
  <c r="R405" i="38"/>
  <c r="R393" i="38"/>
  <c r="R381" i="38"/>
  <c r="R369" i="38"/>
  <c r="R357" i="38"/>
  <c r="R345" i="38"/>
  <c r="R333" i="38"/>
  <c r="R321" i="38"/>
  <c r="R309" i="38"/>
  <c r="R297" i="38"/>
  <c r="R285" i="38"/>
  <c r="R273" i="38"/>
  <c r="R261" i="38"/>
  <c r="R249" i="38"/>
  <c r="R237" i="38"/>
  <c r="R225" i="38"/>
  <c r="R213" i="38"/>
  <c r="R201" i="38"/>
  <c r="R189" i="38"/>
  <c r="R177" i="38"/>
  <c r="R165" i="38"/>
  <c r="R153" i="38"/>
  <c r="R141" i="38"/>
  <c r="R129" i="38"/>
  <c r="R117" i="38"/>
  <c r="R105" i="38"/>
  <c r="R93" i="38"/>
  <c r="R81" i="38"/>
  <c r="R69" i="38"/>
  <c r="R57" i="38"/>
  <c r="R45" i="38"/>
  <c r="R33" i="38"/>
  <c r="R21" i="38"/>
  <c r="R9" i="38"/>
  <c r="R452" i="38"/>
  <c r="R440" i="38"/>
  <c r="R428" i="38"/>
  <c r="R416" i="38"/>
  <c r="R404" i="38"/>
  <c r="R392" i="38"/>
  <c r="R380" i="38"/>
  <c r="R368" i="38"/>
  <c r="R356" i="38"/>
  <c r="R344" i="38"/>
  <c r="R332" i="38"/>
  <c r="R320" i="38"/>
  <c r="R308" i="38"/>
  <c r="R296" i="38"/>
  <c r="R284" i="38"/>
  <c r="R272" i="38"/>
  <c r="R260" i="38"/>
  <c r="R248" i="38"/>
  <c r="R236" i="38"/>
  <c r="R224" i="38"/>
  <c r="R212" i="38"/>
  <c r="R200" i="38"/>
  <c r="R188" i="38"/>
  <c r="R176" i="38"/>
  <c r="R164" i="38"/>
  <c r="R152" i="38"/>
  <c r="R140" i="38"/>
  <c r="R128" i="38"/>
  <c r="R116" i="38"/>
  <c r="R104" i="38"/>
  <c r="R92" i="38"/>
  <c r="R80" i="38"/>
  <c r="R68" i="38"/>
  <c r="R56" i="38"/>
  <c r="R44" i="38"/>
  <c r="R32" i="38"/>
  <c r="R20" i="38"/>
  <c r="R8" i="38"/>
  <c r="R427" i="38"/>
  <c r="R415" i="38"/>
  <c r="R403" i="38"/>
  <c r="R391" i="38"/>
  <c r="R379" i="38"/>
  <c r="R367" i="38"/>
  <c r="R355" i="38"/>
  <c r="R343" i="38"/>
  <c r="R331" i="38"/>
  <c r="R319" i="38"/>
  <c r="R307" i="38"/>
  <c r="R295" i="38"/>
  <c r="R283" i="38"/>
  <c r="R271" i="38"/>
  <c r="R259" i="38"/>
  <c r="R247" i="38"/>
  <c r="R235" i="38"/>
  <c r="R223" i="38"/>
  <c r="R211" i="38"/>
  <c r="R199" i="38"/>
  <c r="R187" i="38"/>
  <c r="R175" i="38"/>
  <c r="R163" i="38"/>
  <c r="R151" i="38"/>
  <c r="R139" i="38"/>
  <c r="R127" i="38"/>
  <c r="R115" i="38"/>
  <c r="R103" i="38"/>
  <c r="R91" i="38"/>
  <c r="R79" i="38"/>
  <c r="R67" i="38"/>
  <c r="R55" i="38"/>
  <c r="R43" i="38"/>
  <c r="R31" i="38"/>
  <c r="R19" i="38"/>
  <c r="R7" i="38"/>
  <c r="R450" i="38"/>
  <c r="R438" i="38"/>
  <c r="R426" i="38"/>
  <c r="R414" i="38"/>
  <c r="R402" i="38"/>
  <c r="R390" i="38"/>
  <c r="R378" i="38"/>
  <c r="R366" i="38"/>
  <c r="R354" i="38"/>
  <c r="R342" i="38"/>
  <c r="R330" i="38"/>
  <c r="R318" i="38"/>
  <c r="R306" i="38"/>
  <c r="R294" i="38"/>
  <c r="R282" i="38"/>
  <c r="R270" i="38"/>
  <c r="R258" i="38"/>
  <c r="R246" i="38"/>
  <c r="R234" i="38"/>
  <c r="R222" i="38"/>
  <c r="R210" i="38"/>
  <c r="R198" i="38"/>
  <c r="R186" i="38"/>
  <c r="R174" i="38"/>
  <c r="R162" i="38"/>
  <c r="R150" i="38"/>
  <c r="R138" i="38"/>
  <c r="R126" i="38"/>
  <c r="R114" i="38"/>
  <c r="R102" i="38"/>
  <c r="R90" i="38"/>
  <c r="R78" i="38"/>
  <c r="R66" i="38"/>
  <c r="R54" i="38"/>
  <c r="R42" i="38"/>
  <c r="R30" i="38"/>
  <c r="R18" i="38"/>
  <c r="R6" i="38"/>
  <c r="N973" i="38"/>
  <c r="N1392" i="38"/>
  <c r="N1380" i="38"/>
  <c r="N1368" i="38"/>
  <c r="N1356" i="38"/>
  <c r="N1344" i="38"/>
  <c r="N1391" i="38"/>
  <c r="N1235" i="38"/>
  <c r="N1149" i="38"/>
  <c r="N872" i="38"/>
  <c r="N1063" i="38"/>
  <c r="N1335" i="38"/>
  <c r="N1287" i="38"/>
  <c r="N1379" i="38"/>
  <c r="N1283" i="38"/>
  <c r="N1271" i="38"/>
  <c r="N1259" i="38"/>
  <c r="N1247" i="38"/>
  <c r="N1223" i="38"/>
  <c r="N1211" i="38"/>
  <c r="N1199" i="38"/>
  <c r="N1187" i="38"/>
  <c r="N1175" i="38"/>
  <c r="N1163" i="38"/>
  <c r="N1151" i="38"/>
  <c r="N1139" i="38"/>
  <c r="N1127" i="38"/>
  <c r="N1115" i="38"/>
  <c r="N1103" i="38"/>
  <c r="N1091" i="38"/>
  <c r="N1079" i="38"/>
  <c r="N1067" i="38"/>
  <c r="N1055" i="38"/>
  <c r="N1043" i="38"/>
  <c r="N1031" i="38"/>
  <c r="N1019" i="38"/>
  <c r="N1007" i="38"/>
  <c r="N995" i="38"/>
  <c r="BW9" i="51" s="1"/>
  <c r="N983" i="38"/>
  <c r="N971" i="38"/>
  <c r="N959" i="38"/>
  <c r="BV15" i="51" s="1"/>
  <c r="N947" i="38"/>
  <c r="N935" i="38"/>
  <c r="N923" i="38"/>
  <c r="BV9" i="51" s="1"/>
  <c r="N911" i="38"/>
  <c r="N899" i="38"/>
  <c r="N887" i="38"/>
  <c r="N875" i="38"/>
  <c r="N863" i="38"/>
  <c r="N851" i="38"/>
  <c r="N839" i="38"/>
  <c r="N827" i="38"/>
  <c r="N815" i="38"/>
  <c r="N803" i="38"/>
  <c r="N791" i="38"/>
  <c r="N659" i="38"/>
  <c r="N551" i="38"/>
  <c r="N467" i="38"/>
  <c r="N359" i="38"/>
  <c r="N275" i="38"/>
  <c r="N167" i="38"/>
  <c r="N83" i="38"/>
  <c r="N104" i="38"/>
  <c r="N1319" i="38"/>
  <c r="CR16" i="51" s="1"/>
  <c r="N1318" i="38"/>
  <c r="CR14" i="51" s="1"/>
  <c r="N1258" i="38"/>
  <c r="N1186" i="38"/>
  <c r="N1114" i="38"/>
  <c r="N1054" i="38"/>
  <c r="N970" i="38"/>
  <c r="N922" i="38"/>
  <c r="N862" i="38"/>
  <c r="N802" i="38"/>
  <c r="N742" i="38"/>
  <c r="N694" i="38"/>
  <c r="N634" i="38"/>
  <c r="N610" i="38"/>
  <c r="N598" i="38"/>
  <c r="N574" i="38"/>
  <c r="N562" i="38"/>
  <c r="N550" i="38"/>
  <c r="AZ11" i="51" s="1"/>
  <c r="N538" i="38"/>
  <c r="N526" i="38"/>
  <c r="N514" i="38"/>
  <c r="AY15" i="51" s="1"/>
  <c r="N502" i="38"/>
  <c r="N490" i="38"/>
  <c r="N478" i="38"/>
  <c r="N466" i="38"/>
  <c r="N454" i="38"/>
  <c r="N442" i="38"/>
  <c r="N430" i="38"/>
  <c r="N418" i="38"/>
  <c r="N406" i="38"/>
  <c r="N394" i="38"/>
  <c r="N382" i="38"/>
  <c r="AN11" i="51" s="1"/>
  <c r="N370" i="38"/>
  <c r="N358" i="38"/>
  <c r="N346" i="38"/>
  <c r="N334" i="38"/>
  <c r="N322" i="38"/>
  <c r="N310" i="38"/>
  <c r="N298" i="38"/>
  <c r="AD15" i="51" s="1"/>
  <c r="N286" i="38"/>
  <c r="AD11" i="51" s="1"/>
  <c r="N274" i="38"/>
  <c r="N262" i="38"/>
  <c r="N250" i="38"/>
  <c r="N238" i="38"/>
  <c r="N226" i="38"/>
  <c r="U15" i="51" s="1"/>
  <c r="N214" i="38"/>
  <c r="N202" i="38"/>
  <c r="T8" i="51" s="1"/>
  <c r="N190" i="38"/>
  <c r="N178" i="38"/>
  <c r="N166" i="38"/>
  <c r="N154" i="38"/>
  <c r="N142" i="38"/>
  <c r="N130" i="38"/>
  <c r="N118" i="38"/>
  <c r="R15" i="51" s="1"/>
  <c r="N106" i="38"/>
  <c r="N94" i="38"/>
  <c r="N82" i="38"/>
  <c r="N70" i="38"/>
  <c r="J13" i="51" s="1"/>
  <c r="N58" i="38"/>
  <c r="J14" i="51" s="1"/>
  <c r="N46" i="38"/>
  <c r="N34" i="38"/>
  <c r="N22" i="38"/>
  <c r="N10" i="38"/>
  <c r="N1367" i="38"/>
  <c r="CS16" i="51" s="1"/>
  <c r="N1234" i="38"/>
  <c r="N1162" i="38"/>
  <c r="N1090" i="38"/>
  <c r="N1030" i="38"/>
  <c r="N982" i="38"/>
  <c r="N934" i="38"/>
  <c r="N874" i="38"/>
  <c r="N814" i="38"/>
  <c r="N754" i="38"/>
  <c r="N706" i="38"/>
  <c r="N646" i="38"/>
  <c r="N622" i="38"/>
  <c r="N586" i="38"/>
  <c r="N1389" i="38"/>
  <c r="N1377" i="38"/>
  <c r="CT12" i="51" s="1"/>
  <c r="N1365" i="38"/>
  <c r="N1353" i="38"/>
  <c r="N1341" i="38"/>
  <c r="N1329" i="38"/>
  <c r="N1317" i="38"/>
  <c r="N1305" i="38"/>
  <c r="N1293" i="38"/>
  <c r="N1281" i="38"/>
  <c r="N1269" i="38"/>
  <c r="N1257" i="38"/>
  <c r="N1245" i="38"/>
  <c r="N1233" i="38"/>
  <c r="N1221" i="38"/>
  <c r="CJ12" i="51" s="1"/>
  <c r="N1209" i="38"/>
  <c r="N1197" i="38"/>
  <c r="N1185" i="38"/>
  <c r="CI8" i="51" s="1"/>
  <c r="N1173" i="38"/>
  <c r="N1161" i="38"/>
  <c r="N1137" i="38"/>
  <c r="N1125" i="38"/>
  <c r="N1113" i="38"/>
  <c r="N1101" i="38"/>
  <c r="N1089" i="38"/>
  <c r="N1077" i="38"/>
  <c r="N1065" i="38"/>
  <c r="N1053" i="38"/>
  <c r="N1041" i="38"/>
  <c r="N1029" i="38"/>
  <c r="N1017" i="38"/>
  <c r="N1005" i="38"/>
  <c r="N993" i="38"/>
  <c r="N981" i="38"/>
  <c r="N969" i="38"/>
  <c r="N957" i="38"/>
  <c r="N837" i="38"/>
  <c r="N801" i="38"/>
  <c r="N741" i="38"/>
  <c r="N705" i="38"/>
  <c r="N597" i="38"/>
  <c r="N405" i="38"/>
  <c r="N321" i="38"/>
  <c r="N213" i="38"/>
  <c r="N1355" i="38"/>
  <c r="N1378" i="38"/>
  <c r="N1294" i="38"/>
  <c r="N1222" i="38"/>
  <c r="CJ6" i="51" s="1"/>
  <c r="N1150" i="38"/>
  <c r="N1078" i="38"/>
  <c r="N1018" i="38"/>
  <c r="CF12" i="51" s="1"/>
  <c r="N958" i="38"/>
  <c r="N898" i="38"/>
  <c r="N838" i="38"/>
  <c r="N778" i="38"/>
  <c r="N718" i="38"/>
  <c r="N658" i="38"/>
  <c r="N1388" i="38"/>
  <c r="N1376" i="38"/>
  <c r="N1340" i="38"/>
  <c r="N1328" i="38"/>
  <c r="N1316" i="38"/>
  <c r="N1304" i="38"/>
  <c r="CR8" i="51" s="1"/>
  <c r="N1292" i="38"/>
  <c r="N1280" i="38"/>
  <c r="N1268" i="38"/>
  <c r="N1256" i="38"/>
  <c r="N1244" i="38"/>
  <c r="N1232" i="38"/>
  <c r="N1220" i="38"/>
  <c r="N1208" i="38"/>
  <c r="N1196" i="38"/>
  <c r="N1184" i="38"/>
  <c r="N1172" i="38"/>
  <c r="N1160" i="38"/>
  <c r="CG12" i="51" s="1"/>
  <c r="N1148" i="38"/>
  <c r="CG14" i="51" s="1"/>
  <c r="N1136" i="38"/>
  <c r="N1124" i="38"/>
  <c r="N1112" i="38"/>
  <c r="N1100" i="38"/>
  <c r="N1088" i="38"/>
  <c r="CF8" i="51" s="1"/>
  <c r="N1076" i="38"/>
  <c r="N1064" i="38"/>
  <c r="N1052" i="38"/>
  <c r="N1040" i="38"/>
  <c r="N1028" i="38"/>
  <c r="N1016" i="38"/>
  <c r="N1004" i="38"/>
  <c r="CF15" i="51" s="1"/>
  <c r="N992" i="38"/>
  <c r="N980" i="38"/>
  <c r="N968" i="38"/>
  <c r="N956" i="38"/>
  <c r="N944" i="38"/>
  <c r="N932" i="38"/>
  <c r="BV13" i="51" s="1"/>
  <c r="N920" i="38"/>
  <c r="N908" i="38"/>
  <c r="N896" i="38"/>
  <c r="N884" i="38"/>
  <c r="N860" i="38"/>
  <c r="N848" i="38"/>
  <c r="N836" i="38"/>
  <c r="N680" i="38"/>
  <c r="N596" i="38"/>
  <c r="N488" i="38"/>
  <c r="N404" i="38"/>
  <c r="N296" i="38"/>
  <c r="N212" i="38"/>
  <c r="N1343" i="38"/>
  <c r="N1342" i="38"/>
  <c r="N1282" i="38"/>
  <c r="N1210" i="38"/>
  <c r="N1138" i="38"/>
  <c r="N1066" i="38"/>
  <c r="N1006" i="38"/>
  <c r="N946" i="38"/>
  <c r="N886" i="38"/>
  <c r="N826" i="38"/>
  <c r="N766" i="38"/>
  <c r="N682" i="38"/>
  <c r="N1364" i="38"/>
  <c r="N1387" i="38"/>
  <c r="N1363" i="38"/>
  <c r="N1339" i="38"/>
  <c r="N1327" i="38"/>
  <c r="N1303" i="38"/>
  <c r="N1291" i="38"/>
  <c r="N1279" i="38"/>
  <c r="N1267" i="38"/>
  <c r="N1255" i="38"/>
  <c r="N1243" i="38"/>
  <c r="N1231" i="38"/>
  <c r="N1219" i="38"/>
  <c r="N1207" i="38"/>
  <c r="N1195" i="38"/>
  <c r="N1183" i="38"/>
  <c r="N1171" i="38"/>
  <c r="N1159" i="38"/>
  <c r="N1147" i="38"/>
  <c r="N1135" i="38"/>
  <c r="N1123" i="38"/>
  <c r="N1111" i="38"/>
  <c r="N1099" i="38"/>
  <c r="N1087" i="38"/>
  <c r="N1075" i="38"/>
  <c r="N1051" i="38"/>
  <c r="N1039" i="38"/>
  <c r="N1027" i="38"/>
  <c r="N1015" i="38"/>
  <c r="N1003" i="38"/>
  <c r="N991" i="38"/>
  <c r="N979" i="38"/>
  <c r="N967" i="38"/>
  <c r="N955" i="38"/>
  <c r="N943" i="38"/>
  <c r="N931" i="38"/>
  <c r="N919" i="38"/>
  <c r="N907" i="38"/>
  <c r="N895" i="38"/>
  <c r="N883" i="38"/>
  <c r="N871" i="38"/>
  <c r="N859" i="38"/>
  <c r="N847" i="38"/>
  <c r="N835" i="38"/>
  <c r="N823" i="38"/>
  <c r="N811" i="38"/>
  <c r="N799" i="38"/>
  <c r="N787" i="38"/>
  <c r="N1331" i="38"/>
  <c r="N1390" i="38"/>
  <c r="N1306" i="38"/>
  <c r="N1246" i="38"/>
  <c r="N1174" i="38"/>
  <c r="N1102" i="38"/>
  <c r="N1042" i="38"/>
  <c r="N994" i="38"/>
  <c r="N910" i="38"/>
  <c r="N850" i="38"/>
  <c r="N790" i="38"/>
  <c r="N730" i="38"/>
  <c r="N670" i="38"/>
  <c r="N1352" i="38"/>
  <c r="N1375" i="38"/>
  <c r="N1351" i="38"/>
  <c r="CS11" i="51" s="1"/>
  <c r="N1315" i="38"/>
  <c r="N1386" i="38"/>
  <c r="N1374" i="38"/>
  <c r="N1362" i="38"/>
  <c r="N1350" i="38"/>
  <c r="N1338" i="38"/>
  <c r="N1326" i="38"/>
  <c r="N1314" i="38"/>
  <c r="CR12" i="51" s="1"/>
  <c r="N1302" i="38"/>
  <c r="N1290" i="38"/>
  <c r="N1278" i="38"/>
  <c r="N1266" i="38"/>
  <c r="N1254" i="38"/>
  <c r="N1242" i="38"/>
  <c r="N1230" i="38"/>
  <c r="N1218" i="38"/>
  <c r="N1206" i="38"/>
  <c r="N1194" i="38"/>
  <c r="N1182" i="38"/>
  <c r="CH12" i="51" s="1"/>
  <c r="N1170" i="38"/>
  <c r="N1158" i="38"/>
  <c r="N1146" i="38"/>
  <c r="N1134" i="38"/>
  <c r="N1122" i="38"/>
  <c r="N1110" i="38"/>
  <c r="N1098" i="38"/>
  <c r="N1086" i="38"/>
  <c r="N1074" i="38"/>
  <c r="N1062" i="38"/>
  <c r="N1050" i="38"/>
  <c r="N1038" i="38"/>
  <c r="N1026" i="38"/>
  <c r="N1014" i="38"/>
  <c r="CF14" i="51" s="1"/>
  <c r="N1002" i="38"/>
  <c r="N990" i="38"/>
  <c r="N978" i="38"/>
  <c r="N966" i="38"/>
  <c r="N954" i="38"/>
  <c r="N942" i="38"/>
  <c r="N930" i="38"/>
  <c r="N1307" i="38"/>
  <c r="N1330" i="38"/>
  <c r="N1270" i="38"/>
  <c r="N1198" i="38"/>
  <c r="N1126" i="38"/>
  <c r="N1385" i="38"/>
  <c r="N1373" i="38"/>
  <c r="N1361" i="38"/>
  <c r="N1349" i="38"/>
  <c r="N1337" i="38"/>
  <c r="N1325" i="38"/>
  <c r="N1313" i="38"/>
  <c r="N1301" i="38"/>
  <c r="CR6" i="51" s="1"/>
  <c r="N1289" i="38"/>
  <c r="N1277" i="38"/>
  <c r="CQ12" i="51" s="1"/>
  <c r="N1265" i="38"/>
  <c r="N1253" i="38"/>
  <c r="N1241" i="38"/>
  <c r="N1229" i="38"/>
  <c r="N1217" i="38"/>
  <c r="N1205" i="38"/>
  <c r="N1193" i="38"/>
  <c r="N1181" i="38"/>
  <c r="CH13" i="51" s="1"/>
  <c r="N1169" i="38"/>
  <c r="N1157" i="38"/>
  <c r="N1145" i="38"/>
  <c r="N1133" i="38"/>
  <c r="N1121" i="38"/>
  <c r="N1109" i="38"/>
  <c r="N1097" i="38"/>
  <c r="N1085" i="38"/>
  <c r="N1073" i="38"/>
  <c r="N1061" i="38"/>
  <c r="N1049" i="38"/>
  <c r="N1037" i="38"/>
  <c r="N1025" i="38"/>
  <c r="N1013" i="38"/>
  <c r="N1001" i="38"/>
  <c r="N989" i="38"/>
  <c r="BV14" i="51" s="1"/>
  <c r="N977" i="38"/>
  <c r="N965" i="38"/>
  <c r="N953" i="38"/>
  <c r="N941" i="38"/>
  <c r="N929" i="38"/>
  <c r="N917" i="38"/>
  <c r="N905" i="38"/>
  <c r="N893" i="38"/>
  <c r="N881" i="38"/>
  <c r="N869" i="38"/>
  <c r="N857" i="38"/>
  <c r="N845" i="38"/>
  <c r="N797" i="38"/>
  <c r="N701" i="38"/>
  <c r="N617" i="38"/>
  <c r="BB18" i="51" s="1"/>
  <c r="N509" i="38"/>
  <c r="AY13" i="51" s="1"/>
  <c r="N425" i="38"/>
  <c r="N317" i="38"/>
  <c r="N233" i="38"/>
  <c r="N125" i="38"/>
  <c r="S11" i="51" s="1"/>
  <c r="N760" i="38"/>
  <c r="N1366" i="38"/>
  <c r="N1396" i="38"/>
  <c r="N1372" i="38"/>
  <c r="N1348" i="38"/>
  <c r="N1336" i="38"/>
  <c r="N1324" i="38"/>
  <c r="N1312" i="38"/>
  <c r="N1300" i="38"/>
  <c r="N1288" i="38"/>
  <c r="N1276" i="38"/>
  <c r="N1264" i="38"/>
  <c r="N1252" i="38"/>
  <c r="N1240" i="38"/>
  <c r="N1228" i="38"/>
  <c r="N1216" i="38"/>
  <c r="N1204" i="38"/>
  <c r="CI6" i="51" s="1"/>
  <c r="N1192" i="38"/>
  <c r="N1180" i="38"/>
  <c r="N1168" i="38"/>
  <c r="N1156" i="38"/>
  <c r="N1144" i="38"/>
  <c r="N1132" i="38"/>
  <c r="N1120" i="38"/>
  <c r="N1108" i="38"/>
  <c r="N1096" i="38"/>
  <c r="N1084" i="38"/>
  <c r="N1072" i="38"/>
  <c r="N1060" i="38"/>
  <c r="N1048" i="38"/>
  <c r="N1036" i="38"/>
  <c r="CF13" i="51" s="1"/>
  <c r="N1024" i="38"/>
  <c r="N1012" i="38"/>
  <c r="N1000" i="38"/>
  <c r="N988" i="38"/>
  <c r="N976" i="38"/>
  <c r="N964" i="38"/>
  <c r="N952" i="38"/>
  <c r="N940" i="38"/>
  <c r="N928" i="38"/>
  <c r="N916" i="38"/>
  <c r="N904" i="38"/>
  <c r="N892" i="38"/>
  <c r="N880" i="38"/>
  <c r="N868" i="38"/>
  <c r="BU13" i="51" s="1"/>
  <c r="N856" i="38"/>
  <c r="N844" i="38"/>
  <c r="N832" i="38"/>
  <c r="N820" i="38"/>
  <c r="N808" i="38"/>
  <c r="N796" i="38"/>
  <c r="N784" i="38"/>
  <c r="N532" i="38"/>
  <c r="N448" i="38"/>
  <c r="N340" i="38"/>
  <c r="N148" i="38"/>
  <c r="N640" i="38"/>
  <c r="N1295" i="38"/>
  <c r="N1354" i="38"/>
  <c r="N1384" i="38"/>
  <c r="N1360" i="38"/>
  <c r="M1395" i="38"/>
  <c r="N1395" i="38"/>
  <c r="M1383" i="38"/>
  <c r="M1371" i="38"/>
  <c r="N1371" i="38"/>
  <c r="M1359" i="38"/>
  <c r="N1359" i="38"/>
  <c r="M1347" i="38"/>
  <c r="N1347" i="38"/>
  <c r="N1323" i="38"/>
  <c r="N1311" i="38"/>
  <c r="CR11" i="51" s="1"/>
  <c r="N1299" i="38"/>
  <c r="N1275" i="38"/>
  <c r="N1263" i="38"/>
  <c r="N1251" i="38"/>
  <c r="CJ13" i="51" s="1"/>
  <c r="N1239" i="38"/>
  <c r="CJ14" i="51" s="1"/>
  <c r="N1227" i="38"/>
  <c r="N1215" i="38"/>
  <c r="N1203" i="38"/>
  <c r="CI9" i="51" s="1"/>
  <c r="N1191" i="38"/>
  <c r="N1179" i="38"/>
  <c r="N1167" i="38"/>
  <c r="N1155" i="38"/>
  <c r="N1143" i="38"/>
  <c r="N1131" i="38"/>
  <c r="N1119" i="38"/>
  <c r="N1107" i="38"/>
  <c r="N1095" i="38"/>
  <c r="N1083" i="38"/>
  <c r="N1071" i="38"/>
  <c r="N1059" i="38"/>
  <c r="N1047" i="38"/>
  <c r="N1035" i="38"/>
  <c r="N1023" i="38"/>
  <c r="N1011" i="38"/>
  <c r="N999" i="38"/>
  <c r="N987" i="38"/>
  <c r="N975" i="38"/>
  <c r="N963" i="38"/>
  <c r="N951" i="38"/>
  <c r="N939" i="38"/>
  <c r="N927" i="38"/>
  <c r="N915" i="38"/>
  <c r="N903" i="38"/>
  <c r="N891" i="38"/>
  <c r="N879" i="38"/>
  <c r="N867" i="38"/>
  <c r="N855" i="38"/>
  <c r="BU15" i="51" s="1"/>
  <c r="N843" i="38"/>
  <c r="N831" i="38"/>
  <c r="N819" i="38"/>
  <c r="N807" i="38"/>
  <c r="N795" i="38"/>
  <c r="N759" i="38"/>
  <c r="N723" i="38"/>
  <c r="N615" i="38"/>
  <c r="N531" i="38"/>
  <c r="N423" i="38"/>
  <c r="N339" i="38"/>
  <c r="N231" i="38"/>
  <c r="U13" i="51" s="1"/>
  <c r="N147" i="38"/>
  <c r="N39" i="38"/>
  <c r="N513" i="38"/>
  <c r="N1394" i="38"/>
  <c r="CT14" i="51" s="1"/>
  <c r="N1382" i="38"/>
  <c r="CT16" i="51" s="1"/>
  <c r="N1370" i="38"/>
  <c r="N1358" i="38"/>
  <c r="CS8" i="51" s="1"/>
  <c r="N1346" i="38"/>
  <c r="N1334" i="38"/>
  <c r="N1322" i="38"/>
  <c r="N1310" i="38"/>
  <c r="N1298" i="38"/>
  <c r="N1286" i="38"/>
  <c r="N1274" i="38"/>
  <c r="N1262" i="38"/>
  <c r="N1250" i="38"/>
  <c r="N1238" i="38"/>
  <c r="N1226" i="38"/>
  <c r="N1214" i="38"/>
  <c r="N1202" i="38"/>
  <c r="N1190" i="38"/>
  <c r="N1178" i="38"/>
  <c r="N1166" i="38"/>
  <c r="CG13" i="51" s="1"/>
  <c r="N1154" i="38"/>
  <c r="N1142" i="38"/>
  <c r="N1130" i="38"/>
  <c r="N1118" i="38"/>
  <c r="N1106" i="38"/>
  <c r="CG9" i="51" s="1"/>
  <c r="N1094" i="38"/>
  <c r="N1082" i="38"/>
  <c r="N1070" i="38"/>
  <c r="N1058" i="38"/>
  <c r="N1046" i="38"/>
  <c r="N1034" i="38"/>
  <c r="N1022" i="38"/>
  <c r="N1010" i="38"/>
  <c r="N998" i="38"/>
  <c r="N986" i="38"/>
  <c r="N974" i="38"/>
  <c r="N962" i="38"/>
  <c r="N950" i="38"/>
  <c r="N938" i="38"/>
  <c r="N926" i="38"/>
  <c r="N914" i="38"/>
  <c r="N902" i="38"/>
  <c r="N890" i="38"/>
  <c r="N878" i="38"/>
  <c r="N866" i="38"/>
  <c r="N854" i="38"/>
  <c r="BU10" i="51" s="1"/>
  <c r="N842" i="38"/>
  <c r="N830" i="38"/>
  <c r="N818" i="38"/>
  <c r="N806" i="38"/>
  <c r="N794" i="38"/>
  <c r="N782" i="38"/>
  <c r="N770" i="38"/>
  <c r="N758" i="38"/>
  <c r="N722" i="38"/>
  <c r="N638" i="38"/>
  <c r="BC14" i="51" s="1"/>
  <c r="N554" i="38"/>
  <c r="N446" i="38"/>
  <c r="N362" i="38"/>
  <c r="N254" i="38"/>
  <c r="N170" i="38"/>
  <c r="N62" i="38"/>
  <c r="N385" i="38"/>
  <c r="N1393" i="38"/>
  <c r="N1381" i="38"/>
  <c r="N1369" i="38"/>
  <c r="M1357" i="38"/>
  <c r="N1357" i="38"/>
  <c r="N1345" i="38"/>
  <c r="N1333" i="38"/>
  <c r="N1321" i="38"/>
  <c r="N1309" i="38"/>
  <c r="N1297" i="38"/>
  <c r="N1285" i="38"/>
  <c r="CQ14" i="51" s="1"/>
  <c r="N1273" i="38"/>
  <c r="N1261" i="38"/>
  <c r="N1249" i="38"/>
  <c r="N1237" i="38"/>
  <c r="N1225" i="38"/>
  <c r="CJ17" i="51" s="1"/>
  <c r="N1213" i="38"/>
  <c r="N1201" i="38"/>
  <c r="N1189" i="38"/>
  <c r="CI11" i="51" s="1"/>
  <c r="N1177" i="38"/>
  <c r="N1165" i="38"/>
  <c r="N1153" i="38"/>
  <c r="N1141" i="38"/>
  <c r="N1129" i="38"/>
  <c r="N1117" i="38"/>
  <c r="N1105" i="38"/>
  <c r="CF9" i="51" s="1"/>
  <c r="N1093" i="38"/>
  <c r="N1081" i="38"/>
  <c r="CF11" i="51" s="1"/>
  <c r="N1069" i="38"/>
  <c r="N1057" i="38"/>
  <c r="N1045" i="38"/>
  <c r="N1033" i="38"/>
  <c r="N1021" i="38"/>
  <c r="N1009" i="38"/>
  <c r="N997" i="38"/>
  <c r="BW15" i="51" s="1"/>
  <c r="N985" i="38"/>
  <c r="N961" i="38"/>
  <c r="N949" i="38"/>
  <c r="N937" i="38"/>
  <c r="N925" i="38"/>
  <c r="N913" i="38"/>
  <c r="N901" i="38"/>
  <c r="N889" i="38"/>
  <c r="BU14" i="51" s="1"/>
  <c r="N877" i="38"/>
  <c r="N865" i="38"/>
  <c r="N853" i="38"/>
  <c r="BU9" i="51" s="1"/>
  <c r="N841" i="38"/>
  <c r="N829" i="38"/>
  <c r="N817" i="38"/>
  <c r="N805" i="38"/>
  <c r="N793" i="38"/>
  <c r="N781" i="38"/>
  <c r="N769" i="38"/>
  <c r="N757" i="38"/>
  <c r="N661" i="38"/>
  <c r="N577" i="38"/>
  <c r="N469" i="38"/>
  <c r="N277" i="38"/>
  <c r="N193" i="38"/>
  <c r="N85" i="38"/>
  <c r="N1383" i="38"/>
  <c r="N256" i="38"/>
  <c r="V14" i="51" s="1"/>
  <c r="N1332" i="38"/>
  <c r="N1320" i="38"/>
  <c r="N1308" i="38"/>
  <c r="N1296" i="38"/>
  <c r="CQ9" i="51" s="1"/>
  <c r="N1284" i="38"/>
  <c r="CQ13" i="51" s="1"/>
  <c r="N1272" i="38"/>
  <c r="N1260" i="38"/>
  <c r="N1248" i="38"/>
  <c r="N1236" i="38"/>
  <c r="CJ9" i="51" s="1"/>
  <c r="N1224" i="38"/>
  <c r="N1212" i="38"/>
  <c r="N1200" i="38"/>
  <c r="N1188" i="38"/>
  <c r="N1176" i="38"/>
  <c r="N1164" i="38"/>
  <c r="N1152" i="38"/>
  <c r="N1140" i="38"/>
  <c r="N1128" i="38"/>
  <c r="N1116" i="38"/>
  <c r="N1104" i="38"/>
  <c r="CF10" i="51" s="1"/>
  <c r="N1092" i="38"/>
  <c r="N1080" i="38"/>
  <c r="N1068" i="38"/>
  <c r="N1056" i="38"/>
  <c r="N1044" i="38"/>
  <c r="N1032" i="38"/>
  <c r="N1020" i="38"/>
  <c r="N1008" i="38"/>
  <c r="N996" i="38"/>
  <c r="N984" i="38"/>
  <c r="N972" i="38"/>
  <c r="N960" i="38"/>
  <c r="N948" i="38"/>
  <c r="N936" i="38"/>
  <c r="N924" i="38"/>
  <c r="BV6" i="51" s="1"/>
  <c r="N912" i="38"/>
  <c r="N900" i="38"/>
  <c r="N888" i="38"/>
  <c r="N876" i="38"/>
  <c r="N864" i="38"/>
  <c r="N852" i="38"/>
  <c r="N840" i="38"/>
  <c r="N828" i="38"/>
  <c r="N816" i="38"/>
  <c r="N804" i="38"/>
  <c r="N792" i="38"/>
  <c r="N780" i="38"/>
  <c r="N768" i="38"/>
  <c r="N756" i="38"/>
  <c r="N744" i="38"/>
  <c r="N732" i="38"/>
  <c r="N720" i="38"/>
  <c r="N708" i="38"/>
  <c r="N696" i="38"/>
  <c r="N684" i="38"/>
  <c r="N672" i="38"/>
  <c r="N660" i="38"/>
  <c r="N648" i="38"/>
  <c r="N636" i="38"/>
  <c r="BC13" i="51" s="1"/>
  <c r="N41" i="38"/>
  <c r="N129" i="38"/>
  <c r="N945" i="38"/>
  <c r="N933" i="38"/>
  <c r="N921" i="38"/>
  <c r="N909" i="38"/>
  <c r="N897" i="38"/>
  <c r="N885" i="38"/>
  <c r="N873" i="38"/>
  <c r="N861" i="38"/>
  <c r="N849" i="38"/>
  <c r="N825" i="38"/>
  <c r="N813" i="38"/>
  <c r="N789" i="38"/>
  <c r="N777" i="38"/>
  <c r="N765" i="38"/>
  <c r="N753" i="38"/>
  <c r="N729" i="38"/>
  <c r="N717" i="38"/>
  <c r="N693" i="38"/>
  <c r="N681" i="38"/>
  <c r="N669" i="38"/>
  <c r="BC11" i="51" s="1"/>
  <c r="N657" i="38"/>
  <c r="N645" i="38"/>
  <c r="N633" i="38"/>
  <c r="N621" i="38"/>
  <c r="N609" i="38"/>
  <c r="N585" i="38"/>
  <c r="N573" i="38"/>
  <c r="N561" i="38"/>
  <c r="N549" i="38"/>
  <c r="N537" i="38"/>
  <c r="N525" i="38"/>
  <c r="N501" i="38"/>
  <c r="N489" i="38"/>
  <c r="N477" i="38"/>
  <c r="N465" i="38"/>
  <c r="N453" i="38"/>
  <c r="N441" i="38"/>
  <c r="N429" i="38"/>
  <c r="AP10" i="51" s="1"/>
  <c r="N417" i="38"/>
  <c r="N393" i="38"/>
  <c r="AN14" i="51" s="1"/>
  <c r="N381" i="38"/>
  <c r="N369" i="38"/>
  <c r="N357" i="38"/>
  <c r="N345" i="38"/>
  <c r="N333" i="38"/>
  <c r="N309" i="38"/>
  <c r="N297" i="38"/>
  <c r="N285" i="38"/>
  <c r="N273" i="38"/>
  <c r="N261" i="38"/>
  <c r="N249" i="38"/>
  <c r="N237" i="38"/>
  <c r="N225" i="38"/>
  <c r="N201" i="38"/>
  <c r="N189" i="38"/>
  <c r="N177" i="38"/>
  <c r="N165" i="38"/>
  <c r="S14" i="51" s="1"/>
  <c r="N153" i="38"/>
  <c r="N141" i="38"/>
  <c r="N117" i="38"/>
  <c r="N93" i="38"/>
  <c r="N81" i="38"/>
  <c r="N69" i="38"/>
  <c r="N45" i="38"/>
  <c r="N33" i="38"/>
  <c r="N824" i="38"/>
  <c r="N812" i="38"/>
  <c r="N800" i="38"/>
  <c r="N788" i="38"/>
  <c r="N776" i="38"/>
  <c r="N764" i="38"/>
  <c r="N752" i="38"/>
  <c r="N740" i="38"/>
  <c r="N728" i="38"/>
  <c r="N716" i="38"/>
  <c r="N704" i="38"/>
  <c r="N692" i="38"/>
  <c r="N668" i="38"/>
  <c r="N656" i="38"/>
  <c r="N644" i="38"/>
  <c r="N632" i="38"/>
  <c r="N620" i="38"/>
  <c r="BB10" i="51" s="1"/>
  <c r="N608" i="38"/>
  <c r="N584" i="38"/>
  <c r="N572" i="38"/>
  <c r="N560" i="38"/>
  <c r="N548" i="38"/>
  <c r="N536" i="38"/>
  <c r="N524" i="38"/>
  <c r="N512" i="38"/>
  <c r="N500" i="38"/>
  <c r="N476" i="38"/>
  <c r="N464" i="38"/>
  <c r="N452" i="38"/>
  <c r="N440" i="38"/>
  <c r="N428" i="38"/>
  <c r="N416" i="38"/>
  <c r="N392" i="38"/>
  <c r="N380" i="38"/>
  <c r="N368" i="38"/>
  <c r="N356" i="38"/>
  <c r="N344" i="38"/>
  <c r="N332" i="38"/>
  <c r="N320" i="38"/>
  <c r="N308" i="38"/>
  <c r="N284" i="38"/>
  <c r="N272" i="38"/>
  <c r="N260" i="38"/>
  <c r="N248" i="38"/>
  <c r="N236" i="38"/>
  <c r="N224" i="38"/>
  <c r="U11" i="51" s="1"/>
  <c r="N200" i="38"/>
  <c r="N188" i="38"/>
  <c r="N176" i="38"/>
  <c r="N164" i="38"/>
  <c r="N152" i="38"/>
  <c r="N140" i="38"/>
  <c r="N128" i="38"/>
  <c r="N116" i="38"/>
  <c r="N68" i="38"/>
  <c r="N56" i="38"/>
  <c r="N775" i="38"/>
  <c r="N763" i="38"/>
  <c r="N751" i="38"/>
  <c r="N739" i="38"/>
  <c r="N727" i="38"/>
  <c r="N715" i="38"/>
  <c r="N703" i="38"/>
  <c r="N691" i="38"/>
  <c r="N679" i="38"/>
  <c r="N667" i="38"/>
  <c r="N655" i="38"/>
  <c r="N643" i="38"/>
  <c r="BC15" i="51" s="1"/>
  <c r="N631" i="38"/>
  <c r="N619" i="38"/>
  <c r="N607" i="38"/>
  <c r="N595" i="38"/>
  <c r="N583" i="38"/>
  <c r="N571" i="38"/>
  <c r="BA6" i="51" s="1"/>
  <c r="N559" i="38"/>
  <c r="AZ9" i="51" s="1"/>
  <c r="N547" i="38"/>
  <c r="N535" i="38"/>
  <c r="N523" i="38"/>
  <c r="N511" i="38"/>
  <c r="N499" i="38"/>
  <c r="AY11" i="51" s="1"/>
  <c r="N487" i="38"/>
  <c r="N475" i="38"/>
  <c r="N463" i="38"/>
  <c r="N451" i="38"/>
  <c r="AQ15" i="51" s="1"/>
  <c r="N439" i="38"/>
  <c r="AP15" i="51" s="1"/>
  <c r="N427" i="38"/>
  <c r="N415" i="38"/>
  <c r="N403" i="38"/>
  <c r="N391" i="38"/>
  <c r="N379" i="38"/>
  <c r="N367" i="38"/>
  <c r="N355" i="38"/>
  <c r="N343" i="38"/>
  <c r="N331" i="38"/>
  <c r="N319" i="38"/>
  <c r="N307" i="38"/>
  <c r="N295" i="38"/>
  <c r="N283" i="38"/>
  <c r="N271" i="38"/>
  <c r="N259" i="38"/>
  <c r="V13" i="51" s="1"/>
  <c r="N247" i="38"/>
  <c r="N235" i="38"/>
  <c r="N223" i="38"/>
  <c r="N211" i="38"/>
  <c r="N199" i="38"/>
  <c r="N187" i="38"/>
  <c r="N175" i="38"/>
  <c r="N163" i="38"/>
  <c r="N151" i="38"/>
  <c r="N139" i="38"/>
  <c r="N127" i="38"/>
  <c r="S15" i="51" s="1"/>
  <c r="N115" i="38"/>
  <c r="N103" i="38"/>
  <c r="N91" i="38"/>
  <c r="N79" i="38"/>
  <c r="N67" i="38"/>
  <c r="N918" i="38"/>
  <c r="N906" i="38"/>
  <c r="BU11" i="51" s="1"/>
  <c r="N894" i="38"/>
  <c r="N882" i="38"/>
  <c r="N870" i="38"/>
  <c r="N858" i="38"/>
  <c r="N846" i="38"/>
  <c r="N834" i="38"/>
  <c r="N822" i="38"/>
  <c r="N810" i="38"/>
  <c r="N798" i="38"/>
  <c r="N786" i="38"/>
  <c r="N774" i="38"/>
  <c r="N762" i="38"/>
  <c r="N750" i="38"/>
  <c r="N738" i="38"/>
  <c r="N726" i="38"/>
  <c r="N714" i="38"/>
  <c r="N702" i="38"/>
  <c r="N690" i="38"/>
  <c r="N678" i="38"/>
  <c r="BN6" i="51" s="1"/>
  <c r="N666" i="38"/>
  <c r="N654" i="38"/>
  <c r="N642" i="38"/>
  <c r="N630" i="38"/>
  <c r="N618" i="38"/>
  <c r="N606" i="38"/>
  <c r="N594" i="38"/>
  <c r="N582" i="38"/>
  <c r="BA15" i="51" s="1"/>
  <c r="N570" i="38"/>
  <c r="N558" i="38"/>
  <c r="N546" i="38"/>
  <c r="N534" i="38"/>
  <c r="N522" i="38"/>
  <c r="N510" i="38"/>
  <c r="N498" i="38"/>
  <c r="N486" i="38"/>
  <c r="N474" i="38"/>
  <c r="N462" i="38"/>
  <c r="N450" i="38"/>
  <c r="AQ11" i="51" s="1"/>
  <c r="N438" i="38"/>
  <c r="N426" i="38"/>
  <c r="N414" i="38"/>
  <c r="N402" i="38"/>
  <c r="N390" i="38"/>
  <c r="N378" i="38"/>
  <c r="N366" i="38"/>
  <c r="N354" i="38"/>
  <c r="N342" i="38"/>
  <c r="N330" i="38"/>
  <c r="N318" i="38"/>
  <c r="N306" i="38"/>
  <c r="N294" i="38"/>
  <c r="AD13" i="51" s="1"/>
  <c r="N282" i="38"/>
  <c r="AC9" i="51" s="1"/>
  <c r="N270" i="38"/>
  <c r="N258" i="38"/>
  <c r="N246" i="38"/>
  <c r="N234" i="38"/>
  <c r="N222" i="38"/>
  <c r="N210" i="38"/>
  <c r="N198" i="38"/>
  <c r="T11" i="51" s="1"/>
  <c r="N186" i="38"/>
  <c r="N174" i="38"/>
  <c r="N162" i="38"/>
  <c r="N150" i="38"/>
  <c r="N138" i="38"/>
  <c r="N126" i="38"/>
  <c r="N114" i="38"/>
  <c r="N102" i="38"/>
  <c r="N90" i="38"/>
  <c r="N78" i="38"/>
  <c r="N833" i="38"/>
  <c r="N821" i="38"/>
  <c r="N809" i="38"/>
  <c r="N785" i="38"/>
  <c r="N773" i="38"/>
  <c r="N761" i="38"/>
  <c r="N749" i="38"/>
  <c r="N737" i="38"/>
  <c r="N725" i="38"/>
  <c r="N713" i="38"/>
  <c r="N689" i="38"/>
  <c r="N677" i="38"/>
  <c r="N665" i="38"/>
  <c r="N653" i="38"/>
  <c r="N641" i="38"/>
  <c r="N629" i="38"/>
  <c r="N605" i="38"/>
  <c r="N593" i="38"/>
  <c r="N581" i="38"/>
  <c r="N569" i="38"/>
  <c r="N557" i="38"/>
  <c r="N545" i="38"/>
  <c r="AZ6" i="51" s="1"/>
  <c r="N533" i="38"/>
  <c r="N521" i="38"/>
  <c r="N497" i="38"/>
  <c r="N485" i="38"/>
  <c r="BJ6" i="51" s="1"/>
  <c r="N473" i="38"/>
  <c r="N461" i="38"/>
  <c r="N449" i="38"/>
  <c r="N437" i="38"/>
  <c r="N413" i="38"/>
  <c r="N401" i="38"/>
  <c r="N389" i="38"/>
  <c r="N377" i="38"/>
  <c r="AF15" i="51" s="1"/>
  <c r="N365" i="38"/>
  <c r="N353" i="38"/>
  <c r="N341" i="38"/>
  <c r="AE11" i="51" s="1"/>
  <c r="N329" i="38"/>
  <c r="N305" i="38"/>
  <c r="N293" i="38"/>
  <c r="AD9" i="51" s="1"/>
  <c r="N281" i="38"/>
  <c r="N269" i="38"/>
  <c r="N257" i="38"/>
  <c r="N245" i="38"/>
  <c r="N221" i="38"/>
  <c r="N209" i="38"/>
  <c r="N197" i="38"/>
  <c r="N185" i="38"/>
  <c r="N173" i="38"/>
  <c r="N161" i="38"/>
  <c r="N149" i="38"/>
  <c r="S13" i="51" s="1"/>
  <c r="N137" i="38"/>
  <c r="N113" i="38"/>
  <c r="N101" i="38"/>
  <c r="N89" i="38"/>
  <c r="N77" i="38"/>
  <c r="N65" i="38"/>
  <c r="N53" i="38"/>
  <c r="N29" i="38"/>
  <c r="N17" i="38"/>
  <c r="N5" i="38"/>
  <c r="G15" i="51" s="1"/>
  <c r="N772" i="38"/>
  <c r="N748" i="38"/>
  <c r="N736" i="38"/>
  <c r="N724" i="38"/>
  <c r="N712" i="38"/>
  <c r="N700" i="38"/>
  <c r="N688" i="38"/>
  <c r="N676" i="38"/>
  <c r="BC9" i="51" s="1"/>
  <c r="N664" i="38"/>
  <c r="N652" i="38"/>
  <c r="N628" i="38"/>
  <c r="N616" i="38"/>
  <c r="N604" i="38"/>
  <c r="N592" i="38"/>
  <c r="N580" i="38"/>
  <c r="N568" i="38"/>
  <c r="N556" i="38"/>
  <c r="N544" i="38"/>
  <c r="N520" i="38"/>
  <c r="N508" i="38"/>
  <c r="N496" i="38"/>
  <c r="N484" i="38"/>
  <c r="N472" i="38"/>
  <c r="N460" i="38"/>
  <c r="N436" i="38"/>
  <c r="N424" i="38"/>
  <c r="N412" i="38"/>
  <c r="N400" i="38"/>
  <c r="N388" i="38"/>
  <c r="N376" i="38"/>
  <c r="N364" i="38"/>
  <c r="N352" i="38"/>
  <c r="N328" i="38"/>
  <c r="N316" i="38"/>
  <c r="N304" i="38"/>
  <c r="N292" i="38"/>
  <c r="AD10" i="51" s="1"/>
  <c r="N280" i="38"/>
  <c r="N268" i="38"/>
  <c r="N244" i="38"/>
  <c r="N232" i="38"/>
  <c r="N220" i="38"/>
  <c r="N208" i="38"/>
  <c r="N196" i="38"/>
  <c r="N184" i="38"/>
  <c r="N172" i="38"/>
  <c r="N160" i="38"/>
  <c r="N136" i="38"/>
  <c r="N124" i="38"/>
  <c r="R8" i="51" s="1"/>
  <c r="N112" i="38"/>
  <c r="N100" i="38"/>
  <c r="N88" i="38"/>
  <c r="N76" i="38"/>
  <c r="N52" i="38"/>
  <c r="N28" i="38"/>
  <c r="N16" i="38"/>
  <c r="I15" i="51" s="1"/>
  <c r="N4" i="38"/>
  <c r="N64" i="38"/>
  <c r="N783" i="38"/>
  <c r="N771" i="38"/>
  <c r="N747" i="38"/>
  <c r="N735" i="38"/>
  <c r="N711" i="38"/>
  <c r="N699" i="38"/>
  <c r="N687" i="38"/>
  <c r="N675" i="38"/>
  <c r="N663" i="38"/>
  <c r="N651" i="38"/>
  <c r="N639" i="38"/>
  <c r="N627" i="38"/>
  <c r="N603" i="38"/>
  <c r="N591" i="38"/>
  <c r="N579" i="38"/>
  <c r="N567" i="38"/>
  <c r="N555" i="38"/>
  <c r="N543" i="38"/>
  <c r="N519" i="38"/>
  <c r="N507" i="38"/>
  <c r="AY14" i="51" s="1"/>
  <c r="N495" i="38"/>
  <c r="N483" i="38"/>
  <c r="N471" i="38"/>
  <c r="N459" i="38"/>
  <c r="N447" i="38"/>
  <c r="N435" i="38"/>
  <c r="N411" i="38"/>
  <c r="N399" i="38"/>
  <c r="N387" i="38"/>
  <c r="N375" i="38"/>
  <c r="N363" i="38"/>
  <c r="AE9" i="51" s="1"/>
  <c r="N351" i="38"/>
  <c r="N327" i="38"/>
  <c r="N315" i="38"/>
  <c r="AE13" i="51" s="1"/>
  <c r="N303" i="38"/>
  <c r="N291" i="38"/>
  <c r="N279" i="38"/>
  <c r="AC11" i="51" s="1"/>
  <c r="N267" i="38"/>
  <c r="N255" i="38"/>
  <c r="U9" i="51" s="1"/>
  <c r="N243" i="38"/>
  <c r="N219" i="38"/>
  <c r="N207" i="38"/>
  <c r="N195" i="38"/>
  <c r="N183" i="38"/>
  <c r="N171" i="38"/>
  <c r="N159" i="38"/>
  <c r="N135" i="38"/>
  <c r="N123" i="38"/>
  <c r="N111" i="38"/>
  <c r="N99" i="38"/>
  <c r="N87" i="38"/>
  <c r="N75" i="38"/>
  <c r="N63" i="38"/>
  <c r="N51" i="38"/>
  <c r="N27" i="38"/>
  <c r="N3" i="38"/>
  <c r="N746" i="38"/>
  <c r="N734" i="38"/>
  <c r="N710" i="38"/>
  <c r="N698" i="38"/>
  <c r="N686" i="38"/>
  <c r="N674" i="38"/>
  <c r="N662" i="38"/>
  <c r="N650" i="38"/>
  <c r="N626" i="38"/>
  <c r="N614" i="38"/>
  <c r="N602" i="38"/>
  <c r="N590" i="38"/>
  <c r="N578" i="38"/>
  <c r="N566" i="38"/>
  <c r="N542" i="38"/>
  <c r="N530" i="38"/>
  <c r="N518" i="38"/>
  <c r="N506" i="38"/>
  <c r="N494" i="38"/>
  <c r="N482" i="38"/>
  <c r="AQ14" i="51" s="1"/>
  <c r="N470" i="38"/>
  <c r="N458" i="38"/>
  <c r="N434" i="38"/>
  <c r="N422" i="38"/>
  <c r="N410" i="38"/>
  <c r="N398" i="38"/>
  <c r="N386" i="38"/>
  <c r="N374" i="38"/>
  <c r="AF11" i="51" s="1"/>
  <c r="N350" i="38"/>
  <c r="N338" i="38"/>
  <c r="N326" i="38"/>
  <c r="N314" i="38"/>
  <c r="AE15" i="51" s="1"/>
  <c r="N302" i="38"/>
  <c r="N290" i="38"/>
  <c r="N278" i="38"/>
  <c r="N266" i="38"/>
  <c r="N242" i="38"/>
  <c r="N230" i="38"/>
  <c r="N218" i="38"/>
  <c r="N206" i="38"/>
  <c r="N194" i="38"/>
  <c r="N182" i="38"/>
  <c r="N158" i="38"/>
  <c r="N146" i="38"/>
  <c r="N134" i="38"/>
  <c r="N122" i="38"/>
  <c r="N110" i="38"/>
  <c r="N98" i="38"/>
  <c r="N86" i="38"/>
  <c r="N74" i="38"/>
  <c r="N50" i="38"/>
  <c r="N38" i="38"/>
  <c r="N26" i="38"/>
  <c r="N14" i="38"/>
  <c r="N2" i="38"/>
  <c r="G11" i="51" s="1"/>
  <c r="N745" i="38"/>
  <c r="N733" i="38"/>
  <c r="N721" i="38"/>
  <c r="N709" i="38"/>
  <c r="N697" i="38"/>
  <c r="N685" i="38"/>
  <c r="N673" i="38"/>
  <c r="N649" i="38"/>
  <c r="N637" i="38"/>
  <c r="N625" i="38"/>
  <c r="BB11" i="51" s="1"/>
  <c r="N613" i="38"/>
  <c r="N601" i="38"/>
  <c r="N589" i="38"/>
  <c r="BA11" i="51" s="1"/>
  <c r="N565" i="38"/>
  <c r="N553" i="38"/>
  <c r="N541" i="38"/>
  <c r="AZ13" i="51" s="1"/>
  <c r="N529" i="38"/>
  <c r="N517" i="38"/>
  <c r="N505" i="38"/>
  <c r="N493" i="38"/>
  <c r="N481" i="38"/>
  <c r="N457" i="38"/>
  <c r="N445" i="38"/>
  <c r="AQ9" i="51" s="1"/>
  <c r="N433" i="38"/>
  <c r="N421" i="38"/>
  <c r="N409" i="38"/>
  <c r="N397" i="38"/>
  <c r="N373" i="38"/>
  <c r="N361" i="38"/>
  <c r="N349" i="38"/>
  <c r="AE14" i="51" s="1"/>
  <c r="N337" i="38"/>
  <c r="N325" i="38"/>
  <c r="N313" i="38"/>
  <c r="N301" i="38"/>
  <c r="N289" i="38"/>
  <c r="N265" i="38"/>
  <c r="N253" i="38"/>
  <c r="N241" i="38"/>
  <c r="N229" i="38"/>
  <c r="U14" i="51" s="1"/>
  <c r="N217" i="38"/>
  <c r="N205" i="38"/>
  <c r="N181" i="38"/>
  <c r="N169" i="38"/>
  <c r="N157" i="38"/>
  <c r="N145" i="38"/>
  <c r="N133" i="38"/>
  <c r="N121" i="38"/>
  <c r="N109" i="38"/>
  <c r="R11" i="51" s="1"/>
  <c r="N97" i="38"/>
  <c r="J11" i="51" s="1"/>
  <c r="N73" i="38"/>
  <c r="N61" i="38"/>
  <c r="N49" i="38"/>
  <c r="I6" i="51" s="1"/>
  <c r="N37" i="38"/>
  <c r="N13" i="38"/>
  <c r="I11" i="51" s="1"/>
  <c r="N624" i="38"/>
  <c r="N612" i="38"/>
  <c r="N600" i="38"/>
  <c r="N588" i="38"/>
  <c r="N576" i="38"/>
  <c r="BA13" i="51" s="1"/>
  <c r="N564" i="38"/>
  <c r="N552" i="38"/>
  <c r="N540" i="38"/>
  <c r="N528" i="38"/>
  <c r="N516" i="38"/>
  <c r="N504" i="38"/>
  <c r="N492" i="38"/>
  <c r="N480" i="38"/>
  <c r="N468" i="38"/>
  <c r="N456" i="38"/>
  <c r="AQ13" i="51" s="1"/>
  <c r="N444" i="38"/>
  <c r="N432" i="38"/>
  <c r="N420" i="38"/>
  <c r="N408" i="38"/>
  <c r="N396" i="38"/>
  <c r="AN13" i="51" s="1"/>
  <c r="N384" i="38"/>
  <c r="N372" i="38"/>
  <c r="N360" i="38"/>
  <c r="N348" i="38"/>
  <c r="N336" i="38"/>
  <c r="N324" i="38"/>
  <c r="N312" i="38"/>
  <c r="N300" i="38"/>
  <c r="N288" i="38"/>
  <c r="N276" i="38"/>
  <c r="N264" i="38"/>
  <c r="N252" i="38"/>
  <c r="N240" i="38"/>
  <c r="N228" i="38"/>
  <c r="N216" i="38"/>
  <c r="N204" i="38"/>
  <c r="N192" i="38"/>
  <c r="N180" i="38"/>
  <c r="N168" i="38"/>
  <c r="N156" i="38"/>
  <c r="N144" i="38"/>
  <c r="N132" i="38"/>
  <c r="N120" i="38"/>
  <c r="N108" i="38"/>
  <c r="N96" i="38"/>
  <c r="N84" i="38"/>
  <c r="N72" i="38"/>
  <c r="N60" i="38"/>
  <c r="N48" i="38"/>
  <c r="N36" i="38"/>
  <c r="N24" i="38"/>
  <c r="N12" i="38"/>
  <c r="H7" i="51" s="1"/>
  <c r="N21" i="38"/>
  <c r="N779" i="38"/>
  <c r="N767" i="38"/>
  <c r="N755" i="38"/>
  <c r="N743" i="38"/>
  <c r="N731" i="38"/>
  <c r="N719" i="38"/>
  <c r="N707" i="38"/>
  <c r="N695" i="38"/>
  <c r="N683" i="38"/>
  <c r="N671" i="38"/>
  <c r="N647" i="38"/>
  <c r="N635" i="38"/>
  <c r="N623" i="38"/>
  <c r="N611" i="38"/>
  <c r="BA8" i="51" s="1"/>
  <c r="N599" i="38"/>
  <c r="N587" i="38"/>
  <c r="N575" i="38"/>
  <c r="BA14" i="51" s="1"/>
  <c r="N563" i="38"/>
  <c r="N539" i="38"/>
  <c r="N527" i="38"/>
  <c r="N515" i="38"/>
  <c r="N503" i="38"/>
  <c r="N491" i="38"/>
  <c r="N479" i="38"/>
  <c r="N455" i="38"/>
  <c r="N443" i="38"/>
  <c r="N431" i="38"/>
  <c r="N419" i="38"/>
  <c r="N407" i="38"/>
  <c r="N395" i="38"/>
  <c r="N383" i="38"/>
  <c r="AN15" i="51" s="1"/>
  <c r="N371" i="38"/>
  <c r="N347" i="38"/>
  <c r="N335" i="38"/>
  <c r="N323" i="38"/>
  <c r="N311" i="38"/>
  <c r="AD8" i="51" s="1"/>
  <c r="N299" i="38"/>
  <c r="AD14" i="51" s="1"/>
  <c r="N287" i="38"/>
  <c r="N263" i="38"/>
  <c r="V15" i="51" s="1"/>
  <c r="N251" i="38"/>
  <c r="N239" i="38"/>
  <c r="N227" i="38"/>
  <c r="N215" i="38"/>
  <c r="N203" i="38"/>
  <c r="N191" i="38"/>
  <c r="N179" i="38"/>
  <c r="N155" i="38"/>
  <c r="N143" i="38"/>
  <c r="N131" i="38"/>
  <c r="N119" i="38"/>
  <c r="N107" i="38"/>
  <c r="N95" i="38"/>
  <c r="J8" i="51" s="1"/>
  <c r="N71" i="38"/>
  <c r="N59" i="38"/>
  <c r="N47" i="38"/>
  <c r="N35" i="38"/>
  <c r="N23" i="38"/>
  <c r="N11" i="38"/>
  <c r="H15" i="51" s="1"/>
  <c r="N20" i="38"/>
  <c r="N105" i="38"/>
  <c r="N57" i="38"/>
  <c r="J15" i="51" s="1"/>
  <c r="N9" i="38"/>
  <c r="N92" i="38"/>
  <c r="N80" i="38"/>
  <c r="N44" i="38"/>
  <c r="I9" i="51" s="1"/>
  <c r="N32" i="38"/>
  <c r="N55" i="38"/>
  <c r="N43" i="38"/>
  <c r="N31" i="38"/>
  <c r="N19" i="38"/>
  <c r="N7" i="38"/>
  <c r="N66" i="38"/>
  <c r="N54" i="38"/>
  <c r="N42" i="38"/>
  <c r="N30" i="38"/>
  <c r="N18" i="38"/>
  <c r="I14" i="51" s="1"/>
  <c r="N6" i="38"/>
  <c r="N8" i="38"/>
  <c r="H11" i="51" s="1"/>
  <c r="N40" i="38"/>
  <c r="N15" i="38"/>
  <c r="N25" i="38"/>
  <c r="I13" i="51" s="1"/>
  <c r="M1165" i="38"/>
  <c r="M1105" i="38"/>
  <c r="CA9" i="51" s="1"/>
  <c r="M1380" i="38"/>
  <c r="M1308" i="38"/>
  <c r="M1309" i="38"/>
  <c r="M1285" i="38"/>
  <c r="CL14" i="51" s="1"/>
  <c r="M1393" i="38"/>
  <c r="M1381" i="38"/>
  <c r="M1237" i="38"/>
  <c r="M1369" i="38"/>
  <c r="M1297" i="38"/>
  <c r="M1335" i="38"/>
  <c r="M1311" i="38"/>
  <c r="CM11" i="51" s="1"/>
  <c r="M1287" i="38"/>
  <c r="M1239" i="38"/>
  <c r="CE14" i="51" s="1"/>
  <c r="M1323" i="38"/>
  <c r="M1299" i="38"/>
  <c r="M1092" i="38"/>
  <c r="M1080" i="38"/>
  <c r="M1068" i="38"/>
  <c r="M1056" i="38"/>
  <c r="M1044" i="38"/>
  <c r="M1032" i="38"/>
  <c r="M1020" i="38"/>
  <c r="M1008" i="38"/>
  <c r="M996" i="38"/>
  <c r="M984" i="38"/>
  <c r="M972" i="38"/>
  <c r="M960" i="38"/>
  <c r="M948" i="38"/>
  <c r="M864" i="38"/>
  <c r="M805" i="38"/>
  <c r="M433" i="38"/>
  <c r="M1321" i="38"/>
  <c r="M1225" i="38"/>
  <c r="CE17" i="51" s="1"/>
  <c r="M1069" i="38"/>
  <c r="M1356" i="38"/>
  <c r="M1272" i="38"/>
  <c r="M1212" i="38"/>
  <c r="M1104" i="38"/>
  <c r="CA10" i="51" s="1"/>
  <c r="M1391" i="38"/>
  <c r="M1379" i="38"/>
  <c r="M1367" i="38"/>
  <c r="CN16" i="51" s="1"/>
  <c r="M1355" i="38"/>
  <c r="M1343" i="38"/>
  <c r="M1331" i="38"/>
  <c r="M1319" i="38"/>
  <c r="CM16" i="51" s="1"/>
  <c r="M1307" i="38"/>
  <c r="M1295" i="38"/>
  <c r="M1283" i="38"/>
  <c r="M1271" i="38"/>
  <c r="M971" i="38"/>
  <c r="M779" i="38"/>
  <c r="M719" i="38"/>
  <c r="M1189" i="38"/>
  <c r="CD11" i="51" s="1"/>
  <c r="M1081" i="38"/>
  <c r="CA11" i="51" s="1"/>
  <c r="M1344" i="38"/>
  <c r="M1260" i="38"/>
  <c r="M1176" i="38"/>
  <c r="M1116" i="38"/>
  <c r="M1390" i="38"/>
  <c r="M1354" i="38"/>
  <c r="M1342" i="38"/>
  <c r="M1330" i="38"/>
  <c r="M1318" i="38"/>
  <c r="CM14" i="51" s="1"/>
  <c r="M1306" i="38"/>
  <c r="M1294" i="38"/>
  <c r="M1282" i="38"/>
  <c r="M1270" i="38"/>
  <c r="M1258" i="38"/>
  <c r="M1246" i="38"/>
  <c r="M1234" i="38"/>
  <c r="M958" i="38"/>
  <c r="M910" i="38"/>
  <c r="M838" i="38"/>
  <c r="M1177" i="38"/>
  <c r="M1129" i="38"/>
  <c r="M1368" i="38"/>
  <c r="M1284" i="38"/>
  <c r="CL13" i="51" s="1"/>
  <c r="M1188" i="38"/>
  <c r="M1128" i="38"/>
  <c r="M1378" i="38"/>
  <c r="M1377" i="38"/>
  <c r="CO12" i="51" s="1"/>
  <c r="M1353" i="38"/>
  <c r="M1329" i="38"/>
  <c r="M1317" i="38"/>
  <c r="M1305" i="38"/>
  <c r="M1293" i="38"/>
  <c r="M1281" i="38"/>
  <c r="M1269" i="38"/>
  <c r="M1257" i="38"/>
  <c r="M1245" i="38"/>
  <c r="M1233" i="38"/>
  <c r="M753" i="38"/>
  <c r="M1273" i="38"/>
  <c r="M1153" i="38"/>
  <c r="M1332" i="38"/>
  <c r="M1248" i="38"/>
  <c r="M1200" i="38"/>
  <c r="M1140" i="38"/>
  <c r="M1389" i="38"/>
  <c r="M1365" i="38"/>
  <c r="M1341" i="38"/>
  <c r="M1388" i="38"/>
  <c r="M1376" i="38"/>
  <c r="M1364" i="38"/>
  <c r="M1352" i="38"/>
  <c r="M1340" i="38"/>
  <c r="M1328" i="38"/>
  <c r="M1316" i="38"/>
  <c r="M1304" i="38"/>
  <c r="CM8" i="51" s="1"/>
  <c r="M1345" i="38"/>
  <c r="M1249" i="38"/>
  <c r="M1141" i="38"/>
  <c r="M1296" i="38"/>
  <c r="CL9" i="51" s="1"/>
  <c r="M1224" i="38"/>
  <c r="M1152" i="38"/>
  <c r="M1366" i="38"/>
  <c r="M1387" i="38"/>
  <c r="M1375" i="38"/>
  <c r="M1363" i="38"/>
  <c r="M1351" i="38"/>
  <c r="CN11" i="51" s="1"/>
  <c r="M1339" i="38"/>
  <c r="M1327" i="38"/>
  <c r="M1315" i="38"/>
  <c r="M1303" i="38"/>
  <c r="M1291" i="38"/>
  <c r="M1279" i="38"/>
  <c r="M1267" i="38"/>
  <c r="M1261" i="38"/>
  <c r="M1392" i="38"/>
  <c r="M1320" i="38"/>
  <c r="M1236" i="38"/>
  <c r="CE9" i="51" s="1"/>
  <c r="M1164" i="38"/>
  <c r="M1386" i="38"/>
  <c r="M1374" i="38"/>
  <c r="M1362" i="38"/>
  <c r="M1350" i="38"/>
  <c r="M1338" i="38"/>
  <c r="M1326" i="38"/>
  <c r="M1314" i="38"/>
  <c r="CM12" i="51" s="1"/>
  <c r="M1302" i="38"/>
  <c r="M1290" i="38"/>
  <c r="M1278" i="38"/>
  <c r="M1266" i="38"/>
  <c r="M1254" i="38"/>
  <c r="M1242" i="38"/>
  <c r="M1230" i="38"/>
  <c r="M942" i="38"/>
  <c r="M1201" i="38"/>
  <c r="M1093" i="38"/>
  <c r="M1385" i="38"/>
  <c r="M1373" i="38"/>
  <c r="M1349" i="38"/>
  <c r="M1337" i="38"/>
  <c r="M1325" i="38"/>
  <c r="M1313" i="38"/>
  <c r="M1301" i="38"/>
  <c r="CM6" i="51" s="1"/>
  <c r="M1289" i="38"/>
  <c r="M1277" i="38"/>
  <c r="CL12" i="51" s="1"/>
  <c r="M1265" i="38"/>
  <c r="M1253" i="38"/>
  <c r="M1241" i="38"/>
  <c r="M1229" i="38"/>
  <c r="M1217" i="38"/>
  <c r="M1205" i="38"/>
  <c r="M1193" i="38"/>
  <c r="M1181" i="38"/>
  <c r="CC13" i="51" s="1"/>
  <c r="M1169" i="38"/>
  <c r="M1157" i="38"/>
  <c r="M1145" i="38"/>
  <c r="M1333" i="38"/>
  <c r="M1213" i="38"/>
  <c r="M1117" i="38"/>
  <c r="M1361" i="38"/>
  <c r="M1396" i="38"/>
  <c r="M1384" i="38"/>
  <c r="M1372" i="38"/>
  <c r="M1360" i="38"/>
  <c r="M1348" i="38"/>
  <c r="M1336" i="38"/>
  <c r="M1324" i="38"/>
  <c r="M1312" i="38"/>
  <c r="M1300" i="38"/>
  <c r="M1288" i="38"/>
  <c r="M1276" i="38"/>
  <c r="M1264" i="38"/>
  <c r="M1252" i="38"/>
  <c r="M1240" i="38"/>
  <c r="M1275" i="38"/>
  <c r="M1263" i="38"/>
  <c r="M1251" i="38"/>
  <c r="CE13" i="51" s="1"/>
  <c r="M1227" i="38"/>
  <c r="M1203" i="38"/>
  <c r="CD9" i="51" s="1"/>
  <c r="M1179" i="38"/>
  <c r="M1167" i="38"/>
  <c r="M1155" i="38"/>
  <c r="M1143" i="38"/>
  <c r="M1131" i="38"/>
  <c r="M1119" i="38"/>
  <c r="M1107" i="38"/>
  <c r="M1095" i="38"/>
  <c r="M1083" i="38"/>
  <c r="M1071" i="38"/>
  <c r="M1059" i="38"/>
  <c r="M1047" i="38"/>
  <c r="M1035" i="38"/>
  <c r="M1023" i="38"/>
  <c r="M1215" i="38"/>
  <c r="M1191" i="38"/>
  <c r="M1394" i="38"/>
  <c r="CO14" i="51" s="1"/>
  <c r="M1382" i="38"/>
  <c r="CO16" i="51" s="1"/>
  <c r="M1370" i="38"/>
  <c r="M1358" i="38"/>
  <c r="CN8" i="51" s="1"/>
  <c r="M1346" i="38"/>
  <c r="M1334" i="38"/>
  <c r="M1322" i="38"/>
  <c r="M1310" i="38"/>
  <c r="M1298" i="38"/>
  <c r="M1286" i="38"/>
  <c r="M1274" i="38"/>
  <c r="M1262" i="38"/>
  <c r="M1250" i="38"/>
  <c r="M1010" i="38"/>
  <c r="M1222" i="38"/>
  <c r="M1210" i="38"/>
  <c r="M1198" i="38"/>
  <c r="M1186" i="38"/>
  <c r="M1174" i="38"/>
  <c r="M1162" i="38"/>
  <c r="M1150" i="38"/>
  <c r="M1138" i="38"/>
  <c r="M1126" i="38"/>
  <c r="M1114" i="38"/>
  <c r="M1102" i="38"/>
  <c r="M1090" i="38"/>
  <c r="M1078" i="38"/>
  <c r="M1066" i="38"/>
  <c r="M1054" i="38"/>
  <c r="M1042" i="38"/>
  <c r="M1030" i="38"/>
  <c r="M1018" i="38"/>
  <c r="CA12" i="51" s="1"/>
  <c r="M1006" i="38"/>
  <c r="M994" i="38"/>
  <c r="M982" i="38"/>
  <c r="M970" i="38"/>
  <c r="M946" i="38"/>
  <c r="M934" i="38"/>
  <c r="M922" i="38"/>
  <c r="M898" i="38"/>
  <c r="M886" i="38"/>
  <c r="M874" i="38"/>
  <c r="M862" i="38"/>
  <c r="M850" i="38"/>
  <c r="M826" i="38"/>
  <c r="M814" i="38"/>
  <c r="M802" i="38"/>
  <c r="M790" i="38"/>
  <c r="M778" i="38"/>
  <c r="M766" i="38"/>
  <c r="M754" i="38"/>
  <c r="M742" i="38"/>
  <c r="M730" i="38"/>
  <c r="M718" i="38"/>
  <c r="M706" i="38"/>
  <c r="M694" i="38"/>
  <c r="M682" i="38"/>
  <c r="M670" i="38"/>
  <c r="M658" i="38"/>
  <c r="M646" i="38"/>
  <c r="M634" i="38"/>
  <c r="M622" i="38"/>
  <c r="M610" i="38"/>
  <c r="M598" i="38"/>
  <c r="M586" i="38"/>
  <c r="M574" i="38"/>
  <c r="M562" i="38"/>
  <c r="M550" i="38"/>
  <c r="AU11" i="51" s="1"/>
  <c r="M538" i="38"/>
  <c r="M526" i="38"/>
  <c r="M514" i="38"/>
  <c r="AT15" i="51" s="1"/>
  <c r="M502" i="38"/>
  <c r="M490" i="38"/>
  <c r="M478" i="38"/>
  <c r="M466" i="38"/>
  <c r="M454" i="38"/>
  <c r="M442" i="38"/>
  <c r="M430" i="38"/>
  <c r="M418" i="38"/>
  <c r="M406" i="38"/>
  <c r="M394" i="38"/>
  <c r="M382" i="38"/>
  <c r="AI11" i="51" s="1"/>
  <c r="M370" i="38"/>
  <c r="M358" i="38"/>
  <c r="M346" i="38"/>
  <c r="M1221" i="38"/>
  <c r="CE12" i="51" s="1"/>
  <c r="M1209" i="38"/>
  <c r="M1197" i="38"/>
  <c r="M1185" i="38"/>
  <c r="CD8" i="51" s="1"/>
  <c r="M1173" i="38"/>
  <c r="M1161" i="38"/>
  <c r="M1149" i="38"/>
  <c r="M1137" i="38"/>
  <c r="M1125" i="38"/>
  <c r="M1113" i="38"/>
  <c r="M1101" i="38"/>
  <c r="M1089" i="38"/>
  <c r="M1077" i="38"/>
  <c r="M1065" i="38"/>
  <c r="M1053" i="38"/>
  <c r="M1041" i="38"/>
  <c r="M1029" i="38"/>
  <c r="M1017" i="38"/>
  <c r="M1005" i="38"/>
  <c r="M993" i="38"/>
  <c r="M981" i="38"/>
  <c r="M969" i="38"/>
  <c r="M957" i="38"/>
  <c r="M945" i="38"/>
  <c r="M933" i="38"/>
  <c r="M921" i="38"/>
  <c r="M909" i="38"/>
  <c r="M897" i="38"/>
  <c r="M885" i="38"/>
  <c r="M873" i="38"/>
  <c r="M861" i="38"/>
  <c r="M849" i="38"/>
  <c r="M837" i="38"/>
  <c r="M825" i="38"/>
  <c r="M813" i="38"/>
  <c r="M801" i="38"/>
  <c r="M789" i="38"/>
  <c r="M777" i="38"/>
  <c r="M765" i="38"/>
  <c r="M741" i="38"/>
  <c r="M729" i="38"/>
  <c r="M717" i="38"/>
  <c r="M705" i="38"/>
  <c r="M693" i="38"/>
  <c r="M681" i="38"/>
  <c r="M669" i="38"/>
  <c r="AX11" i="51" s="1"/>
  <c r="M657" i="38"/>
  <c r="M645" i="38"/>
  <c r="M633" i="38"/>
  <c r="M621" i="38"/>
  <c r="M609" i="38"/>
  <c r="M597" i="38"/>
  <c r="M585" i="38"/>
  <c r="M573" i="38"/>
  <c r="M561" i="38"/>
  <c r="M549" i="38"/>
  <c r="M537" i="38"/>
  <c r="M525" i="38"/>
  <c r="M513" i="38"/>
  <c r="M501" i="38"/>
  <c r="M489" i="38"/>
  <c r="M477" i="38"/>
  <c r="M465" i="38"/>
  <c r="M453" i="38"/>
  <c r="M441" i="38"/>
  <c r="M429" i="38"/>
  <c r="AK10" i="51" s="1"/>
  <c r="M417" i="38"/>
  <c r="M405" i="38"/>
  <c r="M393" i="38"/>
  <c r="AI14" i="51" s="1"/>
  <c r="M381" i="38"/>
  <c r="M369" i="38"/>
  <c r="M357" i="38"/>
  <c r="M345" i="38"/>
  <c r="M889" i="38"/>
  <c r="BP14" i="51" s="1"/>
  <c r="M1292" i="38"/>
  <c r="M1280" i="38"/>
  <c r="M1268" i="38"/>
  <c r="M1256" i="38"/>
  <c r="M1244" i="38"/>
  <c r="M1232" i="38"/>
  <c r="M1220" i="38"/>
  <c r="M1208" i="38"/>
  <c r="M1196" i="38"/>
  <c r="M1184" i="38"/>
  <c r="M1172" i="38"/>
  <c r="M1160" i="38"/>
  <c r="CB12" i="51" s="1"/>
  <c r="M1148" i="38"/>
  <c r="CB14" i="51" s="1"/>
  <c r="M1136" i="38"/>
  <c r="M1124" i="38"/>
  <c r="M1112" i="38"/>
  <c r="M1100" i="38"/>
  <c r="M1088" i="38"/>
  <c r="CA8" i="51" s="1"/>
  <c r="M1076" i="38"/>
  <c r="M1064" i="38"/>
  <c r="M1052" i="38"/>
  <c r="M1040" i="38"/>
  <c r="M1028" i="38"/>
  <c r="M1016" i="38"/>
  <c r="M1004" i="38"/>
  <c r="CA15" i="51" s="1"/>
  <c r="M992" i="38"/>
  <c r="M980" i="38"/>
  <c r="M968" i="38"/>
  <c r="M956" i="38"/>
  <c r="M944" i="38"/>
  <c r="M932" i="38"/>
  <c r="BQ13" i="51" s="1"/>
  <c r="M920" i="38"/>
  <c r="M908" i="38"/>
  <c r="M896" i="38"/>
  <c r="M884" i="38"/>
  <c r="M872" i="38"/>
  <c r="M860" i="38"/>
  <c r="M848" i="38"/>
  <c r="M836" i="38"/>
  <c r="M824" i="38"/>
  <c r="M812" i="38"/>
  <c r="M800" i="38"/>
  <c r="M788" i="38"/>
  <c r="M776" i="38"/>
  <c r="M764" i="38"/>
  <c r="M752" i="38"/>
  <c r="M740" i="38"/>
  <c r="M728" i="38"/>
  <c r="M716" i="38"/>
  <c r="M704" i="38"/>
  <c r="M692" i="38"/>
  <c r="M680" i="38"/>
  <c r="M668" i="38"/>
  <c r="M656" i="38"/>
  <c r="M644" i="38"/>
  <c r="M632" i="38"/>
  <c r="M620" i="38"/>
  <c r="AW10" i="51" s="1"/>
  <c r="M608" i="38"/>
  <c r="M596" i="38"/>
  <c r="M584" i="38"/>
  <c r="M572" i="38"/>
  <c r="M560" i="38"/>
  <c r="M548" i="38"/>
  <c r="M536" i="38"/>
  <c r="M524" i="38"/>
  <c r="M512" i="38"/>
  <c r="M500" i="38"/>
  <c r="M488" i="38"/>
  <c r="M476" i="38"/>
  <c r="M464" i="38"/>
  <c r="M452" i="38"/>
  <c r="M440" i="38"/>
  <c r="M428" i="38"/>
  <c r="M416" i="38"/>
  <c r="M1255" i="38"/>
  <c r="M1243" i="38"/>
  <c r="M1231" i="38"/>
  <c r="M1219" i="38"/>
  <c r="M1207" i="38"/>
  <c r="M1195" i="38"/>
  <c r="M1183" i="38"/>
  <c r="M1171" i="38"/>
  <c r="M1159" i="38"/>
  <c r="M1147" i="38"/>
  <c r="M1135" i="38"/>
  <c r="M1123" i="38"/>
  <c r="M1111" i="38"/>
  <c r="M1099" i="38"/>
  <c r="M1087" i="38"/>
  <c r="M1075" i="38"/>
  <c r="M1063" i="38"/>
  <c r="M1051" i="38"/>
  <c r="M1039" i="38"/>
  <c r="M1027" i="38"/>
  <c r="M1015" i="38"/>
  <c r="M1003" i="38"/>
  <c r="M991" i="38"/>
  <c r="M979" i="38"/>
  <c r="M967" i="38"/>
  <c r="M955" i="38"/>
  <c r="M943" i="38"/>
  <c r="M931" i="38"/>
  <c r="M919" i="38"/>
  <c r="M907" i="38"/>
  <c r="M895" i="38"/>
  <c r="M883" i="38"/>
  <c r="M871" i="38"/>
  <c r="M859" i="38"/>
  <c r="M847" i="38"/>
  <c r="M835" i="38"/>
  <c r="M823" i="38"/>
  <c r="M811" i="38"/>
  <c r="M799" i="38"/>
  <c r="M787" i="38"/>
  <c r="M775" i="38"/>
  <c r="M763" i="38"/>
  <c r="M751" i="38"/>
  <c r="M739" i="38"/>
  <c r="M727" i="38"/>
  <c r="M715" i="38"/>
  <c r="M703" i="38"/>
  <c r="M691" i="38"/>
  <c r="M679" i="38"/>
  <c r="M667" i="38"/>
  <c r="M655" i="38"/>
  <c r="M643" i="38"/>
  <c r="AX15" i="51" s="1"/>
  <c r="M631" i="38"/>
  <c r="M619" i="38"/>
  <c r="M607" i="38"/>
  <c r="M595" i="38"/>
  <c r="M583" i="38"/>
  <c r="M571" i="38"/>
  <c r="BG6" i="51" s="1"/>
  <c r="M559" i="38"/>
  <c r="AU9" i="51" s="1"/>
  <c r="M547" i="38"/>
  <c r="M535" i="38"/>
  <c r="M523" i="38"/>
  <c r="M511" i="38"/>
  <c r="M499" i="38"/>
  <c r="AT11" i="51" s="1"/>
  <c r="M487" i="38"/>
  <c r="M475" i="38"/>
  <c r="M463" i="38"/>
  <c r="M451" i="38"/>
  <c r="AL15" i="51" s="1"/>
  <c r="M439" i="38"/>
  <c r="AK15" i="51" s="1"/>
  <c r="M427" i="38"/>
  <c r="M415" i="38"/>
  <c r="M403" i="38"/>
  <c r="M391" i="38"/>
  <c r="M379" i="38"/>
  <c r="M367" i="38"/>
  <c r="M355" i="38"/>
  <c r="M343" i="38"/>
  <c r="M331" i="38"/>
  <c r="M1218" i="38"/>
  <c r="M1206" i="38"/>
  <c r="M1194" i="38"/>
  <c r="M1182" i="38"/>
  <c r="CC12" i="51" s="1"/>
  <c r="M1170" i="38"/>
  <c r="M1158" i="38"/>
  <c r="M1146" i="38"/>
  <c r="M1134" i="38"/>
  <c r="M1122" i="38"/>
  <c r="M1110" i="38"/>
  <c r="M1098" i="38"/>
  <c r="M1086" i="38"/>
  <c r="M1074" i="38"/>
  <c r="M1062" i="38"/>
  <c r="M1050" i="38"/>
  <c r="M1038" i="38"/>
  <c r="M1026" i="38"/>
  <c r="M1014" i="38"/>
  <c r="CA14" i="51" s="1"/>
  <c r="M1002" i="38"/>
  <c r="M990" i="38"/>
  <c r="M978" i="38"/>
  <c r="M966" i="38"/>
  <c r="M954" i="38"/>
  <c r="M930" i="38"/>
  <c r="M918" i="38"/>
  <c r="M906" i="38"/>
  <c r="BP11" i="51" s="1"/>
  <c r="M894" i="38"/>
  <c r="M882" i="38"/>
  <c r="M870" i="38"/>
  <c r="M858" i="38"/>
  <c r="M846" i="38"/>
  <c r="M834" i="38"/>
  <c r="M822" i="38"/>
  <c r="M810" i="38"/>
  <c r="M798" i="38"/>
  <c r="M786" i="38"/>
  <c r="M774" i="38"/>
  <c r="M762" i="38"/>
  <c r="M750" i="38"/>
  <c r="M738" i="38"/>
  <c r="M726" i="38"/>
  <c r="M714" i="38"/>
  <c r="M702" i="38"/>
  <c r="M690" i="38"/>
  <c r="M678" i="38"/>
  <c r="AX6" i="51" s="1"/>
  <c r="M666" i="38"/>
  <c r="M654" i="38"/>
  <c r="M642" i="38"/>
  <c r="M630" i="38"/>
  <c r="M618" i="38"/>
  <c r="M606" i="38"/>
  <c r="M594" i="38"/>
  <c r="M582" i="38"/>
  <c r="AV15" i="51" s="1"/>
  <c r="M570" i="38"/>
  <c r="M558" i="38"/>
  <c r="M546" i="38"/>
  <c r="M534" i="38"/>
  <c r="M522" i="38"/>
  <c r="M510" i="38"/>
  <c r="M498" i="38"/>
  <c r="M486" i="38"/>
  <c r="M474" i="38"/>
  <c r="M462" i="38"/>
  <c r="M450" i="38"/>
  <c r="AL11" i="51" s="1"/>
  <c r="M438" i="38"/>
  <c r="M426" i="38"/>
  <c r="M414" i="38"/>
  <c r="M402" i="38"/>
  <c r="M390" i="38"/>
  <c r="M378" i="38"/>
  <c r="M366" i="38"/>
  <c r="M354" i="38"/>
  <c r="M1133" i="38"/>
  <c r="M1121" i="38"/>
  <c r="M1109" i="38"/>
  <c r="M1097" i="38"/>
  <c r="M1085" i="38"/>
  <c r="M1073" i="38"/>
  <c r="M1061" i="38"/>
  <c r="M1049" i="38"/>
  <c r="M1037" i="38"/>
  <c r="M1025" i="38"/>
  <c r="M1013" i="38"/>
  <c r="M1001" i="38"/>
  <c r="M989" i="38"/>
  <c r="BQ14" i="51" s="1"/>
  <c r="M977" i="38"/>
  <c r="M965" i="38"/>
  <c r="M953" i="38"/>
  <c r="M941" i="38"/>
  <c r="M929" i="38"/>
  <c r="M917" i="38"/>
  <c r="M905" i="38"/>
  <c r="M893" i="38"/>
  <c r="M881" i="38"/>
  <c r="M869" i="38"/>
  <c r="M857" i="38"/>
  <c r="M845" i="38"/>
  <c r="M833" i="38"/>
  <c r="M821" i="38"/>
  <c r="M809" i="38"/>
  <c r="M797" i="38"/>
  <c r="M785" i="38"/>
  <c r="M773" i="38"/>
  <c r="M761" i="38"/>
  <c r="M749" i="38"/>
  <c r="M737" i="38"/>
  <c r="M725" i="38"/>
  <c r="M713" i="38"/>
  <c r="M701" i="38"/>
  <c r="M689" i="38"/>
  <c r="M677" i="38"/>
  <c r="M665" i="38"/>
  <c r="M653" i="38"/>
  <c r="M641" i="38"/>
  <c r="M629" i="38"/>
  <c r="M617" i="38"/>
  <c r="AW18" i="51" s="1"/>
  <c r="M605" i="38"/>
  <c r="M593" i="38"/>
  <c r="M581" i="38"/>
  <c r="M569" i="38"/>
  <c r="M557" i="38"/>
  <c r="M545" i="38"/>
  <c r="AU6" i="51" s="1"/>
  <c r="M533" i="38"/>
  <c r="M521" i="38"/>
  <c r="M509" i="38"/>
  <c r="AT13" i="51" s="1"/>
  <c r="M497" i="38"/>
  <c r="M485" i="38"/>
  <c r="AT6" i="51" s="1"/>
  <c r="M473" i="38"/>
  <c r="M461" i="38"/>
  <c r="M449" i="38"/>
  <c r="M437" i="38"/>
  <c r="M425" i="38"/>
  <c r="M413" i="38"/>
  <c r="M401" i="38"/>
  <c r="M389" i="38"/>
  <c r="M377" i="38"/>
  <c r="AA15" i="51" s="1"/>
  <c r="M365" i="38"/>
  <c r="M353" i="38"/>
  <c r="M341" i="38"/>
  <c r="Z11" i="51" s="1"/>
  <c r="M329" i="38"/>
  <c r="M317" i="38"/>
  <c r="M305" i="38"/>
  <c r="M293" i="38"/>
  <c r="Y9" i="51" s="1"/>
  <c r="M281" i="38"/>
  <c r="M269" i="38"/>
  <c r="M1228" i="38"/>
  <c r="M1204" i="38"/>
  <c r="M1180" i="38"/>
  <c r="M1156" i="38"/>
  <c r="M1132" i="38"/>
  <c r="M1096" i="38"/>
  <c r="M1072" i="38"/>
  <c r="M1048" i="38"/>
  <c r="M1024" i="38"/>
  <c r="M1000" i="38"/>
  <c r="M976" i="38"/>
  <c r="M952" i="38"/>
  <c r="M928" i="38"/>
  <c r="M904" i="38"/>
  <c r="M880" i="38"/>
  <c r="M856" i="38"/>
  <c r="M832" i="38"/>
  <c r="M820" i="38"/>
  <c r="M796" i="38"/>
  <c r="M784" i="38"/>
  <c r="M772" i="38"/>
  <c r="M760" i="38"/>
  <c r="M748" i="38"/>
  <c r="M736" i="38"/>
  <c r="M724" i="38"/>
  <c r="M712" i="38"/>
  <c r="M700" i="38"/>
  <c r="M688" i="38"/>
  <c r="M676" i="38"/>
  <c r="AX9" i="51" s="1"/>
  <c r="M664" i="38"/>
  <c r="M652" i="38"/>
  <c r="M640" i="38"/>
  <c r="M628" i="38"/>
  <c r="M616" i="38"/>
  <c r="M604" i="38"/>
  <c r="M592" i="38"/>
  <c r="M580" i="38"/>
  <c r="M568" i="38"/>
  <c r="M556" i="38"/>
  <c r="M544" i="38"/>
  <c r="M532" i="38"/>
  <c r="M520" i="38"/>
  <c r="M508" i="38"/>
  <c r="M496" i="38"/>
  <c r="M484" i="38"/>
  <c r="M472" i="38"/>
  <c r="M460" i="38"/>
  <c r="M448" i="38"/>
  <c r="M436" i="38"/>
  <c r="M424" i="38"/>
  <c r="M412" i="38"/>
  <c r="M400" i="38"/>
  <c r="M388" i="38"/>
  <c r="M376" i="38"/>
  <c r="M364" i="38"/>
  <c r="Z6" i="51" s="1"/>
  <c r="M352" i="38"/>
  <c r="M340" i="38"/>
  <c r="M328" i="38"/>
  <c r="M316" i="38"/>
  <c r="M304" i="38"/>
  <c r="M292" i="38"/>
  <c r="Y10" i="51" s="1"/>
  <c r="M280" i="38"/>
  <c r="M268" i="38"/>
  <c r="M256" i="38"/>
  <c r="Q14" i="51" s="1"/>
  <c r="M244" i="38"/>
  <c r="M232" i="38"/>
  <c r="M220" i="38"/>
  <c r="M208" i="38"/>
  <c r="M196" i="38"/>
  <c r="M184" i="38"/>
  <c r="M172" i="38"/>
  <c r="M160" i="38"/>
  <c r="M148" i="38"/>
  <c r="M997" i="38"/>
  <c r="BR15" i="51" s="1"/>
  <c r="M1216" i="38"/>
  <c r="M1192" i="38"/>
  <c r="M1168" i="38"/>
  <c r="M1144" i="38"/>
  <c r="M1120" i="38"/>
  <c r="M1108" i="38"/>
  <c r="M1084" i="38"/>
  <c r="M1060" i="38"/>
  <c r="M1036" i="38"/>
  <c r="CA13" i="51" s="1"/>
  <c r="M1012" i="38"/>
  <c r="M988" i="38"/>
  <c r="M964" i="38"/>
  <c r="M940" i="38"/>
  <c r="M916" i="38"/>
  <c r="M892" i="38"/>
  <c r="M868" i="38"/>
  <c r="BP13" i="51" s="1"/>
  <c r="M844" i="38"/>
  <c r="M808" i="38"/>
  <c r="M1011" i="38"/>
  <c r="M999" i="38"/>
  <c r="M987" i="38"/>
  <c r="M975" i="38"/>
  <c r="M963" i="38"/>
  <c r="M951" i="38"/>
  <c r="M939" i="38"/>
  <c r="M927" i="38"/>
  <c r="M915" i="38"/>
  <c r="M903" i="38"/>
  <c r="M891" i="38"/>
  <c r="M879" i="38"/>
  <c r="M867" i="38"/>
  <c r="M855" i="38"/>
  <c r="BP15" i="51" s="1"/>
  <c r="M843" i="38"/>
  <c r="M831" i="38"/>
  <c r="M819" i="38"/>
  <c r="M807" i="38"/>
  <c r="M795" i="38"/>
  <c r="M783" i="38"/>
  <c r="M771" i="38"/>
  <c r="M759" i="38"/>
  <c r="M747" i="38"/>
  <c r="M735" i="38"/>
  <c r="M723" i="38"/>
  <c r="M711" i="38"/>
  <c r="M699" i="38"/>
  <c r="M687" i="38"/>
  <c r="M675" i="38"/>
  <c r="M663" i="38"/>
  <c r="M651" i="38"/>
  <c r="M639" i="38"/>
  <c r="M627" i="38"/>
  <c r="M615" i="38"/>
  <c r="M603" i="38"/>
  <c r="M591" i="38"/>
  <c r="M579" i="38"/>
  <c r="M567" i="38"/>
  <c r="M555" i="38"/>
  <c r="M543" i="38"/>
  <c r="M531" i="38"/>
  <c r="M519" i="38"/>
  <c r="M507" i="38"/>
  <c r="AT14" i="51" s="1"/>
  <c r="M495" i="38"/>
  <c r="M483" i="38"/>
  <c r="M471" i="38"/>
  <c r="M459" i="38"/>
  <c r="M447" i="38"/>
  <c r="M435" i="38"/>
  <c r="M423" i="38"/>
  <c r="M411" i="38"/>
  <c r="M399" i="38"/>
  <c r="M387" i="38"/>
  <c r="M375" i="38"/>
  <c r="M363" i="38"/>
  <c r="Z9" i="51" s="1"/>
  <c r="M1238" i="38"/>
  <c r="M1226" i="38"/>
  <c r="M1214" i="38"/>
  <c r="M1202" i="38"/>
  <c r="M1190" i="38"/>
  <c r="M1178" i="38"/>
  <c r="M1166" i="38"/>
  <c r="CB13" i="51" s="1"/>
  <c r="M1154" i="38"/>
  <c r="M1142" i="38"/>
  <c r="M1130" i="38"/>
  <c r="M1118" i="38"/>
  <c r="M1106" i="38"/>
  <c r="CB9" i="51" s="1"/>
  <c r="M1094" i="38"/>
  <c r="M1082" i="38"/>
  <c r="M1070" i="38"/>
  <c r="M1058" i="38"/>
  <c r="M1046" i="38"/>
  <c r="M1034" i="38"/>
  <c r="M1022" i="38"/>
  <c r="M998" i="38"/>
  <c r="M986" i="38"/>
  <c r="M974" i="38"/>
  <c r="M962" i="38"/>
  <c r="M950" i="38"/>
  <c r="M938" i="38"/>
  <c r="M926" i="38"/>
  <c r="M914" i="38"/>
  <c r="M902" i="38"/>
  <c r="M890" i="38"/>
  <c r="M878" i="38"/>
  <c r="M866" i="38"/>
  <c r="M854" i="38"/>
  <c r="BP10" i="51" s="1"/>
  <c r="M842" i="38"/>
  <c r="M830" i="38"/>
  <c r="M818" i="38"/>
  <c r="M806" i="38"/>
  <c r="M794" i="38"/>
  <c r="M782" i="38"/>
  <c r="M770" i="38"/>
  <c r="M758" i="38"/>
  <c r="M746" i="38"/>
  <c r="M734" i="38"/>
  <c r="M722" i="38"/>
  <c r="M710" i="38"/>
  <c r="M698" i="38"/>
  <c r="M686" i="38"/>
  <c r="M674" i="38"/>
  <c r="M662" i="38"/>
  <c r="M650" i="38"/>
  <c r="M638" i="38"/>
  <c r="AX14" i="51" s="1"/>
  <c r="M626" i="38"/>
  <c r="M614" i="38"/>
  <c r="M602" i="38"/>
  <c r="M590" i="38"/>
  <c r="M578" i="38"/>
  <c r="M566" i="38"/>
  <c r="M554" i="38"/>
  <c r="M542" i="38"/>
  <c r="M530" i="38"/>
  <c r="M518" i="38"/>
  <c r="M506" i="38"/>
  <c r="M494" i="38"/>
  <c r="M482" i="38"/>
  <c r="AL14" i="51" s="1"/>
  <c r="M470" i="38"/>
  <c r="M458" i="38"/>
  <c r="M446" i="38"/>
  <c r="M434" i="38"/>
  <c r="M422" i="38"/>
  <c r="M410" i="38"/>
  <c r="M398" i="38"/>
  <c r="M386" i="38"/>
  <c r="M374" i="38"/>
  <c r="AA11" i="51" s="1"/>
  <c r="M362" i="38"/>
  <c r="M350" i="38"/>
  <c r="M338" i="38"/>
  <c r="M326" i="38"/>
  <c r="M577" i="38"/>
  <c r="M1057" i="38"/>
  <c r="M1045" i="38"/>
  <c r="M1033" i="38"/>
  <c r="M1021" i="38"/>
  <c r="M1009" i="38"/>
  <c r="M985" i="38"/>
  <c r="M973" i="38"/>
  <c r="M961" i="38"/>
  <c r="M949" i="38"/>
  <c r="M937" i="38"/>
  <c r="M913" i="38"/>
  <c r="M901" i="38"/>
  <c r="M877" i="38"/>
  <c r="M865" i="38"/>
  <c r="M853" i="38"/>
  <c r="BP9" i="51" s="1"/>
  <c r="M841" i="38"/>
  <c r="M829" i="38"/>
  <c r="M817" i="38"/>
  <c r="M793" i="38"/>
  <c r="M781" i="38"/>
  <c r="M769" i="38"/>
  <c r="M757" i="38"/>
  <c r="M745" i="38"/>
  <c r="M733" i="38"/>
  <c r="M721" i="38"/>
  <c r="M709" i="38"/>
  <c r="M697" i="38"/>
  <c r="M685" i="38"/>
  <c r="M673" i="38"/>
  <c r="M661" i="38"/>
  <c r="M649" i="38"/>
  <c r="M637" i="38"/>
  <c r="M625" i="38"/>
  <c r="AW11" i="51" s="1"/>
  <c r="M613" i="38"/>
  <c r="M601" i="38"/>
  <c r="M589" i="38"/>
  <c r="AV11" i="51" s="1"/>
  <c r="M565" i="38"/>
  <c r="M553" i="38"/>
  <c r="M541" i="38"/>
  <c r="AU13" i="51" s="1"/>
  <c r="M529" i="38"/>
  <c r="M517" i="38"/>
  <c r="M505" i="38"/>
  <c r="M493" i="38"/>
  <c r="M481" i="38"/>
  <c r="M469" i="38"/>
  <c r="M457" i="38"/>
  <c r="M445" i="38"/>
  <c r="AL9" i="51" s="1"/>
  <c r="M421" i="38"/>
  <c r="M409" i="38"/>
  <c r="M397" i="38"/>
  <c r="M385" i="38"/>
  <c r="M373" i="38"/>
  <c r="M361" i="38"/>
  <c r="M349" i="38"/>
  <c r="Z14" i="51" s="1"/>
  <c r="M337" i="38"/>
  <c r="M325" i="38"/>
  <c r="M313" i="38"/>
  <c r="M301" i="38"/>
  <c r="M277" i="38"/>
  <c r="M265" i="38"/>
  <c r="M253" i="38"/>
  <c r="M241" i="38"/>
  <c r="M229" i="38"/>
  <c r="P14" i="51" s="1"/>
  <c r="M217" i="38"/>
  <c r="M205" i="38"/>
  <c r="M193" i="38"/>
  <c r="M181" i="38"/>
  <c r="M169" i="38"/>
  <c r="M157" i="38"/>
  <c r="M133" i="38"/>
  <c r="M121" i="38"/>
  <c r="M109" i="38"/>
  <c r="M11" i="51" s="1"/>
  <c r="M97" i="38"/>
  <c r="E11" i="51" s="1"/>
  <c r="M85" i="38"/>
  <c r="M73" i="38"/>
  <c r="M61" i="38"/>
  <c r="M49" i="38"/>
  <c r="D6" i="51" s="1"/>
  <c r="M37" i="38"/>
  <c r="M25" i="38"/>
  <c r="D13" i="51" s="1"/>
  <c r="M13" i="38"/>
  <c r="D11" i="51" s="1"/>
  <c r="M936" i="38"/>
  <c r="M924" i="38"/>
  <c r="M912" i="38"/>
  <c r="M900" i="38"/>
  <c r="M888" i="38"/>
  <c r="M876" i="38"/>
  <c r="M852" i="38"/>
  <c r="M840" i="38"/>
  <c r="M828" i="38"/>
  <c r="M816" i="38"/>
  <c r="M804" i="38"/>
  <c r="M792" i="38"/>
  <c r="M780" i="38"/>
  <c r="M768" i="38"/>
  <c r="M756" i="38"/>
  <c r="M744" i="38"/>
  <c r="M732" i="38"/>
  <c r="M720" i="38"/>
  <c r="M708" i="38"/>
  <c r="M696" i="38"/>
  <c r="M684" i="38"/>
  <c r="M672" i="38"/>
  <c r="M660" i="38"/>
  <c r="M648" i="38"/>
  <c r="M636" i="38"/>
  <c r="AX13" i="51" s="1"/>
  <c r="M624" i="38"/>
  <c r="M612" i="38"/>
  <c r="M600" i="38"/>
  <c r="M588" i="38"/>
  <c r="M576" i="38"/>
  <c r="AV13" i="51" s="1"/>
  <c r="M564" i="38"/>
  <c r="M552" i="38"/>
  <c r="M540" i="38"/>
  <c r="M528" i="38"/>
  <c r="M516" i="38"/>
  <c r="M504" i="38"/>
  <c r="M492" i="38"/>
  <c r="M480" i="38"/>
  <c r="M468" i="38"/>
  <c r="M456" i="38"/>
  <c r="AL13" i="51" s="1"/>
  <c r="M444" i="38"/>
  <c r="M432" i="38"/>
  <c r="M420" i="38"/>
  <c r="M408" i="38"/>
  <c r="M396" i="38"/>
  <c r="AI13" i="51" s="1"/>
  <c r="M384" i="38"/>
  <c r="M372" i="38"/>
  <c r="M360" i="38"/>
  <c r="M348" i="38"/>
  <c r="M336" i="38"/>
  <c r="M324" i="38"/>
  <c r="M312" i="38"/>
  <c r="M300" i="38"/>
  <c r="M288" i="38"/>
  <c r="M276" i="38"/>
  <c r="M264" i="38"/>
  <c r="M252" i="38"/>
  <c r="M240" i="38"/>
  <c r="M228" i="38"/>
  <c r="M216" i="38"/>
  <c r="M204" i="38"/>
  <c r="M192" i="38"/>
  <c r="M180" i="38"/>
  <c r="M168" i="38"/>
  <c r="M156" i="38"/>
  <c r="M144" i="38"/>
  <c r="M132" i="38"/>
  <c r="M120" i="38"/>
  <c r="M108" i="38"/>
  <c r="M96" i="38"/>
  <c r="M84" i="38"/>
  <c r="M72" i="38"/>
  <c r="M60" i="38"/>
  <c r="M48" i="38"/>
  <c r="M36" i="38"/>
  <c r="M24" i="38"/>
  <c r="M12" i="38"/>
  <c r="C7" i="51" s="1"/>
  <c r="M289" i="38"/>
  <c r="M1259" i="38"/>
  <c r="M1247" i="38"/>
  <c r="M1235" i="38"/>
  <c r="M1223" i="38"/>
  <c r="M1211" i="38"/>
  <c r="M1199" i="38"/>
  <c r="M1187" i="38"/>
  <c r="M1175" i="38"/>
  <c r="M1163" i="38"/>
  <c r="M1151" i="38"/>
  <c r="M1139" i="38"/>
  <c r="M1127" i="38"/>
  <c r="M1115" i="38"/>
  <c r="M1103" i="38"/>
  <c r="M1091" i="38"/>
  <c r="M1079" i="38"/>
  <c r="M1067" i="38"/>
  <c r="M1055" i="38"/>
  <c r="M1043" i="38"/>
  <c r="M1031" i="38"/>
  <c r="M1019" i="38"/>
  <c r="M1007" i="38"/>
  <c r="M995" i="38"/>
  <c r="BR9" i="51" s="1"/>
  <c r="M983" i="38"/>
  <c r="M959" i="38"/>
  <c r="BQ15" i="51" s="1"/>
  <c r="M947" i="38"/>
  <c r="M935" i="38"/>
  <c r="M923" i="38"/>
  <c r="BQ9" i="51" s="1"/>
  <c r="M911" i="38"/>
  <c r="M899" i="38"/>
  <c r="M887" i="38"/>
  <c r="M875" i="38"/>
  <c r="M863" i="38"/>
  <c r="M851" i="38"/>
  <c r="M839" i="38"/>
  <c r="M827" i="38"/>
  <c r="M815" i="38"/>
  <c r="M803" i="38"/>
  <c r="M791" i="38"/>
  <c r="M767" i="38"/>
  <c r="M755" i="38"/>
  <c r="M743" i="38"/>
  <c r="M731" i="38"/>
  <c r="M707" i="38"/>
  <c r="M695" i="38"/>
  <c r="M683" i="38"/>
  <c r="M671" i="38"/>
  <c r="M659" i="38"/>
  <c r="M647" i="38"/>
  <c r="M635" i="38"/>
  <c r="M623" i="38"/>
  <c r="M611" i="38"/>
  <c r="AV8" i="51" s="1"/>
  <c r="M599" i="38"/>
  <c r="M587" i="38"/>
  <c r="M575" i="38"/>
  <c r="AV14" i="51" s="1"/>
  <c r="M563" i="38"/>
  <c r="M551" i="38"/>
  <c r="M539" i="38"/>
  <c r="M527" i="38"/>
  <c r="M515" i="38"/>
  <c r="M503" i="38"/>
  <c r="M491" i="38"/>
  <c r="M479" i="38"/>
  <c r="M467" i="38"/>
  <c r="M455" i="38"/>
  <c r="M443" i="38"/>
  <c r="M431" i="38"/>
  <c r="M419" i="38"/>
  <c r="M407" i="38"/>
  <c r="M395" i="38"/>
  <c r="M383" i="38"/>
  <c r="AI15" i="51" s="1"/>
  <c r="M371" i="38"/>
  <c r="M925" i="38"/>
  <c r="M145" i="38"/>
  <c r="M359" i="38"/>
  <c r="M347" i="38"/>
  <c r="M335" i="38"/>
  <c r="M323" i="38"/>
  <c r="M311" i="38"/>
  <c r="Y8" i="51" s="1"/>
  <c r="M299" i="38"/>
  <c r="Y14" i="51" s="1"/>
  <c r="M287" i="38"/>
  <c r="M275" i="38"/>
  <c r="M263" i="38"/>
  <c r="Q15" i="51" s="1"/>
  <c r="M251" i="38"/>
  <c r="M239" i="38"/>
  <c r="M227" i="38"/>
  <c r="M215" i="38"/>
  <c r="M203" i="38"/>
  <c r="M191" i="38"/>
  <c r="M179" i="38"/>
  <c r="M167" i="38"/>
  <c r="M155" i="38"/>
  <c r="M143" i="38"/>
  <c r="M131" i="38"/>
  <c r="M119" i="38"/>
  <c r="M107" i="38"/>
  <c r="M95" i="38"/>
  <c r="E8" i="51" s="1"/>
  <c r="M83" i="38"/>
  <c r="M71" i="38"/>
  <c r="M59" i="38"/>
  <c r="M47" i="38"/>
  <c r="M35" i="38"/>
  <c r="M23" i="38"/>
  <c r="M11" i="38"/>
  <c r="C15" i="51" s="1"/>
  <c r="M334" i="38"/>
  <c r="M322" i="38"/>
  <c r="M310" i="38"/>
  <c r="M298" i="38"/>
  <c r="Y15" i="51" s="1"/>
  <c r="M286" i="38"/>
  <c r="Y11" i="51" s="1"/>
  <c r="M274" i="38"/>
  <c r="M262" i="38"/>
  <c r="M250" i="38"/>
  <c r="M238" i="38"/>
  <c r="M226" i="38"/>
  <c r="P15" i="51" s="1"/>
  <c r="M214" i="38"/>
  <c r="M202" i="38"/>
  <c r="O8" i="51" s="1"/>
  <c r="M190" i="38"/>
  <c r="M178" i="38"/>
  <c r="M166" i="38"/>
  <c r="M154" i="38"/>
  <c r="M142" i="38"/>
  <c r="M130" i="38"/>
  <c r="M118" i="38"/>
  <c r="M15" i="51" s="1"/>
  <c r="M106" i="38"/>
  <c r="M94" i="38"/>
  <c r="M82" i="38"/>
  <c r="M70" i="38"/>
  <c r="E13" i="51" s="1"/>
  <c r="M58" i="38"/>
  <c r="E14" i="51" s="1"/>
  <c r="M46" i="38"/>
  <c r="M34" i="38"/>
  <c r="M22" i="38"/>
  <c r="M10" i="38"/>
  <c r="M333" i="38"/>
  <c r="M321" i="38"/>
  <c r="M309" i="38"/>
  <c r="M297" i="38"/>
  <c r="M285" i="38"/>
  <c r="M273" i="38"/>
  <c r="M261" i="38"/>
  <c r="M249" i="38"/>
  <c r="M237" i="38"/>
  <c r="M225" i="38"/>
  <c r="M213" i="38"/>
  <c r="M201" i="38"/>
  <c r="M189" i="38"/>
  <c r="M177" i="38"/>
  <c r="M165" i="38"/>
  <c r="N14" i="51" s="1"/>
  <c r="M153" i="38"/>
  <c r="M141" i="38"/>
  <c r="M129" i="38"/>
  <c r="M117" i="38"/>
  <c r="M105" i="38"/>
  <c r="M93" i="38"/>
  <c r="M81" i="38"/>
  <c r="M69" i="38"/>
  <c r="M57" i="38"/>
  <c r="E15" i="51" s="1"/>
  <c r="M45" i="38"/>
  <c r="M33" i="38"/>
  <c r="M21" i="38"/>
  <c r="M9" i="38"/>
  <c r="M404" i="38"/>
  <c r="M392" i="38"/>
  <c r="M380" i="38"/>
  <c r="M368" i="38"/>
  <c r="M356" i="38"/>
  <c r="M344" i="38"/>
  <c r="M332" i="38"/>
  <c r="M320" i="38"/>
  <c r="M308" i="38"/>
  <c r="M296" i="38"/>
  <c r="M284" i="38"/>
  <c r="M272" i="38"/>
  <c r="M260" i="38"/>
  <c r="M248" i="38"/>
  <c r="M236" i="38"/>
  <c r="M224" i="38"/>
  <c r="P11" i="51" s="1"/>
  <c r="M212" i="38"/>
  <c r="M200" i="38"/>
  <c r="M188" i="38"/>
  <c r="M176" i="38"/>
  <c r="M164" i="38"/>
  <c r="M152" i="38"/>
  <c r="M140" i="38"/>
  <c r="M128" i="38"/>
  <c r="M116" i="38"/>
  <c r="M104" i="38"/>
  <c r="M92" i="38"/>
  <c r="M80" i="38"/>
  <c r="M68" i="38"/>
  <c r="M56" i="38"/>
  <c r="M44" i="38"/>
  <c r="D9" i="51" s="1"/>
  <c r="M32" i="38"/>
  <c r="M20" i="38"/>
  <c r="M8" i="38"/>
  <c r="C11" i="51" s="1"/>
  <c r="M319" i="38"/>
  <c r="M307" i="38"/>
  <c r="M295" i="38"/>
  <c r="M283" i="38"/>
  <c r="X6" i="51" s="1"/>
  <c r="M271" i="38"/>
  <c r="M259" i="38"/>
  <c r="Q13" i="51" s="1"/>
  <c r="M247" i="38"/>
  <c r="M235" i="38"/>
  <c r="M223" i="38"/>
  <c r="M211" i="38"/>
  <c r="M199" i="38"/>
  <c r="M187" i="38"/>
  <c r="M175" i="38"/>
  <c r="M163" i="38"/>
  <c r="M151" i="38"/>
  <c r="M139" i="38"/>
  <c r="M127" i="38"/>
  <c r="N15" i="51" s="1"/>
  <c r="M115" i="38"/>
  <c r="M103" i="38"/>
  <c r="M91" i="38"/>
  <c r="M79" i="38"/>
  <c r="M67" i="38"/>
  <c r="M55" i="38"/>
  <c r="M43" i="38"/>
  <c r="M31" i="38"/>
  <c r="M19" i="38"/>
  <c r="M7" i="38"/>
  <c r="M342" i="38"/>
  <c r="M330" i="38"/>
  <c r="M318" i="38"/>
  <c r="M306" i="38"/>
  <c r="M294" i="38"/>
  <c r="Y13" i="51" s="1"/>
  <c r="M282" i="38"/>
  <c r="X9" i="51" s="1"/>
  <c r="M270" i="38"/>
  <c r="M258" i="38"/>
  <c r="M246" i="38"/>
  <c r="M234" i="38"/>
  <c r="M222" i="38"/>
  <c r="M210" i="38"/>
  <c r="M198" i="38"/>
  <c r="O11" i="51" s="1"/>
  <c r="M186" i="38"/>
  <c r="M174" i="38"/>
  <c r="M162" i="38"/>
  <c r="M150" i="38"/>
  <c r="M138" i="38"/>
  <c r="M126" i="38"/>
  <c r="M114" i="38"/>
  <c r="M102" i="38"/>
  <c r="M90" i="38"/>
  <c r="M78" i="38"/>
  <c r="M66" i="38"/>
  <c r="M54" i="38"/>
  <c r="M42" i="38"/>
  <c r="M30" i="38"/>
  <c r="M18" i="38"/>
  <c r="D14" i="51" s="1"/>
  <c r="M6" i="38"/>
  <c r="M257" i="38"/>
  <c r="M245" i="38"/>
  <c r="M233" i="38"/>
  <c r="M221" i="38"/>
  <c r="M209" i="38"/>
  <c r="M197" i="38"/>
  <c r="M185" i="38"/>
  <c r="M173" i="38"/>
  <c r="M161" i="38"/>
  <c r="M149" i="38"/>
  <c r="N13" i="51" s="1"/>
  <c r="M137" i="38"/>
  <c r="M125" i="38"/>
  <c r="N11" i="51" s="1"/>
  <c r="M113" i="38"/>
  <c r="M101" i="38"/>
  <c r="M89" i="38"/>
  <c r="M77" i="38"/>
  <c r="M65" i="38"/>
  <c r="M53" i="38"/>
  <c r="M41" i="38"/>
  <c r="M29" i="38"/>
  <c r="M17" i="38"/>
  <c r="M5" i="38"/>
  <c r="B15" i="51" s="1"/>
  <c r="M136" i="38"/>
  <c r="M124" i="38"/>
  <c r="M8" i="51" s="1"/>
  <c r="M112" i="38"/>
  <c r="M100" i="38"/>
  <c r="M88" i="38"/>
  <c r="M76" i="38"/>
  <c r="M64" i="38"/>
  <c r="M52" i="38"/>
  <c r="M40" i="38"/>
  <c r="M28" i="38"/>
  <c r="M16" i="38"/>
  <c r="D15" i="51" s="1"/>
  <c r="M4" i="38"/>
  <c r="M351" i="38"/>
  <c r="M339" i="38"/>
  <c r="M327" i="38"/>
  <c r="M315" i="38"/>
  <c r="Z13" i="51" s="1"/>
  <c r="M303" i="38"/>
  <c r="M291" i="38"/>
  <c r="M279" i="38"/>
  <c r="X11" i="51" s="1"/>
  <c r="M267" i="38"/>
  <c r="M255" i="38"/>
  <c r="P9" i="51" s="1"/>
  <c r="M243" i="38"/>
  <c r="M231" i="38"/>
  <c r="P13" i="51" s="1"/>
  <c r="M219" i="38"/>
  <c r="M207" i="38"/>
  <c r="M195" i="38"/>
  <c r="M183" i="38"/>
  <c r="M171" i="38"/>
  <c r="M159" i="38"/>
  <c r="M147" i="38"/>
  <c r="M135" i="38"/>
  <c r="M123" i="38"/>
  <c r="M111" i="38"/>
  <c r="M99" i="38"/>
  <c r="M87" i="38"/>
  <c r="M75" i="38"/>
  <c r="M63" i="38"/>
  <c r="M51" i="38"/>
  <c r="M39" i="38"/>
  <c r="M27" i="38"/>
  <c r="M15" i="38"/>
  <c r="M3" i="38"/>
  <c r="M314" i="38"/>
  <c r="Z15" i="51" s="1"/>
  <c r="M302" i="38"/>
  <c r="M290" i="38"/>
  <c r="M278" i="38"/>
  <c r="M266" i="38"/>
  <c r="M254" i="38"/>
  <c r="M242" i="38"/>
  <c r="M230" i="38"/>
  <c r="M218" i="38"/>
  <c r="M206" i="38"/>
  <c r="M194" i="38"/>
  <c r="M182" i="38"/>
  <c r="M170" i="38"/>
  <c r="M158" i="38"/>
  <c r="M146" i="38"/>
  <c r="M134" i="38"/>
  <c r="M122" i="38"/>
  <c r="M110" i="38"/>
  <c r="M98" i="38"/>
  <c r="M86" i="38"/>
  <c r="M74" i="38"/>
  <c r="M62" i="38"/>
  <c r="M50" i="38"/>
  <c r="M38" i="38"/>
  <c r="M26" i="38"/>
  <c r="M14" i="38"/>
  <c r="M2" i="38"/>
  <c r="B11" i="51" s="1"/>
  <c r="DS20" i="51" l="1"/>
  <c r="DU20" i="51"/>
  <c r="DW20" i="51"/>
  <c r="EA20" i="51"/>
  <c r="EA23" i="51" s="1"/>
  <c r="DX20" i="51"/>
  <c r="EB20" i="51"/>
  <c r="DY20" i="51"/>
  <c r="DV20" i="51"/>
  <c r="DP20" i="51"/>
  <c r="DT20" i="51"/>
  <c r="AI21" i="51"/>
  <c r="AC21" i="51"/>
  <c r="BJ21" i="51"/>
  <c r="AT21" i="51"/>
  <c r="BE21" i="51"/>
  <c r="CL21" i="51"/>
  <c r="CW24" i="51" s="1"/>
  <c r="CF21" i="51"/>
  <c r="CA21" i="51"/>
  <c r="AN21" i="51"/>
  <c r="M21" i="51"/>
  <c r="B21" i="51"/>
  <c r="X21" i="51"/>
  <c r="R21" i="51"/>
  <c r="G21" i="51"/>
  <c r="BU21" i="51"/>
  <c r="BU24" i="51" s="1"/>
  <c r="BP21" i="51"/>
  <c r="BP24" i="51" s="1"/>
  <c r="CQ21" i="51"/>
  <c r="DB24" i="51" s="1"/>
  <c r="AY21" i="51"/>
  <c r="DM20" i="51"/>
  <c r="DO20" i="51"/>
  <c r="DP23" i="51" s="1"/>
  <c r="DL20" i="51"/>
  <c r="DB20" i="51"/>
  <c r="DD20" i="51"/>
  <c r="DE20" i="51"/>
  <c r="DE23" i="51" s="1"/>
  <c r="DK20" i="51"/>
  <c r="DJ20" i="51"/>
  <c r="DQ20" i="51"/>
  <c r="DX23" i="51" s="1"/>
  <c r="DN20" i="51"/>
  <c r="DH20" i="51"/>
  <c r="DI20" i="51"/>
  <c r="DA20" i="51"/>
  <c r="CW20" i="51"/>
  <c r="DF20" i="51"/>
  <c r="DC20" i="51"/>
  <c r="CY20" i="51"/>
  <c r="CZ20" i="51"/>
  <c r="CU20" i="51"/>
  <c r="CX20" i="51"/>
  <c r="CP20" i="51"/>
  <c r="BX20" i="51"/>
  <c r="BY20" i="51"/>
  <c r="CS20" i="51"/>
  <c r="CT20" i="51"/>
  <c r="CU23" i="51" s="1"/>
  <c r="CB20" i="51"/>
  <c r="CC23" i="51" s="1"/>
  <c r="CR20" i="51"/>
  <c r="BR20" i="51"/>
  <c r="CQ6" i="51"/>
  <c r="CQ20" i="51" s="1"/>
  <c r="CO20" i="51"/>
  <c r="CN20" i="51"/>
  <c r="CM20" i="51"/>
  <c r="BS20" i="51"/>
  <c r="BT20" i="51"/>
  <c r="CL6" i="51"/>
  <c r="CL20" i="51" s="1"/>
  <c r="CG20" i="51"/>
  <c r="CH20" i="51"/>
  <c r="CF20" i="51"/>
  <c r="CJ20" i="51"/>
  <c r="CI20" i="51"/>
  <c r="CC20" i="51"/>
  <c r="CA20" i="51"/>
  <c r="CD6" i="51"/>
  <c r="CD20" i="51" s="1"/>
  <c r="CE6" i="51"/>
  <c r="CE20" i="51" s="1"/>
  <c r="BW20" i="51"/>
  <c r="BU6" i="51"/>
  <c r="BU20" i="51" s="1"/>
  <c r="AO20" i="51"/>
  <c r="BV20" i="51"/>
  <c r="BQ6" i="51"/>
  <c r="BQ20" i="51" s="1"/>
  <c r="BP6" i="51"/>
  <c r="BP20" i="51" s="1"/>
  <c r="AM20" i="51"/>
  <c r="BN9" i="51"/>
  <c r="BJ15" i="51"/>
  <c r="AR20" i="51"/>
  <c r="BK6" i="51"/>
  <c r="BJ11" i="51"/>
  <c r="BL11" i="51"/>
  <c r="BN11" i="51"/>
  <c r="BL13" i="51"/>
  <c r="BN13" i="51"/>
  <c r="BN15" i="51"/>
  <c r="BM18" i="51"/>
  <c r="BL6" i="51"/>
  <c r="BN14" i="51"/>
  <c r="BL8" i="51"/>
  <c r="BK9" i="51"/>
  <c r="BM10" i="51"/>
  <c r="BK11" i="51"/>
  <c r="BM11" i="51"/>
  <c r="BL14" i="51"/>
  <c r="BJ13" i="51"/>
  <c r="BK13" i="51"/>
  <c r="BJ14" i="51"/>
  <c r="BL15" i="51"/>
  <c r="G20" i="51"/>
  <c r="BI9" i="51"/>
  <c r="BE15" i="51"/>
  <c r="AQ20" i="51"/>
  <c r="BF6" i="51"/>
  <c r="AF20" i="51"/>
  <c r="BB20" i="51"/>
  <c r="BE11" i="51"/>
  <c r="BG11" i="51"/>
  <c r="BI11" i="51"/>
  <c r="BG13" i="51"/>
  <c r="BI13" i="51"/>
  <c r="AJ20" i="51"/>
  <c r="BI15" i="51"/>
  <c r="BH18" i="51"/>
  <c r="BE6" i="51"/>
  <c r="BI6" i="51"/>
  <c r="BI14" i="51"/>
  <c r="BG8" i="51"/>
  <c r="BF9" i="51"/>
  <c r="BH10" i="51"/>
  <c r="BF11" i="51"/>
  <c r="BH11" i="51"/>
  <c r="BG14" i="51"/>
  <c r="BE13" i="51"/>
  <c r="BF13" i="51"/>
  <c r="BE14" i="51"/>
  <c r="BG15" i="51"/>
  <c r="AL20" i="51"/>
  <c r="AZ20" i="51"/>
  <c r="AG20" i="51"/>
  <c r="AY6" i="51"/>
  <c r="AY20" i="51" s="1"/>
  <c r="BC6" i="51"/>
  <c r="BC20" i="51" s="1"/>
  <c r="BA20" i="51"/>
  <c r="AW20" i="51"/>
  <c r="AU20" i="51"/>
  <c r="AB20" i="51"/>
  <c r="AV6" i="51"/>
  <c r="AV20" i="51" s="1"/>
  <c r="AX20" i="51"/>
  <c r="AT20" i="51"/>
  <c r="AA20" i="51"/>
  <c r="AN6" i="51"/>
  <c r="AN20" i="51" s="1"/>
  <c r="AP6" i="51"/>
  <c r="AP20" i="51" s="1"/>
  <c r="AI6" i="51"/>
  <c r="AI20" i="51" s="1"/>
  <c r="AK6" i="51"/>
  <c r="AK20" i="51" s="1"/>
  <c r="AD20" i="51"/>
  <c r="AC6" i="51"/>
  <c r="AC20" i="51" s="1"/>
  <c r="AE6" i="51"/>
  <c r="AE20" i="51" s="1"/>
  <c r="Y20" i="51"/>
  <c r="F20" i="51"/>
  <c r="Z20" i="51"/>
  <c r="V20" i="51"/>
  <c r="X20" i="51"/>
  <c r="S20" i="51"/>
  <c r="U20" i="51"/>
  <c r="K20" i="51"/>
  <c r="R6" i="51"/>
  <c r="R20" i="51" s="1"/>
  <c r="T6" i="51"/>
  <c r="T20" i="51" s="1"/>
  <c r="N20" i="51"/>
  <c r="Q20" i="51"/>
  <c r="P20" i="51"/>
  <c r="H20" i="51"/>
  <c r="M6" i="51"/>
  <c r="M20" i="51" s="1"/>
  <c r="O6" i="51"/>
  <c r="O20" i="51" s="1"/>
  <c r="J20" i="51"/>
  <c r="DZ23" i="51"/>
  <c r="C20" i="51"/>
  <c r="I20" i="51"/>
  <c r="B20" i="51"/>
  <c r="E20" i="51"/>
  <c r="CZ23" i="51"/>
  <c r="X24" i="51"/>
  <c r="D20" i="51"/>
  <c r="DW23" i="51"/>
  <c r="EB23" i="51"/>
  <c r="DU23" i="51"/>
  <c r="DY23" i="51"/>
  <c r="DD23" i="51"/>
  <c r="DC23" i="51"/>
  <c r="CO23" i="51"/>
  <c r="DT23" i="51"/>
  <c r="AT24" i="51"/>
  <c r="M24" i="51"/>
  <c r="DV23" i="51"/>
  <c r="DX16" i="14"/>
  <c r="DS16" i="14"/>
  <c r="DM16" i="14"/>
  <c r="DH16" i="14"/>
  <c r="DB16" i="14"/>
  <c r="CW16" i="14"/>
  <c r="AI24" i="51" l="1"/>
  <c r="DB23" i="51"/>
  <c r="BY23" i="51"/>
  <c r="BE24" i="51"/>
  <c r="CJ23" i="51"/>
  <c r="CX23" i="51"/>
  <c r="CN23" i="51"/>
  <c r="R24" i="51"/>
  <c r="AN24" i="51"/>
  <c r="DH23" i="51"/>
  <c r="CA24" i="51"/>
  <c r="DK23" i="51"/>
  <c r="DA23" i="51"/>
  <c r="AC24" i="51"/>
  <c r="DS23" i="51"/>
  <c r="DJ23" i="51"/>
  <c r="BJ24" i="51"/>
  <c r="CF24" i="51"/>
  <c r="CL24" i="51"/>
  <c r="AY24" i="51"/>
  <c r="CQ24" i="51"/>
  <c r="CY23" i="51"/>
  <c r="DM23" i="51"/>
  <c r="DI23" i="51"/>
  <c r="DL23" i="51"/>
  <c r="AM23" i="51"/>
  <c r="AT23" i="51"/>
  <c r="DQ23" i="51"/>
  <c r="H23" i="51"/>
  <c r="CB23" i="51"/>
  <c r="DF23" i="51"/>
  <c r="CG23" i="51"/>
  <c r="CS23" i="51"/>
  <c r="CT23" i="51"/>
  <c r="CP23" i="51"/>
  <c r="CH23" i="51"/>
  <c r="CW23" i="51"/>
  <c r="BX23" i="51"/>
  <c r="CI23" i="51"/>
  <c r="CF23" i="51"/>
  <c r="BS23" i="51"/>
  <c r="CM23" i="51"/>
  <c r="CA23" i="51"/>
  <c r="CQ23" i="51"/>
  <c r="CR23" i="51"/>
  <c r="CD23" i="51"/>
  <c r="AA23" i="51"/>
  <c r="BT23" i="51"/>
  <c r="BA23" i="51"/>
  <c r="BW23" i="51"/>
  <c r="AG23" i="51"/>
  <c r="CE23" i="51"/>
  <c r="CL23" i="51"/>
  <c r="K23" i="51"/>
  <c r="BV23" i="51"/>
  <c r="BB23" i="51"/>
  <c r="BM20" i="51"/>
  <c r="AR23" i="51"/>
  <c r="BR23" i="51"/>
  <c r="BQ23" i="51"/>
  <c r="BJ20" i="51"/>
  <c r="BJ23" i="51" s="1"/>
  <c r="BK20" i="51"/>
  <c r="BN20" i="51"/>
  <c r="AU23" i="51"/>
  <c r="BH20" i="51"/>
  <c r="BG20" i="51"/>
  <c r="BF20" i="51"/>
  <c r="BE20" i="51"/>
  <c r="BE23" i="51" s="1"/>
  <c r="BL20" i="51"/>
  <c r="BI20" i="51"/>
  <c r="AB23" i="51"/>
  <c r="C23" i="51"/>
  <c r="BC23" i="51"/>
  <c r="AY23" i="51"/>
  <c r="AZ23" i="51"/>
  <c r="X23" i="51"/>
  <c r="V23" i="51"/>
  <c r="AX23" i="51"/>
  <c r="AV23" i="51"/>
  <c r="AW23" i="51"/>
  <c r="AP23" i="51"/>
  <c r="AQ23" i="51"/>
  <c r="AN23" i="51"/>
  <c r="AO23" i="51"/>
  <c r="Z23" i="51"/>
  <c r="AK23" i="51"/>
  <c r="AL23" i="51"/>
  <c r="AI23" i="51"/>
  <c r="AJ23" i="51"/>
  <c r="Y23" i="51"/>
  <c r="F23" i="51"/>
  <c r="AE23" i="51"/>
  <c r="AF23" i="51"/>
  <c r="AC23" i="51"/>
  <c r="AD23" i="51"/>
  <c r="I23" i="51"/>
  <c r="J23" i="51"/>
  <c r="S23" i="51"/>
  <c r="R23" i="51"/>
  <c r="U23" i="51"/>
  <c r="T23" i="51"/>
  <c r="Q23" i="51"/>
  <c r="P23" i="51"/>
  <c r="O23" i="51"/>
  <c r="N23" i="51"/>
  <c r="M23" i="51"/>
  <c r="D23" i="51"/>
  <c r="E23" i="51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BN23" i="51" l="1"/>
  <c r="BK23" i="51"/>
  <c r="BU23" i="51"/>
  <c r="BH23" i="51"/>
  <c r="BL23" i="51"/>
  <c r="BF23" i="51"/>
  <c r="BG23" i="51"/>
  <c r="BM23" i="51"/>
  <c r="BP23" i="51"/>
  <c r="BI23" i="51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51" l="1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M18" i="14" l="1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<sst xmlns="http://schemas.openxmlformats.org/spreadsheetml/2006/main" count="3186" uniqueCount="84">
  <si>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</si>
  <si>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</si>
  <si>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</si>
  <si>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</si>
  <si>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</si>
  <si>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</si>
  <si>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</si>
  <si>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</si>
  <si>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</si>
  <si>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</si>
  <si>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</si>
  <si>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</si>
  <si>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</si>
  <si>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</si>
  <si>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</si>
  <si>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</si>
  <si>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</si>
  <si>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</si>
  <si>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</si>
  <si>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</si>
  <si>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</si>
  <si>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</si>
  <si>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</si>
  <si>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</si>
  <si>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</si>
  <si>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</si>
  <si>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</si>
  <si>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</si>
  <si>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</si>
  <si>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</si>
  <si>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</si>
  <si>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</si>
  <si>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</si>
  <si>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</si>
  <si>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</si>
  <si>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</si>
  <si>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</si>
  <si>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</si>
  <si>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</si>
  <si>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</si>
  <si>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</si>
  <si>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</si>
  <si>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</si>
  <si>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</si>
  <si>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</si>
  <si>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</si>
  <si>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</si>
  <si>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</si>
  <si>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</si>
  <si>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</si>
  <si>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</si>
  <si>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</si>
  <si>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</si>
  <si>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</si>
  <si>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ORDER BY PK2</t>
  </si>
  <si>
    <t>[SUMIF] QTY EXPORT BY PK2</t>
  </si>
  <si>
    <t>[SUMIF] % EXP FROM CUTTING</t>
  </si>
  <si>
    <t>FACTORY</t>
  </si>
  <si>
    <t>[GET] MONTHLY PERFORMANCE ORDER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</si>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</sst>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</fills>
  <borders count="18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99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0" fillId="0" borderId="0" xfId="0" applyAlignment="1">
      <alignment horizontal="center"/>
    </xf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2" fillId="0" borderId="0" xfId="0" applyFont="1" applyFill="1" applyAlignment="1">
      <alignment horizontal="left" vertical="center"/>
    </xf>
    <xf numFmtId="0" fontId="12" fillId="0" borderId="0" xfId="0" applyFont="1" applyFill="1"/>
    <xf numFmtId="0" fontId="32" fillId="0" borderId="0" xfId="0" applyFont="1" applyFill="1"/>
    <xf numFmtId="0" fontId="12" fillId="0" borderId="0" xfId="0" applyFont="1" applyFill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10" fontId="17" fillId="15" borderId="17" xfId="2" applyNumberFormat="1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4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6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8632868" y="688975"/>
          <a:ext cx="977857" cy="6096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3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J10" sqref="J10"/>
    </sheetView>
  </sheetViews>
  <sheetFormatPr defaultRowHeight="16.5" x14ac:dyDescent="0.3"/>
  <cols>
    <col min="1" max="1" width="2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5"/>
  </cols>
  <sheetData>
    <row r="1" spans="1:133" s="54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0" t="s">
        <v>57</v>
      </c>
      <c r="B2" s="77" t="s">
        <v>36</v>
      </c>
      <c r="C2" s="78"/>
      <c r="D2" s="78"/>
      <c r="E2" s="78"/>
      <c r="F2" s="78"/>
      <c r="G2" s="78"/>
      <c r="H2" s="78"/>
      <c r="I2" s="78"/>
      <c r="J2" s="78"/>
      <c r="K2" s="79"/>
      <c r="L2" s="21"/>
      <c r="M2" s="77" t="s">
        <v>34</v>
      </c>
      <c r="N2" s="78"/>
      <c r="O2" s="78"/>
      <c r="P2" s="78"/>
      <c r="Q2" s="78"/>
      <c r="R2" s="78"/>
      <c r="S2" s="78"/>
      <c r="T2" s="78"/>
      <c r="U2" s="78"/>
      <c r="V2" s="79"/>
      <c r="W2" s="21"/>
      <c r="X2" s="77" t="s">
        <v>37</v>
      </c>
      <c r="Y2" s="78"/>
      <c r="Z2" s="78"/>
      <c r="AA2" s="78"/>
      <c r="AB2" s="78"/>
      <c r="AC2" s="78"/>
      <c r="AD2" s="78"/>
      <c r="AE2" s="78"/>
      <c r="AF2" s="78"/>
      <c r="AG2" s="79"/>
      <c r="AH2" s="21"/>
      <c r="AI2" s="77" t="s">
        <v>38</v>
      </c>
      <c r="AJ2" s="78"/>
      <c r="AK2" s="78"/>
      <c r="AL2" s="78"/>
      <c r="AM2" s="78"/>
      <c r="AN2" s="78"/>
      <c r="AO2" s="78"/>
      <c r="AP2" s="78"/>
      <c r="AQ2" s="78"/>
      <c r="AR2" s="79"/>
      <c r="AS2" s="21"/>
      <c r="AT2" s="77" t="s">
        <v>39</v>
      </c>
      <c r="AU2" s="78"/>
      <c r="AV2" s="78"/>
      <c r="AW2" s="78"/>
      <c r="AX2" s="78"/>
      <c r="AY2" s="78"/>
      <c r="AZ2" s="78"/>
      <c r="BA2" s="78"/>
      <c r="BB2" s="78"/>
      <c r="BC2" s="79"/>
      <c r="BD2" s="21"/>
      <c r="BE2" s="77" t="s">
        <v>40</v>
      </c>
      <c r="BF2" s="78"/>
      <c r="BG2" s="78"/>
      <c r="BH2" s="78"/>
      <c r="BI2" s="78"/>
      <c r="BJ2" s="78"/>
      <c r="BK2" s="78"/>
      <c r="BL2" s="78"/>
      <c r="BM2" s="78"/>
      <c r="BN2" s="79"/>
      <c r="BO2" s="21"/>
      <c r="BP2" s="77" t="s">
        <v>41</v>
      </c>
      <c r="BQ2" s="78"/>
      <c r="BR2" s="78"/>
      <c r="BS2" s="78"/>
      <c r="BT2" s="78"/>
      <c r="BU2" s="78"/>
      <c r="BV2" s="78"/>
      <c r="BW2" s="78"/>
      <c r="BX2" s="78"/>
      <c r="BY2" s="79"/>
      <c r="BZ2" s="21"/>
      <c r="CA2" s="77" t="s">
        <v>42</v>
      </c>
      <c r="CB2" s="78"/>
      <c r="CC2" s="78"/>
      <c r="CD2" s="78"/>
      <c r="CE2" s="78"/>
      <c r="CF2" s="78"/>
      <c r="CG2" s="78"/>
      <c r="CH2" s="78"/>
      <c r="CI2" s="78"/>
      <c r="CJ2" s="79"/>
      <c r="CK2" s="21"/>
      <c r="CL2" s="77" t="s">
        <v>43</v>
      </c>
      <c r="CM2" s="78"/>
      <c r="CN2" s="78"/>
      <c r="CO2" s="78"/>
      <c r="CP2" s="78"/>
      <c r="CQ2" s="78"/>
      <c r="CR2" s="78"/>
      <c r="CS2" s="78"/>
      <c r="CT2" s="78"/>
      <c r="CU2" s="79"/>
      <c r="CV2" s="21"/>
      <c r="CW2" s="77" t="s">
        <v>44</v>
      </c>
      <c r="CX2" s="78"/>
      <c r="CY2" s="78"/>
      <c r="CZ2" s="78"/>
      <c r="DA2" s="78"/>
      <c r="DB2" s="78"/>
      <c r="DC2" s="78"/>
      <c r="DD2" s="78"/>
      <c r="DE2" s="78"/>
      <c r="DF2" s="79"/>
      <c r="DG2" s="21"/>
      <c r="DH2" s="77" t="s">
        <v>45</v>
      </c>
      <c r="DI2" s="78"/>
      <c r="DJ2" s="78"/>
      <c r="DK2" s="78"/>
      <c r="DL2" s="78"/>
      <c r="DM2" s="78"/>
      <c r="DN2" s="78"/>
      <c r="DO2" s="78"/>
      <c r="DP2" s="78"/>
      <c r="DQ2" s="79"/>
      <c r="DR2" s="21"/>
      <c r="DS2" s="77" t="s">
        <v>46</v>
      </c>
      <c r="DT2" s="78"/>
      <c r="DU2" s="78"/>
      <c r="DV2" s="78"/>
      <c r="DW2" s="78"/>
      <c r="DX2" s="78"/>
      <c r="DY2" s="78"/>
      <c r="DZ2" s="78"/>
      <c r="EA2" s="78"/>
      <c r="EB2" s="79"/>
      <c r="EC2" s="21"/>
    </row>
    <row r="3" spans="1:133" ht="15.75" x14ac:dyDescent="0.3">
      <c r="A3" s="80"/>
      <c r="B3" s="83" t="s">
        <v>23</v>
      </c>
      <c r="C3" s="83"/>
      <c r="D3" s="83"/>
      <c r="E3" s="83"/>
      <c r="F3" s="83"/>
      <c r="G3" s="82" t="s">
        <v>24</v>
      </c>
      <c r="H3" s="82"/>
      <c r="I3" s="82"/>
      <c r="J3" s="82"/>
      <c r="K3" s="82"/>
      <c r="L3" s="28"/>
      <c r="M3" s="83" t="s">
        <v>23</v>
      </c>
      <c r="N3" s="83"/>
      <c r="O3" s="83"/>
      <c r="P3" s="83"/>
      <c r="Q3" s="83"/>
      <c r="R3" s="82" t="s">
        <v>24</v>
      </c>
      <c r="S3" s="82"/>
      <c r="T3" s="82"/>
      <c r="U3" s="82"/>
      <c r="V3" s="82"/>
      <c r="W3" s="28"/>
      <c r="X3" s="83" t="s">
        <v>23</v>
      </c>
      <c r="Y3" s="83"/>
      <c r="Z3" s="83"/>
      <c r="AA3" s="83"/>
      <c r="AB3" s="83"/>
      <c r="AC3" s="82" t="s">
        <v>24</v>
      </c>
      <c r="AD3" s="82"/>
      <c r="AE3" s="82"/>
      <c r="AF3" s="82"/>
      <c r="AG3" s="82"/>
      <c r="AH3" s="28"/>
      <c r="AI3" s="83" t="s">
        <v>23</v>
      </c>
      <c r="AJ3" s="83"/>
      <c r="AK3" s="83"/>
      <c r="AL3" s="83"/>
      <c r="AM3" s="83"/>
      <c r="AN3" s="82" t="s">
        <v>24</v>
      </c>
      <c r="AO3" s="82"/>
      <c r="AP3" s="82"/>
      <c r="AQ3" s="82"/>
      <c r="AR3" s="82"/>
      <c r="AS3" s="28"/>
      <c r="AT3" s="83" t="s">
        <v>23</v>
      </c>
      <c r="AU3" s="83"/>
      <c r="AV3" s="83"/>
      <c r="AW3" s="83"/>
      <c r="AX3" s="83"/>
      <c r="AY3" s="82" t="s">
        <v>24</v>
      </c>
      <c r="AZ3" s="82"/>
      <c r="BA3" s="82"/>
      <c r="BB3" s="82"/>
      <c r="BC3" s="82"/>
      <c r="BD3" s="28"/>
      <c r="BE3" s="83" t="s">
        <v>23</v>
      </c>
      <c r="BF3" s="83"/>
      <c r="BG3" s="83"/>
      <c r="BH3" s="83"/>
      <c r="BI3" s="83"/>
      <c r="BJ3" s="82" t="s">
        <v>24</v>
      </c>
      <c r="BK3" s="82"/>
      <c r="BL3" s="82"/>
      <c r="BM3" s="82"/>
      <c r="BN3" s="82"/>
      <c r="BO3" s="28"/>
      <c r="BP3" s="83" t="s">
        <v>23</v>
      </c>
      <c r="BQ3" s="83"/>
      <c r="BR3" s="83"/>
      <c r="BS3" s="83"/>
      <c r="BT3" s="83"/>
      <c r="BU3" s="82" t="s">
        <v>24</v>
      </c>
      <c r="BV3" s="82"/>
      <c r="BW3" s="82"/>
      <c r="BX3" s="82"/>
      <c r="BY3" s="82"/>
      <c r="BZ3" s="28"/>
      <c r="CA3" s="83" t="s">
        <v>23</v>
      </c>
      <c r="CB3" s="83"/>
      <c r="CC3" s="83"/>
      <c r="CD3" s="83"/>
      <c r="CE3" s="83"/>
      <c r="CF3" s="82" t="s">
        <v>24</v>
      </c>
      <c r="CG3" s="82"/>
      <c r="CH3" s="82"/>
      <c r="CI3" s="82"/>
      <c r="CJ3" s="82"/>
      <c r="CK3" s="28"/>
      <c r="CL3" s="83" t="s">
        <v>23</v>
      </c>
      <c r="CM3" s="83"/>
      <c r="CN3" s="83"/>
      <c r="CO3" s="83"/>
      <c r="CP3" s="83"/>
      <c r="CQ3" s="82" t="s">
        <v>24</v>
      </c>
      <c r="CR3" s="82"/>
      <c r="CS3" s="82"/>
      <c r="CT3" s="82"/>
      <c r="CU3" s="82"/>
      <c r="CV3" s="28"/>
      <c r="CW3" s="83" t="s">
        <v>23</v>
      </c>
      <c r="CX3" s="83"/>
      <c r="CY3" s="83"/>
      <c r="CZ3" s="83"/>
      <c r="DA3" s="83"/>
      <c r="DB3" s="82" t="s">
        <v>24</v>
      </c>
      <c r="DC3" s="82"/>
      <c r="DD3" s="82"/>
      <c r="DE3" s="82"/>
      <c r="DF3" s="82"/>
      <c r="DG3" s="28"/>
      <c r="DH3" s="83" t="s">
        <v>23</v>
      </c>
      <c r="DI3" s="83"/>
      <c r="DJ3" s="83"/>
      <c r="DK3" s="83"/>
      <c r="DL3" s="83"/>
      <c r="DM3" s="82" t="s">
        <v>24</v>
      </c>
      <c r="DN3" s="82"/>
      <c r="DO3" s="82"/>
      <c r="DP3" s="82"/>
      <c r="DQ3" s="82"/>
      <c r="DR3" s="28"/>
      <c r="DS3" s="83" t="s">
        <v>23</v>
      </c>
      <c r="DT3" s="83"/>
      <c r="DU3" s="83"/>
      <c r="DV3" s="83"/>
      <c r="DW3" s="83"/>
      <c r="DX3" s="82" t="s">
        <v>24</v>
      </c>
      <c r="DY3" s="82"/>
      <c r="DZ3" s="82"/>
      <c r="EA3" s="82"/>
      <c r="EB3" s="82"/>
      <c r="EC3" s="28"/>
    </row>
    <row r="4" spans="1:133" s="56" customFormat="1" ht="15" x14ac:dyDescent="0.35">
      <c r="A4" s="81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7" customFormat="1" ht="24.95" customHeight="1" x14ac:dyDescent="0.25">
      <c r="A15" s="43" t="s">
        <v>48</v>
      </c>
      <c r="B15" s="59">
        <f t="shared" ref="B15:K15" si="0">SUM(B6:B13)</f>
        <v>0</v>
      </c>
      <c r="C15" s="59">
        <f t="shared" si="0"/>
        <v>0</v>
      </c>
      <c r="D15" s="59">
        <f t="shared" si="0"/>
        <v>0</v>
      </c>
      <c r="E15" s="59">
        <f t="shared" si="0"/>
        <v>0</v>
      </c>
      <c r="F15" s="59">
        <f t="shared" si="0"/>
        <v>0</v>
      </c>
      <c r="G15" s="58">
        <f t="shared" si="0"/>
        <v>0</v>
      </c>
      <c r="H15" s="58">
        <f t="shared" si="0"/>
        <v>0</v>
      </c>
      <c r="I15" s="58">
        <f t="shared" si="0"/>
        <v>0</v>
      </c>
      <c r="J15" s="58">
        <f t="shared" si="0"/>
        <v>0</v>
      </c>
      <c r="K15" s="58">
        <f t="shared" si="0"/>
        <v>0</v>
      </c>
      <c r="L15" s="63"/>
      <c r="M15" s="61">
        <f t="shared" ref="M15:V15" si="1">SUM(M6:M13)</f>
        <v>0</v>
      </c>
      <c r="N15" s="61">
        <f t="shared" si="1"/>
        <v>0</v>
      </c>
      <c r="O15" s="61">
        <f t="shared" si="1"/>
        <v>0</v>
      </c>
      <c r="P15" s="61">
        <f t="shared" si="1"/>
        <v>0</v>
      </c>
      <c r="Q15" s="61">
        <f t="shared" si="1"/>
        <v>0</v>
      </c>
      <c r="R15" s="58">
        <f t="shared" si="1"/>
        <v>0</v>
      </c>
      <c r="S15" s="58">
        <f t="shared" si="1"/>
        <v>0</v>
      </c>
      <c r="T15" s="58">
        <f t="shared" si="1"/>
        <v>0</v>
      </c>
      <c r="U15" s="58">
        <f t="shared" si="1"/>
        <v>0</v>
      </c>
      <c r="V15" s="58">
        <f t="shared" si="1"/>
        <v>0</v>
      </c>
      <c r="W15" s="63"/>
      <c r="X15" s="61">
        <f t="shared" ref="X15:AG15" si="2">SUM(X6:X13)</f>
        <v>0</v>
      </c>
      <c r="Y15" s="61">
        <f t="shared" si="2"/>
        <v>0</v>
      </c>
      <c r="Z15" s="61">
        <f t="shared" si="2"/>
        <v>0</v>
      </c>
      <c r="AA15" s="61">
        <f t="shared" si="2"/>
        <v>0</v>
      </c>
      <c r="AB15" s="61">
        <f t="shared" si="2"/>
        <v>0</v>
      </c>
      <c r="AC15" s="58">
        <f t="shared" si="2"/>
        <v>0</v>
      </c>
      <c r="AD15" s="58">
        <f t="shared" si="2"/>
        <v>0</v>
      </c>
      <c r="AE15" s="58">
        <f t="shared" si="2"/>
        <v>0</v>
      </c>
      <c r="AF15" s="58">
        <f t="shared" si="2"/>
        <v>0</v>
      </c>
      <c r="AG15" s="58">
        <f t="shared" si="2"/>
        <v>0</v>
      </c>
      <c r="AH15" s="63"/>
      <c r="AI15" s="61">
        <f t="shared" ref="AI15:AR15" si="3">SUM(AI6:AI13)</f>
        <v>0</v>
      </c>
      <c r="AJ15" s="61">
        <f t="shared" si="3"/>
        <v>0</v>
      </c>
      <c r="AK15" s="61">
        <f t="shared" si="3"/>
        <v>0</v>
      </c>
      <c r="AL15" s="61">
        <f t="shared" si="3"/>
        <v>0</v>
      </c>
      <c r="AM15" s="61">
        <f t="shared" si="3"/>
        <v>0</v>
      </c>
      <c r="AN15" s="58">
        <f t="shared" si="3"/>
        <v>0</v>
      </c>
      <c r="AO15" s="58">
        <f t="shared" si="3"/>
        <v>0</v>
      </c>
      <c r="AP15" s="58">
        <f t="shared" si="3"/>
        <v>0</v>
      </c>
      <c r="AQ15" s="58">
        <f t="shared" si="3"/>
        <v>0</v>
      </c>
      <c r="AR15" s="58">
        <f t="shared" si="3"/>
        <v>0</v>
      </c>
      <c r="AS15" s="63"/>
      <c r="AT15" s="61">
        <f t="shared" ref="AT15:BC15" si="4">SUM(AT6:AT13)</f>
        <v>0</v>
      </c>
      <c r="AU15" s="61">
        <f t="shared" si="4"/>
        <v>0</v>
      </c>
      <c r="AV15" s="61">
        <f t="shared" si="4"/>
        <v>0</v>
      </c>
      <c r="AW15" s="61">
        <f t="shared" si="4"/>
        <v>0</v>
      </c>
      <c r="AX15" s="61">
        <f t="shared" si="4"/>
        <v>0</v>
      </c>
      <c r="AY15" s="58">
        <f t="shared" si="4"/>
        <v>0</v>
      </c>
      <c r="AZ15" s="58">
        <f t="shared" si="4"/>
        <v>0</v>
      </c>
      <c r="BA15" s="58">
        <f t="shared" si="4"/>
        <v>0</v>
      </c>
      <c r="BB15" s="58">
        <f t="shared" si="4"/>
        <v>0</v>
      </c>
      <c r="BC15" s="58">
        <f t="shared" si="4"/>
        <v>0</v>
      </c>
      <c r="BD15" s="63"/>
      <c r="BE15" s="61">
        <f t="shared" ref="BE15:BN15" si="5">SUM(BE6:BE13)</f>
        <v>0</v>
      </c>
      <c r="BF15" s="61">
        <f t="shared" si="5"/>
        <v>0</v>
      </c>
      <c r="BG15" s="61">
        <f t="shared" si="5"/>
        <v>0</v>
      </c>
      <c r="BH15" s="61">
        <f t="shared" si="5"/>
        <v>0</v>
      </c>
      <c r="BI15" s="61">
        <f t="shared" si="5"/>
        <v>0</v>
      </c>
      <c r="BJ15" s="58">
        <f t="shared" si="5"/>
        <v>0</v>
      </c>
      <c r="BK15" s="58">
        <f t="shared" si="5"/>
        <v>0</v>
      </c>
      <c r="BL15" s="58">
        <f t="shared" si="5"/>
        <v>0</v>
      </c>
      <c r="BM15" s="58">
        <f t="shared" si="5"/>
        <v>0</v>
      </c>
      <c r="BN15" s="58">
        <f t="shared" si="5"/>
        <v>0</v>
      </c>
      <c r="BO15" s="63"/>
      <c r="BP15" s="61">
        <f t="shared" ref="BP15:BY15" si="6">SUM(BP6:BP13)</f>
        <v>0</v>
      </c>
      <c r="BQ15" s="61">
        <f t="shared" si="6"/>
        <v>0</v>
      </c>
      <c r="BR15" s="61">
        <f t="shared" si="6"/>
        <v>0</v>
      </c>
      <c r="BS15" s="61">
        <f t="shared" si="6"/>
        <v>0</v>
      </c>
      <c r="BT15" s="61">
        <f t="shared" si="6"/>
        <v>0</v>
      </c>
      <c r="BU15" s="58">
        <f t="shared" si="6"/>
        <v>0</v>
      </c>
      <c r="BV15" s="58">
        <f t="shared" si="6"/>
        <v>0</v>
      </c>
      <c r="BW15" s="58">
        <f t="shared" si="6"/>
        <v>0</v>
      </c>
      <c r="BX15" s="58">
        <f t="shared" si="6"/>
        <v>0</v>
      </c>
      <c r="BY15" s="58">
        <f t="shared" si="6"/>
        <v>0</v>
      </c>
      <c r="BZ15" s="63"/>
      <c r="CA15" s="61">
        <f t="shared" ref="CA15:CJ15" si="7">SUM(CA6:CA13)</f>
        <v>0</v>
      </c>
      <c r="CB15" s="61">
        <f t="shared" si="7"/>
        <v>0</v>
      </c>
      <c r="CC15" s="61">
        <f t="shared" si="7"/>
        <v>0</v>
      </c>
      <c r="CD15" s="61">
        <f t="shared" si="7"/>
        <v>0</v>
      </c>
      <c r="CE15" s="61">
        <f t="shared" si="7"/>
        <v>0</v>
      </c>
      <c r="CF15" s="58">
        <f t="shared" si="7"/>
        <v>0</v>
      </c>
      <c r="CG15" s="58">
        <f t="shared" si="7"/>
        <v>0</v>
      </c>
      <c r="CH15" s="58">
        <f t="shared" si="7"/>
        <v>0</v>
      </c>
      <c r="CI15" s="58">
        <f t="shared" si="7"/>
        <v>0</v>
      </c>
      <c r="CJ15" s="58">
        <f t="shared" si="7"/>
        <v>0</v>
      </c>
      <c r="CK15" s="63"/>
      <c r="CL15" s="61">
        <f t="shared" ref="CL15:CU15" si="8">SUM(CL6:CL13)</f>
        <v>0</v>
      </c>
      <c r="CM15" s="61">
        <f t="shared" si="8"/>
        <v>0</v>
      </c>
      <c r="CN15" s="61">
        <f t="shared" si="8"/>
        <v>0</v>
      </c>
      <c r="CO15" s="61">
        <f t="shared" si="8"/>
        <v>0</v>
      </c>
      <c r="CP15" s="61">
        <f t="shared" si="8"/>
        <v>0</v>
      </c>
      <c r="CQ15" s="58">
        <f t="shared" si="8"/>
        <v>0</v>
      </c>
      <c r="CR15" s="58">
        <f t="shared" si="8"/>
        <v>0</v>
      </c>
      <c r="CS15" s="58">
        <f t="shared" si="8"/>
        <v>0</v>
      </c>
      <c r="CT15" s="58">
        <f t="shared" si="8"/>
        <v>0</v>
      </c>
      <c r="CU15" s="58">
        <f t="shared" si="8"/>
        <v>0</v>
      </c>
      <c r="CV15" s="63"/>
      <c r="CW15" s="61">
        <f t="shared" ref="CW15:DF15" si="9">SUM(CW6:CW13)</f>
        <v>0</v>
      </c>
      <c r="CX15" s="61">
        <f t="shared" si="9"/>
        <v>0</v>
      </c>
      <c r="CY15" s="61">
        <f t="shared" si="9"/>
        <v>0</v>
      </c>
      <c r="CZ15" s="61">
        <f t="shared" si="9"/>
        <v>0</v>
      </c>
      <c r="DA15" s="61">
        <f t="shared" si="9"/>
        <v>0</v>
      </c>
      <c r="DB15" s="58">
        <f t="shared" si="9"/>
        <v>0</v>
      </c>
      <c r="DC15" s="58">
        <f t="shared" si="9"/>
        <v>0</v>
      </c>
      <c r="DD15" s="58">
        <f t="shared" si="9"/>
        <v>0</v>
      </c>
      <c r="DE15" s="58">
        <f t="shared" si="9"/>
        <v>0</v>
      </c>
      <c r="DF15" s="58">
        <f t="shared" si="9"/>
        <v>0</v>
      </c>
      <c r="DG15" s="63"/>
      <c r="DH15" s="61">
        <f t="shared" ref="DH15:DQ15" si="10">SUM(DH6:DH13)</f>
        <v>0</v>
      </c>
      <c r="DI15" s="61">
        <f t="shared" si="10"/>
        <v>0</v>
      </c>
      <c r="DJ15" s="61">
        <f t="shared" si="10"/>
        <v>0</v>
      </c>
      <c r="DK15" s="61">
        <f t="shared" si="10"/>
        <v>0</v>
      </c>
      <c r="DL15" s="61">
        <f t="shared" si="10"/>
        <v>0</v>
      </c>
      <c r="DM15" s="58">
        <f t="shared" si="10"/>
        <v>0</v>
      </c>
      <c r="DN15" s="58">
        <f t="shared" si="10"/>
        <v>0</v>
      </c>
      <c r="DO15" s="58">
        <f t="shared" si="10"/>
        <v>0</v>
      </c>
      <c r="DP15" s="58">
        <f t="shared" si="10"/>
        <v>0</v>
      </c>
      <c r="DQ15" s="58">
        <f t="shared" si="10"/>
        <v>0</v>
      </c>
      <c r="DR15" s="63"/>
      <c r="DS15" s="61">
        <f t="shared" ref="DS15:EB15" si="11">SUM(DS6:DS13)</f>
        <v>0</v>
      </c>
      <c r="DT15" s="61">
        <f t="shared" si="11"/>
        <v>0</v>
      </c>
      <c r="DU15" s="61">
        <f t="shared" si="11"/>
        <v>0</v>
      </c>
      <c r="DV15" s="61">
        <f t="shared" si="11"/>
        <v>0</v>
      </c>
      <c r="DW15" s="61">
        <f t="shared" si="11"/>
        <v>0</v>
      </c>
      <c r="DX15" s="58">
        <f t="shared" si="11"/>
        <v>0</v>
      </c>
      <c r="DY15" s="58">
        <f t="shared" si="11"/>
        <v>0</v>
      </c>
      <c r="DZ15" s="58">
        <f t="shared" si="11"/>
        <v>0</v>
      </c>
      <c r="EA15" s="58">
        <f t="shared" si="11"/>
        <v>0</v>
      </c>
      <c r="EB15" s="58">
        <f t="shared" si="11"/>
        <v>0</v>
      </c>
      <c r="EC15" s="62"/>
    </row>
    <row r="16" spans="1:133" s="57" customFormat="1" ht="24.95" customHeight="1" x14ac:dyDescent="0.25">
      <c r="A16" s="43" t="s">
        <v>49</v>
      </c>
      <c r="B16" s="84">
        <f>IFERROR(VLOOKUP(B2,CC1_InputUser!$A:$S,18,FALSE),0)</f>
        <v>5.224088957189732E-3</v>
      </c>
      <c r="C16" s="84"/>
      <c r="D16" s="84"/>
      <c r="E16" s="84"/>
      <c r="F16" s="84"/>
      <c r="G16" s="84">
        <f>IFERROR(VLOOKUP(B2,CC1_InputUser!$A:$S,19,FALSE),0)</f>
        <v>-9.3833673475188784E-3</v>
      </c>
      <c r="H16" s="84"/>
      <c r="I16" s="84"/>
      <c r="J16" s="84"/>
      <c r="K16" s="84"/>
      <c r="L16" s="64"/>
      <c r="M16" s="84">
        <f>IFERROR(VLOOKUP(M2,CC1_InputUser!$A:$S,18,FALSE),0)</f>
        <v>7.176418118578054E-3</v>
      </c>
      <c r="N16" s="84"/>
      <c r="O16" s="84"/>
      <c r="P16" s="84"/>
      <c r="Q16" s="84"/>
      <c r="R16" s="84">
        <f>IFERROR(VLOOKUP(M2,CC1_InputUser!$A:$S,19,FALSE),0)</f>
        <v>-1.1270529910001548E-2</v>
      </c>
      <c r="S16" s="84"/>
      <c r="T16" s="84"/>
      <c r="U16" s="84"/>
      <c r="V16" s="84"/>
      <c r="W16" s="64"/>
      <c r="X16" s="84">
        <f>IFERROR(VLOOKUP(X2,CC1_InputUser!$A:$S,18,FALSE),0)</f>
        <v>9.5495260447391317E-3</v>
      </c>
      <c r="Y16" s="84"/>
      <c r="Z16" s="84"/>
      <c r="AA16" s="84"/>
      <c r="AB16" s="84"/>
      <c r="AC16" s="84">
        <f>IFERROR(VLOOKUP(X2,CC1_InputUser!$A:$S,19,FALSE),0)</f>
        <v>-1.0776905499875533E-2</v>
      </c>
      <c r="AD16" s="84"/>
      <c r="AE16" s="84"/>
      <c r="AF16" s="84"/>
      <c r="AG16" s="84"/>
      <c r="AH16" s="64"/>
      <c r="AI16" s="84">
        <f>IFERROR(VLOOKUP(AI2,CC1_InputUser!$A:$S,18,FALSE),0)</f>
        <v>8.9026266635268136E-3</v>
      </c>
      <c r="AJ16" s="84"/>
      <c r="AK16" s="84"/>
      <c r="AL16" s="84"/>
      <c r="AM16" s="84"/>
      <c r="AN16" s="84">
        <f>IFERROR(VLOOKUP(AI2,CC1_InputUser!$A:$S,19,FALSE),0)</f>
        <v>-6.6662239774724075E-3</v>
      </c>
      <c r="AO16" s="84"/>
      <c r="AP16" s="84"/>
      <c r="AQ16" s="84"/>
      <c r="AR16" s="84"/>
      <c r="AS16" s="64"/>
      <c r="AT16" s="84">
        <f>IFERROR(VLOOKUP(AT2,CC1_InputUser!$A:$S,18,FALSE),0)</f>
        <v>3.3153865430988194E-3</v>
      </c>
      <c r="AU16" s="84"/>
      <c r="AV16" s="84"/>
      <c r="AW16" s="84"/>
      <c r="AX16" s="84"/>
      <c r="AY16" s="84">
        <f>IFERROR(VLOOKUP(AT2,CC1_InputUser!$A:$S,19,FALSE),0)</f>
        <v>-7.7471890375179209E-3</v>
      </c>
      <c r="AZ16" s="84"/>
      <c r="BA16" s="84"/>
      <c r="BB16" s="84"/>
      <c r="BC16" s="84"/>
      <c r="BD16" s="64"/>
      <c r="BE16" s="84">
        <f>IFERROR(VLOOKUP(BE2,CC1_InputUser!$A:$S,18,FALSE),0)</f>
        <v>-2.0960816085641154E-3</v>
      </c>
      <c r="BF16" s="84"/>
      <c r="BG16" s="84"/>
      <c r="BH16" s="84"/>
      <c r="BI16" s="84"/>
      <c r="BJ16" s="84">
        <f>IFERROR(VLOOKUP(BE2,CC1_InputUser!$A:$S,19,FALSE),0)</f>
        <v>-1.0462311934554047E-2</v>
      </c>
      <c r="BK16" s="84"/>
      <c r="BL16" s="84"/>
      <c r="BM16" s="84"/>
      <c r="BN16" s="84"/>
      <c r="BO16" s="64"/>
      <c r="BP16" s="84">
        <f>IFERROR(VLOOKUP(BP2,CC1_InputUser!$A:$S,18,FALSE),0)</f>
        <v>-8.679282568110791E-3</v>
      </c>
      <c r="BQ16" s="84"/>
      <c r="BR16" s="84"/>
      <c r="BS16" s="84"/>
      <c r="BT16" s="84"/>
      <c r="BU16" s="84">
        <f>IFERROR(VLOOKUP(BP2,CC1_InputUser!$A:$S,19,FALSE),0)</f>
        <v>-9.3901836983916187E-3</v>
      </c>
      <c r="BV16" s="84"/>
      <c r="BW16" s="84"/>
      <c r="BX16" s="84"/>
      <c r="BY16" s="84"/>
      <c r="BZ16" s="64"/>
      <c r="CA16" s="84">
        <f>IFERROR(VLOOKUP(CA2,CC1_InputUser!$A:$S,18,FALSE),0)</f>
        <v>7.3475885654907813E-3</v>
      </c>
      <c r="CB16" s="84"/>
      <c r="CC16" s="84"/>
      <c r="CD16" s="84"/>
      <c r="CE16" s="84"/>
      <c r="CF16" s="84">
        <f>IFERROR(VLOOKUP(CA2,CC1_InputUser!$A:$S,19,FALSE),0)</f>
        <v>-5.4420177320055885E-3</v>
      </c>
      <c r="CG16" s="84"/>
      <c r="CH16" s="84"/>
      <c r="CI16" s="84"/>
      <c r="CJ16" s="84"/>
      <c r="CK16" s="64"/>
      <c r="CL16" s="84">
        <f>IFERROR(VLOOKUP(CL2,CC1_InputUser!$A:$S,18,FALSE),0)</f>
        <v>1.8897271237978686E-3</v>
      </c>
      <c r="CM16" s="84"/>
      <c r="CN16" s="84"/>
      <c r="CO16" s="84"/>
      <c r="CP16" s="84"/>
      <c r="CQ16" s="84">
        <f>IFERROR(VLOOKUP(CL2,CC1_InputUser!$A:$S,19,FALSE),0)</f>
        <v>-4.8190622863065746E-3</v>
      </c>
      <c r="CR16" s="84"/>
      <c r="CS16" s="84"/>
      <c r="CT16" s="84"/>
      <c r="CU16" s="84"/>
      <c r="CV16" s="64"/>
      <c r="CW16" s="84">
        <f>IFERROR(VLOOKUP(CW2,CC1_InputUser!$A:$S,18,FALSE),0)</f>
        <v>0</v>
      </c>
      <c r="CX16" s="84"/>
      <c r="CY16" s="84"/>
      <c r="CZ16" s="84"/>
      <c r="DA16" s="84"/>
      <c r="DB16" s="84">
        <f>IFERROR(VLOOKUP(CW2,CC1_InputUser!$A:$S,19,FALSE),0)</f>
        <v>0</v>
      </c>
      <c r="DC16" s="84"/>
      <c r="DD16" s="84"/>
      <c r="DE16" s="84"/>
      <c r="DF16" s="84"/>
      <c r="DG16" s="64"/>
      <c r="DH16" s="84">
        <f>IFERROR(VLOOKUP(DH2,CC1_InputUser!$A:$S,18,FALSE),0)</f>
        <v>0</v>
      </c>
      <c r="DI16" s="84"/>
      <c r="DJ16" s="84"/>
      <c r="DK16" s="84"/>
      <c r="DL16" s="84"/>
      <c r="DM16" s="84">
        <f>IFERROR(VLOOKUP(DH2,CC1_InputUser!$A:$S,19,FALSE),0)</f>
        <v>0</v>
      </c>
      <c r="DN16" s="84"/>
      <c r="DO16" s="84"/>
      <c r="DP16" s="84"/>
      <c r="DQ16" s="84"/>
      <c r="DR16" s="64"/>
      <c r="DS16" s="84">
        <f>IFERROR(VLOOKUP(DS2,CC1_InputUser!$A:$S,18,FALSE),0)</f>
        <v>0</v>
      </c>
      <c r="DT16" s="84"/>
      <c r="DU16" s="84"/>
      <c r="DV16" s="84"/>
      <c r="DW16" s="84"/>
      <c r="DX16" s="84">
        <f>IFERROR(VLOOKUP(DS2,CC1_InputUser!$A:$S,19,FALSE),0)</f>
        <v>0</v>
      </c>
      <c r="DY16" s="84"/>
      <c r="DZ16" s="84"/>
      <c r="EA16" s="84"/>
      <c r="EB16" s="84"/>
      <c r="EC16" s="62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7" customFormat="1" ht="24.95" customHeight="1" x14ac:dyDescent="0.25">
      <c r="A18" s="43" t="s">
        <v>51</v>
      </c>
      <c r="B18" s="51" t="s">
        <v>62</v>
      </c>
      <c r="C18" s="41">
        <f>IFERROR(C15/B15-1,0)</f>
        <v>0</v>
      </c>
      <c r="D18" s="41">
        <f t="shared" ref="D18:F18" si="12">IFERROR(D15/C15-1,0)</f>
        <v>0</v>
      </c>
      <c r="E18" s="41">
        <f t="shared" si="12"/>
        <v>0</v>
      </c>
      <c r="F18" s="41">
        <f t="shared" si="12"/>
        <v>0</v>
      </c>
      <c r="G18" s="52" t="s">
        <v>62</v>
      </c>
      <c r="H18" s="42">
        <f>IFERROR(H15/G15-1,0)</f>
        <v>0</v>
      </c>
      <c r="I18" s="42">
        <f>IFERROR(I15/H15-1,0)</f>
        <v>0</v>
      </c>
      <c r="J18" s="42">
        <f t="shared" ref="J18:K18" si="13">IFERROR(J15/I15-1,0)</f>
        <v>0</v>
      </c>
      <c r="K18" s="42">
        <f t="shared" si="13"/>
        <v>0</v>
      </c>
      <c r="L18" s="37"/>
      <c r="M18" s="41">
        <f>IFERROR(M15/F15-1,0)</f>
        <v>0</v>
      </c>
      <c r="N18" s="41">
        <f>IFERROR(N15/M15-1,0)</f>
        <v>0</v>
      </c>
      <c r="O18" s="41">
        <f>IFERROR(O15/N15-1,0)</f>
        <v>0</v>
      </c>
      <c r="P18" s="41">
        <f>IFERROR(P15/O15-1,0)</f>
        <v>0</v>
      </c>
      <c r="Q18" s="41">
        <f>IFERROR(Q15/P15-1,0)</f>
        <v>0</v>
      </c>
      <c r="R18" s="42">
        <f>IFERROR(R15/K15-1,0)</f>
        <v>0</v>
      </c>
      <c r="S18" s="42">
        <f>IFERROR(S15/R15-1,0)</f>
        <v>0</v>
      </c>
      <c r="T18" s="42">
        <f t="shared" ref="T18:V18" si="14">IFERROR(T15/S15-1,0)</f>
        <v>0</v>
      </c>
      <c r="U18" s="42">
        <f t="shared" si="14"/>
        <v>0</v>
      </c>
      <c r="V18" s="42">
        <f t="shared" si="14"/>
        <v>0</v>
      </c>
      <c r="W18" s="37"/>
      <c r="X18" s="40">
        <f>IFERROR(X15/Q15-1,0)</f>
        <v>0</v>
      </c>
      <c r="Y18" s="40">
        <f>IFERROR(Y15/X15-1,0)</f>
        <v>0</v>
      </c>
      <c r="Z18" s="40">
        <f>IFERROR(Z15/Y15-1,0)</f>
        <v>0</v>
      </c>
      <c r="AA18" s="40">
        <f>IFERROR(AA15/Z15-1,0)</f>
        <v>0</v>
      </c>
      <c r="AB18" s="40">
        <f>IFERROR(AB15/AA15-1,0)</f>
        <v>0</v>
      </c>
      <c r="AC18" s="38">
        <f>IFERROR(AC15/V15-1,0)</f>
        <v>0</v>
      </c>
      <c r="AD18" s="38">
        <f>IFERROR(AD15/AC15-1,0)</f>
        <v>0</v>
      </c>
      <c r="AE18" s="38">
        <f t="shared" ref="AE18:AG18" si="15">IFERROR(AE15/AD15-1,0)</f>
        <v>0</v>
      </c>
      <c r="AF18" s="38">
        <f t="shared" si="15"/>
        <v>0</v>
      </c>
      <c r="AG18" s="38">
        <f t="shared" si="15"/>
        <v>0</v>
      </c>
      <c r="AH18" s="37"/>
      <c r="AI18" s="41">
        <f>IFERROR(AI15/AB15-1,0)</f>
        <v>0</v>
      </c>
      <c r="AJ18" s="41">
        <f>IFERROR(AJ15/AI15-1,0)</f>
        <v>0</v>
      </c>
      <c r="AK18" s="41">
        <f>IFERROR(AK15/AJ15-1,0)</f>
        <v>0</v>
      </c>
      <c r="AL18" s="41">
        <f>IFERROR(AL15/AK15-1,0)</f>
        <v>0</v>
      </c>
      <c r="AM18" s="41">
        <f>IFERROR(AM15/AL15-1,0)</f>
        <v>0</v>
      </c>
      <c r="AN18" s="42">
        <f>IFERROR(AN15/AG15-1,0)</f>
        <v>0</v>
      </c>
      <c r="AO18" s="42">
        <f>IFERROR(AO15/AN15-1,0)</f>
        <v>0</v>
      </c>
      <c r="AP18" s="42">
        <f t="shared" ref="AP18:AR18" si="16">IFERROR(AP15/AO15-1,0)</f>
        <v>0</v>
      </c>
      <c r="AQ18" s="42">
        <f t="shared" si="16"/>
        <v>0</v>
      </c>
      <c r="AR18" s="42">
        <f t="shared" si="16"/>
        <v>0</v>
      </c>
      <c r="AS18" s="37"/>
      <c r="AT18" s="41">
        <f>IFERROR(AT15/AM15-1,0)</f>
        <v>0</v>
      </c>
      <c r="AU18" s="41">
        <f>IFERROR(AU15/AT15-1,0)</f>
        <v>0</v>
      </c>
      <c r="AV18" s="41">
        <f>IFERROR(AV15/AU15-1,0)</f>
        <v>0</v>
      </c>
      <c r="AW18" s="41">
        <f>IFERROR(AW15/AV15-1,0)</f>
        <v>0</v>
      </c>
      <c r="AX18" s="41">
        <f>IFERROR(AX15/AW15-1,0)</f>
        <v>0</v>
      </c>
      <c r="AY18" s="42">
        <f>IFERROR(AY15/AR15-1,0)</f>
        <v>0</v>
      </c>
      <c r="AZ18" s="42">
        <f>IFERROR(AZ15/AY15-1,0)</f>
        <v>0</v>
      </c>
      <c r="BA18" s="42">
        <f t="shared" ref="BA18:BC18" si="17">IFERROR(BA15/AZ15-1,0)</f>
        <v>0</v>
      </c>
      <c r="BB18" s="42">
        <f t="shared" si="17"/>
        <v>0</v>
      </c>
      <c r="BC18" s="42">
        <f t="shared" si="17"/>
        <v>0</v>
      </c>
      <c r="BD18" s="37"/>
      <c r="BE18" s="41">
        <f>IFERROR(BE15/AX15-1,0)</f>
        <v>0</v>
      </c>
      <c r="BF18" s="41">
        <f>IFERROR(BF15/BE15-1,0)</f>
        <v>0</v>
      </c>
      <c r="BG18" s="41">
        <f>IFERROR(BG15/BF15-1,0)</f>
        <v>0</v>
      </c>
      <c r="BH18" s="41">
        <f>IFERROR(BH15/BG15-1,0)</f>
        <v>0</v>
      </c>
      <c r="BI18" s="41">
        <f>IFERROR(BI15/BH15-1,0)</f>
        <v>0</v>
      </c>
      <c r="BJ18" s="42">
        <f>IFERROR(BJ15/BC15-1,0)</f>
        <v>0</v>
      </c>
      <c r="BK18" s="42">
        <f>IFERROR(BK15/BJ15-1,0)</f>
        <v>0</v>
      </c>
      <c r="BL18" s="42">
        <f t="shared" ref="BL18:BN18" si="18">IFERROR(BL15/BK15-1,0)</f>
        <v>0</v>
      </c>
      <c r="BM18" s="42">
        <f t="shared" si="18"/>
        <v>0</v>
      </c>
      <c r="BN18" s="42">
        <f t="shared" si="18"/>
        <v>0</v>
      </c>
      <c r="BO18" s="37"/>
      <c r="BP18" s="41">
        <f>IFERROR(BP15/BI15-1,0)</f>
        <v>0</v>
      </c>
      <c r="BQ18" s="41">
        <f>IFERROR(BQ15/BP15-1,0)</f>
        <v>0</v>
      </c>
      <c r="BR18" s="41">
        <f>IFERROR(BR15/BQ15-1,0)</f>
        <v>0</v>
      </c>
      <c r="BS18" s="41">
        <f>IFERROR(BS15/BR15-1,0)</f>
        <v>0</v>
      </c>
      <c r="BT18" s="41">
        <f>IFERROR(BT15/BS15-1,0)</f>
        <v>0</v>
      </c>
      <c r="BU18" s="42">
        <f>IFERROR(BU15/BN15-1,0)</f>
        <v>0</v>
      </c>
      <c r="BV18" s="42">
        <f>IFERROR(BV15/BU15-1,0)</f>
        <v>0</v>
      </c>
      <c r="BW18" s="42">
        <f t="shared" ref="BW18:BY18" si="19">IFERROR(BW15/BV15-1,0)</f>
        <v>0</v>
      </c>
      <c r="BX18" s="42">
        <f t="shared" si="19"/>
        <v>0</v>
      </c>
      <c r="BY18" s="42">
        <f t="shared" si="19"/>
        <v>0</v>
      </c>
      <c r="BZ18" s="37"/>
      <c r="CA18" s="41">
        <f>IFERROR(CA15/BT15-1,0)</f>
        <v>0</v>
      </c>
      <c r="CB18" s="41">
        <f>IFERROR(CB15/CA15-1,0)</f>
        <v>0</v>
      </c>
      <c r="CC18" s="41">
        <f>IFERROR(CC15/CB15-1,0)</f>
        <v>0</v>
      </c>
      <c r="CD18" s="41">
        <f>IFERROR(CD15/CC15-1,0)</f>
        <v>0</v>
      </c>
      <c r="CE18" s="41">
        <f>IFERROR(CE15/CD15-1,0)</f>
        <v>0</v>
      </c>
      <c r="CF18" s="42">
        <f>IFERROR(CF15/BY15-1,0)</f>
        <v>0</v>
      </c>
      <c r="CG18" s="42">
        <f>IFERROR(CG15/CF15-1,0)</f>
        <v>0</v>
      </c>
      <c r="CH18" s="42">
        <f t="shared" ref="CH18:CJ18" si="20">IFERROR(CH15/CG15-1,0)</f>
        <v>0</v>
      </c>
      <c r="CI18" s="42">
        <f t="shared" si="20"/>
        <v>0</v>
      </c>
      <c r="CJ18" s="42">
        <f t="shared" si="20"/>
        <v>0</v>
      </c>
      <c r="CK18" s="37"/>
      <c r="CL18" s="41">
        <f>IFERROR(CL15/CE15-1,0)</f>
        <v>0</v>
      </c>
      <c r="CM18" s="41">
        <f>IFERROR(CM15/CL15-1,0)</f>
        <v>0</v>
      </c>
      <c r="CN18" s="41">
        <f>IFERROR(CN15/CM15-1,0)</f>
        <v>0</v>
      </c>
      <c r="CO18" s="41">
        <f>IFERROR(CO15/CN15-1,0)</f>
        <v>0</v>
      </c>
      <c r="CP18" s="41">
        <f>IFERROR(CP15/CO15-1,0)</f>
        <v>0</v>
      </c>
      <c r="CQ18" s="42">
        <f>IFERROR(CQ15/CJ15-1,0)</f>
        <v>0</v>
      </c>
      <c r="CR18" s="42">
        <f>IFERROR(CR15/CQ15-1,0)</f>
        <v>0</v>
      </c>
      <c r="CS18" s="42">
        <f t="shared" ref="CS18:CU18" si="21">IFERROR(CS15/CR15-1,0)</f>
        <v>0</v>
      </c>
      <c r="CT18" s="42">
        <f t="shared" si="21"/>
        <v>0</v>
      </c>
      <c r="CU18" s="42">
        <f t="shared" si="21"/>
        <v>0</v>
      </c>
      <c r="CV18" s="37"/>
      <c r="CW18" s="41">
        <f>IFERROR(CW15/CP15-1,0)</f>
        <v>0</v>
      </c>
      <c r="CX18" s="41">
        <f>IFERROR(CX15/CW15-1,0)</f>
        <v>0</v>
      </c>
      <c r="CY18" s="41">
        <f>IFERROR(CY15/CX15-1,0)</f>
        <v>0</v>
      </c>
      <c r="CZ18" s="41">
        <f>IFERROR(CZ15/CY15-1,0)</f>
        <v>0</v>
      </c>
      <c r="DA18" s="41">
        <f>IFERROR(DA15/CZ15-1,0)</f>
        <v>0</v>
      </c>
      <c r="DB18" s="42">
        <f>IFERROR(DB15/CU15-1,0)</f>
        <v>0</v>
      </c>
      <c r="DC18" s="42">
        <f>IFERROR(DC15/DB15-1,0)</f>
        <v>0</v>
      </c>
      <c r="DD18" s="42">
        <f t="shared" ref="DD18:DF18" si="22">IFERROR(DD15/DC15-1,0)</f>
        <v>0</v>
      </c>
      <c r="DE18" s="42">
        <f t="shared" si="22"/>
        <v>0</v>
      </c>
      <c r="DF18" s="42">
        <f t="shared" si="22"/>
        <v>0</v>
      </c>
      <c r="DG18" s="37"/>
      <c r="DH18" s="41">
        <f>IFERROR(DH15/DA15-1,0)</f>
        <v>0</v>
      </c>
      <c r="DI18" s="41">
        <f>IFERROR(DI15/DH15-1,0)</f>
        <v>0</v>
      </c>
      <c r="DJ18" s="41">
        <f>IFERROR(DJ15/DI15-1,0)</f>
        <v>0</v>
      </c>
      <c r="DK18" s="41">
        <f>IFERROR(DK15/DJ15-1,0)</f>
        <v>0</v>
      </c>
      <c r="DL18" s="41">
        <f>IFERROR(DL15/DK15-1,0)</f>
        <v>0</v>
      </c>
      <c r="DM18" s="42">
        <f>IFERROR(DM15/DF15-1,0)</f>
        <v>0</v>
      </c>
      <c r="DN18" s="42">
        <v>0.01</v>
      </c>
      <c r="DO18" s="42">
        <v>0.01</v>
      </c>
      <c r="DP18" s="42">
        <f t="shared" ref="DP18:DQ18" si="23">IFERROR(DP15/DO15-1,0)</f>
        <v>0</v>
      </c>
      <c r="DQ18" s="42">
        <f t="shared" si="23"/>
        <v>0</v>
      </c>
      <c r="DR18" s="37"/>
      <c r="DS18" s="41">
        <f>IFERROR(DS15/DL15-1,0)</f>
        <v>0</v>
      </c>
      <c r="DT18" s="41">
        <f>IFERROR(DT15/DS15-1,0)</f>
        <v>0</v>
      </c>
      <c r="DU18" s="41">
        <f>IFERROR(DU15/DT15-1,0)</f>
        <v>0</v>
      </c>
      <c r="DV18" s="41">
        <f>IFERROR(DV15/DU15-1,0)</f>
        <v>0</v>
      </c>
      <c r="DW18" s="41">
        <f>IFERROR(DW15/DV15-1,0)</f>
        <v>0</v>
      </c>
      <c r="DX18" s="42">
        <f>IFERROR(DX15/DQ15-1,0)</f>
        <v>0</v>
      </c>
      <c r="DY18" s="42">
        <f>IFERROR(DY15/DX15-1,0)</f>
        <v>0</v>
      </c>
      <c r="DZ18" s="42">
        <f t="shared" ref="DZ18:EB18" si="24">IFERROR(DZ15/DY15-1,0)</f>
        <v>0</v>
      </c>
      <c r="EA18" s="42">
        <f t="shared" si="24"/>
        <v>0</v>
      </c>
      <c r="EB18" s="42">
        <f t="shared" si="24"/>
        <v>0</v>
      </c>
      <c r="EC18" s="39"/>
    </row>
    <row r="19" spans="1:133" s="57" customFormat="1" ht="24.95" customHeight="1" x14ac:dyDescent="0.25">
      <c r="A19" s="43" t="s">
        <v>52</v>
      </c>
      <c r="B19" s="88" t="s">
        <v>62</v>
      </c>
      <c r="C19" s="88"/>
      <c r="D19" s="88"/>
      <c r="E19" s="88"/>
      <c r="F19" s="88"/>
      <c r="G19" s="89" t="s">
        <v>62</v>
      </c>
      <c r="H19" s="89"/>
      <c r="I19" s="89"/>
      <c r="J19" s="89"/>
      <c r="K19" s="89"/>
      <c r="L19" s="37"/>
      <c r="M19" s="87">
        <f>IFERROR(M16/B16-1,0)</f>
        <v>0.37371667622569849</v>
      </c>
      <c r="N19" s="87"/>
      <c r="O19" s="87"/>
      <c r="P19" s="87"/>
      <c r="Q19" s="87"/>
      <c r="R19" s="86">
        <f>IFERROR(R16/G16-1,0)</f>
        <v>0.20111783889412238</v>
      </c>
      <c r="S19" s="86"/>
      <c r="T19" s="86"/>
      <c r="U19" s="86"/>
      <c r="V19" s="86"/>
      <c r="W19" s="37"/>
      <c r="X19" s="90">
        <f>IFERROR(X16/M16-1,0)</f>
        <v>0.33068139104348737</v>
      </c>
      <c r="Y19" s="90"/>
      <c r="Z19" s="90"/>
      <c r="AA19" s="90"/>
      <c r="AB19" s="90"/>
      <c r="AC19" s="85">
        <f>IFERROR(AC16/R16-1,0)</f>
        <v>-4.3797799577104946E-2</v>
      </c>
      <c r="AD19" s="85"/>
      <c r="AE19" s="85"/>
      <c r="AF19" s="85"/>
      <c r="AG19" s="85"/>
      <c r="AH19" s="37"/>
      <c r="AI19" s="87">
        <f>IFERROR(AI16/X16-1,0)</f>
        <v>-6.7741517032533505E-2</v>
      </c>
      <c r="AJ19" s="87"/>
      <c r="AK19" s="87"/>
      <c r="AL19" s="87"/>
      <c r="AM19" s="87"/>
      <c r="AN19" s="86">
        <f>IFERROR(AN16/AC16-1,0)</f>
        <v>-0.38143431084652279</v>
      </c>
      <c r="AO19" s="86"/>
      <c r="AP19" s="86"/>
      <c r="AQ19" s="86"/>
      <c r="AR19" s="86"/>
      <c r="AS19" s="37"/>
      <c r="AT19" s="87">
        <f>IFERROR(AT16/AI16-1,0)</f>
        <v>-0.62759456636751576</v>
      </c>
      <c r="AU19" s="87"/>
      <c r="AV19" s="87"/>
      <c r="AW19" s="87"/>
      <c r="AX19" s="87"/>
      <c r="AY19" s="86">
        <f>IFERROR(AY16/AN16-1,0)</f>
        <v>0.16215552668174471</v>
      </c>
      <c r="AZ19" s="86"/>
      <c r="BA19" s="86"/>
      <c r="BB19" s="86"/>
      <c r="BC19" s="86"/>
      <c r="BD19" s="37"/>
      <c r="BE19" s="87">
        <f>IFERROR(BE16/AT16-1,0)</f>
        <v>-1.6322284238401215</v>
      </c>
      <c r="BF19" s="87"/>
      <c r="BG19" s="87"/>
      <c r="BH19" s="87"/>
      <c r="BI19" s="87"/>
      <c r="BJ19" s="86">
        <f>IFERROR(BJ16/AY16-1,0)</f>
        <v>0.35046555387862455</v>
      </c>
      <c r="BK19" s="86"/>
      <c r="BL19" s="86"/>
      <c r="BM19" s="86"/>
      <c r="BN19" s="86"/>
      <c r="BO19" s="37"/>
      <c r="BP19" s="87">
        <f>IFERROR(BP16/BE16-1,0)</f>
        <v>3.1407178674003937</v>
      </c>
      <c r="BQ19" s="87"/>
      <c r="BR19" s="87"/>
      <c r="BS19" s="87"/>
      <c r="BT19" s="87"/>
      <c r="BU19" s="86">
        <f>IFERROR(BU16/BJ16-1,0)</f>
        <v>-0.10247526960283926</v>
      </c>
      <c r="BV19" s="86"/>
      <c r="BW19" s="86"/>
      <c r="BX19" s="86"/>
      <c r="BY19" s="86"/>
      <c r="BZ19" s="37"/>
      <c r="CA19" s="87">
        <f>IFERROR(CA16/BP16-1,0)</f>
        <v>-1.8465663501367167</v>
      </c>
      <c r="CB19" s="87"/>
      <c r="CC19" s="87"/>
      <c r="CD19" s="87"/>
      <c r="CE19" s="87"/>
      <c r="CF19" s="86">
        <f>IFERROR(CF16/BU16-1,0)</f>
        <v>-0.42045673366989456</v>
      </c>
      <c r="CG19" s="86"/>
      <c r="CH19" s="86"/>
      <c r="CI19" s="86"/>
      <c r="CJ19" s="86"/>
      <c r="CK19" s="37"/>
      <c r="CL19" s="87">
        <f>IFERROR(CL16/CA16-1,0)</f>
        <v>-0.74280988831175199</v>
      </c>
      <c r="CM19" s="87"/>
      <c r="CN19" s="87"/>
      <c r="CO19" s="87"/>
      <c r="CP19" s="87"/>
      <c r="CQ19" s="86">
        <f>IFERROR(CQ16/CF16-1,0)</f>
        <v>-0.11447141049087162</v>
      </c>
      <c r="CR19" s="86"/>
      <c r="CS19" s="86"/>
      <c r="CT19" s="86"/>
      <c r="CU19" s="86"/>
      <c r="CV19" s="37"/>
      <c r="CW19" s="87">
        <f>IFERROR(CW16/CL16-1,0)</f>
        <v>-1</v>
      </c>
      <c r="CX19" s="87"/>
      <c r="CY19" s="87"/>
      <c r="CZ19" s="87"/>
      <c r="DA19" s="87"/>
      <c r="DB19" s="86">
        <f>IFERROR(DB16/CQ16-1,0)</f>
        <v>-1</v>
      </c>
      <c r="DC19" s="86"/>
      <c r="DD19" s="86"/>
      <c r="DE19" s="86"/>
      <c r="DF19" s="86"/>
      <c r="DG19" s="37"/>
      <c r="DH19" s="87">
        <f>IFERROR(DH16/CW16-1,0)</f>
        <v>0</v>
      </c>
      <c r="DI19" s="87"/>
      <c r="DJ19" s="87"/>
      <c r="DK19" s="87"/>
      <c r="DL19" s="87"/>
      <c r="DM19" s="86">
        <f>IFERROR(DM16/DB16-1,0)</f>
        <v>0</v>
      </c>
      <c r="DN19" s="86"/>
      <c r="DO19" s="86"/>
      <c r="DP19" s="86"/>
      <c r="DQ19" s="86"/>
      <c r="DR19" s="37"/>
      <c r="DS19" s="87">
        <f>IFERROR(DS16/DH16-1,0)</f>
        <v>0</v>
      </c>
      <c r="DT19" s="87"/>
      <c r="DU19" s="87"/>
      <c r="DV19" s="87"/>
      <c r="DW19" s="87"/>
      <c r="DX19" s="86">
        <f>IFERROR(DX16/DM16-1,0)</f>
        <v>0</v>
      </c>
      <c r="DY19" s="86"/>
      <c r="DZ19" s="86"/>
      <c r="EA19" s="86"/>
      <c r="EB19" s="86"/>
      <c r="EC19" s="39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60" t="s">
        <v>63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65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50" t="s">
        <v>64</v>
      </c>
      <c r="D25" s="53"/>
      <c r="E25" s="53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66</v>
      </c>
      <c r="D26" s="53"/>
      <c r="E26" s="53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 s="53"/>
      <c r="E27" s="53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BE19:BI19"/>
    <mergeCell ref="CW19:DA19"/>
    <mergeCell ref="BP19:BT19"/>
    <mergeCell ref="BU19:BY19"/>
    <mergeCell ref="CA19:CE19"/>
    <mergeCell ref="CF19:CJ19"/>
    <mergeCell ref="CL19:CP19"/>
    <mergeCell ref="CQ19:CU19"/>
    <mergeCell ref="DB19:DF19"/>
    <mergeCell ref="DH19:DL19"/>
    <mergeCell ref="DM19:DQ19"/>
    <mergeCell ref="DS19:DW19"/>
    <mergeCell ref="DX19:EB19"/>
    <mergeCell ref="DH16:DL16"/>
    <mergeCell ref="DM16:DQ16"/>
    <mergeCell ref="DS16:DW16"/>
    <mergeCell ref="DX16:EB16"/>
    <mergeCell ref="CW16:DA16"/>
    <mergeCell ref="DB16:DF16"/>
    <mergeCell ref="B19:F19"/>
    <mergeCell ref="G19:K19"/>
    <mergeCell ref="M19:Q19"/>
    <mergeCell ref="R19:V19"/>
    <mergeCell ref="X19:AB19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</mergeCells>
  <conditionalFormatting sqref="B16:EB16">
    <cfRule type="cellIs" dxfId="3" priority="25" operator="between">
      <formula>-0.00251</formula>
      <formula>-0.009</formula>
    </cfRule>
    <cfRule type="cellIs" dxfId="2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S1396"/>
  <sheetViews>
    <sheetView workbookViewId="0"/>
  </sheetViews>
  <sheetFormatPr defaultRowHeight="15" x14ac:dyDescent="0.25"/>
  <cols>
    <col min="1" max="1" width="11.140625" bestFit="1" customWidth="1"/>
    <col min="2" max="2" width="8.28515625" bestFit="1" customWidth="1"/>
    <col min="3" max="3" width="12.285156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73" bestFit="1" customWidth="1"/>
    <col min="10" max="10" width="23.5703125" style="73" bestFit="1" customWidth="1"/>
    <col min="11" max="11" width="19.28515625" style="72" bestFit="1" customWidth="1"/>
    <col min="12" max="12" width="24" style="72" bestFit="1" customWidth="1"/>
    <col min="13" max="13" width="29.7109375" style="73" bestFit="1" customWidth="1"/>
    <col min="14" max="14" width="31.5703125" style="73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</cols>
  <sheetData>
    <row r="1" spans="1:19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56</v>
      </c>
      <c r="O1" s="14" t="s">
        <v>54</v>
      </c>
      <c r="P1" s="14" t="s">
        <v>59</v>
      </c>
      <c r="Q1" s="14" t="s">
        <v>55</v>
      </c>
      <c r="R1" s="32" t="s">
        <v>58</v>
      </c>
      <c r="S1" s="32" t="s">
        <v>58</v>
      </c>
    </row>
    <row r="2" spans="1:19" x14ac:dyDescent="0.25">
      <c r="A2" t="s">
        <v>36</v>
      </c>
      <c r="B2" s="65">
        <v>1</v>
      </c>
      <c r="C2" t="s">
        <v>10</v>
      </c>
      <c r="D2" s="66">
        <v>50</v>
      </c>
      <c r="E2" s="66">
        <v>50</v>
      </c>
      <c r="F2" s="67">
        <v>50</v>
      </c>
      <c r="G2" s="13">
        <f t="shared" ref="G2:G65" si="0">F2-E2</f>
        <v>0</v>
      </c>
      <c r="H2" s="13">
        <f t="shared" ref="H2:H65" si="1">F2-D2</f>
        <v>0</v>
      </c>
      <c r="I2" s="73">
        <f t="shared" ref="I2:I65" si="2">F2/D2-1</f>
        <v>0</v>
      </c>
      <c r="J2" s="73">
        <f t="shared" ref="J2:J65" si="3">F2/E2-1</f>
        <v>0</v>
      </c>
      <c r="K2" s="72" t="str">
        <f t="shared" ref="K2:K65" si="4">CLEAN(SUBSTITUTE(C2," ",""))</f>
        <v>CNJ2</v>
      </c>
      <c r="L2" s="72" t="str">
        <f t="shared" ref="L2:L65" si="5">A2&amp;"-"&amp;B2&amp;"-"&amp;K2</f>
        <v>JANUARY-1-CNJ2</v>
      </c>
      <c r="M2" s="73">
        <f t="shared" ref="M2:M65" si="6">SUMIF($L$2:$L$1396,L2,$I$2:$I$1396)</f>
        <v>0</v>
      </c>
      <c r="N2" s="73">
        <f t="shared" ref="N2:N65" si="7">SUMIF($L$2:$L$1396,L2,$J$2:$J$1396)</f>
        <v>-0.15254237288135597</v>
      </c>
      <c r="O2" s="13">
        <f t="shared" ref="O2:O65" si="8">SUMIF($A$2:$A$1396,A2,$D$2:$D$1396)</f>
        <v>866754</v>
      </c>
      <c r="P2" s="13">
        <f t="shared" ref="P2:P65" si="9">SUMIF($A$2:$A$1396,A2,$E$2:$E$1396)</f>
        <v>879535</v>
      </c>
      <c r="Q2" s="13">
        <f t="shared" ref="Q2:Q65" si="10">SUMIF($A$2:$A$1396,A2,$F$2:$F$1396)</f>
        <v>871282</v>
      </c>
      <c r="R2" s="33">
        <f t="shared" ref="R2:R65" si="11">Q2/O2-1</f>
        <v>5.224088957189732E-3</v>
      </c>
      <c r="S2" s="33">
        <f t="shared" ref="S2:S65" si="12">Q2/P2-1</f>
        <v>-9.3833673475188784E-3</v>
      </c>
    </row>
    <row r="3" spans="1:19" x14ac:dyDescent="0.25">
      <c r="A3" t="s">
        <v>36</v>
      </c>
      <c r="B3" s="65">
        <v>1</v>
      </c>
      <c r="C3" t="s">
        <v>10</v>
      </c>
      <c r="D3" s="66">
        <v>350</v>
      </c>
      <c r="E3" s="66">
        <v>413</v>
      </c>
      <c r="F3" s="67">
        <v>350</v>
      </c>
      <c r="G3" s="13">
        <f t="shared" si="0"/>
        <v>-63</v>
      </c>
      <c r="H3" s="13">
        <f t="shared" si="1"/>
        <v>0</v>
      </c>
      <c r="I3" s="73">
        <f t="shared" si="2"/>
        <v>0</v>
      </c>
      <c r="J3" s="73">
        <f t="shared" si="3"/>
        <v>-0.15254237288135597</v>
      </c>
      <c r="K3" s="72" t="str">
        <f t="shared" si="4"/>
        <v>CNJ2</v>
      </c>
      <c r="L3" s="72" t="str">
        <f t="shared" si="5"/>
        <v>JANUARY-1-CNJ2</v>
      </c>
      <c r="M3" s="73">
        <f t="shared" si="6"/>
        <v>0</v>
      </c>
      <c r="N3" s="73">
        <f t="shared" si="7"/>
        <v>-0.15254237288135597</v>
      </c>
      <c r="O3" s="13">
        <f t="shared" si="8"/>
        <v>866754</v>
      </c>
      <c r="P3" s="13">
        <f t="shared" si="9"/>
        <v>879535</v>
      </c>
      <c r="Q3" s="13">
        <f t="shared" si="10"/>
        <v>871282</v>
      </c>
      <c r="R3" s="33">
        <f t="shared" si="11"/>
        <v>5.224088957189732E-3</v>
      </c>
      <c r="S3" s="33">
        <f t="shared" si="12"/>
        <v>-9.3833673475188784E-3</v>
      </c>
    </row>
    <row r="4" spans="1:19" x14ac:dyDescent="0.25">
      <c r="A4" t="s">
        <v>36</v>
      </c>
      <c r="B4" s="65">
        <v>1</v>
      </c>
      <c r="C4" t="s">
        <v>10</v>
      </c>
      <c r="D4" s="66">
        <v>125</v>
      </c>
      <c r="E4" s="66">
        <v>125</v>
      </c>
      <c r="F4" s="67">
        <v>125</v>
      </c>
      <c r="G4" s="13">
        <f t="shared" si="0"/>
        <v>0</v>
      </c>
      <c r="H4" s="13">
        <f t="shared" si="1"/>
        <v>0</v>
      </c>
      <c r="I4" s="73">
        <f t="shared" si="2"/>
        <v>0</v>
      </c>
      <c r="J4" s="73">
        <f t="shared" si="3"/>
        <v>0</v>
      </c>
      <c r="K4" s="72" t="str">
        <f t="shared" si="4"/>
        <v>CNJ2</v>
      </c>
      <c r="L4" s="72" t="str">
        <f t="shared" si="5"/>
        <v>JANUARY-1-CNJ2</v>
      </c>
      <c r="M4" s="73">
        <f t="shared" si="6"/>
        <v>0</v>
      </c>
      <c r="N4" s="73">
        <f t="shared" si="7"/>
        <v>-0.15254237288135597</v>
      </c>
      <c r="O4" s="13">
        <f t="shared" si="8"/>
        <v>866754</v>
      </c>
      <c r="P4" s="13">
        <f t="shared" si="9"/>
        <v>879535</v>
      </c>
      <c r="Q4" s="13">
        <f t="shared" si="10"/>
        <v>871282</v>
      </c>
      <c r="R4" s="33">
        <f t="shared" si="11"/>
        <v>5.224088957189732E-3</v>
      </c>
      <c r="S4" s="33">
        <f t="shared" si="12"/>
        <v>-9.3833673475188784E-3</v>
      </c>
    </row>
    <row r="5" spans="1:19" x14ac:dyDescent="0.25">
      <c r="A5" t="s">
        <v>36</v>
      </c>
      <c r="B5" s="65">
        <v>1</v>
      </c>
      <c r="C5" t="s">
        <v>11</v>
      </c>
      <c r="D5" s="66">
        <v>400</v>
      </c>
      <c r="E5" s="66">
        <v>404</v>
      </c>
      <c r="F5" s="67">
        <v>400</v>
      </c>
      <c r="G5" s="13">
        <f t="shared" si="0"/>
        <v>-4</v>
      </c>
      <c r="H5" s="13">
        <f t="shared" si="1"/>
        <v>0</v>
      </c>
      <c r="I5" s="73">
        <f t="shared" si="2"/>
        <v>0</v>
      </c>
      <c r="J5" s="73">
        <f t="shared" si="3"/>
        <v>-9.9009900990099098E-3</v>
      </c>
      <c r="K5" s="72" t="str">
        <f t="shared" si="4"/>
        <v>MAJA1</v>
      </c>
      <c r="L5" s="72" t="str">
        <f t="shared" si="5"/>
        <v>JANUARY-1-MAJA1</v>
      </c>
      <c r="M5" s="73">
        <f t="shared" si="6"/>
        <v>0</v>
      </c>
      <c r="N5" s="73">
        <f t="shared" si="7"/>
        <v>-2.3404899125306966E-2</v>
      </c>
      <c r="O5" s="13">
        <f t="shared" si="8"/>
        <v>866754</v>
      </c>
      <c r="P5" s="13">
        <f t="shared" si="9"/>
        <v>879535</v>
      </c>
      <c r="Q5" s="13">
        <f t="shared" si="10"/>
        <v>871282</v>
      </c>
      <c r="R5" s="33">
        <f t="shared" si="11"/>
        <v>5.224088957189732E-3</v>
      </c>
      <c r="S5" s="33">
        <f t="shared" si="12"/>
        <v>-9.3833673475188784E-3</v>
      </c>
    </row>
    <row r="6" spans="1:19" x14ac:dyDescent="0.25">
      <c r="A6" t="s">
        <v>36</v>
      </c>
      <c r="B6" s="65">
        <v>1</v>
      </c>
      <c r="C6" t="s">
        <v>11</v>
      </c>
      <c r="D6" s="66">
        <v>1000</v>
      </c>
      <c r="E6" s="66">
        <v>1005</v>
      </c>
      <c r="F6" s="67">
        <v>1000</v>
      </c>
      <c r="G6" s="13">
        <f t="shared" si="0"/>
        <v>-5</v>
      </c>
      <c r="H6" s="13">
        <f t="shared" si="1"/>
        <v>0</v>
      </c>
      <c r="I6" s="73">
        <f t="shared" si="2"/>
        <v>0</v>
      </c>
      <c r="J6" s="73">
        <f t="shared" si="3"/>
        <v>-4.9751243781094301E-3</v>
      </c>
      <c r="K6" s="72" t="str">
        <f t="shared" si="4"/>
        <v>MAJA1</v>
      </c>
      <c r="L6" s="72" t="str">
        <f t="shared" si="5"/>
        <v>JANUARY-1-MAJA1</v>
      </c>
      <c r="M6" s="73">
        <f t="shared" si="6"/>
        <v>0</v>
      </c>
      <c r="N6" s="73">
        <f t="shared" si="7"/>
        <v>-2.3404899125306966E-2</v>
      </c>
      <c r="O6" s="13">
        <f t="shared" si="8"/>
        <v>866754</v>
      </c>
      <c r="P6" s="13">
        <f t="shared" si="9"/>
        <v>879535</v>
      </c>
      <c r="Q6" s="13">
        <f t="shared" si="10"/>
        <v>871282</v>
      </c>
      <c r="R6" s="33">
        <f t="shared" si="11"/>
        <v>5.224088957189732E-3</v>
      </c>
      <c r="S6" s="33">
        <f t="shared" si="12"/>
        <v>-9.3833673475188784E-3</v>
      </c>
    </row>
    <row r="7" spans="1:19" x14ac:dyDescent="0.25">
      <c r="A7" t="s">
        <v>36</v>
      </c>
      <c r="B7" s="65">
        <v>1</v>
      </c>
      <c r="C7" t="s">
        <v>11</v>
      </c>
      <c r="D7" s="66">
        <v>465</v>
      </c>
      <c r="E7" s="66">
        <v>469</v>
      </c>
      <c r="F7" s="67">
        <v>465</v>
      </c>
      <c r="G7" s="13">
        <f t="shared" si="0"/>
        <v>-4</v>
      </c>
      <c r="H7" s="13">
        <f t="shared" si="1"/>
        <v>0</v>
      </c>
      <c r="I7" s="73">
        <f t="shared" si="2"/>
        <v>0</v>
      </c>
      <c r="J7" s="73">
        <f t="shared" si="3"/>
        <v>-8.5287846481876262E-3</v>
      </c>
      <c r="K7" s="72" t="str">
        <f t="shared" si="4"/>
        <v>MAJA1</v>
      </c>
      <c r="L7" s="72" t="str">
        <f t="shared" si="5"/>
        <v>JANUARY-1-MAJA1</v>
      </c>
      <c r="M7" s="73">
        <f t="shared" si="6"/>
        <v>0</v>
      </c>
      <c r="N7" s="73">
        <f t="shared" si="7"/>
        <v>-2.3404899125306966E-2</v>
      </c>
      <c r="O7" s="13">
        <f t="shared" si="8"/>
        <v>866754</v>
      </c>
      <c r="P7" s="13">
        <f t="shared" si="9"/>
        <v>879535</v>
      </c>
      <c r="Q7" s="13">
        <f t="shared" si="10"/>
        <v>871282</v>
      </c>
      <c r="R7" s="33">
        <f t="shared" si="11"/>
        <v>5.224088957189732E-3</v>
      </c>
      <c r="S7" s="33">
        <f t="shared" si="12"/>
        <v>-9.3833673475188784E-3</v>
      </c>
    </row>
    <row r="8" spans="1:19" x14ac:dyDescent="0.25">
      <c r="A8" t="s">
        <v>36</v>
      </c>
      <c r="B8" s="65">
        <v>2</v>
      </c>
      <c r="C8" t="s">
        <v>10</v>
      </c>
      <c r="D8" s="66">
        <v>80</v>
      </c>
      <c r="E8" s="66">
        <v>80</v>
      </c>
      <c r="F8" s="67">
        <v>80</v>
      </c>
      <c r="G8" s="13">
        <f t="shared" si="0"/>
        <v>0</v>
      </c>
      <c r="H8" s="13">
        <f t="shared" si="1"/>
        <v>0</v>
      </c>
      <c r="I8" s="73">
        <f t="shared" si="2"/>
        <v>0</v>
      </c>
      <c r="J8" s="73">
        <f t="shared" si="3"/>
        <v>0</v>
      </c>
      <c r="K8" s="72" t="str">
        <f t="shared" si="4"/>
        <v>CNJ2</v>
      </c>
      <c r="L8" s="72" t="str">
        <f t="shared" si="5"/>
        <v>JANUARY-2-CNJ2</v>
      </c>
      <c r="M8" s="73">
        <f t="shared" si="6"/>
        <v>0</v>
      </c>
      <c r="N8" s="73">
        <f t="shared" si="7"/>
        <v>-1.5735641227380026E-2</v>
      </c>
      <c r="O8" s="13">
        <f t="shared" si="8"/>
        <v>866754</v>
      </c>
      <c r="P8" s="13">
        <f t="shared" si="9"/>
        <v>879535</v>
      </c>
      <c r="Q8" s="13">
        <f t="shared" si="10"/>
        <v>871282</v>
      </c>
      <c r="R8" s="33">
        <f t="shared" si="11"/>
        <v>5.224088957189732E-3</v>
      </c>
      <c r="S8" s="33">
        <f t="shared" si="12"/>
        <v>-9.3833673475188784E-3</v>
      </c>
    </row>
    <row r="9" spans="1:19" x14ac:dyDescent="0.25">
      <c r="A9" t="s">
        <v>36</v>
      </c>
      <c r="B9" s="65">
        <v>2</v>
      </c>
      <c r="C9" t="s">
        <v>10</v>
      </c>
      <c r="D9" s="66">
        <v>6255</v>
      </c>
      <c r="E9" s="66">
        <v>6355</v>
      </c>
      <c r="F9" s="67">
        <v>6255</v>
      </c>
      <c r="G9" s="13">
        <f t="shared" si="0"/>
        <v>-100</v>
      </c>
      <c r="H9" s="13">
        <f t="shared" si="1"/>
        <v>0</v>
      </c>
      <c r="I9" s="73">
        <f t="shared" si="2"/>
        <v>0</v>
      </c>
      <c r="J9" s="73">
        <f t="shared" si="3"/>
        <v>-1.5735641227380026E-2</v>
      </c>
      <c r="K9" s="72" t="str">
        <f t="shared" si="4"/>
        <v>CNJ2</v>
      </c>
      <c r="L9" s="72" t="str">
        <f t="shared" si="5"/>
        <v>JANUARY-2-CNJ2</v>
      </c>
      <c r="M9" s="73">
        <f t="shared" si="6"/>
        <v>0</v>
      </c>
      <c r="N9" s="73">
        <f t="shared" si="7"/>
        <v>-1.5735641227380026E-2</v>
      </c>
      <c r="O9" s="13">
        <f t="shared" si="8"/>
        <v>866754</v>
      </c>
      <c r="P9" s="13">
        <f t="shared" si="9"/>
        <v>879535</v>
      </c>
      <c r="Q9" s="13">
        <f t="shared" si="10"/>
        <v>871282</v>
      </c>
      <c r="R9" s="33">
        <f t="shared" si="11"/>
        <v>5.224088957189732E-3</v>
      </c>
      <c r="S9" s="33">
        <f t="shared" si="12"/>
        <v>-9.3833673475188784E-3</v>
      </c>
    </row>
    <row r="10" spans="1:19" x14ac:dyDescent="0.25">
      <c r="A10" t="s">
        <v>36</v>
      </c>
      <c r="B10" s="65">
        <v>2</v>
      </c>
      <c r="C10" t="s">
        <v>10</v>
      </c>
      <c r="D10" s="66">
        <v>135</v>
      </c>
      <c r="E10" s="66">
        <v>135</v>
      </c>
      <c r="F10" s="67">
        <v>135</v>
      </c>
      <c r="G10" s="13">
        <f t="shared" si="0"/>
        <v>0</v>
      </c>
      <c r="H10" s="13">
        <f t="shared" si="1"/>
        <v>0</v>
      </c>
      <c r="I10" s="73">
        <f t="shared" si="2"/>
        <v>0</v>
      </c>
      <c r="J10" s="73">
        <f t="shared" si="3"/>
        <v>0</v>
      </c>
      <c r="K10" s="72" t="str">
        <f t="shared" si="4"/>
        <v>CNJ2</v>
      </c>
      <c r="L10" s="72" t="str">
        <f t="shared" si="5"/>
        <v>JANUARY-2-CNJ2</v>
      </c>
      <c r="M10" s="73">
        <f t="shared" si="6"/>
        <v>0</v>
      </c>
      <c r="N10" s="73">
        <f t="shared" si="7"/>
        <v>-1.5735641227380026E-2</v>
      </c>
      <c r="O10" s="13">
        <f t="shared" si="8"/>
        <v>866754</v>
      </c>
      <c r="P10" s="13">
        <f t="shared" si="9"/>
        <v>879535</v>
      </c>
      <c r="Q10" s="13">
        <f t="shared" si="10"/>
        <v>871282</v>
      </c>
      <c r="R10" s="33">
        <f t="shared" si="11"/>
        <v>5.224088957189732E-3</v>
      </c>
      <c r="S10" s="33">
        <f t="shared" si="12"/>
        <v>-9.3833673475188784E-3</v>
      </c>
    </row>
    <row r="11" spans="1:19" x14ac:dyDescent="0.25">
      <c r="A11" t="s">
        <v>36</v>
      </c>
      <c r="B11" s="65">
        <v>2</v>
      </c>
      <c r="C11" t="s">
        <v>11</v>
      </c>
      <c r="D11" s="66">
        <v>702</v>
      </c>
      <c r="E11" s="66">
        <v>739</v>
      </c>
      <c r="F11" s="67">
        <v>702</v>
      </c>
      <c r="G11" s="13">
        <f t="shared" si="0"/>
        <v>-37</v>
      </c>
      <c r="H11" s="13">
        <f t="shared" si="1"/>
        <v>0</v>
      </c>
      <c r="I11" s="73">
        <f t="shared" si="2"/>
        <v>0</v>
      </c>
      <c r="J11" s="73">
        <f t="shared" si="3"/>
        <v>-5.0067658998646847E-2</v>
      </c>
      <c r="K11" s="72" t="str">
        <f t="shared" si="4"/>
        <v>MAJA1</v>
      </c>
      <c r="L11" s="72" t="str">
        <f t="shared" si="5"/>
        <v>JANUARY-2-MAJA1</v>
      </c>
      <c r="M11" s="73">
        <f t="shared" si="6"/>
        <v>0</v>
      </c>
      <c r="N11" s="73">
        <f t="shared" si="7"/>
        <v>-5.0067658998646847E-2</v>
      </c>
      <c r="O11" s="13">
        <f t="shared" si="8"/>
        <v>866754</v>
      </c>
      <c r="P11" s="13">
        <f t="shared" si="9"/>
        <v>879535</v>
      </c>
      <c r="Q11" s="13">
        <f t="shared" si="10"/>
        <v>871282</v>
      </c>
      <c r="R11" s="33">
        <f t="shared" si="11"/>
        <v>5.224088957189732E-3</v>
      </c>
      <c r="S11" s="33">
        <f t="shared" si="12"/>
        <v>-9.3833673475188784E-3</v>
      </c>
    </row>
    <row r="12" spans="1:19" x14ac:dyDescent="0.25">
      <c r="A12" t="s">
        <v>36</v>
      </c>
      <c r="B12" s="65">
        <v>2</v>
      </c>
      <c r="C12" t="s">
        <v>12</v>
      </c>
      <c r="D12" s="66">
        <v>4000</v>
      </c>
      <c r="E12" s="66">
        <v>4000</v>
      </c>
      <c r="F12" s="67">
        <v>4000</v>
      </c>
      <c r="G12" s="13">
        <f t="shared" si="0"/>
        <v>0</v>
      </c>
      <c r="H12" s="13">
        <f t="shared" si="1"/>
        <v>0</v>
      </c>
      <c r="I12" s="73">
        <f t="shared" si="2"/>
        <v>0</v>
      </c>
      <c r="J12" s="73">
        <f t="shared" si="3"/>
        <v>0</v>
      </c>
      <c r="K12" s="72" t="str">
        <f t="shared" si="4"/>
        <v>BBT</v>
      </c>
      <c r="L12" s="72" t="str">
        <f t="shared" si="5"/>
        <v>JANUARY-2-BBT</v>
      </c>
      <c r="M12" s="73">
        <f t="shared" si="6"/>
        <v>0</v>
      </c>
      <c r="N12" s="73">
        <f t="shared" si="7"/>
        <v>0</v>
      </c>
      <c r="O12" s="13">
        <f t="shared" si="8"/>
        <v>866754</v>
      </c>
      <c r="P12" s="13">
        <f t="shared" si="9"/>
        <v>879535</v>
      </c>
      <c r="Q12" s="13">
        <f t="shared" si="10"/>
        <v>871282</v>
      </c>
      <c r="R12" s="33">
        <f t="shared" si="11"/>
        <v>5.224088957189732E-3</v>
      </c>
      <c r="S12" s="33">
        <f t="shared" si="12"/>
        <v>-9.3833673475188784E-3</v>
      </c>
    </row>
    <row r="13" spans="1:19" x14ac:dyDescent="0.25">
      <c r="A13" t="s">
        <v>36</v>
      </c>
      <c r="B13" s="65">
        <v>3</v>
      </c>
      <c r="C13" t="s">
        <v>10</v>
      </c>
      <c r="D13" s="66">
        <v>480</v>
      </c>
      <c r="E13" s="66">
        <v>480</v>
      </c>
      <c r="F13" s="67">
        <v>480</v>
      </c>
      <c r="G13" s="13">
        <f t="shared" si="0"/>
        <v>0</v>
      </c>
      <c r="H13" s="13">
        <f t="shared" si="1"/>
        <v>0</v>
      </c>
      <c r="I13" s="73">
        <f t="shared" si="2"/>
        <v>0</v>
      </c>
      <c r="J13" s="73">
        <f t="shared" si="3"/>
        <v>0</v>
      </c>
      <c r="K13" s="72" t="str">
        <f t="shared" si="4"/>
        <v>CNJ2</v>
      </c>
      <c r="L13" s="72" t="str">
        <f t="shared" si="5"/>
        <v>JANUARY-3-CNJ2</v>
      </c>
      <c r="M13" s="73">
        <f t="shared" si="6"/>
        <v>-1.1549999999999949E-2</v>
      </c>
      <c r="N13" s="73">
        <f t="shared" si="7"/>
        <v>-1.1549999999999949E-2</v>
      </c>
      <c r="O13" s="13">
        <f t="shared" si="8"/>
        <v>866754</v>
      </c>
      <c r="P13" s="13">
        <f t="shared" si="9"/>
        <v>879535</v>
      </c>
      <c r="Q13" s="13">
        <f t="shared" si="10"/>
        <v>871282</v>
      </c>
      <c r="R13" s="33">
        <f t="shared" si="11"/>
        <v>5.224088957189732E-3</v>
      </c>
      <c r="S13" s="33">
        <f t="shared" si="12"/>
        <v>-9.3833673475188784E-3</v>
      </c>
    </row>
    <row r="14" spans="1:19" x14ac:dyDescent="0.25">
      <c r="A14" t="s">
        <v>36</v>
      </c>
      <c r="B14" s="65">
        <v>3</v>
      </c>
      <c r="C14" t="s">
        <v>10</v>
      </c>
      <c r="D14" s="66">
        <v>1020</v>
      </c>
      <c r="E14" s="66">
        <v>1020</v>
      </c>
      <c r="F14" s="67">
        <v>1020</v>
      </c>
      <c r="G14" s="13">
        <f t="shared" si="0"/>
        <v>0</v>
      </c>
      <c r="H14" s="13">
        <f t="shared" si="1"/>
        <v>0</v>
      </c>
      <c r="I14" s="73">
        <f t="shared" si="2"/>
        <v>0</v>
      </c>
      <c r="J14" s="73">
        <f t="shared" si="3"/>
        <v>0</v>
      </c>
      <c r="K14" s="72" t="str">
        <f t="shared" si="4"/>
        <v>CNJ2</v>
      </c>
      <c r="L14" s="72" t="str">
        <f t="shared" si="5"/>
        <v>JANUARY-3-CNJ2</v>
      </c>
      <c r="M14" s="73">
        <f t="shared" si="6"/>
        <v>-1.1549999999999949E-2</v>
      </c>
      <c r="N14" s="73">
        <f t="shared" si="7"/>
        <v>-1.1549999999999949E-2</v>
      </c>
      <c r="O14" s="13">
        <f t="shared" si="8"/>
        <v>866754</v>
      </c>
      <c r="P14" s="13">
        <f t="shared" si="9"/>
        <v>879535</v>
      </c>
      <c r="Q14" s="13">
        <f t="shared" si="10"/>
        <v>871282</v>
      </c>
      <c r="R14" s="33">
        <f t="shared" si="11"/>
        <v>5.224088957189732E-3</v>
      </c>
      <c r="S14" s="33">
        <f t="shared" si="12"/>
        <v>-9.3833673475188784E-3</v>
      </c>
    </row>
    <row r="15" spans="1:19" x14ac:dyDescent="0.25">
      <c r="A15" t="s">
        <v>36</v>
      </c>
      <c r="B15" s="65">
        <v>3</v>
      </c>
      <c r="C15" t="s">
        <v>10</v>
      </c>
      <c r="D15" s="66">
        <v>875</v>
      </c>
      <c r="E15" s="66">
        <v>875</v>
      </c>
      <c r="F15" s="67">
        <v>875</v>
      </c>
      <c r="G15" s="13">
        <f t="shared" si="0"/>
        <v>0</v>
      </c>
      <c r="H15" s="13">
        <f t="shared" si="1"/>
        <v>0</v>
      </c>
      <c r="I15" s="73">
        <f t="shared" si="2"/>
        <v>0</v>
      </c>
      <c r="J15" s="73">
        <f t="shared" si="3"/>
        <v>0</v>
      </c>
      <c r="K15" s="72" t="str">
        <f t="shared" si="4"/>
        <v>CNJ2</v>
      </c>
      <c r="L15" s="72" t="str">
        <f t="shared" si="5"/>
        <v>JANUARY-3-CNJ2</v>
      </c>
      <c r="M15" s="73">
        <f t="shared" si="6"/>
        <v>-1.1549999999999949E-2</v>
      </c>
      <c r="N15" s="73">
        <f t="shared" si="7"/>
        <v>-1.1549999999999949E-2</v>
      </c>
      <c r="O15" s="13">
        <f t="shared" si="8"/>
        <v>866754</v>
      </c>
      <c r="P15" s="13">
        <f t="shared" si="9"/>
        <v>879535</v>
      </c>
      <c r="Q15" s="13">
        <f t="shared" si="10"/>
        <v>871282</v>
      </c>
      <c r="R15" s="33">
        <f t="shared" si="11"/>
        <v>5.224088957189732E-3</v>
      </c>
      <c r="S15" s="33">
        <f t="shared" si="12"/>
        <v>-9.3833673475188784E-3</v>
      </c>
    </row>
    <row r="16" spans="1:19" x14ac:dyDescent="0.25">
      <c r="A16" t="s">
        <v>36</v>
      </c>
      <c r="B16" s="65">
        <v>3</v>
      </c>
      <c r="C16" t="s">
        <v>11</v>
      </c>
      <c r="D16" s="66">
        <v>608</v>
      </c>
      <c r="E16" s="66">
        <v>608</v>
      </c>
      <c r="F16" s="67">
        <v>608</v>
      </c>
      <c r="G16" s="13">
        <f t="shared" si="0"/>
        <v>0</v>
      </c>
      <c r="H16" s="13">
        <f t="shared" si="1"/>
        <v>0</v>
      </c>
      <c r="I16" s="73">
        <f t="shared" si="2"/>
        <v>0</v>
      </c>
      <c r="J16" s="73">
        <f t="shared" si="3"/>
        <v>0</v>
      </c>
      <c r="K16" s="72" t="str">
        <f t="shared" si="4"/>
        <v>MAJA1</v>
      </c>
      <c r="L16" s="72" t="str">
        <f t="shared" si="5"/>
        <v>JANUARY-3-MAJA1</v>
      </c>
      <c r="M16" s="73">
        <f t="shared" si="6"/>
        <v>2.6122148638704878E-2</v>
      </c>
      <c r="N16" s="73">
        <f t="shared" si="7"/>
        <v>-3.9285714285713924E-3</v>
      </c>
      <c r="O16" s="13">
        <f t="shared" si="8"/>
        <v>866754</v>
      </c>
      <c r="P16" s="13">
        <f t="shared" si="9"/>
        <v>879535</v>
      </c>
      <c r="Q16" s="13">
        <f t="shared" si="10"/>
        <v>871282</v>
      </c>
      <c r="R16" s="33">
        <f t="shared" si="11"/>
        <v>5.224088957189732E-3</v>
      </c>
      <c r="S16" s="33">
        <f t="shared" si="12"/>
        <v>-9.3833673475188784E-3</v>
      </c>
    </row>
    <row r="17" spans="1:19" x14ac:dyDescent="0.25">
      <c r="A17" t="s">
        <v>36</v>
      </c>
      <c r="B17" s="65">
        <v>3</v>
      </c>
      <c r="C17" t="s">
        <v>11</v>
      </c>
      <c r="D17" s="66">
        <v>426</v>
      </c>
      <c r="E17" s="66">
        <v>426</v>
      </c>
      <c r="F17" s="67">
        <v>426</v>
      </c>
      <c r="G17" s="13">
        <f t="shared" si="0"/>
        <v>0</v>
      </c>
      <c r="H17" s="13">
        <f t="shared" si="1"/>
        <v>0</v>
      </c>
      <c r="I17" s="73">
        <f t="shared" si="2"/>
        <v>0</v>
      </c>
      <c r="J17" s="73">
        <f t="shared" si="3"/>
        <v>0</v>
      </c>
      <c r="K17" s="72" t="str">
        <f t="shared" si="4"/>
        <v>MAJA1</v>
      </c>
      <c r="L17" s="72" t="str">
        <f t="shared" si="5"/>
        <v>JANUARY-3-MAJA1</v>
      </c>
      <c r="M17" s="73">
        <f t="shared" si="6"/>
        <v>2.6122148638704878E-2</v>
      </c>
      <c r="N17" s="73">
        <f t="shared" si="7"/>
        <v>-3.9285714285713924E-3</v>
      </c>
      <c r="O17" s="13">
        <f t="shared" si="8"/>
        <v>866754</v>
      </c>
      <c r="P17" s="13">
        <f t="shared" si="9"/>
        <v>879535</v>
      </c>
      <c r="Q17" s="13">
        <f t="shared" si="10"/>
        <v>871282</v>
      </c>
      <c r="R17" s="33">
        <f t="shared" si="11"/>
        <v>5.224088957189732E-3</v>
      </c>
      <c r="S17" s="33">
        <f t="shared" si="12"/>
        <v>-9.3833673475188784E-3</v>
      </c>
    </row>
    <row r="18" spans="1:19" x14ac:dyDescent="0.25">
      <c r="A18" t="s">
        <v>36</v>
      </c>
      <c r="B18" s="65">
        <v>3</v>
      </c>
      <c r="C18" t="s">
        <v>13</v>
      </c>
      <c r="D18" s="66">
        <v>71496</v>
      </c>
      <c r="E18" s="66">
        <v>73641</v>
      </c>
      <c r="F18" s="67">
        <v>73446</v>
      </c>
      <c r="G18" s="13">
        <f t="shared" si="0"/>
        <v>-195</v>
      </c>
      <c r="H18" s="13">
        <f t="shared" si="1"/>
        <v>1950</v>
      </c>
      <c r="I18" s="73">
        <f t="shared" si="2"/>
        <v>2.7274253105068924E-2</v>
      </c>
      <c r="J18" s="73">
        <f t="shared" si="3"/>
        <v>-2.6479814233918431E-3</v>
      </c>
      <c r="K18" s="72" t="str">
        <f t="shared" si="4"/>
        <v>KALIBENDA</v>
      </c>
      <c r="L18" s="72" t="str">
        <f t="shared" si="5"/>
        <v>JANUARY-3-KALIBENDA</v>
      </c>
      <c r="M18" s="73">
        <f t="shared" si="6"/>
        <v>0.17226860165633451</v>
      </c>
      <c r="N18" s="73">
        <f t="shared" si="7"/>
        <v>-2.5217485958028196E-2</v>
      </c>
      <c r="O18" s="13">
        <f t="shared" si="8"/>
        <v>866754</v>
      </c>
      <c r="P18" s="13">
        <f t="shared" si="9"/>
        <v>879535</v>
      </c>
      <c r="Q18" s="13">
        <f t="shared" si="10"/>
        <v>871282</v>
      </c>
      <c r="R18" s="33">
        <f t="shared" si="11"/>
        <v>5.224088957189732E-3</v>
      </c>
      <c r="S18" s="33">
        <f t="shared" si="12"/>
        <v>-9.3833673475188784E-3</v>
      </c>
    </row>
    <row r="19" spans="1:19" x14ac:dyDescent="0.25">
      <c r="A19" t="s">
        <v>36</v>
      </c>
      <c r="B19" s="65">
        <v>3</v>
      </c>
      <c r="C19" t="s">
        <v>13</v>
      </c>
      <c r="D19" s="66">
        <v>1728</v>
      </c>
      <c r="E19" s="66">
        <v>1780</v>
      </c>
      <c r="F19" s="67">
        <v>1773</v>
      </c>
      <c r="G19" s="13">
        <f t="shared" si="0"/>
        <v>-7</v>
      </c>
      <c r="H19" s="13">
        <f t="shared" si="1"/>
        <v>45</v>
      </c>
      <c r="I19" s="73">
        <f t="shared" si="2"/>
        <v>2.6041666666666741E-2</v>
      </c>
      <c r="J19" s="73">
        <f t="shared" si="3"/>
        <v>-3.9325842696629199E-3</v>
      </c>
      <c r="K19" s="72" t="str">
        <f t="shared" si="4"/>
        <v>KALIBENDA</v>
      </c>
      <c r="L19" s="72" t="str">
        <f t="shared" si="5"/>
        <v>JANUARY-3-KALIBENDA</v>
      </c>
      <c r="M19" s="73">
        <f t="shared" si="6"/>
        <v>0.17226860165633451</v>
      </c>
      <c r="N19" s="73">
        <f t="shared" si="7"/>
        <v>-2.5217485958028196E-2</v>
      </c>
      <c r="O19" s="13">
        <f t="shared" si="8"/>
        <v>866754</v>
      </c>
      <c r="P19" s="13">
        <f t="shared" si="9"/>
        <v>879535</v>
      </c>
      <c r="Q19" s="13">
        <f t="shared" si="10"/>
        <v>871282</v>
      </c>
      <c r="R19" s="33">
        <f t="shared" si="11"/>
        <v>5.224088957189732E-3</v>
      </c>
      <c r="S19" s="33">
        <f t="shared" si="12"/>
        <v>-9.3833673475188784E-3</v>
      </c>
    </row>
    <row r="20" spans="1:19" x14ac:dyDescent="0.25">
      <c r="A20" t="s">
        <v>36</v>
      </c>
      <c r="B20" s="65">
        <v>3</v>
      </c>
      <c r="C20" t="s">
        <v>13</v>
      </c>
      <c r="D20" s="66">
        <v>25164</v>
      </c>
      <c r="E20" s="66">
        <v>25749</v>
      </c>
      <c r="F20" s="67">
        <v>25635</v>
      </c>
      <c r="G20" s="13">
        <f t="shared" si="0"/>
        <v>-114</v>
      </c>
      <c r="H20" s="13">
        <f t="shared" si="1"/>
        <v>471</v>
      </c>
      <c r="I20" s="73">
        <f t="shared" si="2"/>
        <v>1.8717215069146365E-2</v>
      </c>
      <c r="J20" s="73">
        <f t="shared" si="3"/>
        <v>-4.4273564021903855E-3</v>
      </c>
      <c r="K20" s="72" t="str">
        <f t="shared" si="4"/>
        <v>KALIBENDA</v>
      </c>
      <c r="L20" s="72" t="str">
        <f t="shared" si="5"/>
        <v>JANUARY-3-KALIBENDA</v>
      </c>
      <c r="M20" s="73">
        <f t="shared" si="6"/>
        <v>0.17226860165633451</v>
      </c>
      <c r="N20" s="73">
        <f t="shared" si="7"/>
        <v>-2.5217485958028196E-2</v>
      </c>
      <c r="O20" s="13">
        <f t="shared" si="8"/>
        <v>866754</v>
      </c>
      <c r="P20" s="13">
        <f t="shared" si="9"/>
        <v>879535</v>
      </c>
      <c r="Q20" s="13">
        <f t="shared" si="10"/>
        <v>871282</v>
      </c>
      <c r="R20" s="33">
        <f t="shared" si="11"/>
        <v>5.224088957189732E-3</v>
      </c>
      <c r="S20" s="33">
        <f t="shared" si="12"/>
        <v>-9.3833673475188784E-3</v>
      </c>
    </row>
    <row r="21" spans="1:19" x14ac:dyDescent="0.25">
      <c r="A21" t="s">
        <v>36</v>
      </c>
      <c r="B21" s="65">
        <v>3</v>
      </c>
      <c r="C21" t="s">
        <v>13</v>
      </c>
      <c r="D21" s="66">
        <v>540</v>
      </c>
      <c r="E21" s="66">
        <v>558</v>
      </c>
      <c r="F21" s="67">
        <v>558</v>
      </c>
      <c r="G21" s="13">
        <f t="shared" si="0"/>
        <v>0</v>
      </c>
      <c r="H21" s="13">
        <f t="shared" si="1"/>
        <v>18</v>
      </c>
      <c r="I21" s="73">
        <f t="shared" si="2"/>
        <v>3.3333333333333437E-2</v>
      </c>
      <c r="J21" s="73">
        <f t="shared" si="3"/>
        <v>0</v>
      </c>
      <c r="K21" s="72" t="str">
        <f t="shared" si="4"/>
        <v>KALIBENDA</v>
      </c>
      <c r="L21" s="72" t="str">
        <f t="shared" si="5"/>
        <v>JANUARY-3-KALIBENDA</v>
      </c>
      <c r="M21" s="73">
        <f t="shared" si="6"/>
        <v>0.17226860165633451</v>
      </c>
      <c r="N21" s="73">
        <f t="shared" si="7"/>
        <v>-2.5217485958028196E-2</v>
      </c>
      <c r="O21" s="13">
        <f t="shared" si="8"/>
        <v>866754</v>
      </c>
      <c r="P21" s="13">
        <f t="shared" si="9"/>
        <v>879535</v>
      </c>
      <c r="Q21" s="13">
        <f t="shared" si="10"/>
        <v>871282</v>
      </c>
      <c r="R21" s="33">
        <f t="shared" si="11"/>
        <v>5.224088957189732E-3</v>
      </c>
      <c r="S21" s="33">
        <f t="shared" si="12"/>
        <v>-9.3833673475188784E-3</v>
      </c>
    </row>
    <row r="22" spans="1:19" x14ac:dyDescent="0.25">
      <c r="A22" t="s">
        <v>36</v>
      </c>
      <c r="B22" s="65">
        <v>3</v>
      </c>
      <c r="C22" t="s">
        <v>13</v>
      </c>
      <c r="D22" s="66">
        <v>3240</v>
      </c>
      <c r="E22" s="66">
        <v>3330</v>
      </c>
      <c r="F22" s="67">
        <v>3315</v>
      </c>
      <c r="G22" s="13">
        <f t="shared" si="0"/>
        <v>-15</v>
      </c>
      <c r="H22" s="13">
        <f t="shared" si="1"/>
        <v>75</v>
      </c>
      <c r="I22" s="73">
        <f t="shared" si="2"/>
        <v>2.314814814814814E-2</v>
      </c>
      <c r="J22" s="73">
        <f t="shared" si="3"/>
        <v>-4.5045045045044585E-3</v>
      </c>
      <c r="K22" s="72" t="str">
        <f t="shared" si="4"/>
        <v>KALIBENDA</v>
      </c>
      <c r="L22" s="72" t="str">
        <f t="shared" si="5"/>
        <v>JANUARY-3-KALIBENDA</v>
      </c>
      <c r="M22" s="73">
        <f t="shared" si="6"/>
        <v>0.17226860165633451</v>
      </c>
      <c r="N22" s="73">
        <f t="shared" si="7"/>
        <v>-2.5217485958028196E-2</v>
      </c>
      <c r="O22" s="13">
        <f t="shared" si="8"/>
        <v>866754</v>
      </c>
      <c r="P22" s="13">
        <f t="shared" si="9"/>
        <v>879535</v>
      </c>
      <c r="Q22" s="13">
        <f t="shared" si="10"/>
        <v>871282</v>
      </c>
      <c r="R22" s="33">
        <f t="shared" si="11"/>
        <v>5.224088957189732E-3</v>
      </c>
      <c r="S22" s="33">
        <f t="shared" si="12"/>
        <v>-9.3833673475188784E-3</v>
      </c>
    </row>
    <row r="23" spans="1:19" x14ac:dyDescent="0.25">
      <c r="A23" t="s">
        <v>36</v>
      </c>
      <c r="B23" s="65">
        <v>3</v>
      </c>
      <c r="C23" t="s">
        <v>13</v>
      </c>
      <c r="D23" s="66">
        <v>1728</v>
      </c>
      <c r="E23" s="66">
        <v>1728</v>
      </c>
      <c r="F23" s="67">
        <v>1722</v>
      </c>
      <c r="G23" s="13">
        <f t="shared" si="0"/>
        <v>-6</v>
      </c>
      <c r="H23" s="13">
        <f t="shared" si="1"/>
        <v>-6</v>
      </c>
      <c r="I23" s="73">
        <f t="shared" si="2"/>
        <v>-3.4722222222222099E-3</v>
      </c>
      <c r="J23" s="73">
        <f t="shared" si="3"/>
        <v>-3.4722222222222099E-3</v>
      </c>
      <c r="K23" s="72" t="str">
        <f t="shared" si="4"/>
        <v>KALIBENDA</v>
      </c>
      <c r="L23" s="72" t="str">
        <f t="shared" si="5"/>
        <v>JANUARY-3-KALIBENDA</v>
      </c>
      <c r="M23" s="73">
        <f t="shared" si="6"/>
        <v>0.17226860165633451</v>
      </c>
      <c r="N23" s="73">
        <f t="shared" si="7"/>
        <v>-2.5217485958028196E-2</v>
      </c>
      <c r="O23" s="13">
        <f t="shared" si="8"/>
        <v>866754</v>
      </c>
      <c r="P23" s="13">
        <f t="shared" si="9"/>
        <v>879535</v>
      </c>
      <c r="Q23" s="13">
        <f t="shared" si="10"/>
        <v>871282</v>
      </c>
      <c r="R23" s="33">
        <f t="shared" si="11"/>
        <v>5.224088957189732E-3</v>
      </c>
      <c r="S23" s="33">
        <f t="shared" si="12"/>
        <v>-9.3833673475188784E-3</v>
      </c>
    </row>
    <row r="24" spans="1:19" x14ac:dyDescent="0.25">
      <c r="A24" t="s">
        <v>36</v>
      </c>
      <c r="B24" s="65">
        <v>3</v>
      </c>
      <c r="C24" t="s">
        <v>13</v>
      </c>
      <c r="D24" s="66">
        <v>8856</v>
      </c>
      <c r="E24" s="66">
        <v>9066</v>
      </c>
      <c r="F24" s="67">
        <v>9021</v>
      </c>
      <c r="G24" s="13">
        <f t="shared" si="0"/>
        <v>-45</v>
      </c>
      <c r="H24" s="13">
        <f t="shared" si="1"/>
        <v>165</v>
      </c>
      <c r="I24" s="73">
        <f t="shared" si="2"/>
        <v>1.8631436314363148E-2</v>
      </c>
      <c r="J24" s="73">
        <f t="shared" si="3"/>
        <v>-4.9636002647253097E-3</v>
      </c>
      <c r="K24" s="72" t="str">
        <f t="shared" si="4"/>
        <v>KALIBENDA</v>
      </c>
      <c r="L24" s="72" t="str">
        <f t="shared" si="5"/>
        <v>JANUARY-3-KALIBENDA</v>
      </c>
      <c r="M24" s="73">
        <f t="shared" si="6"/>
        <v>0.17226860165633451</v>
      </c>
      <c r="N24" s="73">
        <f t="shared" si="7"/>
        <v>-2.5217485958028196E-2</v>
      </c>
      <c r="O24" s="13">
        <f t="shared" si="8"/>
        <v>866754</v>
      </c>
      <c r="P24" s="13">
        <f t="shared" si="9"/>
        <v>879535</v>
      </c>
      <c r="Q24" s="13">
        <f t="shared" si="10"/>
        <v>871282</v>
      </c>
      <c r="R24" s="33">
        <f t="shared" si="11"/>
        <v>5.224088957189732E-3</v>
      </c>
      <c r="S24" s="33">
        <f t="shared" si="12"/>
        <v>-9.3833673475188784E-3</v>
      </c>
    </row>
    <row r="25" spans="1:19" x14ac:dyDescent="0.25">
      <c r="A25" t="s">
        <v>36</v>
      </c>
      <c r="B25" s="65">
        <v>3</v>
      </c>
      <c r="C25" t="s">
        <v>14</v>
      </c>
      <c r="D25" s="66">
        <v>15660</v>
      </c>
      <c r="E25" s="66">
        <v>15816</v>
      </c>
      <c r="F25" s="67">
        <v>15660</v>
      </c>
      <c r="G25" s="13">
        <f t="shared" si="0"/>
        <v>-156</v>
      </c>
      <c r="H25" s="13">
        <f t="shared" si="1"/>
        <v>0</v>
      </c>
      <c r="I25" s="73">
        <f t="shared" si="2"/>
        <v>0</v>
      </c>
      <c r="J25" s="73">
        <f t="shared" si="3"/>
        <v>-9.8634294385432364E-3</v>
      </c>
      <c r="K25" s="72" t="str">
        <f t="shared" si="4"/>
        <v>GM2</v>
      </c>
      <c r="L25" s="72" t="str">
        <f t="shared" si="5"/>
        <v>JANUARY-3-GM2</v>
      </c>
      <c r="M25" s="73">
        <f t="shared" si="6"/>
        <v>0.10707603294098766</v>
      </c>
      <c r="N25" s="73">
        <f t="shared" si="7"/>
        <v>-0.17452148718482641</v>
      </c>
      <c r="O25" s="13">
        <f t="shared" si="8"/>
        <v>866754</v>
      </c>
      <c r="P25" s="13">
        <f t="shared" si="9"/>
        <v>879535</v>
      </c>
      <c r="Q25" s="13">
        <f t="shared" si="10"/>
        <v>871282</v>
      </c>
      <c r="R25" s="33">
        <f t="shared" si="11"/>
        <v>5.224088957189732E-3</v>
      </c>
      <c r="S25" s="33">
        <f t="shared" si="12"/>
        <v>-9.3833673475188784E-3</v>
      </c>
    </row>
    <row r="26" spans="1:19" x14ac:dyDescent="0.25">
      <c r="A26" t="s">
        <v>36</v>
      </c>
      <c r="B26" s="65">
        <v>3</v>
      </c>
      <c r="C26" t="s">
        <v>13</v>
      </c>
      <c r="D26" s="66">
        <v>18360</v>
      </c>
      <c r="E26" s="66">
        <v>18909</v>
      </c>
      <c r="F26" s="67">
        <v>18885</v>
      </c>
      <c r="G26" s="13">
        <f t="shared" si="0"/>
        <v>-24</v>
      </c>
      <c r="H26" s="13">
        <f t="shared" si="1"/>
        <v>525</v>
      </c>
      <c r="I26" s="73">
        <f t="shared" si="2"/>
        <v>2.8594771241829964E-2</v>
      </c>
      <c r="J26" s="73">
        <f t="shared" si="3"/>
        <v>-1.2692368713310698E-3</v>
      </c>
      <c r="K26" s="72" t="str">
        <f t="shared" si="4"/>
        <v>KALIBENDA</v>
      </c>
      <c r="L26" s="72" t="str">
        <f t="shared" si="5"/>
        <v>JANUARY-3-KALIBENDA</v>
      </c>
      <c r="M26" s="73">
        <f t="shared" si="6"/>
        <v>0.17226860165633451</v>
      </c>
      <c r="N26" s="73">
        <f t="shared" si="7"/>
        <v>-2.5217485958028196E-2</v>
      </c>
      <c r="O26" s="13">
        <f t="shared" si="8"/>
        <v>866754</v>
      </c>
      <c r="P26" s="13">
        <f t="shared" si="9"/>
        <v>879535</v>
      </c>
      <c r="Q26" s="13">
        <f t="shared" si="10"/>
        <v>871282</v>
      </c>
      <c r="R26" s="33">
        <f t="shared" si="11"/>
        <v>5.224088957189732E-3</v>
      </c>
      <c r="S26" s="33">
        <f t="shared" si="12"/>
        <v>-9.3833673475188784E-3</v>
      </c>
    </row>
    <row r="27" spans="1:19" x14ac:dyDescent="0.25">
      <c r="A27" t="s">
        <v>36</v>
      </c>
      <c r="B27" s="65">
        <v>3</v>
      </c>
      <c r="C27" t="s">
        <v>14</v>
      </c>
      <c r="D27" s="66">
        <v>2916</v>
      </c>
      <c r="E27" s="66">
        <v>2973</v>
      </c>
      <c r="F27" s="67">
        <v>2916</v>
      </c>
      <c r="G27" s="13">
        <f t="shared" si="0"/>
        <v>-57</v>
      </c>
      <c r="H27" s="13">
        <f t="shared" si="1"/>
        <v>0</v>
      </c>
      <c r="I27" s="73">
        <f t="shared" si="2"/>
        <v>0</v>
      </c>
      <c r="J27" s="73">
        <f t="shared" si="3"/>
        <v>-1.9172552976791102E-2</v>
      </c>
      <c r="K27" s="72" t="str">
        <f t="shared" si="4"/>
        <v>GM2</v>
      </c>
      <c r="L27" s="72" t="str">
        <f t="shared" si="5"/>
        <v>JANUARY-3-GM2</v>
      </c>
      <c r="M27" s="73">
        <f t="shared" si="6"/>
        <v>0.10707603294098766</v>
      </c>
      <c r="N27" s="73">
        <f t="shared" si="7"/>
        <v>-0.17452148718482641</v>
      </c>
      <c r="O27" s="13">
        <f t="shared" si="8"/>
        <v>866754</v>
      </c>
      <c r="P27" s="13">
        <f t="shared" si="9"/>
        <v>879535</v>
      </c>
      <c r="Q27" s="13">
        <f t="shared" si="10"/>
        <v>871282</v>
      </c>
      <c r="R27" s="33">
        <f t="shared" si="11"/>
        <v>5.224088957189732E-3</v>
      </c>
      <c r="S27" s="33">
        <f t="shared" si="12"/>
        <v>-9.3833673475188784E-3</v>
      </c>
    </row>
    <row r="28" spans="1:19" x14ac:dyDescent="0.25">
      <c r="A28" t="s">
        <v>36</v>
      </c>
      <c r="B28" s="65">
        <v>3</v>
      </c>
      <c r="C28" t="s">
        <v>14</v>
      </c>
      <c r="D28" s="66">
        <v>1080</v>
      </c>
      <c r="E28" s="66">
        <v>1113</v>
      </c>
      <c r="F28" s="67">
        <v>1080</v>
      </c>
      <c r="G28" s="13">
        <f t="shared" si="0"/>
        <v>-33</v>
      </c>
      <c r="H28" s="13">
        <f t="shared" si="1"/>
        <v>0</v>
      </c>
      <c r="I28" s="73">
        <f t="shared" si="2"/>
        <v>0</v>
      </c>
      <c r="J28" s="73">
        <f t="shared" si="3"/>
        <v>-2.9649595687331498E-2</v>
      </c>
      <c r="K28" s="72" t="str">
        <f t="shared" si="4"/>
        <v>GM2</v>
      </c>
      <c r="L28" s="72" t="str">
        <f t="shared" si="5"/>
        <v>JANUARY-3-GM2</v>
      </c>
      <c r="M28" s="73">
        <f t="shared" si="6"/>
        <v>0.10707603294098766</v>
      </c>
      <c r="N28" s="73">
        <f t="shared" si="7"/>
        <v>-0.17452148718482641</v>
      </c>
      <c r="O28" s="13">
        <f t="shared" si="8"/>
        <v>866754</v>
      </c>
      <c r="P28" s="13">
        <f t="shared" si="9"/>
        <v>879535</v>
      </c>
      <c r="Q28" s="13">
        <f t="shared" si="10"/>
        <v>871282</v>
      </c>
      <c r="R28" s="33">
        <f t="shared" si="11"/>
        <v>5.224088957189732E-3</v>
      </c>
      <c r="S28" s="33">
        <f t="shared" si="12"/>
        <v>-9.3833673475188784E-3</v>
      </c>
    </row>
    <row r="29" spans="1:19" x14ac:dyDescent="0.25">
      <c r="A29" t="s">
        <v>36</v>
      </c>
      <c r="B29" s="65">
        <v>3</v>
      </c>
      <c r="C29" t="s">
        <v>14</v>
      </c>
      <c r="D29" s="66">
        <v>20304</v>
      </c>
      <c r="E29" s="66">
        <v>20305</v>
      </c>
      <c r="F29" s="67">
        <v>20154</v>
      </c>
      <c r="G29" s="13">
        <f t="shared" si="0"/>
        <v>-151</v>
      </c>
      <c r="H29" s="13">
        <f t="shared" si="1"/>
        <v>-150</v>
      </c>
      <c r="I29" s="73">
        <f t="shared" si="2"/>
        <v>-7.3877068557919312E-3</v>
      </c>
      <c r="J29" s="73">
        <f t="shared" si="3"/>
        <v>-7.4365919724206364E-3</v>
      </c>
      <c r="K29" s="72" t="str">
        <f t="shared" si="4"/>
        <v>GM2</v>
      </c>
      <c r="L29" s="72" t="str">
        <f t="shared" si="5"/>
        <v>JANUARY-3-GM2</v>
      </c>
      <c r="M29" s="73">
        <f t="shared" si="6"/>
        <v>0.10707603294098766</v>
      </c>
      <c r="N29" s="73">
        <f t="shared" si="7"/>
        <v>-0.17452148718482641</v>
      </c>
      <c r="O29" s="13">
        <f t="shared" si="8"/>
        <v>866754</v>
      </c>
      <c r="P29" s="13">
        <f t="shared" si="9"/>
        <v>879535</v>
      </c>
      <c r="Q29" s="13">
        <f t="shared" si="10"/>
        <v>871282</v>
      </c>
      <c r="R29" s="33">
        <f t="shared" si="11"/>
        <v>5.224088957189732E-3</v>
      </c>
      <c r="S29" s="33">
        <f t="shared" si="12"/>
        <v>-9.3833673475188784E-3</v>
      </c>
    </row>
    <row r="30" spans="1:19" x14ac:dyDescent="0.25">
      <c r="A30" t="s">
        <v>36</v>
      </c>
      <c r="B30" s="65">
        <v>3</v>
      </c>
      <c r="C30" t="s">
        <v>14</v>
      </c>
      <c r="D30" s="66">
        <v>18144</v>
      </c>
      <c r="E30" s="66">
        <v>18158</v>
      </c>
      <c r="F30" s="67">
        <v>18144</v>
      </c>
      <c r="G30" s="13">
        <f t="shared" si="0"/>
        <v>-14</v>
      </c>
      <c r="H30" s="13">
        <f t="shared" si="1"/>
        <v>0</v>
      </c>
      <c r="I30" s="73">
        <f t="shared" si="2"/>
        <v>0</v>
      </c>
      <c r="J30" s="73">
        <f t="shared" si="3"/>
        <v>-7.7101002313029188E-4</v>
      </c>
      <c r="K30" s="72" t="str">
        <f t="shared" si="4"/>
        <v>GM2</v>
      </c>
      <c r="L30" s="72" t="str">
        <f t="shared" si="5"/>
        <v>JANUARY-3-GM2</v>
      </c>
      <c r="M30" s="73">
        <f t="shared" si="6"/>
        <v>0.10707603294098766</v>
      </c>
      <c r="N30" s="73">
        <f t="shared" si="7"/>
        <v>-0.17452148718482641</v>
      </c>
      <c r="O30" s="13">
        <f t="shared" si="8"/>
        <v>866754</v>
      </c>
      <c r="P30" s="13">
        <f t="shared" si="9"/>
        <v>879535</v>
      </c>
      <c r="Q30" s="13">
        <f t="shared" si="10"/>
        <v>871282</v>
      </c>
      <c r="R30" s="33">
        <f t="shared" si="11"/>
        <v>5.224088957189732E-3</v>
      </c>
      <c r="S30" s="33">
        <f t="shared" si="12"/>
        <v>-9.3833673475188784E-3</v>
      </c>
    </row>
    <row r="31" spans="1:19" x14ac:dyDescent="0.25">
      <c r="A31" t="s">
        <v>36</v>
      </c>
      <c r="B31" s="65">
        <v>3</v>
      </c>
      <c r="C31" t="s">
        <v>14</v>
      </c>
      <c r="D31" s="66">
        <v>19548</v>
      </c>
      <c r="E31" s="66">
        <v>19674</v>
      </c>
      <c r="F31" s="67">
        <v>19743</v>
      </c>
      <c r="G31" s="13">
        <f t="shared" si="0"/>
        <v>69</v>
      </c>
      <c r="H31" s="13">
        <f t="shared" si="1"/>
        <v>195</v>
      </c>
      <c r="I31" s="73">
        <f t="shared" si="2"/>
        <v>9.9754450583180443E-3</v>
      </c>
      <c r="J31" s="73">
        <f t="shared" si="3"/>
        <v>3.5071668191521965E-3</v>
      </c>
      <c r="K31" s="72" t="str">
        <f t="shared" si="4"/>
        <v>GM2</v>
      </c>
      <c r="L31" s="72" t="str">
        <f t="shared" si="5"/>
        <v>JANUARY-3-GM2</v>
      </c>
      <c r="M31" s="73">
        <f t="shared" si="6"/>
        <v>0.10707603294098766</v>
      </c>
      <c r="N31" s="73">
        <f t="shared" si="7"/>
        <v>-0.17452148718482641</v>
      </c>
      <c r="O31" s="13">
        <f t="shared" si="8"/>
        <v>866754</v>
      </c>
      <c r="P31" s="13">
        <f t="shared" si="9"/>
        <v>879535</v>
      </c>
      <c r="Q31" s="13">
        <f t="shared" si="10"/>
        <v>871282</v>
      </c>
      <c r="R31" s="33">
        <f t="shared" si="11"/>
        <v>5.224088957189732E-3</v>
      </c>
      <c r="S31" s="33">
        <f t="shared" si="12"/>
        <v>-9.3833673475188784E-3</v>
      </c>
    </row>
    <row r="32" spans="1:19" x14ac:dyDescent="0.25">
      <c r="A32" t="s">
        <v>36</v>
      </c>
      <c r="B32" s="65">
        <v>3</v>
      </c>
      <c r="C32" t="s">
        <v>14</v>
      </c>
      <c r="D32" s="66">
        <v>1728</v>
      </c>
      <c r="E32" s="66">
        <v>1730</v>
      </c>
      <c r="F32" s="67">
        <v>1728</v>
      </c>
      <c r="G32" s="13">
        <f t="shared" si="0"/>
        <v>-2</v>
      </c>
      <c r="H32" s="13">
        <f t="shared" si="1"/>
        <v>0</v>
      </c>
      <c r="I32" s="73">
        <f t="shared" si="2"/>
        <v>0</v>
      </c>
      <c r="J32" s="73">
        <f t="shared" si="3"/>
        <v>-1.1560693641619046E-3</v>
      </c>
      <c r="K32" s="72" t="str">
        <f t="shared" si="4"/>
        <v>GM2</v>
      </c>
      <c r="L32" s="72" t="str">
        <f t="shared" si="5"/>
        <v>JANUARY-3-GM2</v>
      </c>
      <c r="M32" s="73">
        <f t="shared" si="6"/>
        <v>0.10707603294098766</v>
      </c>
      <c r="N32" s="73">
        <f t="shared" si="7"/>
        <v>-0.17452148718482641</v>
      </c>
      <c r="O32" s="13">
        <f t="shared" si="8"/>
        <v>866754</v>
      </c>
      <c r="P32" s="13">
        <f t="shared" si="9"/>
        <v>879535</v>
      </c>
      <c r="Q32" s="13">
        <f t="shared" si="10"/>
        <v>871282</v>
      </c>
      <c r="R32" s="33">
        <f t="shared" si="11"/>
        <v>5.224088957189732E-3</v>
      </c>
      <c r="S32" s="33">
        <f t="shared" si="12"/>
        <v>-9.3833673475188784E-3</v>
      </c>
    </row>
    <row r="33" spans="1:19" x14ac:dyDescent="0.25">
      <c r="A33" t="s">
        <v>36</v>
      </c>
      <c r="B33" s="65">
        <v>3</v>
      </c>
      <c r="C33" t="s">
        <v>14</v>
      </c>
      <c r="D33" s="66">
        <v>4104</v>
      </c>
      <c r="E33" s="66">
        <v>4233</v>
      </c>
      <c r="F33" s="67">
        <v>4104</v>
      </c>
      <c r="G33" s="13">
        <f t="shared" si="0"/>
        <v>-129</v>
      </c>
      <c r="H33" s="13">
        <f t="shared" si="1"/>
        <v>0</v>
      </c>
      <c r="I33" s="73">
        <f t="shared" si="2"/>
        <v>0</v>
      </c>
      <c r="J33" s="73">
        <f t="shared" si="3"/>
        <v>-3.0474840538625037E-2</v>
      </c>
      <c r="K33" s="72" t="str">
        <f t="shared" si="4"/>
        <v>GM2</v>
      </c>
      <c r="L33" s="72" t="str">
        <f t="shared" si="5"/>
        <v>JANUARY-3-GM2</v>
      </c>
      <c r="M33" s="73">
        <f t="shared" si="6"/>
        <v>0.10707603294098766</v>
      </c>
      <c r="N33" s="73">
        <f t="shared" si="7"/>
        <v>-0.17452148718482641</v>
      </c>
      <c r="O33" s="13">
        <f t="shared" si="8"/>
        <v>866754</v>
      </c>
      <c r="P33" s="13">
        <f t="shared" si="9"/>
        <v>879535</v>
      </c>
      <c r="Q33" s="13">
        <f t="shared" si="10"/>
        <v>871282</v>
      </c>
      <c r="R33" s="33">
        <f t="shared" si="11"/>
        <v>5.224088957189732E-3</v>
      </c>
      <c r="S33" s="33">
        <f t="shared" si="12"/>
        <v>-9.3833673475188784E-3</v>
      </c>
    </row>
    <row r="34" spans="1:19" x14ac:dyDescent="0.25">
      <c r="A34" t="s">
        <v>36</v>
      </c>
      <c r="B34" s="65">
        <v>3</v>
      </c>
      <c r="C34" t="s">
        <v>14</v>
      </c>
      <c r="D34" s="66">
        <v>16416</v>
      </c>
      <c r="E34" s="66">
        <v>17049</v>
      </c>
      <c r="F34" s="67">
        <v>16593</v>
      </c>
      <c r="G34" s="13">
        <f t="shared" si="0"/>
        <v>-456</v>
      </c>
      <c r="H34" s="13">
        <f t="shared" si="1"/>
        <v>177</v>
      </c>
      <c r="I34" s="73">
        <f t="shared" si="2"/>
        <v>1.0782163742690143E-2</v>
      </c>
      <c r="J34" s="73">
        <f t="shared" si="3"/>
        <v>-2.6746436741157842E-2</v>
      </c>
      <c r="K34" s="72" t="str">
        <f t="shared" si="4"/>
        <v>GM2</v>
      </c>
      <c r="L34" s="72" t="str">
        <f t="shared" si="5"/>
        <v>JANUARY-3-GM2</v>
      </c>
      <c r="M34" s="73">
        <f t="shared" si="6"/>
        <v>0.10707603294098766</v>
      </c>
      <c r="N34" s="73">
        <f t="shared" si="7"/>
        <v>-0.17452148718482641</v>
      </c>
      <c r="O34" s="13">
        <f t="shared" si="8"/>
        <v>866754</v>
      </c>
      <c r="P34" s="13">
        <f t="shared" si="9"/>
        <v>879535</v>
      </c>
      <c r="Q34" s="13">
        <f t="shared" si="10"/>
        <v>871282</v>
      </c>
      <c r="R34" s="33">
        <f t="shared" si="11"/>
        <v>5.224088957189732E-3</v>
      </c>
      <c r="S34" s="33">
        <f t="shared" si="12"/>
        <v>-9.3833673475188784E-3</v>
      </c>
    </row>
    <row r="35" spans="1:19" x14ac:dyDescent="0.25">
      <c r="A35" t="s">
        <v>36</v>
      </c>
      <c r="B35" s="65">
        <v>3</v>
      </c>
      <c r="C35" t="s">
        <v>14</v>
      </c>
      <c r="D35" s="66">
        <v>1296</v>
      </c>
      <c r="E35" s="66">
        <v>1322</v>
      </c>
      <c r="F35" s="67">
        <v>1314</v>
      </c>
      <c r="G35" s="13">
        <f t="shared" si="0"/>
        <v>-8</v>
      </c>
      <c r="H35" s="13">
        <f t="shared" si="1"/>
        <v>18</v>
      </c>
      <c r="I35" s="73">
        <f t="shared" si="2"/>
        <v>1.388888888888884E-2</v>
      </c>
      <c r="J35" s="73">
        <f t="shared" si="3"/>
        <v>-6.0514372163388286E-3</v>
      </c>
      <c r="K35" s="72" t="str">
        <f t="shared" si="4"/>
        <v>GM2</v>
      </c>
      <c r="L35" s="72" t="str">
        <f t="shared" si="5"/>
        <v>JANUARY-3-GM2</v>
      </c>
      <c r="M35" s="73">
        <f t="shared" si="6"/>
        <v>0.10707603294098766</v>
      </c>
      <c r="N35" s="73">
        <f t="shared" si="7"/>
        <v>-0.17452148718482641</v>
      </c>
      <c r="O35" s="13">
        <f t="shared" si="8"/>
        <v>866754</v>
      </c>
      <c r="P35" s="13">
        <f t="shared" si="9"/>
        <v>879535</v>
      </c>
      <c r="Q35" s="13">
        <f t="shared" si="10"/>
        <v>871282</v>
      </c>
      <c r="R35" s="33">
        <f t="shared" si="11"/>
        <v>5.224088957189732E-3</v>
      </c>
      <c r="S35" s="33">
        <f t="shared" si="12"/>
        <v>-9.3833673475188784E-3</v>
      </c>
    </row>
    <row r="36" spans="1:19" x14ac:dyDescent="0.25">
      <c r="A36" t="s">
        <v>36</v>
      </c>
      <c r="B36" s="65">
        <v>3</v>
      </c>
      <c r="C36" t="s">
        <v>11</v>
      </c>
      <c r="D36" s="66">
        <v>16308</v>
      </c>
      <c r="E36" s="66">
        <v>16800</v>
      </c>
      <c r="F36" s="67">
        <v>16734</v>
      </c>
      <c r="G36" s="13">
        <f t="shared" si="0"/>
        <v>-66</v>
      </c>
      <c r="H36" s="13">
        <f t="shared" si="1"/>
        <v>426</v>
      </c>
      <c r="I36" s="73">
        <f t="shared" si="2"/>
        <v>2.6122148638704878E-2</v>
      </c>
      <c r="J36" s="73">
        <f t="shared" si="3"/>
        <v>-3.9285714285713924E-3</v>
      </c>
      <c r="K36" s="72" t="str">
        <f t="shared" si="4"/>
        <v>MAJA1</v>
      </c>
      <c r="L36" s="72" t="str">
        <f t="shared" si="5"/>
        <v>JANUARY-3-MAJA1</v>
      </c>
      <c r="M36" s="73">
        <f t="shared" si="6"/>
        <v>2.6122148638704878E-2</v>
      </c>
      <c r="N36" s="73">
        <f t="shared" si="7"/>
        <v>-3.9285714285713924E-3</v>
      </c>
      <c r="O36" s="13">
        <f t="shared" si="8"/>
        <v>866754</v>
      </c>
      <c r="P36" s="13">
        <f t="shared" si="9"/>
        <v>879535</v>
      </c>
      <c r="Q36" s="13">
        <f t="shared" si="10"/>
        <v>871282</v>
      </c>
      <c r="R36" s="33">
        <f t="shared" si="11"/>
        <v>5.224088957189732E-3</v>
      </c>
      <c r="S36" s="33">
        <f t="shared" si="12"/>
        <v>-9.3833673475188784E-3</v>
      </c>
    </row>
    <row r="37" spans="1:19" x14ac:dyDescent="0.25">
      <c r="A37" t="s">
        <v>36</v>
      </c>
      <c r="B37" s="65">
        <v>3</v>
      </c>
      <c r="C37" t="s">
        <v>14</v>
      </c>
      <c r="D37" s="66">
        <v>25344</v>
      </c>
      <c r="E37" s="66">
        <v>25766</v>
      </c>
      <c r="F37" s="67">
        <v>25704</v>
      </c>
      <c r="G37" s="13">
        <f t="shared" si="0"/>
        <v>-62</v>
      </c>
      <c r="H37" s="13">
        <f t="shared" si="1"/>
        <v>360</v>
      </c>
      <c r="I37" s="73">
        <f t="shared" si="2"/>
        <v>1.4204545454545414E-2</v>
      </c>
      <c r="J37" s="73">
        <f t="shared" si="3"/>
        <v>-2.406271831095208E-3</v>
      </c>
      <c r="K37" s="72" t="str">
        <f t="shared" si="4"/>
        <v>GM2</v>
      </c>
      <c r="L37" s="72" t="str">
        <f t="shared" si="5"/>
        <v>JANUARY-3-GM2</v>
      </c>
      <c r="M37" s="73">
        <f t="shared" si="6"/>
        <v>0.10707603294098766</v>
      </c>
      <c r="N37" s="73">
        <f t="shared" si="7"/>
        <v>-0.17452148718482641</v>
      </c>
      <c r="O37" s="13">
        <f t="shared" si="8"/>
        <v>866754</v>
      </c>
      <c r="P37" s="13">
        <f t="shared" si="9"/>
        <v>879535</v>
      </c>
      <c r="Q37" s="13">
        <f t="shared" si="10"/>
        <v>871282</v>
      </c>
      <c r="R37" s="33">
        <f t="shared" si="11"/>
        <v>5.224088957189732E-3</v>
      </c>
      <c r="S37" s="33">
        <f t="shared" si="12"/>
        <v>-9.3833673475188784E-3</v>
      </c>
    </row>
    <row r="38" spans="1:19" x14ac:dyDescent="0.25">
      <c r="A38" t="s">
        <v>36</v>
      </c>
      <c r="B38" s="65">
        <v>3</v>
      </c>
      <c r="C38" t="s">
        <v>14</v>
      </c>
      <c r="D38" s="66">
        <v>6624</v>
      </c>
      <c r="E38" s="66">
        <v>6828</v>
      </c>
      <c r="F38" s="67">
        <v>6796</v>
      </c>
      <c r="G38" s="13">
        <f t="shared" si="0"/>
        <v>-32</v>
      </c>
      <c r="H38" s="13">
        <f t="shared" si="1"/>
        <v>172</v>
      </c>
      <c r="I38" s="73">
        <f t="shared" si="2"/>
        <v>2.5966183574879231E-2</v>
      </c>
      <c r="J38" s="73">
        <f t="shared" si="3"/>
        <v>-4.6865846514352327E-3</v>
      </c>
      <c r="K38" s="72" t="str">
        <f t="shared" si="4"/>
        <v>GM2</v>
      </c>
      <c r="L38" s="72" t="str">
        <f t="shared" si="5"/>
        <v>JANUARY-3-GM2</v>
      </c>
      <c r="M38" s="73">
        <f t="shared" si="6"/>
        <v>0.10707603294098766</v>
      </c>
      <c r="N38" s="73">
        <f t="shared" si="7"/>
        <v>-0.17452148718482641</v>
      </c>
      <c r="O38" s="13">
        <f t="shared" si="8"/>
        <v>866754</v>
      </c>
      <c r="P38" s="13">
        <f t="shared" si="9"/>
        <v>879535</v>
      </c>
      <c r="Q38" s="13">
        <f t="shared" si="10"/>
        <v>871282</v>
      </c>
      <c r="R38" s="33">
        <f t="shared" si="11"/>
        <v>5.224088957189732E-3</v>
      </c>
      <c r="S38" s="33">
        <f t="shared" si="12"/>
        <v>-9.3833673475188784E-3</v>
      </c>
    </row>
    <row r="39" spans="1:19" x14ac:dyDescent="0.25">
      <c r="A39" t="s">
        <v>36</v>
      </c>
      <c r="B39" s="65">
        <v>3</v>
      </c>
      <c r="C39" t="s">
        <v>14</v>
      </c>
      <c r="D39" s="66">
        <v>16992</v>
      </c>
      <c r="E39" s="66">
        <v>17192</v>
      </c>
      <c r="F39" s="67">
        <v>17000</v>
      </c>
      <c r="G39" s="13">
        <f t="shared" si="0"/>
        <v>-192</v>
      </c>
      <c r="H39" s="13">
        <f t="shared" si="1"/>
        <v>8</v>
      </c>
      <c r="I39" s="73">
        <f t="shared" si="2"/>
        <v>4.7080979284364055E-4</v>
      </c>
      <c r="J39" s="73">
        <f t="shared" si="3"/>
        <v>-1.116798510935324E-2</v>
      </c>
      <c r="K39" s="72" t="str">
        <f t="shared" si="4"/>
        <v>GM2</v>
      </c>
      <c r="L39" s="72" t="str">
        <f t="shared" si="5"/>
        <v>JANUARY-3-GM2</v>
      </c>
      <c r="M39" s="73">
        <f t="shared" si="6"/>
        <v>0.10707603294098766</v>
      </c>
      <c r="N39" s="73">
        <f t="shared" si="7"/>
        <v>-0.17452148718482641</v>
      </c>
      <c r="O39" s="13">
        <f t="shared" si="8"/>
        <v>866754</v>
      </c>
      <c r="P39" s="13">
        <f t="shared" si="9"/>
        <v>879535</v>
      </c>
      <c r="Q39" s="13">
        <f t="shared" si="10"/>
        <v>871282</v>
      </c>
      <c r="R39" s="33">
        <f t="shared" si="11"/>
        <v>5.224088957189732E-3</v>
      </c>
      <c r="S39" s="33">
        <f t="shared" si="12"/>
        <v>-9.3833673475188784E-3</v>
      </c>
    </row>
    <row r="40" spans="1:19" x14ac:dyDescent="0.25">
      <c r="A40" t="s">
        <v>36</v>
      </c>
      <c r="B40" s="65">
        <v>3</v>
      </c>
      <c r="C40" t="s">
        <v>14</v>
      </c>
      <c r="D40" s="66">
        <v>9792</v>
      </c>
      <c r="E40" s="66">
        <v>9954</v>
      </c>
      <c r="F40" s="67">
        <v>9792</v>
      </c>
      <c r="G40" s="13">
        <f t="shared" si="0"/>
        <v>-162</v>
      </c>
      <c r="H40" s="13">
        <f t="shared" si="1"/>
        <v>0</v>
      </c>
      <c r="I40" s="73">
        <f t="shared" si="2"/>
        <v>0</v>
      </c>
      <c r="J40" s="73">
        <f t="shared" si="3"/>
        <v>-1.6274864376130238E-2</v>
      </c>
      <c r="K40" s="72" t="str">
        <f t="shared" si="4"/>
        <v>GM2</v>
      </c>
      <c r="L40" s="72" t="str">
        <f t="shared" si="5"/>
        <v>JANUARY-3-GM2</v>
      </c>
      <c r="M40" s="73">
        <f t="shared" si="6"/>
        <v>0.10707603294098766</v>
      </c>
      <c r="N40" s="73">
        <f t="shared" si="7"/>
        <v>-0.17452148718482641</v>
      </c>
      <c r="O40" s="13">
        <f t="shared" si="8"/>
        <v>866754</v>
      </c>
      <c r="P40" s="13">
        <f t="shared" si="9"/>
        <v>879535</v>
      </c>
      <c r="Q40" s="13">
        <f t="shared" si="10"/>
        <v>871282</v>
      </c>
      <c r="R40" s="33">
        <f t="shared" si="11"/>
        <v>5.224088957189732E-3</v>
      </c>
      <c r="S40" s="33">
        <f t="shared" si="12"/>
        <v>-9.3833673475188784E-3</v>
      </c>
    </row>
    <row r="41" spans="1:19" x14ac:dyDescent="0.25">
      <c r="A41" t="s">
        <v>36</v>
      </c>
      <c r="B41" s="65">
        <v>3</v>
      </c>
      <c r="C41" t="s">
        <v>14</v>
      </c>
      <c r="D41" s="66">
        <v>21816</v>
      </c>
      <c r="E41" s="66">
        <v>22105</v>
      </c>
      <c r="F41" s="67">
        <v>22056</v>
      </c>
      <c r="G41" s="13">
        <f t="shared" si="0"/>
        <v>-49</v>
      </c>
      <c r="H41" s="13">
        <f t="shared" si="1"/>
        <v>240</v>
      </c>
      <c r="I41" s="73">
        <f t="shared" si="2"/>
        <v>1.1001100110010986E-2</v>
      </c>
      <c r="J41" s="73">
        <f t="shared" si="3"/>
        <v>-2.2166930558696896E-3</v>
      </c>
      <c r="K41" s="72" t="str">
        <f t="shared" si="4"/>
        <v>GM2</v>
      </c>
      <c r="L41" s="72" t="str">
        <f t="shared" si="5"/>
        <v>JANUARY-3-GM2</v>
      </c>
      <c r="M41" s="73">
        <f t="shared" si="6"/>
        <v>0.10707603294098766</v>
      </c>
      <c r="N41" s="73">
        <f t="shared" si="7"/>
        <v>-0.17452148718482641</v>
      </c>
      <c r="O41" s="13">
        <f t="shared" si="8"/>
        <v>866754</v>
      </c>
      <c r="P41" s="13">
        <f t="shared" si="9"/>
        <v>879535</v>
      </c>
      <c r="Q41" s="13">
        <f t="shared" si="10"/>
        <v>871282</v>
      </c>
      <c r="R41" s="33">
        <f t="shared" si="11"/>
        <v>5.224088957189732E-3</v>
      </c>
      <c r="S41" s="33">
        <f t="shared" si="12"/>
        <v>-9.3833673475188784E-3</v>
      </c>
    </row>
    <row r="42" spans="1:19" x14ac:dyDescent="0.25">
      <c r="A42" t="s">
        <v>36</v>
      </c>
      <c r="B42" s="65">
        <v>3</v>
      </c>
      <c r="C42" t="s">
        <v>14</v>
      </c>
      <c r="D42" s="66">
        <v>30240</v>
      </c>
      <c r="E42" s="66">
        <v>30852</v>
      </c>
      <c r="F42" s="67">
        <v>30597</v>
      </c>
      <c r="G42" s="13">
        <f t="shared" si="0"/>
        <v>-255</v>
      </c>
      <c r="H42" s="13">
        <f t="shared" si="1"/>
        <v>357</v>
      </c>
      <c r="I42" s="73">
        <f t="shared" si="2"/>
        <v>1.1805555555555625E-2</v>
      </c>
      <c r="J42" s="73">
        <f t="shared" si="3"/>
        <v>-8.2652664332943937E-3</v>
      </c>
      <c r="K42" s="72" t="str">
        <f t="shared" si="4"/>
        <v>GM2</v>
      </c>
      <c r="L42" s="72" t="str">
        <f t="shared" si="5"/>
        <v>JANUARY-3-GM2</v>
      </c>
      <c r="M42" s="73">
        <f t="shared" si="6"/>
        <v>0.10707603294098766</v>
      </c>
      <c r="N42" s="73">
        <f t="shared" si="7"/>
        <v>-0.17452148718482641</v>
      </c>
      <c r="O42" s="13">
        <f t="shared" si="8"/>
        <v>866754</v>
      </c>
      <c r="P42" s="13">
        <f t="shared" si="9"/>
        <v>879535</v>
      </c>
      <c r="Q42" s="13">
        <f t="shared" si="10"/>
        <v>871282</v>
      </c>
      <c r="R42" s="33">
        <f t="shared" si="11"/>
        <v>5.224088957189732E-3</v>
      </c>
      <c r="S42" s="33">
        <f t="shared" si="12"/>
        <v>-9.3833673475188784E-3</v>
      </c>
    </row>
    <row r="43" spans="1:19" x14ac:dyDescent="0.25">
      <c r="A43" t="s">
        <v>36</v>
      </c>
      <c r="B43" s="65">
        <v>3</v>
      </c>
      <c r="C43" t="s">
        <v>14</v>
      </c>
      <c r="D43" s="66">
        <v>30240</v>
      </c>
      <c r="E43" s="66">
        <v>30787</v>
      </c>
      <c r="F43" s="67">
        <v>30735</v>
      </c>
      <c r="G43" s="13">
        <f t="shared" si="0"/>
        <v>-52</v>
      </c>
      <c r="H43" s="13">
        <f t="shared" si="1"/>
        <v>495</v>
      </c>
      <c r="I43" s="73">
        <f t="shared" si="2"/>
        <v>1.6369047619047672E-2</v>
      </c>
      <c r="J43" s="73">
        <f t="shared" si="3"/>
        <v>-1.6890245883002253E-3</v>
      </c>
      <c r="K43" s="72" t="str">
        <f t="shared" si="4"/>
        <v>GM2</v>
      </c>
      <c r="L43" s="72" t="str">
        <f t="shared" si="5"/>
        <v>JANUARY-3-GM2</v>
      </c>
      <c r="M43" s="73">
        <f t="shared" si="6"/>
        <v>0.10707603294098766</v>
      </c>
      <c r="N43" s="73">
        <f t="shared" si="7"/>
        <v>-0.17452148718482641</v>
      </c>
      <c r="O43" s="13">
        <f t="shared" si="8"/>
        <v>866754</v>
      </c>
      <c r="P43" s="13">
        <f t="shared" si="9"/>
        <v>879535</v>
      </c>
      <c r="Q43" s="13">
        <f t="shared" si="10"/>
        <v>871282</v>
      </c>
      <c r="R43" s="33">
        <f t="shared" si="11"/>
        <v>5.224088957189732E-3</v>
      </c>
      <c r="S43" s="33">
        <f t="shared" si="12"/>
        <v>-9.3833673475188784E-3</v>
      </c>
    </row>
    <row r="44" spans="1:19" x14ac:dyDescent="0.25">
      <c r="A44" t="s">
        <v>36</v>
      </c>
      <c r="B44" s="65">
        <v>3</v>
      </c>
      <c r="C44" t="s">
        <v>15</v>
      </c>
      <c r="D44" s="66">
        <v>2440</v>
      </c>
      <c r="E44" s="66">
        <v>2440</v>
      </c>
      <c r="F44" s="67">
        <v>2440</v>
      </c>
      <c r="G44" s="13">
        <f t="shared" si="0"/>
        <v>0</v>
      </c>
      <c r="H44" s="13">
        <f t="shared" si="1"/>
        <v>0</v>
      </c>
      <c r="I44" s="73">
        <f t="shared" si="2"/>
        <v>0</v>
      </c>
      <c r="J44" s="73">
        <f t="shared" si="3"/>
        <v>0</v>
      </c>
      <c r="K44" s="72" t="str">
        <f t="shared" si="4"/>
        <v>CHAWAN</v>
      </c>
      <c r="L44" s="72" t="str">
        <f t="shared" si="5"/>
        <v>JANUARY-3-CHAWAN</v>
      </c>
      <c r="M44" s="73">
        <f t="shared" si="6"/>
        <v>0</v>
      </c>
      <c r="N44" s="73">
        <f t="shared" si="7"/>
        <v>0</v>
      </c>
      <c r="O44" s="13">
        <f t="shared" si="8"/>
        <v>866754</v>
      </c>
      <c r="P44" s="13">
        <f t="shared" si="9"/>
        <v>879535</v>
      </c>
      <c r="Q44" s="13">
        <f t="shared" si="10"/>
        <v>871282</v>
      </c>
      <c r="R44" s="33">
        <f t="shared" si="11"/>
        <v>5.224088957189732E-3</v>
      </c>
      <c r="S44" s="33">
        <f t="shared" si="12"/>
        <v>-9.3833673475188784E-3</v>
      </c>
    </row>
    <row r="45" spans="1:19" x14ac:dyDescent="0.25">
      <c r="A45" t="s">
        <v>36</v>
      </c>
      <c r="B45" s="65">
        <v>3</v>
      </c>
      <c r="C45" t="s">
        <v>15</v>
      </c>
      <c r="D45" s="66">
        <v>177</v>
      </c>
      <c r="E45" s="66">
        <v>177</v>
      </c>
      <c r="F45" s="67">
        <v>177</v>
      </c>
      <c r="G45" s="13">
        <f t="shared" si="0"/>
        <v>0</v>
      </c>
      <c r="H45" s="13">
        <f t="shared" si="1"/>
        <v>0</v>
      </c>
      <c r="I45" s="73">
        <f t="shared" si="2"/>
        <v>0</v>
      </c>
      <c r="J45" s="73">
        <f t="shared" si="3"/>
        <v>0</v>
      </c>
      <c r="K45" s="72" t="str">
        <f t="shared" si="4"/>
        <v>CHAWAN</v>
      </c>
      <c r="L45" s="72" t="str">
        <f t="shared" si="5"/>
        <v>JANUARY-3-CHAWAN</v>
      </c>
      <c r="M45" s="73">
        <f t="shared" si="6"/>
        <v>0</v>
      </c>
      <c r="N45" s="73">
        <f t="shared" si="7"/>
        <v>0</v>
      </c>
      <c r="O45" s="13">
        <f t="shared" si="8"/>
        <v>866754</v>
      </c>
      <c r="P45" s="13">
        <f t="shared" si="9"/>
        <v>879535</v>
      </c>
      <c r="Q45" s="13">
        <f t="shared" si="10"/>
        <v>871282</v>
      </c>
      <c r="R45" s="33">
        <f t="shared" si="11"/>
        <v>5.224088957189732E-3</v>
      </c>
      <c r="S45" s="33">
        <f t="shared" si="12"/>
        <v>-9.3833673475188784E-3</v>
      </c>
    </row>
    <row r="46" spans="1:19" x14ac:dyDescent="0.25">
      <c r="A46" t="s">
        <v>36</v>
      </c>
      <c r="B46" s="65">
        <v>3</v>
      </c>
      <c r="C46" t="s">
        <v>10</v>
      </c>
      <c r="D46" s="66">
        <v>40000</v>
      </c>
      <c r="E46" s="66">
        <v>40000</v>
      </c>
      <c r="F46" s="67">
        <v>39538</v>
      </c>
      <c r="G46" s="13">
        <f t="shared" si="0"/>
        <v>-462</v>
      </c>
      <c r="H46" s="13">
        <f t="shared" si="1"/>
        <v>-462</v>
      </c>
      <c r="I46" s="73">
        <f t="shared" si="2"/>
        <v>-1.1549999999999949E-2</v>
      </c>
      <c r="J46" s="73">
        <f t="shared" si="3"/>
        <v>-1.1549999999999949E-2</v>
      </c>
      <c r="K46" s="72" t="str">
        <f t="shared" si="4"/>
        <v>CNJ2</v>
      </c>
      <c r="L46" s="72" t="str">
        <f t="shared" si="5"/>
        <v>JANUARY-3-CNJ2</v>
      </c>
      <c r="M46" s="73">
        <f t="shared" si="6"/>
        <v>-1.1549999999999949E-2</v>
      </c>
      <c r="N46" s="73">
        <f t="shared" si="7"/>
        <v>-1.1549999999999949E-2</v>
      </c>
      <c r="O46" s="13">
        <f t="shared" si="8"/>
        <v>866754</v>
      </c>
      <c r="P46" s="13">
        <f t="shared" si="9"/>
        <v>879535</v>
      </c>
      <c r="Q46" s="13">
        <f t="shared" si="10"/>
        <v>871282</v>
      </c>
      <c r="R46" s="33">
        <f t="shared" si="11"/>
        <v>5.224088957189732E-3</v>
      </c>
      <c r="S46" s="33">
        <f t="shared" si="12"/>
        <v>-9.3833673475188784E-3</v>
      </c>
    </row>
    <row r="47" spans="1:19" x14ac:dyDescent="0.25">
      <c r="A47" t="s">
        <v>36</v>
      </c>
      <c r="B47" s="65">
        <v>3</v>
      </c>
      <c r="C47" t="s">
        <v>11</v>
      </c>
      <c r="D47" s="66">
        <v>205</v>
      </c>
      <c r="E47" s="66">
        <v>205</v>
      </c>
      <c r="F47" s="67">
        <v>205</v>
      </c>
      <c r="G47" s="13">
        <f t="shared" si="0"/>
        <v>0</v>
      </c>
      <c r="H47" s="13">
        <f t="shared" si="1"/>
        <v>0</v>
      </c>
      <c r="I47" s="73">
        <f t="shared" si="2"/>
        <v>0</v>
      </c>
      <c r="J47" s="73">
        <f t="shared" si="3"/>
        <v>0</v>
      </c>
      <c r="K47" s="72" t="str">
        <f t="shared" si="4"/>
        <v>MAJA1</v>
      </c>
      <c r="L47" s="72" t="str">
        <f t="shared" si="5"/>
        <v>JANUARY-3-MAJA1</v>
      </c>
      <c r="M47" s="73">
        <f t="shared" si="6"/>
        <v>2.6122148638704878E-2</v>
      </c>
      <c r="N47" s="73">
        <f t="shared" si="7"/>
        <v>-3.9285714285713924E-3</v>
      </c>
      <c r="O47" s="13">
        <f t="shared" si="8"/>
        <v>866754</v>
      </c>
      <c r="P47" s="13">
        <f t="shared" si="9"/>
        <v>879535</v>
      </c>
      <c r="Q47" s="13">
        <f t="shared" si="10"/>
        <v>871282</v>
      </c>
      <c r="R47" s="33">
        <f t="shared" si="11"/>
        <v>5.224088957189732E-3</v>
      </c>
      <c r="S47" s="33">
        <f t="shared" si="12"/>
        <v>-9.3833673475188784E-3</v>
      </c>
    </row>
    <row r="48" spans="1:19" x14ac:dyDescent="0.25">
      <c r="A48" t="s">
        <v>36</v>
      </c>
      <c r="B48" s="65">
        <v>3</v>
      </c>
      <c r="C48" t="s">
        <v>11</v>
      </c>
      <c r="D48" s="66">
        <v>295</v>
      </c>
      <c r="E48" s="66">
        <v>295</v>
      </c>
      <c r="F48" s="67">
        <v>295</v>
      </c>
      <c r="G48" s="13">
        <f t="shared" si="0"/>
        <v>0</v>
      </c>
      <c r="H48" s="13">
        <f t="shared" si="1"/>
        <v>0</v>
      </c>
      <c r="I48" s="73">
        <f t="shared" si="2"/>
        <v>0</v>
      </c>
      <c r="J48" s="73">
        <f t="shared" si="3"/>
        <v>0</v>
      </c>
      <c r="K48" s="72" t="str">
        <f t="shared" si="4"/>
        <v>MAJA1</v>
      </c>
      <c r="L48" s="72" t="str">
        <f t="shared" si="5"/>
        <v>JANUARY-3-MAJA1</v>
      </c>
      <c r="M48" s="73">
        <f t="shared" si="6"/>
        <v>2.6122148638704878E-2</v>
      </c>
      <c r="N48" s="73">
        <f t="shared" si="7"/>
        <v>-3.9285714285713924E-3</v>
      </c>
      <c r="O48" s="13">
        <f t="shared" si="8"/>
        <v>866754</v>
      </c>
      <c r="P48" s="13">
        <f t="shared" si="9"/>
        <v>879535</v>
      </c>
      <c r="Q48" s="13">
        <f t="shared" si="10"/>
        <v>871282</v>
      </c>
      <c r="R48" s="33">
        <f t="shared" si="11"/>
        <v>5.224088957189732E-3</v>
      </c>
      <c r="S48" s="33">
        <f t="shared" si="12"/>
        <v>-9.3833673475188784E-3</v>
      </c>
    </row>
    <row r="49" spans="1:19" x14ac:dyDescent="0.25">
      <c r="A49" t="s">
        <v>36</v>
      </c>
      <c r="B49" s="65">
        <v>3</v>
      </c>
      <c r="C49" t="s">
        <v>16</v>
      </c>
      <c r="D49" s="66">
        <v>48000</v>
      </c>
      <c r="E49" s="66">
        <v>48017</v>
      </c>
      <c r="F49" s="67">
        <v>46662</v>
      </c>
      <c r="G49" s="13">
        <f t="shared" si="0"/>
        <v>-1355</v>
      </c>
      <c r="H49" s="13">
        <f t="shared" si="1"/>
        <v>-1338</v>
      </c>
      <c r="I49" s="73">
        <f t="shared" si="2"/>
        <v>-2.7874999999999983E-2</v>
      </c>
      <c r="J49" s="73">
        <f t="shared" si="3"/>
        <v>-2.8219172376449997E-2</v>
      </c>
      <c r="K49" s="72" t="str">
        <f t="shared" si="4"/>
        <v>ANUGERAH</v>
      </c>
      <c r="L49" s="72" t="str">
        <f t="shared" si="5"/>
        <v>JANUARY-3-ANUGERAH</v>
      </c>
      <c r="M49" s="73">
        <f t="shared" si="6"/>
        <v>-8.2981238141079161E-2</v>
      </c>
      <c r="N49" s="73">
        <f t="shared" si="7"/>
        <v>-0.18982183352462934</v>
      </c>
      <c r="O49" s="13">
        <f t="shared" si="8"/>
        <v>866754</v>
      </c>
      <c r="P49" s="13">
        <f t="shared" si="9"/>
        <v>879535</v>
      </c>
      <c r="Q49" s="13">
        <f t="shared" si="10"/>
        <v>871282</v>
      </c>
      <c r="R49" s="33">
        <f t="shared" si="11"/>
        <v>5.224088957189732E-3</v>
      </c>
      <c r="S49" s="33">
        <f t="shared" si="12"/>
        <v>-9.3833673475188784E-3</v>
      </c>
    </row>
    <row r="50" spans="1:19" x14ac:dyDescent="0.25">
      <c r="A50" t="s">
        <v>36</v>
      </c>
      <c r="B50" s="65">
        <v>3</v>
      </c>
      <c r="C50" t="s">
        <v>16</v>
      </c>
      <c r="D50" s="66">
        <v>12000</v>
      </c>
      <c r="E50" s="66">
        <v>13058</v>
      </c>
      <c r="F50" s="67">
        <v>12000</v>
      </c>
      <c r="G50" s="13">
        <f t="shared" si="0"/>
        <v>-1058</v>
      </c>
      <c r="H50" s="13">
        <f t="shared" si="1"/>
        <v>0</v>
      </c>
      <c r="I50" s="73">
        <f t="shared" si="2"/>
        <v>0</v>
      </c>
      <c r="J50" s="73">
        <f t="shared" si="3"/>
        <v>-8.102312758462249E-2</v>
      </c>
      <c r="K50" s="72" t="str">
        <f t="shared" si="4"/>
        <v>ANUGERAH</v>
      </c>
      <c r="L50" s="72" t="str">
        <f t="shared" si="5"/>
        <v>JANUARY-3-ANUGERAH</v>
      </c>
      <c r="M50" s="73">
        <f t="shared" si="6"/>
        <v>-8.2981238141079161E-2</v>
      </c>
      <c r="N50" s="73">
        <f t="shared" si="7"/>
        <v>-0.18982183352462934</v>
      </c>
      <c r="O50" s="13">
        <f t="shared" si="8"/>
        <v>866754</v>
      </c>
      <c r="P50" s="13">
        <f t="shared" si="9"/>
        <v>879535</v>
      </c>
      <c r="Q50" s="13">
        <f t="shared" si="10"/>
        <v>871282</v>
      </c>
      <c r="R50" s="33">
        <f t="shared" si="11"/>
        <v>5.224088957189732E-3</v>
      </c>
      <c r="S50" s="33">
        <f t="shared" si="12"/>
        <v>-9.3833673475188784E-3</v>
      </c>
    </row>
    <row r="51" spans="1:19" x14ac:dyDescent="0.25">
      <c r="A51" t="s">
        <v>36</v>
      </c>
      <c r="B51" s="65">
        <v>3</v>
      </c>
      <c r="C51" t="s">
        <v>16</v>
      </c>
      <c r="D51" s="66">
        <v>19200</v>
      </c>
      <c r="E51" s="66">
        <v>19167</v>
      </c>
      <c r="F51" s="67">
        <v>18967</v>
      </c>
      <c r="G51" s="13">
        <f t="shared" si="0"/>
        <v>-200</v>
      </c>
      <c r="H51" s="13">
        <f t="shared" si="1"/>
        <v>-233</v>
      </c>
      <c r="I51" s="73">
        <f t="shared" si="2"/>
        <v>-1.2135416666666621E-2</v>
      </c>
      <c r="J51" s="73">
        <f t="shared" si="3"/>
        <v>-1.0434601137371491E-2</v>
      </c>
      <c r="K51" s="72" t="str">
        <f t="shared" si="4"/>
        <v>ANUGERAH</v>
      </c>
      <c r="L51" s="72" t="str">
        <f t="shared" si="5"/>
        <v>JANUARY-3-ANUGERAH</v>
      </c>
      <c r="M51" s="73">
        <f t="shared" si="6"/>
        <v>-8.2981238141079161E-2</v>
      </c>
      <c r="N51" s="73">
        <f t="shared" si="7"/>
        <v>-0.18982183352462934</v>
      </c>
      <c r="O51" s="13">
        <f t="shared" si="8"/>
        <v>866754</v>
      </c>
      <c r="P51" s="13">
        <f t="shared" si="9"/>
        <v>879535</v>
      </c>
      <c r="Q51" s="13">
        <f t="shared" si="10"/>
        <v>871282</v>
      </c>
      <c r="R51" s="33">
        <f t="shared" si="11"/>
        <v>5.224088957189732E-3</v>
      </c>
      <c r="S51" s="33">
        <f t="shared" si="12"/>
        <v>-9.3833673475188784E-3</v>
      </c>
    </row>
    <row r="52" spans="1:19" x14ac:dyDescent="0.25">
      <c r="A52" t="s">
        <v>36</v>
      </c>
      <c r="B52" s="65">
        <v>3</v>
      </c>
      <c r="C52" t="s">
        <v>16</v>
      </c>
      <c r="D52" s="66">
        <v>72000</v>
      </c>
      <c r="E52" s="66">
        <v>72031</v>
      </c>
      <c r="F52" s="67">
        <v>71374</v>
      </c>
      <c r="G52" s="13">
        <f t="shared" si="0"/>
        <v>-657</v>
      </c>
      <c r="H52" s="13">
        <f t="shared" si="1"/>
        <v>-626</v>
      </c>
      <c r="I52" s="73">
        <f t="shared" si="2"/>
        <v>-8.6944444444444491E-3</v>
      </c>
      <c r="J52" s="73">
        <f t="shared" si="3"/>
        <v>-9.1210728714026246E-3</v>
      </c>
      <c r="K52" s="72" t="str">
        <f t="shared" si="4"/>
        <v>ANUGERAH</v>
      </c>
      <c r="L52" s="72" t="str">
        <f t="shared" si="5"/>
        <v>JANUARY-3-ANUGERAH</v>
      </c>
      <c r="M52" s="73">
        <f t="shared" si="6"/>
        <v>-8.2981238141079161E-2</v>
      </c>
      <c r="N52" s="73">
        <f t="shared" si="7"/>
        <v>-0.18982183352462934</v>
      </c>
      <c r="O52" s="13">
        <f t="shared" si="8"/>
        <v>866754</v>
      </c>
      <c r="P52" s="13">
        <f t="shared" si="9"/>
        <v>879535</v>
      </c>
      <c r="Q52" s="13">
        <f t="shared" si="10"/>
        <v>871282</v>
      </c>
      <c r="R52" s="33">
        <f t="shared" si="11"/>
        <v>5.224088957189732E-3</v>
      </c>
      <c r="S52" s="33">
        <f t="shared" si="12"/>
        <v>-9.3833673475188784E-3</v>
      </c>
    </row>
    <row r="53" spans="1:19" x14ac:dyDescent="0.25">
      <c r="A53" t="s">
        <v>36</v>
      </c>
      <c r="B53" s="65">
        <v>3</v>
      </c>
      <c r="C53" t="s">
        <v>16</v>
      </c>
      <c r="D53" s="66">
        <v>5351</v>
      </c>
      <c r="E53" s="66">
        <v>5473</v>
      </c>
      <c r="F53" s="67">
        <v>5351</v>
      </c>
      <c r="G53" s="13">
        <f t="shared" si="0"/>
        <v>-122</v>
      </c>
      <c r="H53" s="13">
        <f t="shared" si="1"/>
        <v>0</v>
      </c>
      <c r="I53" s="73">
        <f t="shared" si="2"/>
        <v>0</v>
      </c>
      <c r="J53" s="73">
        <f t="shared" si="3"/>
        <v>-2.2291247944454584E-2</v>
      </c>
      <c r="K53" s="72" t="str">
        <f t="shared" si="4"/>
        <v>ANUGERAH</v>
      </c>
      <c r="L53" s="72" t="str">
        <f t="shared" si="5"/>
        <v>JANUARY-3-ANUGERAH</v>
      </c>
      <c r="M53" s="73">
        <f t="shared" si="6"/>
        <v>-8.2981238141079161E-2</v>
      </c>
      <c r="N53" s="73">
        <f t="shared" si="7"/>
        <v>-0.18982183352462934</v>
      </c>
      <c r="O53" s="13">
        <f t="shared" si="8"/>
        <v>866754</v>
      </c>
      <c r="P53" s="13">
        <f t="shared" si="9"/>
        <v>879535</v>
      </c>
      <c r="Q53" s="13">
        <f t="shared" si="10"/>
        <v>871282</v>
      </c>
      <c r="R53" s="33">
        <f t="shared" si="11"/>
        <v>5.224088957189732E-3</v>
      </c>
      <c r="S53" s="33">
        <f t="shared" si="12"/>
        <v>-9.3833673475188784E-3</v>
      </c>
    </row>
    <row r="54" spans="1:19" x14ac:dyDescent="0.25">
      <c r="A54" t="s">
        <v>36</v>
      </c>
      <c r="B54" s="65">
        <v>3</v>
      </c>
      <c r="C54" t="s">
        <v>16</v>
      </c>
      <c r="D54" s="66">
        <v>19800</v>
      </c>
      <c r="E54" s="66">
        <v>19813</v>
      </c>
      <c r="F54" s="67">
        <v>19434</v>
      </c>
      <c r="G54" s="13">
        <f t="shared" si="0"/>
        <v>-379</v>
      </c>
      <c r="H54" s="13">
        <f t="shared" si="1"/>
        <v>-366</v>
      </c>
      <c r="I54" s="73">
        <f t="shared" si="2"/>
        <v>-1.8484848484848437E-2</v>
      </c>
      <c r="J54" s="73">
        <f t="shared" si="3"/>
        <v>-1.9128854792308081E-2</v>
      </c>
      <c r="K54" s="72" t="str">
        <f t="shared" si="4"/>
        <v>ANUGERAH</v>
      </c>
      <c r="L54" s="72" t="str">
        <f t="shared" si="5"/>
        <v>JANUARY-3-ANUGERAH</v>
      </c>
      <c r="M54" s="73">
        <f t="shared" si="6"/>
        <v>-8.2981238141079161E-2</v>
      </c>
      <c r="N54" s="73">
        <f t="shared" si="7"/>
        <v>-0.18982183352462934</v>
      </c>
      <c r="O54" s="13">
        <f t="shared" si="8"/>
        <v>866754</v>
      </c>
      <c r="P54" s="13">
        <f t="shared" si="9"/>
        <v>879535</v>
      </c>
      <c r="Q54" s="13">
        <f t="shared" si="10"/>
        <v>871282</v>
      </c>
      <c r="R54" s="33">
        <f t="shared" si="11"/>
        <v>5.224088957189732E-3</v>
      </c>
      <c r="S54" s="33">
        <f t="shared" si="12"/>
        <v>-9.3833673475188784E-3</v>
      </c>
    </row>
    <row r="55" spans="1:19" x14ac:dyDescent="0.25">
      <c r="A55" t="s">
        <v>36</v>
      </c>
      <c r="B55" s="65">
        <v>3</v>
      </c>
      <c r="C55" t="s">
        <v>16</v>
      </c>
      <c r="D55" s="66">
        <v>7500</v>
      </c>
      <c r="E55" s="66">
        <v>7529</v>
      </c>
      <c r="F55" s="67">
        <v>7423</v>
      </c>
      <c r="G55" s="13">
        <f t="shared" si="0"/>
        <v>-106</v>
      </c>
      <c r="H55" s="13">
        <f t="shared" si="1"/>
        <v>-77</v>
      </c>
      <c r="I55" s="73">
        <f t="shared" si="2"/>
        <v>-1.0266666666666646E-2</v>
      </c>
      <c r="J55" s="73">
        <f t="shared" si="3"/>
        <v>-1.4078894939567044E-2</v>
      </c>
      <c r="K55" s="72" t="str">
        <f t="shared" si="4"/>
        <v>ANUGERAH</v>
      </c>
      <c r="L55" s="72" t="str">
        <f t="shared" si="5"/>
        <v>JANUARY-3-ANUGERAH</v>
      </c>
      <c r="M55" s="73">
        <f t="shared" si="6"/>
        <v>-8.2981238141079161E-2</v>
      </c>
      <c r="N55" s="73">
        <f t="shared" si="7"/>
        <v>-0.18982183352462934</v>
      </c>
      <c r="O55" s="13">
        <f t="shared" si="8"/>
        <v>866754</v>
      </c>
      <c r="P55" s="13">
        <f t="shared" si="9"/>
        <v>879535</v>
      </c>
      <c r="Q55" s="13">
        <f t="shared" si="10"/>
        <v>871282</v>
      </c>
      <c r="R55" s="33">
        <f t="shared" si="11"/>
        <v>5.224088957189732E-3</v>
      </c>
      <c r="S55" s="33">
        <f t="shared" si="12"/>
        <v>-9.3833673475188784E-3</v>
      </c>
    </row>
    <row r="56" spans="1:19" x14ac:dyDescent="0.25">
      <c r="A56" t="s">
        <v>36</v>
      </c>
      <c r="B56" s="65">
        <v>3</v>
      </c>
      <c r="C56" t="s">
        <v>16</v>
      </c>
      <c r="D56" s="66">
        <v>5430</v>
      </c>
      <c r="E56" s="66">
        <v>5430</v>
      </c>
      <c r="F56" s="67">
        <v>5400</v>
      </c>
      <c r="G56" s="13">
        <f t="shared" si="0"/>
        <v>-30</v>
      </c>
      <c r="H56" s="13">
        <f t="shared" si="1"/>
        <v>-30</v>
      </c>
      <c r="I56" s="73">
        <f t="shared" si="2"/>
        <v>-5.5248618784530246E-3</v>
      </c>
      <c r="J56" s="73">
        <f t="shared" si="3"/>
        <v>-5.5248618784530246E-3</v>
      </c>
      <c r="K56" s="72" t="str">
        <f t="shared" si="4"/>
        <v>ANUGERAH</v>
      </c>
      <c r="L56" s="72" t="str">
        <f t="shared" si="5"/>
        <v>JANUARY-3-ANUGERAH</v>
      </c>
      <c r="M56" s="73">
        <f t="shared" si="6"/>
        <v>-8.2981238141079161E-2</v>
      </c>
      <c r="N56" s="73">
        <f t="shared" si="7"/>
        <v>-0.18982183352462934</v>
      </c>
      <c r="O56" s="13">
        <f t="shared" si="8"/>
        <v>866754</v>
      </c>
      <c r="P56" s="13">
        <f t="shared" si="9"/>
        <v>879535</v>
      </c>
      <c r="Q56" s="13">
        <f t="shared" si="10"/>
        <v>871282</v>
      </c>
      <c r="R56" s="33">
        <f t="shared" si="11"/>
        <v>5.224088957189732E-3</v>
      </c>
      <c r="S56" s="33">
        <f t="shared" si="12"/>
        <v>-9.3833673475188784E-3</v>
      </c>
    </row>
    <row r="57" spans="1:19" x14ac:dyDescent="0.25">
      <c r="A57" t="s">
        <v>36</v>
      </c>
      <c r="B57" s="65">
        <v>4</v>
      </c>
      <c r="C57" t="s">
        <v>11</v>
      </c>
      <c r="D57" s="66">
        <v>4320</v>
      </c>
      <c r="E57" s="66">
        <v>4455</v>
      </c>
      <c r="F57" s="67">
        <v>4383</v>
      </c>
      <c r="G57" s="13">
        <f t="shared" si="0"/>
        <v>-72</v>
      </c>
      <c r="H57" s="13">
        <f t="shared" si="1"/>
        <v>63</v>
      </c>
      <c r="I57" s="73">
        <f t="shared" si="2"/>
        <v>1.4583333333333393E-2</v>
      </c>
      <c r="J57" s="73">
        <f t="shared" si="3"/>
        <v>-1.6161616161616155E-2</v>
      </c>
      <c r="K57" s="72" t="str">
        <f t="shared" si="4"/>
        <v>MAJA1</v>
      </c>
      <c r="L57" s="72" t="str">
        <f t="shared" si="5"/>
        <v>JANUARY-4-MAJA1</v>
      </c>
      <c r="M57" s="73">
        <f t="shared" si="6"/>
        <v>2.1179757343550598E-2</v>
      </c>
      <c r="N57" s="73">
        <f t="shared" si="7"/>
        <v>-0.12498091425365476</v>
      </c>
      <c r="O57" s="13">
        <f t="shared" si="8"/>
        <v>866754</v>
      </c>
      <c r="P57" s="13">
        <f t="shared" si="9"/>
        <v>879535</v>
      </c>
      <c r="Q57" s="13">
        <f t="shared" si="10"/>
        <v>871282</v>
      </c>
      <c r="R57" s="33">
        <f t="shared" si="11"/>
        <v>5.224088957189732E-3</v>
      </c>
      <c r="S57" s="33">
        <f t="shared" si="12"/>
        <v>-9.3833673475188784E-3</v>
      </c>
    </row>
    <row r="58" spans="1:19" x14ac:dyDescent="0.25">
      <c r="A58" t="s">
        <v>36</v>
      </c>
      <c r="B58" s="65">
        <v>4</v>
      </c>
      <c r="C58" t="s">
        <v>13</v>
      </c>
      <c r="D58" s="66">
        <v>40176</v>
      </c>
      <c r="E58" s="66">
        <v>40687</v>
      </c>
      <c r="F58" s="67">
        <v>40647</v>
      </c>
      <c r="G58" s="13">
        <f t="shared" si="0"/>
        <v>-40</v>
      </c>
      <c r="H58" s="13">
        <f t="shared" si="1"/>
        <v>471</v>
      </c>
      <c r="I58" s="73">
        <f t="shared" si="2"/>
        <v>1.1723416965352396E-2</v>
      </c>
      <c r="J58" s="73">
        <f t="shared" si="3"/>
        <v>-9.8311499987713269E-4</v>
      </c>
      <c r="K58" s="72" t="str">
        <f t="shared" si="4"/>
        <v>KALIBENDA</v>
      </c>
      <c r="L58" s="72" t="str">
        <f t="shared" si="5"/>
        <v>JANUARY-4-KALIBENDA</v>
      </c>
      <c r="M58" s="73">
        <f t="shared" si="6"/>
        <v>0.17649768968488622</v>
      </c>
      <c r="N58" s="73">
        <f t="shared" si="7"/>
        <v>-2.3863565157408617E-2</v>
      </c>
      <c r="O58" s="13">
        <f t="shared" si="8"/>
        <v>866754</v>
      </c>
      <c r="P58" s="13">
        <f t="shared" si="9"/>
        <v>879535</v>
      </c>
      <c r="Q58" s="13">
        <f t="shared" si="10"/>
        <v>871282</v>
      </c>
      <c r="R58" s="33">
        <f t="shared" si="11"/>
        <v>5.224088957189732E-3</v>
      </c>
      <c r="S58" s="33">
        <f t="shared" si="12"/>
        <v>-9.3833673475188784E-3</v>
      </c>
    </row>
    <row r="59" spans="1:19" x14ac:dyDescent="0.25">
      <c r="A59" t="s">
        <v>36</v>
      </c>
      <c r="B59" s="65">
        <v>4</v>
      </c>
      <c r="C59" t="s">
        <v>13</v>
      </c>
      <c r="D59" s="66">
        <v>6912</v>
      </c>
      <c r="E59" s="66">
        <v>7050</v>
      </c>
      <c r="F59" s="67">
        <v>7035</v>
      </c>
      <c r="G59" s="13">
        <f t="shared" si="0"/>
        <v>-15</v>
      </c>
      <c r="H59" s="13">
        <f t="shared" si="1"/>
        <v>123</v>
      </c>
      <c r="I59" s="73">
        <f t="shared" si="2"/>
        <v>1.779513888888884E-2</v>
      </c>
      <c r="J59" s="73">
        <f t="shared" si="3"/>
        <v>-2.1276595744680327E-3</v>
      </c>
      <c r="K59" s="72" t="str">
        <f t="shared" si="4"/>
        <v>KALIBENDA</v>
      </c>
      <c r="L59" s="72" t="str">
        <f t="shared" si="5"/>
        <v>JANUARY-4-KALIBENDA</v>
      </c>
      <c r="M59" s="73">
        <f t="shared" si="6"/>
        <v>0.17649768968488622</v>
      </c>
      <c r="N59" s="73">
        <f t="shared" si="7"/>
        <v>-2.3863565157408617E-2</v>
      </c>
      <c r="O59" s="13">
        <f t="shared" si="8"/>
        <v>866754</v>
      </c>
      <c r="P59" s="13">
        <f t="shared" si="9"/>
        <v>879535</v>
      </c>
      <c r="Q59" s="13">
        <f t="shared" si="10"/>
        <v>871282</v>
      </c>
      <c r="R59" s="33">
        <f t="shared" si="11"/>
        <v>5.224088957189732E-3</v>
      </c>
      <c r="S59" s="33">
        <f t="shared" si="12"/>
        <v>-9.3833673475188784E-3</v>
      </c>
    </row>
    <row r="60" spans="1:19" x14ac:dyDescent="0.25">
      <c r="A60" t="s">
        <v>36</v>
      </c>
      <c r="B60" s="65">
        <v>4</v>
      </c>
      <c r="C60" t="s">
        <v>13</v>
      </c>
      <c r="D60" s="66">
        <v>9180</v>
      </c>
      <c r="E60" s="66">
        <v>9360</v>
      </c>
      <c r="F60" s="67">
        <v>9321</v>
      </c>
      <c r="G60" s="13">
        <f t="shared" si="0"/>
        <v>-39</v>
      </c>
      <c r="H60" s="13">
        <f t="shared" si="1"/>
        <v>141</v>
      </c>
      <c r="I60" s="73">
        <f t="shared" si="2"/>
        <v>1.5359477124182952E-2</v>
      </c>
      <c r="J60" s="73">
        <f t="shared" si="3"/>
        <v>-4.1666666666666519E-3</v>
      </c>
      <c r="K60" s="72" t="str">
        <f t="shared" si="4"/>
        <v>KALIBENDA</v>
      </c>
      <c r="L60" s="72" t="str">
        <f t="shared" si="5"/>
        <v>JANUARY-4-KALIBENDA</v>
      </c>
      <c r="M60" s="73">
        <f t="shared" si="6"/>
        <v>0.17649768968488622</v>
      </c>
      <c r="N60" s="73">
        <f t="shared" si="7"/>
        <v>-2.3863565157408617E-2</v>
      </c>
      <c r="O60" s="13">
        <f t="shared" si="8"/>
        <v>866754</v>
      </c>
      <c r="P60" s="13">
        <f t="shared" si="9"/>
        <v>879535</v>
      </c>
      <c r="Q60" s="13">
        <f t="shared" si="10"/>
        <v>871282</v>
      </c>
      <c r="R60" s="33">
        <f t="shared" si="11"/>
        <v>5.224088957189732E-3</v>
      </c>
      <c r="S60" s="33">
        <f t="shared" si="12"/>
        <v>-9.3833673475188784E-3</v>
      </c>
    </row>
    <row r="61" spans="1:19" x14ac:dyDescent="0.25">
      <c r="A61" t="s">
        <v>36</v>
      </c>
      <c r="B61" s="65">
        <v>4</v>
      </c>
      <c r="C61" t="s">
        <v>13</v>
      </c>
      <c r="D61" s="66">
        <v>2916</v>
      </c>
      <c r="E61" s="66">
        <v>2973</v>
      </c>
      <c r="F61" s="67">
        <v>2973</v>
      </c>
      <c r="G61" s="13">
        <f t="shared" si="0"/>
        <v>0</v>
      </c>
      <c r="H61" s="13">
        <f t="shared" si="1"/>
        <v>57</v>
      </c>
      <c r="I61" s="73">
        <f t="shared" si="2"/>
        <v>1.9547325102880597E-2</v>
      </c>
      <c r="J61" s="73">
        <f t="shared" si="3"/>
        <v>0</v>
      </c>
      <c r="K61" s="72" t="str">
        <f t="shared" si="4"/>
        <v>KALIBENDA</v>
      </c>
      <c r="L61" s="72" t="str">
        <f t="shared" si="5"/>
        <v>JANUARY-4-KALIBENDA</v>
      </c>
      <c r="M61" s="73">
        <f t="shared" si="6"/>
        <v>0.17649768968488622</v>
      </c>
      <c r="N61" s="73">
        <f t="shared" si="7"/>
        <v>-2.3863565157408617E-2</v>
      </c>
      <c r="O61" s="13">
        <f t="shared" si="8"/>
        <v>866754</v>
      </c>
      <c r="P61" s="13">
        <f t="shared" si="9"/>
        <v>879535</v>
      </c>
      <c r="Q61" s="13">
        <f t="shared" si="10"/>
        <v>871282</v>
      </c>
      <c r="R61" s="33">
        <f t="shared" si="11"/>
        <v>5.224088957189732E-3</v>
      </c>
      <c r="S61" s="33">
        <f t="shared" si="12"/>
        <v>-9.3833673475188784E-3</v>
      </c>
    </row>
    <row r="62" spans="1:19" x14ac:dyDescent="0.25">
      <c r="A62" t="s">
        <v>36</v>
      </c>
      <c r="B62" s="65">
        <v>4</v>
      </c>
      <c r="C62" t="s">
        <v>13</v>
      </c>
      <c r="D62" s="66">
        <v>3240</v>
      </c>
      <c r="E62" s="66">
        <v>3303</v>
      </c>
      <c r="F62" s="67">
        <v>3297</v>
      </c>
      <c r="G62" s="13">
        <f t="shared" si="0"/>
        <v>-6</v>
      </c>
      <c r="H62" s="13">
        <f t="shared" si="1"/>
        <v>57</v>
      </c>
      <c r="I62" s="73">
        <f t="shared" si="2"/>
        <v>1.7592592592592604E-2</v>
      </c>
      <c r="J62" s="73">
        <f t="shared" si="3"/>
        <v>-1.8165304268846771E-3</v>
      </c>
      <c r="K62" s="72" t="str">
        <f t="shared" si="4"/>
        <v>KALIBENDA</v>
      </c>
      <c r="L62" s="72" t="str">
        <f t="shared" si="5"/>
        <v>JANUARY-4-KALIBENDA</v>
      </c>
      <c r="M62" s="73">
        <f t="shared" si="6"/>
        <v>0.17649768968488622</v>
      </c>
      <c r="N62" s="73">
        <f t="shared" si="7"/>
        <v>-2.3863565157408617E-2</v>
      </c>
      <c r="O62" s="13">
        <f t="shared" si="8"/>
        <v>866754</v>
      </c>
      <c r="P62" s="13">
        <f t="shared" si="9"/>
        <v>879535</v>
      </c>
      <c r="Q62" s="13">
        <f t="shared" si="10"/>
        <v>871282</v>
      </c>
      <c r="R62" s="33">
        <f t="shared" si="11"/>
        <v>5.224088957189732E-3</v>
      </c>
      <c r="S62" s="33">
        <f t="shared" si="12"/>
        <v>-9.3833673475188784E-3</v>
      </c>
    </row>
    <row r="63" spans="1:19" x14ac:dyDescent="0.25">
      <c r="A63" t="s">
        <v>36</v>
      </c>
      <c r="B63" s="65">
        <v>4</v>
      </c>
      <c r="C63" t="s">
        <v>13</v>
      </c>
      <c r="D63" s="66">
        <v>1080</v>
      </c>
      <c r="E63" s="66">
        <v>1101</v>
      </c>
      <c r="F63" s="67">
        <v>1098</v>
      </c>
      <c r="G63" s="13">
        <f t="shared" si="0"/>
        <v>-3</v>
      </c>
      <c r="H63" s="13">
        <f t="shared" si="1"/>
        <v>18</v>
      </c>
      <c r="I63" s="73">
        <f t="shared" si="2"/>
        <v>1.6666666666666607E-2</v>
      </c>
      <c r="J63" s="73">
        <f t="shared" si="3"/>
        <v>-2.7247956403270157E-3</v>
      </c>
      <c r="K63" s="72" t="str">
        <f t="shared" si="4"/>
        <v>KALIBENDA</v>
      </c>
      <c r="L63" s="72" t="str">
        <f t="shared" si="5"/>
        <v>JANUARY-4-KALIBENDA</v>
      </c>
      <c r="M63" s="73">
        <f t="shared" si="6"/>
        <v>0.17649768968488622</v>
      </c>
      <c r="N63" s="73">
        <f t="shared" si="7"/>
        <v>-2.3863565157408617E-2</v>
      </c>
      <c r="O63" s="13">
        <f t="shared" si="8"/>
        <v>866754</v>
      </c>
      <c r="P63" s="13">
        <f t="shared" si="9"/>
        <v>879535</v>
      </c>
      <c r="Q63" s="13">
        <f t="shared" si="10"/>
        <v>871282</v>
      </c>
      <c r="R63" s="33">
        <f t="shared" si="11"/>
        <v>5.224088957189732E-3</v>
      </c>
      <c r="S63" s="33">
        <f t="shared" si="12"/>
        <v>-9.3833673475188784E-3</v>
      </c>
    </row>
    <row r="64" spans="1:19" x14ac:dyDescent="0.25">
      <c r="A64" t="s">
        <v>36</v>
      </c>
      <c r="B64" s="65">
        <v>4</v>
      </c>
      <c r="C64" t="s">
        <v>13</v>
      </c>
      <c r="D64" s="66">
        <v>9828</v>
      </c>
      <c r="E64" s="66">
        <v>10026</v>
      </c>
      <c r="F64" s="67">
        <v>9993</v>
      </c>
      <c r="G64" s="13">
        <f t="shared" si="0"/>
        <v>-33</v>
      </c>
      <c r="H64" s="13">
        <f t="shared" si="1"/>
        <v>165</v>
      </c>
      <c r="I64" s="73">
        <f t="shared" si="2"/>
        <v>1.6788766788766729E-2</v>
      </c>
      <c r="J64" s="73">
        <f t="shared" si="3"/>
        <v>-3.2914422501496565E-3</v>
      </c>
      <c r="K64" s="72" t="str">
        <f t="shared" si="4"/>
        <v>KALIBENDA</v>
      </c>
      <c r="L64" s="72" t="str">
        <f t="shared" si="5"/>
        <v>JANUARY-4-KALIBENDA</v>
      </c>
      <c r="M64" s="73">
        <f t="shared" si="6"/>
        <v>0.17649768968488622</v>
      </c>
      <c r="N64" s="73">
        <f t="shared" si="7"/>
        <v>-2.3863565157408617E-2</v>
      </c>
      <c r="O64" s="13">
        <f t="shared" si="8"/>
        <v>866754</v>
      </c>
      <c r="P64" s="13">
        <f t="shared" si="9"/>
        <v>879535</v>
      </c>
      <c r="Q64" s="13">
        <f t="shared" si="10"/>
        <v>871282</v>
      </c>
      <c r="R64" s="33">
        <f t="shared" si="11"/>
        <v>5.224088957189732E-3</v>
      </c>
      <c r="S64" s="33">
        <f t="shared" si="12"/>
        <v>-9.3833673475188784E-3</v>
      </c>
    </row>
    <row r="65" spans="1:19" x14ac:dyDescent="0.25">
      <c r="A65" t="s">
        <v>36</v>
      </c>
      <c r="B65" s="65">
        <v>4</v>
      </c>
      <c r="C65" t="s">
        <v>13</v>
      </c>
      <c r="D65" s="66">
        <v>6912</v>
      </c>
      <c r="E65" s="66">
        <v>7050</v>
      </c>
      <c r="F65" s="67">
        <v>7017</v>
      </c>
      <c r="G65" s="13">
        <f t="shared" si="0"/>
        <v>-33</v>
      </c>
      <c r="H65" s="13">
        <f t="shared" si="1"/>
        <v>105</v>
      </c>
      <c r="I65" s="73">
        <f t="shared" si="2"/>
        <v>1.5190972222222321E-2</v>
      </c>
      <c r="J65" s="73">
        <f t="shared" si="3"/>
        <v>-4.6808510638297607E-3</v>
      </c>
      <c r="K65" s="72" t="str">
        <f t="shared" si="4"/>
        <v>KALIBENDA</v>
      </c>
      <c r="L65" s="72" t="str">
        <f t="shared" si="5"/>
        <v>JANUARY-4-KALIBENDA</v>
      </c>
      <c r="M65" s="73">
        <f t="shared" si="6"/>
        <v>0.17649768968488622</v>
      </c>
      <c r="N65" s="73">
        <f t="shared" si="7"/>
        <v>-2.3863565157408617E-2</v>
      </c>
      <c r="O65" s="13">
        <f t="shared" si="8"/>
        <v>866754</v>
      </c>
      <c r="P65" s="13">
        <f t="shared" si="9"/>
        <v>879535</v>
      </c>
      <c r="Q65" s="13">
        <f t="shared" si="10"/>
        <v>871282</v>
      </c>
      <c r="R65" s="33">
        <f t="shared" si="11"/>
        <v>5.224088957189732E-3</v>
      </c>
      <c r="S65" s="33">
        <f t="shared" si="12"/>
        <v>-9.3833673475188784E-3</v>
      </c>
    </row>
    <row r="66" spans="1:19" x14ac:dyDescent="0.25">
      <c r="A66" t="s">
        <v>36</v>
      </c>
      <c r="B66" s="65">
        <v>4</v>
      </c>
      <c r="C66" t="s">
        <v>13</v>
      </c>
      <c r="D66" s="66">
        <v>1080</v>
      </c>
      <c r="E66" s="66">
        <v>1101</v>
      </c>
      <c r="F66" s="67">
        <v>1098</v>
      </c>
      <c r="G66" s="13">
        <f t="shared" ref="G66:G129" si="13">F66-E66</f>
        <v>-3</v>
      </c>
      <c r="H66" s="13">
        <f t="shared" ref="H66:H129" si="14">F66-D66</f>
        <v>18</v>
      </c>
      <c r="I66" s="73">
        <f t="shared" ref="I66:I129" si="15">F66/D66-1</f>
        <v>1.6666666666666607E-2</v>
      </c>
      <c r="J66" s="73">
        <f t="shared" ref="J66:J129" si="16">F66/E66-1</f>
        <v>-2.7247956403270157E-3</v>
      </c>
      <c r="K66" s="72" t="str">
        <f t="shared" ref="K66:K129" si="17">CLEAN(SUBSTITUTE(C66," ",""))</f>
        <v>KALIBENDA</v>
      </c>
      <c r="L66" s="72" t="str">
        <f t="shared" ref="L66:L129" si="18">A66&amp;"-"&amp;B66&amp;"-"&amp;K66</f>
        <v>JANUARY-4-KALIBENDA</v>
      </c>
      <c r="M66" s="73">
        <f t="shared" ref="M66:M129" si="19">SUMIF($L$2:$L$1396,L66,$I$2:$I$1396)</f>
        <v>0.17649768968488622</v>
      </c>
      <c r="N66" s="73">
        <f t="shared" ref="N66:N129" si="20">SUMIF($L$2:$L$1396,L66,$J$2:$J$1396)</f>
        <v>-2.3863565157408617E-2</v>
      </c>
      <c r="O66" s="13">
        <f t="shared" ref="O66:O129" si="21">SUMIF($A$2:$A$1396,A66,$D$2:$D$1396)</f>
        <v>866754</v>
      </c>
      <c r="P66" s="13">
        <f t="shared" ref="P66:P129" si="22">SUMIF($A$2:$A$1396,A66,$E$2:$E$1396)</f>
        <v>879535</v>
      </c>
      <c r="Q66" s="13">
        <f t="shared" ref="Q66:Q129" si="23">SUMIF($A$2:$A$1396,A66,$F$2:$F$1396)</f>
        <v>871282</v>
      </c>
      <c r="R66" s="33">
        <f t="shared" ref="R66:R129" si="24">Q66/O66-1</f>
        <v>5.224088957189732E-3</v>
      </c>
      <c r="S66" s="33">
        <f t="shared" ref="S66:S129" si="25">Q66/P66-1</f>
        <v>-9.3833673475188784E-3</v>
      </c>
    </row>
    <row r="67" spans="1:19" x14ac:dyDescent="0.25">
      <c r="A67" t="s">
        <v>36</v>
      </c>
      <c r="B67" s="65">
        <v>4</v>
      </c>
      <c r="C67" t="s">
        <v>11</v>
      </c>
      <c r="D67" s="66">
        <v>720</v>
      </c>
      <c r="E67" s="66">
        <v>740</v>
      </c>
      <c r="F67" s="67">
        <v>722</v>
      </c>
      <c r="G67" s="13">
        <f t="shared" si="13"/>
        <v>-18</v>
      </c>
      <c r="H67" s="13">
        <f t="shared" si="14"/>
        <v>2</v>
      </c>
      <c r="I67" s="73">
        <f t="shared" si="15"/>
        <v>2.7777777777777679E-3</v>
      </c>
      <c r="J67" s="73">
        <f t="shared" si="16"/>
        <v>-2.4324324324324298E-2</v>
      </c>
      <c r="K67" s="72" t="str">
        <f t="shared" si="17"/>
        <v>MAJA1</v>
      </c>
      <c r="L67" s="72" t="str">
        <f t="shared" si="18"/>
        <v>JANUARY-4-MAJA1</v>
      </c>
      <c r="M67" s="73">
        <f t="shared" si="19"/>
        <v>2.1179757343550598E-2</v>
      </c>
      <c r="N67" s="73">
        <f t="shared" si="20"/>
        <v>-0.12498091425365476</v>
      </c>
      <c r="O67" s="13">
        <f t="shared" si="21"/>
        <v>866754</v>
      </c>
      <c r="P67" s="13">
        <f t="shared" si="22"/>
        <v>879535</v>
      </c>
      <c r="Q67" s="13">
        <f t="shared" si="23"/>
        <v>871282</v>
      </c>
      <c r="R67" s="33">
        <f t="shared" si="24"/>
        <v>5.224088957189732E-3</v>
      </c>
      <c r="S67" s="33">
        <f t="shared" si="25"/>
        <v>-9.3833673475188784E-3</v>
      </c>
    </row>
    <row r="68" spans="1:19" x14ac:dyDescent="0.25">
      <c r="A68" t="s">
        <v>36</v>
      </c>
      <c r="B68" s="65">
        <v>4</v>
      </c>
      <c r="C68" t="s">
        <v>11</v>
      </c>
      <c r="D68" s="66">
        <v>1440</v>
      </c>
      <c r="E68" s="66">
        <v>1509</v>
      </c>
      <c r="F68" s="67">
        <v>1440</v>
      </c>
      <c r="G68" s="13">
        <f t="shared" si="13"/>
        <v>-69</v>
      </c>
      <c r="H68" s="13">
        <f t="shared" si="14"/>
        <v>0</v>
      </c>
      <c r="I68" s="73">
        <f t="shared" si="15"/>
        <v>0</v>
      </c>
      <c r="J68" s="73">
        <f t="shared" si="16"/>
        <v>-4.5725646123260466E-2</v>
      </c>
      <c r="K68" s="72" t="str">
        <f t="shared" si="17"/>
        <v>MAJA1</v>
      </c>
      <c r="L68" s="72" t="str">
        <f t="shared" si="18"/>
        <v>JANUARY-4-MAJA1</v>
      </c>
      <c r="M68" s="73">
        <f t="shared" si="19"/>
        <v>2.1179757343550598E-2</v>
      </c>
      <c r="N68" s="73">
        <f t="shared" si="20"/>
        <v>-0.12498091425365476</v>
      </c>
      <c r="O68" s="13">
        <f t="shared" si="21"/>
        <v>866754</v>
      </c>
      <c r="P68" s="13">
        <f t="shared" si="22"/>
        <v>879535</v>
      </c>
      <c r="Q68" s="13">
        <f t="shared" si="23"/>
        <v>871282</v>
      </c>
      <c r="R68" s="33">
        <f t="shared" si="24"/>
        <v>5.224088957189732E-3</v>
      </c>
      <c r="S68" s="33">
        <f t="shared" si="25"/>
        <v>-9.3833673475188784E-3</v>
      </c>
    </row>
    <row r="69" spans="1:19" x14ac:dyDescent="0.25">
      <c r="A69" t="s">
        <v>36</v>
      </c>
      <c r="B69" s="65">
        <v>4</v>
      </c>
      <c r="C69" t="s">
        <v>11</v>
      </c>
      <c r="D69" s="66">
        <v>3600</v>
      </c>
      <c r="E69" s="66">
        <v>3605</v>
      </c>
      <c r="F69" s="67">
        <v>3508</v>
      </c>
      <c r="G69" s="13">
        <f t="shared" si="13"/>
        <v>-97</v>
      </c>
      <c r="H69" s="13">
        <f t="shared" si="14"/>
        <v>-92</v>
      </c>
      <c r="I69" s="73">
        <f t="shared" si="15"/>
        <v>-2.5555555555555554E-2</v>
      </c>
      <c r="J69" s="73">
        <f t="shared" si="16"/>
        <v>-2.6907073509015222E-2</v>
      </c>
      <c r="K69" s="72" t="str">
        <f t="shared" si="17"/>
        <v>MAJA1</v>
      </c>
      <c r="L69" s="72" t="str">
        <f t="shared" si="18"/>
        <v>JANUARY-4-MAJA1</v>
      </c>
      <c r="M69" s="73">
        <f t="shared" si="19"/>
        <v>2.1179757343550598E-2</v>
      </c>
      <c r="N69" s="73">
        <f t="shared" si="20"/>
        <v>-0.12498091425365476</v>
      </c>
      <c r="O69" s="13">
        <f t="shared" si="21"/>
        <v>866754</v>
      </c>
      <c r="P69" s="13">
        <f t="shared" si="22"/>
        <v>879535</v>
      </c>
      <c r="Q69" s="13">
        <f t="shared" si="23"/>
        <v>871282</v>
      </c>
      <c r="R69" s="33">
        <f t="shared" si="24"/>
        <v>5.224088957189732E-3</v>
      </c>
      <c r="S69" s="33">
        <f t="shared" si="25"/>
        <v>-9.3833673475188784E-3</v>
      </c>
    </row>
    <row r="70" spans="1:19" x14ac:dyDescent="0.25">
      <c r="A70" t="s">
        <v>36</v>
      </c>
      <c r="B70" s="65">
        <v>4</v>
      </c>
      <c r="C70" t="s">
        <v>14</v>
      </c>
      <c r="D70" s="66">
        <v>13284</v>
      </c>
      <c r="E70" s="66">
        <v>13295</v>
      </c>
      <c r="F70" s="67">
        <v>13284</v>
      </c>
      <c r="G70" s="13">
        <f t="shared" si="13"/>
        <v>-11</v>
      </c>
      <c r="H70" s="13">
        <f t="shared" si="14"/>
        <v>0</v>
      </c>
      <c r="I70" s="73">
        <f t="shared" si="15"/>
        <v>0</v>
      </c>
      <c r="J70" s="73">
        <f t="shared" si="16"/>
        <v>-8.2737871380222927E-4</v>
      </c>
      <c r="K70" s="72" t="str">
        <f t="shared" si="17"/>
        <v>GM2</v>
      </c>
      <c r="L70" s="72" t="str">
        <f t="shared" si="18"/>
        <v>JANUARY-4-GM2</v>
      </c>
      <c r="M70" s="73">
        <f t="shared" si="19"/>
        <v>0.1179952108944553</v>
      </c>
      <c r="N70" s="73">
        <f t="shared" si="20"/>
        <v>-0.12896181080747948</v>
      </c>
      <c r="O70" s="13">
        <f t="shared" si="21"/>
        <v>866754</v>
      </c>
      <c r="P70" s="13">
        <f t="shared" si="22"/>
        <v>879535</v>
      </c>
      <c r="Q70" s="13">
        <f t="shared" si="23"/>
        <v>871282</v>
      </c>
      <c r="R70" s="33">
        <f t="shared" si="24"/>
        <v>5.224088957189732E-3</v>
      </c>
      <c r="S70" s="33">
        <f t="shared" si="25"/>
        <v>-9.3833673475188784E-3</v>
      </c>
    </row>
    <row r="71" spans="1:19" x14ac:dyDescent="0.25">
      <c r="A71" t="s">
        <v>36</v>
      </c>
      <c r="B71" s="65">
        <v>4</v>
      </c>
      <c r="C71" t="s">
        <v>14</v>
      </c>
      <c r="D71" s="66">
        <v>1080</v>
      </c>
      <c r="E71" s="66">
        <v>1081</v>
      </c>
      <c r="F71" s="67">
        <v>1080</v>
      </c>
      <c r="G71" s="13">
        <f t="shared" si="13"/>
        <v>-1</v>
      </c>
      <c r="H71" s="13">
        <f t="shared" si="14"/>
        <v>0</v>
      </c>
      <c r="I71" s="73">
        <f t="shared" si="15"/>
        <v>0</v>
      </c>
      <c r="J71" s="73">
        <f t="shared" si="16"/>
        <v>-9.2506938020353591E-4</v>
      </c>
      <c r="K71" s="72" t="str">
        <f t="shared" si="17"/>
        <v>GM2</v>
      </c>
      <c r="L71" s="72" t="str">
        <f t="shared" si="18"/>
        <v>JANUARY-4-GM2</v>
      </c>
      <c r="M71" s="73">
        <f t="shared" si="19"/>
        <v>0.1179952108944553</v>
      </c>
      <c r="N71" s="73">
        <f t="shared" si="20"/>
        <v>-0.12896181080747948</v>
      </c>
      <c r="O71" s="13">
        <f t="shared" si="21"/>
        <v>866754</v>
      </c>
      <c r="P71" s="13">
        <f t="shared" si="22"/>
        <v>879535</v>
      </c>
      <c r="Q71" s="13">
        <f t="shared" si="23"/>
        <v>871282</v>
      </c>
      <c r="R71" s="33">
        <f t="shared" si="24"/>
        <v>5.224088957189732E-3</v>
      </c>
      <c r="S71" s="33">
        <f t="shared" si="25"/>
        <v>-9.3833673475188784E-3</v>
      </c>
    </row>
    <row r="72" spans="1:19" x14ac:dyDescent="0.25">
      <c r="A72" t="s">
        <v>36</v>
      </c>
      <c r="B72" s="65">
        <v>4</v>
      </c>
      <c r="C72" t="s">
        <v>14</v>
      </c>
      <c r="D72" s="66">
        <v>6372</v>
      </c>
      <c r="E72" s="66">
        <v>6381</v>
      </c>
      <c r="F72" s="67">
        <v>6372</v>
      </c>
      <c r="G72" s="13">
        <f t="shared" si="13"/>
        <v>-9</v>
      </c>
      <c r="H72" s="13">
        <f t="shared" si="14"/>
        <v>0</v>
      </c>
      <c r="I72" s="73">
        <f t="shared" si="15"/>
        <v>0</v>
      </c>
      <c r="J72" s="73">
        <f t="shared" si="16"/>
        <v>-1.4104372355430161E-3</v>
      </c>
      <c r="K72" s="72" t="str">
        <f t="shared" si="17"/>
        <v>GM2</v>
      </c>
      <c r="L72" s="72" t="str">
        <f t="shared" si="18"/>
        <v>JANUARY-4-GM2</v>
      </c>
      <c r="M72" s="73">
        <f t="shared" si="19"/>
        <v>0.1179952108944553</v>
      </c>
      <c r="N72" s="73">
        <f t="shared" si="20"/>
        <v>-0.12896181080747948</v>
      </c>
      <c r="O72" s="13">
        <f t="shared" si="21"/>
        <v>866754</v>
      </c>
      <c r="P72" s="13">
        <f t="shared" si="22"/>
        <v>879535</v>
      </c>
      <c r="Q72" s="13">
        <f t="shared" si="23"/>
        <v>871282</v>
      </c>
      <c r="R72" s="33">
        <f t="shared" si="24"/>
        <v>5.224088957189732E-3</v>
      </c>
      <c r="S72" s="33">
        <f t="shared" si="25"/>
        <v>-9.3833673475188784E-3</v>
      </c>
    </row>
    <row r="73" spans="1:19" x14ac:dyDescent="0.25">
      <c r="A73" t="s">
        <v>36</v>
      </c>
      <c r="B73" s="65">
        <v>4</v>
      </c>
      <c r="C73" t="s">
        <v>14</v>
      </c>
      <c r="D73" s="66">
        <v>1080</v>
      </c>
      <c r="E73" s="66">
        <v>1081</v>
      </c>
      <c r="F73" s="67">
        <v>1080</v>
      </c>
      <c r="G73" s="13">
        <f t="shared" si="13"/>
        <v>-1</v>
      </c>
      <c r="H73" s="13">
        <f t="shared" si="14"/>
        <v>0</v>
      </c>
      <c r="I73" s="73">
        <f t="shared" si="15"/>
        <v>0</v>
      </c>
      <c r="J73" s="73">
        <f t="shared" si="16"/>
        <v>-9.2506938020353591E-4</v>
      </c>
      <c r="K73" s="72" t="str">
        <f t="shared" si="17"/>
        <v>GM2</v>
      </c>
      <c r="L73" s="72" t="str">
        <f t="shared" si="18"/>
        <v>JANUARY-4-GM2</v>
      </c>
      <c r="M73" s="73">
        <f t="shared" si="19"/>
        <v>0.1179952108944553</v>
      </c>
      <c r="N73" s="73">
        <f t="shared" si="20"/>
        <v>-0.12896181080747948</v>
      </c>
      <c r="O73" s="13">
        <f t="shared" si="21"/>
        <v>866754</v>
      </c>
      <c r="P73" s="13">
        <f t="shared" si="22"/>
        <v>879535</v>
      </c>
      <c r="Q73" s="13">
        <f t="shared" si="23"/>
        <v>871282</v>
      </c>
      <c r="R73" s="33">
        <f t="shared" si="24"/>
        <v>5.224088957189732E-3</v>
      </c>
      <c r="S73" s="33">
        <f t="shared" si="25"/>
        <v>-9.3833673475188784E-3</v>
      </c>
    </row>
    <row r="74" spans="1:19" x14ac:dyDescent="0.25">
      <c r="A74" t="s">
        <v>36</v>
      </c>
      <c r="B74" s="65">
        <v>4</v>
      </c>
      <c r="C74" t="s">
        <v>14</v>
      </c>
      <c r="D74" s="66">
        <v>9504</v>
      </c>
      <c r="E74" s="66">
        <v>9517</v>
      </c>
      <c r="F74" s="67">
        <v>9504</v>
      </c>
      <c r="G74" s="13">
        <f t="shared" si="13"/>
        <v>-13</v>
      </c>
      <c r="H74" s="13">
        <f t="shared" si="14"/>
        <v>0</v>
      </c>
      <c r="I74" s="73">
        <f t="shared" si="15"/>
        <v>0</v>
      </c>
      <c r="J74" s="73">
        <f t="shared" si="16"/>
        <v>-1.3659766733213896E-3</v>
      </c>
      <c r="K74" s="72" t="str">
        <f t="shared" si="17"/>
        <v>GM2</v>
      </c>
      <c r="L74" s="72" t="str">
        <f t="shared" si="18"/>
        <v>JANUARY-4-GM2</v>
      </c>
      <c r="M74" s="73">
        <f t="shared" si="19"/>
        <v>0.1179952108944553</v>
      </c>
      <c r="N74" s="73">
        <f t="shared" si="20"/>
        <v>-0.12896181080747948</v>
      </c>
      <c r="O74" s="13">
        <f t="shared" si="21"/>
        <v>866754</v>
      </c>
      <c r="P74" s="13">
        <f t="shared" si="22"/>
        <v>879535</v>
      </c>
      <c r="Q74" s="13">
        <f t="shared" si="23"/>
        <v>871282</v>
      </c>
      <c r="R74" s="33">
        <f t="shared" si="24"/>
        <v>5.224088957189732E-3</v>
      </c>
      <c r="S74" s="33">
        <f t="shared" si="25"/>
        <v>-9.3833673475188784E-3</v>
      </c>
    </row>
    <row r="75" spans="1:19" x14ac:dyDescent="0.25">
      <c r="A75" t="s">
        <v>36</v>
      </c>
      <c r="B75" s="65">
        <v>4</v>
      </c>
      <c r="C75" t="s">
        <v>14</v>
      </c>
      <c r="D75" s="66">
        <v>1080</v>
      </c>
      <c r="E75" s="66">
        <v>1080</v>
      </c>
      <c r="F75" s="67">
        <v>1080</v>
      </c>
      <c r="G75" s="13">
        <f t="shared" si="13"/>
        <v>0</v>
      </c>
      <c r="H75" s="13">
        <f t="shared" si="14"/>
        <v>0</v>
      </c>
      <c r="I75" s="73">
        <f t="shared" si="15"/>
        <v>0</v>
      </c>
      <c r="J75" s="73">
        <f t="shared" si="16"/>
        <v>0</v>
      </c>
      <c r="K75" s="72" t="str">
        <f t="shared" si="17"/>
        <v>GM2</v>
      </c>
      <c r="L75" s="72" t="str">
        <f t="shared" si="18"/>
        <v>JANUARY-4-GM2</v>
      </c>
      <c r="M75" s="73">
        <f t="shared" si="19"/>
        <v>0.1179952108944553</v>
      </c>
      <c r="N75" s="73">
        <f t="shared" si="20"/>
        <v>-0.12896181080747948</v>
      </c>
      <c r="O75" s="13">
        <f t="shared" si="21"/>
        <v>866754</v>
      </c>
      <c r="P75" s="13">
        <f t="shared" si="22"/>
        <v>879535</v>
      </c>
      <c r="Q75" s="13">
        <f t="shared" si="23"/>
        <v>871282</v>
      </c>
      <c r="R75" s="33">
        <f t="shared" si="24"/>
        <v>5.224088957189732E-3</v>
      </c>
      <c r="S75" s="33">
        <f t="shared" si="25"/>
        <v>-9.3833673475188784E-3</v>
      </c>
    </row>
    <row r="76" spans="1:19" x14ac:dyDescent="0.25">
      <c r="A76" t="s">
        <v>36</v>
      </c>
      <c r="B76" s="65">
        <v>4</v>
      </c>
      <c r="C76" t="s">
        <v>14</v>
      </c>
      <c r="D76" s="66">
        <v>6372</v>
      </c>
      <c r="E76" s="66">
        <v>6394</v>
      </c>
      <c r="F76" s="67">
        <v>6372</v>
      </c>
      <c r="G76" s="13">
        <f t="shared" si="13"/>
        <v>-22</v>
      </c>
      <c r="H76" s="13">
        <f t="shared" si="14"/>
        <v>0</v>
      </c>
      <c r="I76" s="73">
        <f t="shared" si="15"/>
        <v>0</v>
      </c>
      <c r="J76" s="73">
        <f t="shared" si="16"/>
        <v>-3.4407256803252739E-3</v>
      </c>
      <c r="K76" s="72" t="str">
        <f t="shared" si="17"/>
        <v>GM2</v>
      </c>
      <c r="L76" s="72" t="str">
        <f t="shared" si="18"/>
        <v>JANUARY-4-GM2</v>
      </c>
      <c r="M76" s="73">
        <f t="shared" si="19"/>
        <v>0.1179952108944553</v>
      </c>
      <c r="N76" s="73">
        <f t="shared" si="20"/>
        <v>-0.12896181080747948</v>
      </c>
      <c r="O76" s="13">
        <f t="shared" si="21"/>
        <v>866754</v>
      </c>
      <c r="P76" s="13">
        <f t="shared" si="22"/>
        <v>879535</v>
      </c>
      <c r="Q76" s="13">
        <f t="shared" si="23"/>
        <v>871282</v>
      </c>
      <c r="R76" s="33">
        <f t="shared" si="24"/>
        <v>5.224088957189732E-3</v>
      </c>
      <c r="S76" s="33">
        <f t="shared" si="25"/>
        <v>-9.3833673475188784E-3</v>
      </c>
    </row>
    <row r="77" spans="1:19" x14ac:dyDescent="0.25">
      <c r="A77" t="s">
        <v>36</v>
      </c>
      <c r="B77" s="65">
        <v>4</v>
      </c>
      <c r="C77" t="s">
        <v>14</v>
      </c>
      <c r="D77" s="66">
        <v>1080</v>
      </c>
      <c r="E77" s="66">
        <v>1080</v>
      </c>
      <c r="F77" s="67">
        <v>1080</v>
      </c>
      <c r="G77" s="13">
        <f t="shared" si="13"/>
        <v>0</v>
      </c>
      <c r="H77" s="13">
        <f t="shared" si="14"/>
        <v>0</v>
      </c>
      <c r="I77" s="73">
        <f t="shared" si="15"/>
        <v>0</v>
      </c>
      <c r="J77" s="73">
        <f t="shared" si="16"/>
        <v>0</v>
      </c>
      <c r="K77" s="72" t="str">
        <f t="shared" si="17"/>
        <v>GM2</v>
      </c>
      <c r="L77" s="72" t="str">
        <f t="shared" si="18"/>
        <v>JANUARY-4-GM2</v>
      </c>
      <c r="M77" s="73">
        <f t="shared" si="19"/>
        <v>0.1179952108944553</v>
      </c>
      <c r="N77" s="73">
        <f t="shared" si="20"/>
        <v>-0.12896181080747948</v>
      </c>
      <c r="O77" s="13">
        <f t="shared" si="21"/>
        <v>866754</v>
      </c>
      <c r="P77" s="13">
        <f t="shared" si="22"/>
        <v>879535</v>
      </c>
      <c r="Q77" s="13">
        <f t="shared" si="23"/>
        <v>871282</v>
      </c>
      <c r="R77" s="33">
        <f t="shared" si="24"/>
        <v>5.224088957189732E-3</v>
      </c>
      <c r="S77" s="33">
        <f t="shared" si="25"/>
        <v>-9.3833673475188784E-3</v>
      </c>
    </row>
    <row r="78" spans="1:19" x14ac:dyDescent="0.25">
      <c r="A78" t="s">
        <v>36</v>
      </c>
      <c r="B78" s="65">
        <v>4</v>
      </c>
      <c r="C78" t="s">
        <v>14</v>
      </c>
      <c r="D78" s="66">
        <v>4320</v>
      </c>
      <c r="E78" s="66">
        <v>4341</v>
      </c>
      <c r="F78" s="67">
        <v>4320</v>
      </c>
      <c r="G78" s="13">
        <f t="shared" si="13"/>
        <v>-21</v>
      </c>
      <c r="H78" s="13">
        <f t="shared" si="14"/>
        <v>0</v>
      </c>
      <c r="I78" s="73">
        <f t="shared" si="15"/>
        <v>0</v>
      </c>
      <c r="J78" s="73">
        <f t="shared" si="16"/>
        <v>-4.8375950241880128E-3</v>
      </c>
      <c r="K78" s="72" t="str">
        <f t="shared" si="17"/>
        <v>GM2</v>
      </c>
      <c r="L78" s="72" t="str">
        <f t="shared" si="18"/>
        <v>JANUARY-4-GM2</v>
      </c>
      <c r="M78" s="73">
        <f t="shared" si="19"/>
        <v>0.1179952108944553</v>
      </c>
      <c r="N78" s="73">
        <f t="shared" si="20"/>
        <v>-0.12896181080747948</v>
      </c>
      <c r="O78" s="13">
        <f t="shared" si="21"/>
        <v>866754</v>
      </c>
      <c r="P78" s="13">
        <f t="shared" si="22"/>
        <v>879535</v>
      </c>
      <c r="Q78" s="13">
        <f t="shared" si="23"/>
        <v>871282</v>
      </c>
      <c r="R78" s="33">
        <f t="shared" si="24"/>
        <v>5.224088957189732E-3</v>
      </c>
      <c r="S78" s="33">
        <f t="shared" si="25"/>
        <v>-9.3833673475188784E-3</v>
      </c>
    </row>
    <row r="79" spans="1:19" x14ac:dyDescent="0.25">
      <c r="A79" t="s">
        <v>36</v>
      </c>
      <c r="B79" s="65">
        <v>4</v>
      </c>
      <c r="C79" t="s">
        <v>13</v>
      </c>
      <c r="D79" s="66">
        <v>2160</v>
      </c>
      <c r="E79" s="66">
        <v>2226</v>
      </c>
      <c r="F79" s="67">
        <v>2223</v>
      </c>
      <c r="G79" s="13">
        <f t="shared" si="13"/>
        <v>-3</v>
      </c>
      <c r="H79" s="13">
        <f t="shared" si="14"/>
        <v>63</v>
      </c>
      <c r="I79" s="73">
        <f t="shared" si="15"/>
        <v>2.9166666666666563E-2</v>
      </c>
      <c r="J79" s="73">
        <f t="shared" si="16"/>
        <v>-1.3477088948786742E-3</v>
      </c>
      <c r="K79" s="72" t="str">
        <f t="shared" si="17"/>
        <v>KALIBENDA</v>
      </c>
      <c r="L79" s="72" t="str">
        <f t="shared" si="18"/>
        <v>JANUARY-4-KALIBENDA</v>
      </c>
      <c r="M79" s="73">
        <f t="shared" si="19"/>
        <v>0.17649768968488622</v>
      </c>
      <c r="N79" s="73">
        <f t="shared" si="20"/>
        <v>-2.3863565157408617E-2</v>
      </c>
      <c r="O79" s="13">
        <f t="shared" si="21"/>
        <v>866754</v>
      </c>
      <c r="P79" s="13">
        <f t="shared" si="22"/>
        <v>879535</v>
      </c>
      <c r="Q79" s="13">
        <f t="shared" si="23"/>
        <v>871282</v>
      </c>
      <c r="R79" s="33">
        <f t="shared" si="24"/>
        <v>5.224088957189732E-3</v>
      </c>
      <c r="S79" s="33">
        <f t="shared" si="25"/>
        <v>-9.3833673475188784E-3</v>
      </c>
    </row>
    <row r="80" spans="1:19" x14ac:dyDescent="0.25">
      <c r="A80" t="s">
        <v>36</v>
      </c>
      <c r="B80" s="65">
        <v>4</v>
      </c>
      <c r="C80" t="s">
        <v>11</v>
      </c>
      <c r="D80" s="66">
        <v>9396</v>
      </c>
      <c r="E80" s="66">
        <v>9688</v>
      </c>
      <c r="F80" s="67">
        <v>9672</v>
      </c>
      <c r="G80" s="13">
        <f t="shared" si="13"/>
        <v>-16</v>
      </c>
      <c r="H80" s="13">
        <f t="shared" si="14"/>
        <v>276</v>
      </c>
      <c r="I80" s="73">
        <f t="shared" si="15"/>
        <v>2.9374201787994991E-2</v>
      </c>
      <c r="J80" s="73">
        <f t="shared" si="16"/>
        <v>-1.6515276630884035E-3</v>
      </c>
      <c r="K80" s="72" t="str">
        <f t="shared" si="17"/>
        <v>MAJA1</v>
      </c>
      <c r="L80" s="72" t="str">
        <f t="shared" si="18"/>
        <v>JANUARY-4-MAJA1</v>
      </c>
      <c r="M80" s="73">
        <f t="shared" si="19"/>
        <v>2.1179757343550598E-2</v>
      </c>
      <c r="N80" s="73">
        <f t="shared" si="20"/>
        <v>-0.12498091425365476</v>
      </c>
      <c r="O80" s="13">
        <f t="shared" si="21"/>
        <v>866754</v>
      </c>
      <c r="P80" s="13">
        <f t="shared" si="22"/>
        <v>879535</v>
      </c>
      <c r="Q80" s="13">
        <f t="shared" si="23"/>
        <v>871282</v>
      </c>
      <c r="R80" s="33">
        <f t="shared" si="24"/>
        <v>5.224088957189732E-3</v>
      </c>
      <c r="S80" s="33">
        <f t="shared" si="25"/>
        <v>-9.3833673475188784E-3</v>
      </c>
    </row>
    <row r="81" spans="1:19" x14ac:dyDescent="0.25">
      <c r="A81" t="s">
        <v>36</v>
      </c>
      <c r="B81" s="65">
        <v>4</v>
      </c>
      <c r="C81" t="s">
        <v>14</v>
      </c>
      <c r="D81" s="66">
        <v>1440</v>
      </c>
      <c r="E81" s="66">
        <v>1490</v>
      </c>
      <c r="F81" s="67">
        <v>1472</v>
      </c>
      <c r="G81" s="13">
        <f t="shared" si="13"/>
        <v>-18</v>
      </c>
      <c r="H81" s="13">
        <f t="shared" si="14"/>
        <v>32</v>
      </c>
      <c r="I81" s="73">
        <f t="shared" si="15"/>
        <v>2.2222222222222143E-2</v>
      </c>
      <c r="J81" s="73">
        <f t="shared" si="16"/>
        <v>-1.2080536912751683E-2</v>
      </c>
      <c r="K81" s="72" t="str">
        <f t="shared" si="17"/>
        <v>GM2</v>
      </c>
      <c r="L81" s="72" t="str">
        <f t="shared" si="18"/>
        <v>JANUARY-4-GM2</v>
      </c>
      <c r="M81" s="73">
        <f t="shared" si="19"/>
        <v>0.1179952108944553</v>
      </c>
      <c r="N81" s="73">
        <f t="shared" si="20"/>
        <v>-0.12896181080747948</v>
      </c>
      <c r="O81" s="13">
        <f t="shared" si="21"/>
        <v>866754</v>
      </c>
      <c r="P81" s="13">
        <f t="shared" si="22"/>
        <v>879535</v>
      </c>
      <c r="Q81" s="13">
        <f t="shared" si="23"/>
        <v>871282</v>
      </c>
      <c r="R81" s="33">
        <f t="shared" si="24"/>
        <v>5.224088957189732E-3</v>
      </c>
      <c r="S81" s="33">
        <f t="shared" si="25"/>
        <v>-9.3833673475188784E-3</v>
      </c>
    </row>
    <row r="82" spans="1:19" x14ac:dyDescent="0.25">
      <c r="A82" t="s">
        <v>36</v>
      </c>
      <c r="B82" s="65">
        <v>4</v>
      </c>
      <c r="C82" t="s">
        <v>14</v>
      </c>
      <c r="D82" s="66">
        <v>4032</v>
      </c>
      <c r="E82" s="66">
        <v>4147</v>
      </c>
      <c r="F82" s="67">
        <v>4032</v>
      </c>
      <c r="G82" s="13">
        <f t="shared" si="13"/>
        <v>-115</v>
      </c>
      <c r="H82" s="13">
        <f t="shared" si="14"/>
        <v>0</v>
      </c>
      <c r="I82" s="73">
        <f t="shared" si="15"/>
        <v>0</v>
      </c>
      <c r="J82" s="73">
        <f t="shared" si="16"/>
        <v>-2.7730889799855274E-2</v>
      </c>
      <c r="K82" s="72" t="str">
        <f t="shared" si="17"/>
        <v>GM2</v>
      </c>
      <c r="L82" s="72" t="str">
        <f t="shared" si="18"/>
        <v>JANUARY-4-GM2</v>
      </c>
      <c r="M82" s="73">
        <f t="shared" si="19"/>
        <v>0.1179952108944553</v>
      </c>
      <c r="N82" s="73">
        <f t="shared" si="20"/>
        <v>-0.12896181080747948</v>
      </c>
      <c r="O82" s="13">
        <f t="shared" si="21"/>
        <v>866754</v>
      </c>
      <c r="P82" s="13">
        <f t="shared" si="22"/>
        <v>879535</v>
      </c>
      <c r="Q82" s="13">
        <f t="shared" si="23"/>
        <v>871282</v>
      </c>
      <c r="R82" s="33">
        <f t="shared" si="24"/>
        <v>5.224088957189732E-3</v>
      </c>
      <c r="S82" s="33">
        <f t="shared" si="25"/>
        <v>-9.3833673475188784E-3</v>
      </c>
    </row>
    <row r="83" spans="1:19" x14ac:dyDescent="0.25">
      <c r="A83" t="s">
        <v>36</v>
      </c>
      <c r="B83" s="65">
        <v>4</v>
      </c>
      <c r="C83" t="s">
        <v>14</v>
      </c>
      <c r="D83" s="66">
        <v>10512</v>
      </c>
      <c r="E83" s="66">
        <v>10830</v>
      </c>
      <c r="F83" s="67">
        <v>10748</v>
      </c>
      <c r="G83" s="13">
        <f t="shared" si="13"/>
        <v>-82</v>
      </c>
      <c r="H83" s="13">
        <f t="shared" si="14"/>
        <v>236</v>
      </c>
      <c r="I83" s="73">
        <f t="shared" si="15"/>
        <v>2.2450532724505257E-2</v>
      </c>
      <c r="J83" s="73">
        <f t="shared" si="16"/>
        <v>-7.5715604801477321E-3</v>
      </c>
      <c r="K83" s="72" t="str">
        <f t="shared" si="17"/>
        <v>GM2</v>
      </c>
      <c r="L83" s="72" t="str">
        <f t="shared" si="18"/>
        <v>JANUARY-4-GM2</v>
      </c>
      <c r="M83" s="73">
        <f t="shared" si="19"/>
        <v>0.1179952108944553</v>
      </c>
      <c r="N83" s="73">
        <f t="shared" si="20"/>
        <v>-0.12896181080747948</v>
      </c>
      <c r="O83" s="13">
        <f t="shared" si="21"/>
        <v>866754</v>
      </c>
      <c r="P83" s="13">
        <f t="shared" si="22"/>
        <v>879535</v>
      </c>
      <c r="Q83" s="13">
        <f t="shared" si="23"/>
        <v>871282</v>
      </c>
      <c r="R83" s="33">
        <f t="shared" si="24"/>
        <v>5.224088957189732E-3</v>
      </c>
      <c r="S83" s="33">
        <f t="shared" si="25"/>
        <v>-9.3833673475188784E-3</v>
      </c>
    </row>
    <row r="84" spans="1:19" x14ac:dyDescent="0.25">
      <c r="A84" t="s">
        <v>36</v>
      </c>
      <c r="B84" s="65">
        <v>4</v>
      </c>
      <c r="C84" t="s">
        <v>14</v>
      </c>
      <c r="D84" s="66">
        <v>3600</v>
      </c>
      <c r="E84" s="66">
        <v>3720</v>
      </c>
      <c r="F84" s="67">
        <v>3700</v>
      </c>
      <c r="G84" s="13">
        <f t="shared" si="13"/>
        <v>-20</v>
      </c>
      <c r="H84" s="13">
        <f t="shared" si="14"/>
        <v>100</v>
      </c>
      <c r="I84" s="73">
        <f t="shared" si="15"/>
        <v>2.7777777777777679E-2</v>
      </c>
      <c r="J84" s="73">
        <f t="shared" si="16"/>
        <v>-5.3763440860215006E-3</v>
      </c>
      <c r="K84" s="72" t="str">
        <f t="shared" si="17"/>
        <v>GM2</v>
      </c>
      <c r="L84" s="72" t="str">
        <f t="shared" si="18"/>
        <v>JANUARY-4-GM2</v>
      </c>
      <c r="M84" s="73">
        <f t="shared" si="19"/>
        <v>0.1179952108944553</v>
      </c>
      <c r="N84" s="73">
        <f t="shared" si="20"/>
        <v>-0.12896181080747948</v>
      </c>
      <c r="O84" s="13">
        <f t="shared" si="21"/>
        <v>866754</v>
      </c>
      <c r="P84" s="13">
        <f t="shared" si="22"/>
        <v>879535</v>
      </c>
      <c r="Q84" s="13">
        <f t="shared" si="23"/>
        <v>871282</v>
      </c>
      <c r="R84" s="33">
        <f t="shared" si="24"/>
        <v>5.224088957189732E-3</v>
      </c>
      <c r="S84" s="33">
        <f t="shared" si="25"/>
        <v>-9.3833673475188784E-3</v>
      </c>
    </row>
    <row r="85" spans="1:19" x14ac:dyDescent="0.25">
      <c r="A85" t="s">
        <v>36</v>
      </c>
      <c r="B85" s="65">
        <v>4</v>
      </c>
      <c r="C85" t="s">
        <v>14</v>
      </c>
      <c r="D85" s="66">
        <v>10656</v>
      </c>
      <c r="E85" s="66">
        <v>10951</v>
      </c>
      <c r="F85" s="67">
        <v>10712</v>
      </c>
      <c r="G85" s="13">
        <f t="shared" si="13"/>
        <v>-239</v>
      </c>
      <c r="H85" s="13">
        <f t="shared" si="14"/>
        <v>56</v>
      </c>
      <c r="I85" s="73">
        <f t="shared" si="15"/>
        <v>5.2552552552551646E-3</v>
      </c>
      <c r="J85" s="73">
        <f t="shared" si="16"/>
        <v>-2.1824490914071792E-2</v>
      </c>
      <c r="K85" s="72" t="str">
        <f t="shared" si="17"/>
        <v>GM2</v>
      </c>
      <c r="L85" s="72" t="str">
        <f t="shared" si="18"/>
        <v>JANUARY-4-GM2</v>
      </c>
      <c r="M85" s="73">
        <f t="shared" si="19"/>
        <v>0.1179952108944553</v>
      </c>
      <c r="N85" s="73">
        <f t="shared" si="20"/>
        <v>-0.12896181080747948</v>
      </c>
      <c r="O85" s="13">
        <f t="shared" si="21"/>
        <v>866754</v>
      </c>
      <c r="P85" s="13">
        <f t="shared" si="22"/>
        <v>879535</v>
      </c>
      <c r="Q85" s="13">
        <f t="shared" si="23"/>
        <v>871282</v>
      </c>
      <c r="R85" s="33">
        <f t="shared" si="24"/>
        <v>5.224088957189732E-3</v>
      </c>
      <c r="S85" s="33">
        <f t="shared" si="25"/>
        <v>-9.3833673475188784E-3</v>
      </c>
    </row>
    <row r="86" spans="1:19" x14ac:dyDescent="0.25">
      <c r="A86" t="s">
        <v>36</v>
      </c>
      <c r="B86" s="65">
        <v>4</v>
      </c>
      <c r="C86" t="s">
        <v>14</v>
      </c>
      <c r="D86" s="66">
        <v>11664</v>
      </c>
      <c r="E86" s="66">
        <v>11792</v>
      </c>
      <c r="F86" s="67">
        <v>11708</v>
      </c>
      <c r="G86" s="13">
        <f t="shared" si="13"/>
        <v>-84</v>
      </c>
      <c r="H86" s="13">
        <f t="shared" si="14"/>
        <v>44</v>
      </c>
      <c r="I86" s="73">
        <f t="shared" si="15"/>
        <v>3.7722908093278384E-3</v>
      </c>
      <c r="J86" s="73">
        <f t="shared" si="16"/>
        <v>-7.1234735413839845E-3</v>
      </c>
      <c r="K86" s="72" t="str">
        <f t="shared" si="17"/>
        <v>GM2</v>
      </c>
      <c r="L86" s="72" t="str">
        <f t="shared" si="18"/>
        <v>JANUARY-4-GM2</v>
      </c>
      <c r="M86" s="73">
        <f t="shared" si="19"/>
        <v>0.1179952108944553</v>
      </c>
      <c r="N86" s="73">
        <f t="shared" si="20"/>
        <v>-0.12896181080747948</v>
      </c>
      <c r="O86" s="13">
        <f t="shared" si="21"/>
        <v>866754</v>
      </c>
      <c r="P86" s="13">
        <f t="shared" si="22"/>
        <v>879535</v>
      </c>
      <c r="Q86" s="13">
        <f t="shared" si="23"/>
        <v>871282</v>
      </c>
      <c r="R86" s="33">
        <f t="shared" si="24"/>
        <v>5.224088957189732E-3</v>
      </c>
      <c r="S86" s="33">
        <f t="shared" si="25"/>
        <v>-9.3833673475188784E-3</v>
      </c>
    </row>
    <row r="87" spans="1:19" x14ac:dyDescent="0.25">
      <c r="A87" t="s">
        <v>36</v>
      </c>
      <c r="B87" s="65">
        <v>4</v>
      </c>
      <c r="C87" t="s">
        <v>14</v>
      </c>
      <c r="D87" s="66">
        <v>4896</v>
      </c>
      <c r="E87" s="66">
        <v>5022</v>
      </c>
      <c r="F87" s="67">
        <v>4980</v>
      </c>
      <c r="G87" s="13">
        <f t="shared" si="13"/>
        <v>-42</v>
      </c>
      <c r="H87" s="13">
        <f t="shared" si="14"/>
        <v>84</v>
      </c>
      <c r="I87" s="73">
        <f t="shared" si="15"/>
        <v>1.7156862745097978E-2</v>
      </c>
      <c r="J87" s="73">
        <f t="shared" si="16"/>
        <v>-8.3632019115890133E-3</v>
      </c>
      <c r="K87" s="72" t="str">
        <f t="shared" si="17"/>
        <v>GM2</v>
      </c>
      <c r="L87" s="72" t="str">
        <f t="shared" si="18"/>
        <v>JANUARY-4-GM2</v>
      </c>
      <c r="M87" s="73">
        <f t="shared" si="19"/>
        <v>0.1179952108944553</v>
      </c>
      <c r="N87" s="73">
        <f t="shared" si="20"/>
        <v>-0.12896181080747948</v>
      </c>
      <c r="O87" s="13">
        <f t="shared" si="21"/>
        <v>866754</v>
      </c>
      <c r="P87" s="13">
        <f t="shared" si="22"/>
        <v>879535</v>
      </c>
      <c r="Q87" s="13">
        <f t="shared" si="23"/>
        <v>871282</v>
      </c>
      <c r="R87" s="33">
        <f t="shared" si="24"/>
        <v>5.224088957189732E-3</v>
      </c>
      <c r="S87" s="33">
        <f t="shared" si="25"/>
        <v>-9.3833673475188784E-3</v>
      </c>
    </row>
    <row r="88" spans="1:19" x14ac:dyDescent="0.25">
      <c r="A88" t="s">
        <v>36</v>
      </c>
      <c r="B88" s="65">
        <v>4</v>
      </c>
      <c r="C88" t="s">
        <v>14</v>
      </c>
      <c r="D88" s="66">
        <v>3456</v>
      </c>
      <c r="E88" s="66">
        <v>3534</v>
      </c>
      <c r="F88" s="67">
        <v>3504</v>
      </c>
      <c r="G88" s="13">
        <f t="shared" si="13"/>
        <v>-30</v>
      </c>
      <c r="H88" s="13">
        <f t="shared" si="14"/>
        <v>48</v>
      </c>
      <c r="I88" s="73">
        <f t="shared" si="15"/>
        <v>1.388888888888884E-2</v>
      </c>
      <c r="J88" s="73">
        <f t="shared" si="16"/>
        <v>-8.4889643463497144E-3</v>
      </c>
      <c r="K88" s="72" t="str">
        <f t="shared" si="17"/>
        <v>GM2</v>
      </c>
      <c r="L88" s="72" t="str">
        <f t="shared" si="18"/>
        <v>JANUARY-4-GM2</v>
      </c>
      <c r="M88" s="73">
        <f t="shared" si="19"/>
        <v>0.1179952108944553</v>
      </c>
      <c r="N88" s="73">
        <f t="shared" si="20"/>
        <v>-0.12896181080747948</v>
      </c>
      <c r="O88" s="13">
        <f t="shared" si="21"/>
        <v>866754</v>
      </c>
      <c r="P88" s="13">
        <f t="shared" si="22"/>
        <v>879535</v>
      </c>
      <c r="Q88" s="13">
        <f t="shared" si="23"/>
        <v>871282</v>
      </c>
      <c r="R88" s="33">
        <f t="shared" si="24"/>
        <v>5.224088957189732E-3</v>
      </c>
      <c r="S88" s="33">
        <f t="shared" si="25"/>
        <v>-9.3833673475188784E-3</v>
      </c>
    </row>
    <row r="89" spans="1:19" x14ac:dyDescent="0.25">
      <c r="A89" t="s">
        <v>36</v>
      </c>
      <c r="B89" s="65">
        <v>4</v>
      </c>
      <c r="C89" t="s">
        <v>14</v>
      </c>
      <c r="D89" s="66">
        <v>9504</v>
      </c>
      <c r="E89" s="66">
        <v>9718</v>
      </c>
      <c r="F89" s="67">
        <v>9556</v>
      </c>
      <c r="G89" s="13">
        <f t="shared" si="13"/>
        <v>-162</v>
      </c>
      <c r="H89" s="13">
        <f t="shared" si="14"/>
        <v>52</v>
      </c>
      <c r="I89" s="73">
        <f t="shared" si="15"/>
        <v>5.4713804713804048E-3</v>
      </c>
      <c r="J89" s="73">
        <f t="shared" si="16"/>
        <v>-1.6670096727721795E-2</v>
      </c>
      <c r="K89" s="72" t="str">
        <f t="shared" si="17"/>
        <v>GM2</v>
      </c>
      <c r="L89" s="72" t="str">
        <f t="shared" si="18"/>
        <v>JANUARY-4-GM2</v>
      </c>
      <c r="M89" s="73">
        <f t="shared" si="19"/>
        <v>0.1179952108944553</v>
      </c>
      <c r="N89" s="73">
        <f t="shared" si="20"/>
        <v>-0.12896181080747948</v>
      </c>
      <c r="O89" s="13">
        <f t="shared" si="21"/>
        <v>866754</v>
      </c>
      <c r="P89" s="13">
        <f t="shared" si="22"/>
        <v>879535</v>
      </c>
      <c r="Q89" s="13">
        <f t="shared" si="23"/>
        <v>871282</v>
      </c>
      <c r="R89" s="33">
        <f t="shared" si="24"/>
        <v>5.224088957189732E-3</v>
      </c>
      <c r="S89" s="33">
        <f t="shared" si="25"/>
        <v>-9.3833673475188784E-3</v>
      </c>
    </row>
    <row r="90" spans="1:19" x14ac:dyDescent="0.25">
      <c r="A90" t="s">
        <v>36</v>
      </c>
      <c r="B90" s="65">
        <v>4</v>
      </c>
      <c r="C90" t="s">
        <v>11</v>
      </c>
      <c r="D90" s="66">
        <v>400</v>
      </c>
      <c r="E90" s="66">
        <v>402</v>
      </c>
      <c r="F90" s="67">
        <v>400</v>
      </c>
      <c r="G90" s="13">
        <f t="shared" si="13"/>
        <v>-2</v>
      </c>
      <c r="H90" s="13">
        <f t="shared" si="14"/>
        <v>0</v>
      </c>
      <c r="I90" s="73">
        <f t="shared" si="15"/>
        <v>0</v>
      </c>
      <c r="J90" s="73">
        <f t="shared" si="16"/>
        <v>-4.9751243781094301E-3</v>
      </c>
      <c r="K90" s="72" t="str">
        <f t="shared" si="17"/>
        <v>MAJA1</v>
      </c>
      <c r="L90" s="72" t="str">
        <f t="shared" si="18"/>
        <v>JANUARY-4-MAJA1</v>
      </c>
      <c r="M90" s="73">
        <f t="shared" si="19"/>
        <v>2.1179757343550598E-2</v>
      </c>
      <c r="N90" s="73">
        <f t="shared" si="20"/>
        <v>-0.12498091425365476</v>
      </c>
      <c r="O90" s="13">
        <f t="shared" si="21"/>
        <v>866754</v>
      </c>
      <c r="P90" s="13">
        <f t="shared" si="22"/>
        <v>879535</v>
      </c>
      <c r="Q90" s="13">
        <f t="shared" si="23"/>
        <v>871282</v>
      </c>
      <c r="R90" s="33">
        <f t="shared" si="24"/>
        <v>5.224088957189732E-3</v>
      </c>
      <c r="S90" s="33">
        <f t="shared" si="25"/>
        <v>-9.3833673475188784E-3</v>
      </c>
    </row>
    <row r="91" spans="1:19" x14ac:dyDescent="0.25">
      <c r="A91" t="s">
        <v>36</v>
      </c>
      <c r="B91" s="65">
        <v>4</v>
      </c>
      <c r="C91" t="s">
        <v>11</v>
      </c>
      <c r="D91" s="66">
        <v>30</v>
      </c>
      <c r="E91" s="66">
        <v>30</v>
      </c>
      <c r="F91" s="67">
        <v>30</v>
      </c>
      <c r="G91" s="13">
        <f t="shared" si="13"/>
        <v>0</v>
      </c>
      <c r="H91" s="13">
        <f t="shared" si="14"/>
        <v>0</v>
      </c>
      <c r="I91" s="73">
        <f t="shared" si="15"/>
        <v>0</v>
      </c>
      <c r="J91" s="73">
        <f t="shared" si="16"/>
        <v>0</v>
      </c>
      <c r="K91" s="72" t="str">
        <f t="shared" si="17"/>
        <v>MAJA1</v>
      </c>
      <c r="L91" s="72" t="str">
        <f t="shared" si="18"/>
        <v>JANUARY-4-MAJA1</v>
      </c>
      <c r="M91" s="73">
        <f t="shared" si="19"/>
        <v>2.1179757343550598E-2</v>
      </c>
      <c r="N91" s="73">
        <f t="shared" si="20"/>
        <v>-0.12498091425365476</v>
      </c>
      <c r="O91" s="13">
        <f t="shared" si="21"/>
        <v>866754</v>
      </c>
      <c r="P91" s="13">
        <f t="shared" si="22"/>
        <v>879535</v>
      </c>
      <c r="Q91" s="13">
        <f t="shared" si="23"/>
        <v>871282</v>
      </c>
      <c r="R91" s="33">
        <f t="shared" si="24"/>
        <v>5.224088957189732E-3</v>
      </c>
      <c r="S91" s="33">
        <f t="shared" si="25"/>
        <v>-9.3833673475188784E-3</v>
      </c>
    </row>
    <row r="92" spans="1:19" x14ac:dyDescent="0.25">
      <c r="A92" t="s">
        <v>36</v>
      </c>
      <c r="B92" s="65">
        <v>4</v>
      </c>
      <c r="C92" t="s">
        <v>11</v>
      </c>
      <c r="D92" s="66">
        <v>190</v>
      </c>
      <c r="E92" s="66">
        <v>191</v>
      </c>
      <c r="F92" s="67">
        <v>190</v>
      </c>
      <c r="G92" s="13">
        <f t="shared" si="13"/>
        <v>-1</v>
      </c>
      <c r="H92" s="13">
        <f t="shared" si="14"/>
        <v>0</v>
      </c>
      <c r="I92" s="73">
        <f t="shared" si="15"/>
        <v>0</v>
      </c>
      <c r="J92" s="73">
        <f t="shared" si="16"/>
        <v>-5.2356020942407877E-3</v>
      </c>
      <c r="K92" s="72" t="str">
        <f t="shared" si="17"/>
        <v>MAJA1</v>
      </c>
      <c r="L92" s="72" t="str">
        <f t="shared" si="18"/>
        <v>JANUARY-4-MAJA1</v>
      </c>
      <c r="M92" s="73">
        <f t="shared" si="19"/>
        <v>2.1179757343550598E-2</v>
      </c>
      <c r="N92" s="73">
        <f t="shared" si="20"/>
        <v>-0.12498091425365476</v>
      </c>
      <c r="O92" s="13">
        <f t="shared" si="21"/>
        <v>866754</v>
      </c>
      <c r="P92" s="13">
        <f t="shared" si="22"/>
        <v>879535</v>
      </c>
      <c r="Q92" s="13">
        <f t="shared" si="23"/>
        <v>871282</v>
      </c>
      <c r="R92" s="33">
        <f t="shared" si="24"/>
        <v>5.224088957189732E-3</v>
      </c>
      <c r="S92" s="33">
        <f t="shared" si="25"/>
        <v>-9.3833673475188784E-3</v>
      </c>
    </row>
    <row r="93" spans="1:19" x14ac:dyDescent="0.25">
      <c r="A93" t="s">
        <v>36</v>
      </c>
      <c r="B93" s="65">
        <v>4</v>
      </c>
      <c r="C93" t="s">
        <v>11</v>
      </c>
      <c r="D93" s="66">
        <v>310</v>
      </c>
      <c r="E93" s="66">
        <v>310</v>
      </c>
      <c r="F93" s="67">
        <v>310</v>
      </c>
      <c r="G93" s="13">
        <f t="shared" si="13"/>
        <v>0</v>
      </c>
      <c r="H93" s="13">
        <f t="shared" si="14"/>
        <v>0</v>
      </c>
      <c r="I93" s="73">
        <f t="shared" si="15"/>
        <v>0</v>
      </c>
      <c r="J93" s="73">
        <f t="shared" si="16"/>
        <v>0</v>
      </c>
      <c r="K93" s="72" t="str">
        <f t="shared" si="17"/>
        <v>MAJA1</v>
      </c>
      <c r="L93" s="72" t="str">
        <f t="shared" si="18"/>
        <v>JANUARY-4-MAJA1</v>
      </c>
      <c r="M93" s="73">
        <f t="shared" si="19"/>
        <v>2.1179757343550598E-2</v>
      </c>
      <c r="N93" s="73">
        <f t="shared" si="20"/>
        <v>-0.12498091425365476</v>
      </c>
      <c r="O93" s="13">
        <f t="shared" si="21"/>
        <v>866754</v>
      </c>
      <c r="P93" s="13">
        <f t="shared" si="22"/>
        <v>879535</v>
      </c>
      <c r="Q93" s="13">
        <f t="shared" si="23"/>
        <v>871282</v>
      </c>
      <c r="R93" s="33">
        <f t="shared" si="24"/>
        <v>5.224088957189732E-3</v>
      </c>
      <c r="S93" s="33">
        <f t="shared" si="25"/>
        <v>-9.3833673475188784E-3</v>
      </c>
    </row>
    <row r="94" spans="1:19" x14ac:dyDescent="0.25">
      <c r="A94" t="s">
        <v>36</v>
      </c>
      <c r="B94" s="65">
        <v>4</v>
      </c>
      <c r="C94" t="s">
        <v>11</v>
      </c>
      <c r="D94" s="66">
        <v>70</v>
      </c>
      <c r="E94" s="66">
        <v>70</v>
      </c>
      <c r="F94" s="67">
        <v>70</v>
      </c>
      <c r="G94" s="13">
        <f t="shared" si="13"/>
        <v>0</v>
      </c>
      <c r="H94" s="13">
        <f t="shared" si="14"/>
        <v>0</v>
      </c>
      <c r="I94" s="73">
        <f t="shared" si="15"/>
        <v>0</v>
      </c>
      <c r="J94" s="73">
        <f t="shared" si="16"/>
        <v>0</v>
      </c>
      <c r="K94" s="72" t="str">
        <f t="shared" si="17"/>
        <v>MAJA1</v>
      </c>
      <c r="L94" s="72" t="str">
        <f t="shared" si="18"/>
        <v>JANUARY-4-MAJA1</v>
      </c>
      <c r="M94" s="73">
        <f t="shared" si="19"/>
        <v>2.1179757343550598E-2</v>
      </c>
      <c r="N94" s="73">
        <f t="shared" si="20"/>
        <v>-0.12498091425365476</v>
      </c>
      <c r="O94" s="13">
        <f t="shared" si="21"/>
        <v>866754</v>
      </c>
      <c r="P94" s="13">
        <f t="shared" si="22"/>
        <v>879535</v>
      </c>
      <c r="Q94" s="13">
        <f t="shared" si="23"/>
        <v>871282</v>
      </c>
      <c r="R94" s="33">
        <f t="shared" si="24"/>
        <v>5.224088957189732E-3</v>
      </c>
      <c r="S94" s="33">
        <f t="shared" si="25"/>
        <v>-9.3833673475188784E-3</v>
      </c>
    </row>
    <row r="95" spans="1:19" x14ac:dyDescent="0.25">
      <c r="A95" t="s">
        <v>36</v>
      </c>
      <c r="B95" s="65">
        <v>4</v>
      </c>
      <c r="C95" t="s">
        <v>17</v>
      </c>
      <c r="D95" s="66">
        <v>3770</v>
      </c>
      <c r="E95" s="66">
        <v>3783</v>
      </c>
      <c r="F95" s="67">
        <v>3770</v>
      </c>
      <c r="G95" s="13">
        <f t="shared" si="13"/>
        <v>-13</v>
      </c>
      <c r="H95" s="13">
        <f t="shared" si="14"/>
        <v>0</v>
      </c>
      <c r="I95" s="73">
        <f t="shared" si="15"/>
        <v>0</v>
      </c>
      <c r="J95" s="73">
        <f t="shared" si="16"/>
        <v>-3.4364261168384758E-3</v>
      </c>
      <c r="K95" s="72" t="str">
        <f t="shared" si="17"/>
        <v>CBA</v>
      </c>
      <c r="L95" s="72" t="str">
        <f t="shared" si="18"/>
        <v>JANUARY-4-CBA</v>
      </c>
      <c r="M95" s="73">
        <f t="shared" si="19"/>
        <v>0</v>
      </c>
      <c r="N95" s="73">
        <f t="shared" si="20"/>
        <v>-2.2682987991527681E-2</v>
      </c>
      <c r="O95" s="13">
        <f t="shared" si="21"/>
        <v>866754</v>
      </c>
      <c r="P95" s="13">
        <f t="shared" si="22"/>
        <v>879535</v>
      </c>
      <c r="Q95" s="13">
        <f t="shared" si="23"/>
        <v>871282</v>
      </c>
      <c r="R95" s="33">
        <f t="shared" si="24"/>
        <v>5.224088957189732E-3</v>
      </c>
      <c r="S95" s="33">
        <f t="shared" si="25"/>
        <v>-9.3833673475188784E-3</v>
      </c>
    </row>
    <row r="96" spans="1:19" x14ac:dyDescent="0.25">
      <c r="A96" t="s">
        <v>36</v>
      </c>
      <c r="B96" s="65" t="s">
        <v>67</v>
      </c>
      <c r="C96" t="s">
        <v>10</v>
      </c>
      <c r="D96" s="66">
        <v>980</v>
      </c>
      <c r="E96" s="66">
        <v>986</v>
      </c>
      <c r="F96" s="67">
        <v>980</v>
      </c>
      <c r="G96" s="13">
        <f t="shared" si="13"/>
        <v>-6</v>
      </c>
      <c r="H96" s="13">
        <f t="shared" si="14"/>
        <v>0</v>
      </c>
      <c r="I96" s="73">
        <f t="shared" si="15"/>
        <v>0</v>
      </c>
      <c r="J96" s="73">
        <f t="shared" si="16"/>
        <v>-6.0851926977687487E-3</v>
      </c>
      <c r="K96" s="72" t="str">
        <f t="shared" si="17"/>
        <v>CNJ2</v>
      </c>
      <c r="L96" s="72" t="str">
        <f t="shared" si="18"/>
        <v>JANUARY-`-CNJ2</v>
      </c>
      <c r="M96" s="73">
        <f t="shared" si="19"/>
        <v>0</v>
      </c>
      <c r="N96" s="73">
        <f t="shared" si="20"/>
        <v>-6.0851926977687487E-3</v>
      </c>
      <c r="O96" s="13">
        <f t="shared" si="21"/>
        <v>866754</v>
      </c>
      <c r="P96" s="13">
        <f t="shared" si="22"/>
        <v>879535</v>
      </c>
      <c r="Q96" s="13">
        <f t="shared" si="23"/>
        <v>871282</v>
      </c>
      <c r="R96" s="33">
        <f t="shared" si="24"/>
        <v>5.224088957189732E-3</v>
      </c>
      <c r="S96" s="33">
        <f t="shared" si="25"/>
        <v>-9.3833673475188784E-3</v>
      </c>
    </row>
    <row r="97" spans="1:19" x14ac:dyDescent="0.25">
      <c r="A97" t="s">
        <v>36</v>
      </c>
      <c r="B97" s="65">
        <v>4</v>
      </c>
      <c r="C97" t="s">
        <v>10</v>
      </c>
      <c r="D97" s="66">
        <v>2250</v>
      </c>
      <c r="E97" s="66">
        <v>2264</v>
      </c>
      <c r="F97" s="67">
        <v>2250</v>
      </c>
      <c r="G97" s="13">
        <f t="shared" si="13"/>
        <v>-14</v>
      </c>
      <c r="H97" s="13">
        <f t="shared" si="14"/>
        <v>0</v>
      </c>
      <c r="I97" s="73">
        <f t="shared" si="15"/>
        <v>0</v>
      </c>
      <c r="J97" s="73">
        <f t="shared" si="16"/>
        <v>-6.1837455830389132E-3</v>
      </c>
      <c r="K97" s="72" t="str">
        <f t="shared" si="17"/>
        <v>CNJ2</v>
      </c>
      <c r="L97" s="72" t="str">
        <f t="shared" si="18"/>
        <v>JANUARY-4-CNJ2</v>
      </c>
      <c r="M97" s="73">
        <f t="shared" si="19"/>
        <v>0</v>
      </c>
      <c r="N97" s="73">
        <f t="shared" si="20"/>
        <v>-9.9769248285264012E-2</v>
      </c>
      <c r="O97" s="13">
        <f t="shared" si="21"/>
        <v>866754</v>
      </c>
      <c r="P97" s="13">
        <f t="shared" si="22"/>
        <v>879535</v>
      </c>
      <c r="Q97" s="13">
        <f t="shared" si="23"/>
        <v>871282</v>
      </c>
      <c r="R97" s="33">
        <f t="shared" si="24"/>
        <v>5.224088957189732E-3</v>
      </c>
      <c r="S97" s="33">
        <f t="shared" si="25"/>
        <v>-9.3833673475188784E-3</v>
      </c>
    </row>
    <row r="98" spans="1:19" x14ac:dyDescent="0.25">
      <c r="A98" t="s">
        <v>36</v>
      </c>
      <c r="B98" s="65">
        <v>4</v>
      </c>
      <c r="C98" t="s">
        <v>10</v>
      </c>
      <c r="D98" s="66">
        <v>750</v>
      </c>
      <c r="E98" s="66">
        <v>750</v>
      </c>
      <c r="F98" s="67">
        <v>750</v>
      </c>
      <c r="G98" s="13">
        <f t="shared" si="13"/>
        <v>0</v>
      </c>
      <c r="H98" s="13">
        <f t="shared" si="14"/>
        <v>0</v>
      </c>
      <c r="I98" s="73">
        <f t="shared" si="15"/>
        <v>0</v>
      </c>
      <c r="J98" s="73">
        <f t="shared" si="16"/>
        <v>0</v>
      </c>
      <c r="K98" s="72" t="str">
        <f t="shared" si="17"/>
        <v>CNJ2</v>
      </c>
      <c r="L98" s="72" t="str">
        <f t="shared" si="18"/>
        <v>JANUARY-4-CNJ2</v>
      </c>
      <c r="M98" s="73">
        <f t="shared" si="19"/>
        <v>0</v>
      </c>
      <c r="N98" s="73">
        <f t="shared" si="20"/>
        <v>-9.9769248285264012E-2</v>
      </c>
      <c r="O98" s="13">
        <f t="shared" si="21"/>
        <v>866754</v>
      </c>
      <c r="P98" s="13">
        <f t="shared" si="22"/>
        <v>879535</v>
      </c>
      <c r="Q98" s="13">
        <f t="shared" si="23"/>
        <v>871282</v>
      </c>
      <c r="R98" s="33">
        <f t="shared" si="24"/>
        <v>5.224088957189732E-3</v>
      </c>
      <c r="S98" s="33">
        <f t="shared" si="25"/>
        <v>-9.3833673475188784E-3</v>
      </c>
    </row>
    <row r="99" spans="1:19" x14ac:dyDescent="0.25">
      <c r="A99" t="s">
        <v>36</v>
      </c>
      <c r="B99" s="65">
        <v>4</v>
      </c>
      <c r="C99" t="s">
        <v>10</v>
      </c>
      <c r="D99" s="66">
        <v>520</v>
      </c>
      <c r="E99" s="66">
        <v>520</v>
      </c>
      <c r="F99" s="67">
        <v>520</v>
      </c>
      <c r="G99" s="13">
        <f t="shared" si="13"/>
        <v>0</v>
      </c>
      <c r="H99" s="13">
        <f t="shared" si="14"/>
        <v>0</v>
      </c>
      <c r="I99" s="73">
        <f t="shared" si="15"/>
        <v>0</v>
      </c>
      <c r="J99" s="73">
        <f t="shared" si="16"/>
        <v>0</v>
      </c>
      <c r="K99" s="72" t="str">
        <f t="shared" si="17"/>
        <v>CNJ2</v>
      </c>
      <c r="L99" s="72" t="str">
        <f t="shared" si="18"/>
        <v>JANUARY-4-CNJ2</v>
      </c>
      <c r="M99" s="73">
        <f t="shared" si="19"/>
        <v>0</v>
      </c>
      <c r="N99" s="73">
        <f t="shared" si="20"/>
        <v>-9.9769248285264012E-2</v>
      </c>
      <c r="O99" s="13">
        <f t="shared" si="21"/>
        <v>866754</v>
      </c>
      <c r="P99" s="13">
        <f t="shared" si="22"/>
        <v>879535</v>
      </c>
      <c r="Q99" s="13">
        <f t="shared" si="23"/>
        <v>871282</v>
      </c>
      <c r="R99" s="33">
        <f t="shared" si="24"/>
        <v>5.224088957189732E-3</v>
      </c>
      <c r="S99" s="33">
        <f t="shared" si="25"/>
        <v>-9.3833673475188784E-3</v>
      </c>
    </row>
    <row r="100" spans="1:19" x14ac:dyDescent="0.25">
      <c r="A100" t="s">
        <v>36</v>
      </c>
      <c r="B100" s="65">
        <v>4</v>
      </c>
      <c r="C100" t="s">
        <v>10</v>
      </c>
      <c r="D100" s="66">
        <v>2100</v>
      </c>
      <c r="E100" s="66">
        <v>2121</v>
      </c>
      <c r="F100" s="67">
        <v>2100</v>
      </c>
      <c r="G100" s="13">
        <f t="shared" si="13"/>
        <v>-21</v>
      </c>
      <c r="H100" s="13">
        <f t="shared" si="14"/>
        <v>0</v>
      </c>
      <c r="I100" s="73">
        <f t="shared" si="15"/>
        <v>0</v>
      </c>
      <c r="J100" s="73">
        <f t="shared" si="16"/>
        <v>-9.9009900990099098E-3</v>
      </c>
      <c r="K100" s="72" t="str">
        <f t="shared" si="17"/>
        <v>CNJ2</v>
      </c>
      <c r="L100" s="72" t="str">
        <f t="shared" si="18"/>
        <v>JANUARY-4-CNJ2</v>
      </c>
      <c r="M100" s="73">
        <f t="shared" si="19"/>
        <v>0</v>
      </c>
      <c r="N100" s="73">
        <f t="shared" si="20"/>
        <v>-9.9769248285264012E-2</v>
      </c>
      <c r="O100" s="13">
        <f t="shared" si="21"/>
        <v>866754</v>
      </c>
      <c r="P100" s="13">
        <f t="shared" si="22"/>
        <v>879535</v>
      </c>
      <c r="Q100" s="13">
        <f t="shared" si="23"/>
        <v>871282</v>
      </c>
      <c r="R100" s="33">
        <f t="shared" si="24"/>
        <v>5.224088957189732E-3</v>
      </c>
      <c r="S100" s="33">
        <f t="shared" si="25"/>
        <v>-9.3833673475188784E-3</v>
      </c>
    </row>
    <row r="101" spans="1:19" x14ac:dyDescent="0.25">
      <c r="A101" t="s">
        <v>36</v>
      </c>
      <c r="B101" s="65">
        <v>4</v>
      </c>
      <c r="C101" t="s">
        <v>10</v>
      </c>
      <c r="D101" s="66">
        <v>2000</v>
      </c>
      <c r="E101" s="66">
        <v>2020</v>
      </c>
      <c r="F101" s="67">
        <v>2000</v>
      </c>
      <c r="G101" s="13">
        <f t="shared" si="13"/>
        <v>-20</v>
      </c>
      <c r="H101" s="13">
        <f t="shared" si="14"/>
        <v>0</v>
      </c>
      <c r="I101" s="73">
        <f t="shared" si="15"/>
        <v>0</v>
      </c>
      <c r="J101" s="73">
        <f t="shared" si="16"/>
        <v>-9.9009900990099098E-3</v>
      </c>
      <c r="K101" s="72" t="str">
        <f t="shared" si="17"/>
        <v>CNJ2</v>
      </c>
      <c r="L101" s="72" t="str">
        <f t="shared" si="18"/>
        <v>JANUARY-4-CNJ2</v>
      </c>
      <c r="M101" s="73">
        <f t="shared" si="19"/>
        <v>0</v>
      </c>
      <c r="N101" s="73">
        <f t="shared" si="20"/>
        <v>-9.9769248285264012E-2</v>
      </c>
      <c r="O101" s="13">
        <f t="shared" si="21"/>
        <v>866754</v>
      </c>
      <c r="P101" s="13">
        <f t="shared" si="22"/>
        <v>879535</v>
      </c>
      <c r="Q101" s="13">
        <f t="shared" si="23"/>
        <v>871282</v>
      </c>
      <c r="R101" s="33">
        <f t="shared" si="24"/>
        <v>5.224088957189732E-3</v>
      </c>
      <c r="S101" s="33">
        <f t="shared" si="25"/>
        <v>-9.3833673475188784E-3</v>
      </c>
    </row>
    <row r="102" spans="1:19" x14ac:dyDescent="0.25">
      <c r="A102" t="s">
        <v>36</v>
      </c>
      <c r="B102" s="65">
        <v>4</v>
      </c>
      <c r="C102" t="s">
        <v>17</v>
      </c>
      <c r="D102" s="66">
        <v>1440</v>
      </c>
      <c r="E102" s="66">
        <v>1449</v>
      </c>
      <c r="F102" s="67">
        <v>1440</v>
      </c>
      <c r="G102" s="13">
        <f t="shared" si="13"/>
        <v>-9</v>
      </c>
      <c r="H102" s="13">
        <f t="shared" si="14"/>
        <v>0</v>
      </c>
      <c r="I102" s="73">
        <f t="shared" si="15"/>
        <v>0</v>
      </c>
      <c r="J102" s="73">
        <f t="shared" si="16"/>
        <v>-6.2111801242236142E-3</v>
      </c>
      <c r="K102" s="72" t="str">
        <f t="shared" si="17"/>
        <v>CBA</v>
      </c>
      <c r="L102" s="72" t="str">
        <f t="shared" si="18"/>
        <v>JANUARY-4-CBA</v>
      </c>
      <c r="M102" s="73">
        <f t="shared" si="19"/>
        <v>0</v>
      </c>
      <c r="N102" s="73">
        <f t="shared" si="20"/>
        <v>-2.2682987991527681E-2</v>
      </c>
      <c r="O102" s="13">
        <f t="shared" si="21"/>
        <v>866754</v>
      </c>
      <c r="P102" s="13">
        <f t="shared" si="22"/>
        <v>879535</v>
      </c>
      <c r="Q102" s="13">
        <f t="shared" si="23"/>
        <v>871282</v>
      </c>
      <c r="R102" s="33">
        <f t="shared" si="24"/>
        <v>5.224088957189732E-3</v>
      </c>
      <c r="S102" s="33">
        <f t="shared" si="25"/>
        <v>-9.3833673475188784E-3</v>
      </c>
    </row>
    <row r="103" spans="1:19" x14ac:dyDescent="0.25">
      <c r="A103" t="s">
        <v>36</v>
      </c>
      <c r="B103" s="65">
        <v>4</v>
      </c>
      <c r="C103" t="s">
        <v>10</v>
      </c>
      <c r="D103" s="66">
        <v>3750</v>
      </c>
      <c r="E103" s="66">
        <v>3768</v>
      </c>
      <c r="F103" s="67">
        <v>3750</v>
      </c>
      <c r="G103" s="13">
        <f t="shared" si="13"/>
        <v>-18</v>
      </c>
      <c r="H103" s="13">
        <f t="shared" si="14"/>
        <v>0</v>
      </c>
      <c r="I103" s="73">
        <f t="shared" si="15"/>
        <v>0</v>
      </c>
      <c r="J103" s="73">
        <f t="shared" si="16"/>
        <v>-4.777070063694322E-3</v>
      </c>
      <c r="K103" s="72" t="str">
        <f t="shared" si="17"/>
        <v>CNJ2</v>
      </c>
      <c r="L103" s="72" t="str">
        <f t="shared" si="18"/>
        <v>JANUARY-4-CNJ2</v>
      </c>
      <c r="M103" s="73">
        <f t="shared" si="19"/>
        <v>0</v>
      </c>
      <c r="N103" s="73">
        <f t="shared" si="20"/>
        <v>-9.9769248285264012E-2</v>
      </c>
      <c r="O103" s="13">
        <f t="shared" si="21"/>
        <v>866754</v>
      </c>
      <c r="P103" s="13">
        <f t="shared" si="22"/>
        <v>879535</v>
      </c>
      <c r="Q103" s="13">
        <f t="shared" si="23"/>
        <v>871282</v>
      </c>
      <c r="R103" s="33">
        <f t="shared" si="24"/>
        <v>5.224088957189732E-3</v>
      </c>
      <c r="S103" s="33">
        <f t="shared" si="25"/>
        <v>-9.3833673475188784E-3</v>
      </c>
    </row>
    <row r="104" spans="1:19" x14ac:dyDescent="0.25">
      <c r="A104" t="s">
        <v>36</v>
      </c>
      <c r="B104" s="65">
        <v>4</v>
      </c>
      <c r="C104" t="s">
        <v>10</v>
      </c>
      <c r="D104" s="66">
        <v>403</v>
      </c>
      <c r="E104" s="66">
        <v>405</v>
      </c>
      <c r="F104" s="67">
        <v>403</v>
      </c>
      <c r="G104" s="13">
        <f t="shared" si="13"/>
        <v>-2</v>
      </c>
      <c r="H104" s="13">
        <f t="shared" si="14"/>
        <v>0</v>
      </c>
      <c r="I104" s="73">
        <f t="shared" si="15"/>
        <v>0</v>
      </c>
      <c r="J104" s="73">
        <f t="shared" si="16"/>
        <v>-4.9382716049383157E-3</v>
      </c>
      <c r="K104" s="72" t="str">
        <f t="shared" si="17"/>
        <v>CNJ2</v>
      </c>
      <c r="L104" s="72" t="str">
        <f t="shared" si="18"/>
        <v>JANUARY-4-CNJ2</v>
      </c>
      <c r="M104" s="73">
        <f t="shared" si="19"/>
        <v>0</v>
      </c>
      <c r="N104" s="73">
        <f t="shared" si="20"/>
        <v>-9.9769248285264012E-2</v>
      </c>
      <c r="O104" s="13">
        <f t="shared" si="21"/>
        <v>866754</v>
      </c>
      <c r="P104" s="13">
        <f t="shared" si="22"/>
        <v>879535</v>
      </c>
      <c r="Q104" s="13">
        <f t="shared" si="23"/>
        <v>871282</v>
      </c>
      <c r="R104" s="33">
        <f t="shared" si="24"/>
        <v>5.224088957189732E-3</v>
      </c>
      <c r="S104" s="33">
        <f t="shared" si="25"/>
        <v>-9.3833673475188784E-3</v>
      </c>
    </row>
    <row r="105" spans="1:19" x14ac:dyDescent="0.25">
      <c r="A105" t="s">
        <v>36</v>
      </c>
      <c r="B105" s="65">
        <v>4</v>
      </c>
      <c r="C105" t="s">
        <v>10</v>
      </c>
      <c r="D105" s="66">
        <v>403</v>
      </c>
      <c r="E105" s="66">
        <v>422</v>
      </c>
      <c r="F105" s="67">
        <v>403</v>
      </c>
      <c r="G105" s="13">
        <f t="shared" si="13"/>
        <v>-19</v>
      </c>
      <c r="H105" s="13">
        <f t="shared" si="14"/>
        <v>0</v>
      </c>
      <c r="I105" s="73">
        <f t="shared" si="15"/>
        <v>0</v>
      </c>
      <c r="J105" s="73">
        <f t="shared" si="16"/>
        <v>-4.502369668246442E-2</v>
      </c>
      <c r="K105" s="72" t="str">
        <f t="shared" si="17"/>
        <v>CNJ2</v>
      </c>
      <c r="L105" s="72" t="str">
        <f t="shared" si="18"/>
        <v>JANUARY-4-CNJ2</v>
      </c>
      <c r="M105" s="73">
        <f t="shared" si="19"/>
        <v>0</v>
      </c>
      <c r="N105" s="73">
        <f t="shared" si="20"/>
        <v>-9.9769248285264012E-2</v>
      </c>
      <c r="O105" s="13">
        <f t="shared" si="21"/>
        <v>866754</v>
      </c>
      <c r="P105" s="13">
        <f t="shared" si="22"/>
        <v>879535</v>
      </c>
      <c r="Q105" s="13">
        <f t="shared" si="23"/>
        <v>871282</v>
      </c>
      <c r="R105" s="33">
        <f t="shared" si="24"/>
        <v>5.224088957189732E-3</v>
      </c>
      <c r="S105" s="33">
        <f t="shared" si="25"/>
        <v>-9.3833673475188784E-3</v>
      </c>
    </row>
    <row r="106" spans="1:19" x14ac:dyDescent="0.25">
      <c r="A106" t="s">
        <v>36</v>
      </c>
      <c r="B106" s="65">
        <v>4</v>
      </c>
      <c r="C106" t="s">
        <v>10</v>
      </c>
      <c r="D106" s="66">
        <v>342</v>
      </c>
      <c r="E106" s="66">
        <v>343</v>
      </c>
      <c r="F106" s="67">
        <v>342</v>
      </c>
      <c r="G106" s="13">
        <f t="shared" si="13"/>
        <v>-1</v>
      </c>
      <c r="H106" s="13">
        <f t="shared" si="14"/>
        <v>0</v>
      </c>
      <c r="I106" s="73">
        <f t="shared" si="15"/>
        <v>0</v>
      </c>
      <c r="J106" s="73">
        <f t="shared" si="16"/>
        <v>-2.9154518950437192E-3</v>
      </c>
      <c r="K106" s="72" t="str">
        <f t="shared" si="17"/>
        <v>CNJ2</v>
      </c>
      <c r="L106" s="72" t="str">
        <f t="shared" si="18"/>
        <v>JANUARY-4-CNJ2</v>
      </c>
      <c r="M106" s="73">
        <f t="shared" si="19"/>
        <v>0</v>
      </c>
      <c r="N106" s="73">
        <f t="shared" si="20"/>
        <v>-9.9769248285264012E-2</v>
      </c>
      <c r="O106" s="13">
        <f t="shared" si="21"/>
        <v>866754</v>
      </c>
      <c r="P106" s="13">
        <f t="shared" si="22"/>
        <v>879535</v>
      </c>
      <c r="Q106" s="13">
        <f t="shared" si="23"/>
        <v>871282</v>
      </c>
      <c r="R106" s="33">
        <f t="shared" si="24"/>
        <v>5.224088957189732E-3</v>
      </c>
      <c r="S106" s="33">
        <f t="shared" si="25"/>
        <v>-9.3833673475188784E-3</v>
      </c>
    </row>
    <row r="107" spans="1:19" x14ac:dyDescent="0.25">
      <c r="A107" t="s">
        <v>36</v>
      </c>
      <c r="B107" s="65">
        <v>4</v>
      </c>
      <c r="C107" t="s">
        <v>10</v>
      </c>
      <c r="D107" s="66">
        <v>61</v>
      </c>
      <c r="E107" s="66">
        <v>62</v>
      </c>
      <c r="F107" s="67">
        <v>61</v>
      </c>
      <c r="G107" s="13">
        <f t="shared" si="13"/>
        <v>-1</v>
      </c>
      <c r="H107" s="13">
        <f t="shared" si="14"/>
        <v>0</v>
      </c>
      <c r="I107" s="73">
        <f t="shared" si="15"/>
        <v>0</v>
      </c>
      <c r="J107" s="73">
        <f t="shared" si="16"/>
        <v>-1.6129032258064502E-2</v>
      </c>
      <c r="K107" s="72" t="str">
        <f t="shared" si="17"/>
        <v>CNJ2</v>
      </c>
      <c r="L107" s="72" t="str">
        <f t="shared" si="18"/>
        <v>JANUARY-4-CNJ2</v>
      </c>
      <c r="M107" s="73">
        <f t="shared" si="19"/>
        <v>0</v>
      </c>
      <c r="N107" s="73">
        <f t="shared" si="20"/>
        <v>-9.9769248285264012E-2</v>
      </c>
      <c r="O107" s="13">
        <f t="shared" si="21"/>
        <v>866754</v>
      </c>
      <c r="P107" s="13">
        <f t="shared" si="22"/>
        <v>879535</v>
      </c>
      <c r="Q107" s="13">
        <f t="shared" si="23"/>
        <v>871282</v>
      </c>
      <c r="R107" s="33">
        <f t="shared" si="24"/>
        <v>5.224088957189732E-3</v>
      </c>
      <c r="S107" s="33">
        <f t="shared" si="25"/>
        <v>-9.3833673475188784E-3</v>
      </c>
    </row>
    <row r="108" spans="1:19" x14ac:dyDescent="0.25">
      <c r="A108" t="s">
        <v>36</v>
      </c>
      <c r="B108" s="65">
        <v>4</v>
      </c>
      <c r="C108" t="s">
        <v>17</v>
      </c>
      <c r="D108" s="66">
        <v>1060</v>
      </c>
      <c r="E108" s="66">
        <v>1074</v>
      </c>
      <c r="F108" s="67">
        <v>1060</v>
      </c>
      <c r="G108" s="13">
        <f t="shared" si="13"/>
        <v>-14</v>
      </c>
      <c r="H108" s="13">
        <f t="shared" si="14"/>
        <v>0</v>
      </c>
      <c r="I108" s="73">
        <f t="shared" si="15"/>
        <v>0</v>
      </c>
      <c r="J108" s="73">
        <f t="shared" si="16"/>
        <v>-1.3035381750465591E-2</v>
      </c>
      <c r="K108" s="72" t="str">
        <f t="shared" si="17"/>
        <v>CBA</v>
      </c>
      <c r="L108" s="72" t="str">
        <f t="shared" si="18"/>
        <v>JANUARY-4-CBA</v>
      </c>
      <c r="M108" s="73">
        <f t="shared" si="19"/>
        <v>0</v>
      </c>
      <c r="N108" s="73">
        <f t="shared" si="20"/>
        <v>-2.2682987991527681E-2</v>
      </c>
      <c r="O108" s="13">
        <f t="shared" si="21"/>
        <v>866754</v>
      </c>
      <c r="P108" s="13">
        <f t="shared" si="22"/>
        <v>879535</v>
      </c>
      <c r="Q108" s="13">
        <f t="shared" si="23"/>
        <v>871282</v>
      </c>
      <c r="R108" s="33">
        <f t="shared" si="24"/>
        <v>5.224088957189732E-3</v>
      </c>
      <c r="S108" s="33">
        <f t="shared" si="25"/>
        <v>-9.3833673475188784E-3</v>
      </c>
    </row>
    <row r="109" spans="1:19" x14ac:dyDescent="0.25">
      <c r="A109" s="9" t="s">
        <v>34</v>
      </c>
      <c r="B109" s="65">
        <v>1</v>
      </c>
      <c r="C109" t="s">
        <v>10</v>
      </c>
      <c r="D109" s="67">
        <v>315</v>
      </c>
      <c r="E109" s="67">
        <v>315</v>
      </c>
      <c r="F109" s="67">
        <v>315</v>
      </c>
      <c r="G109" s="13">
        <f t="shared" si="13"/>
        <v>0</v>
      </c>
      <c r="H109" s="13">
        <f t="shared" si="14"/>
        <v>0</v>
      </c>
      <c r="I109" s="73">
        <f t="shared" si="15"/>
        <v>0</v>
      </c>
      <c r="J109" s="73">
        <f t="shared" si="16"/>
        <v>0</v>
      </c>
      <c r="K109" s="72" t="str">
        <f t="shared" si="17"/>
        <v>CNJ2</v>
      </c>
      <c r="L109" s="72" t="str">
        <f t="shared" si="18"/>
        <v>FEBRUARY-1-CNJ2</v>
      </c>
      <c r="M109" s="73">
        <f t="shared" si="19"/>
        <v>0</v>
      </c>
      <c r="N109" s="73">
        <f t="shared" si="20"/>
        <v>0</v>
      </c>
      <c r="O109" s="13">
        <f t="shared" si="21"/>
        <v>1504511</v>
      </c>
      <c r="P109" s="13">
        <f t="shared" si="22"/>
        <v>1532581</v>
      </c>
      <c r="Q109" s="13">
        <f t="shared" si="23"/>
        <v>1515308</v>
      </c>
      <c r="R109" s="33">
        <f t="shared" si="24"/>
        <v>7.176418118578054E-3</v>
      </c>
      <c r="S109" s="33">
        <f t="shared" si="25"/>
        <v>-1.1270529910001548E-2</v>
      </c>
    </row>
    <row r="110" spans="1:19" x14ac:dyDescent="0.25">
      <c r="A110" s="9" t="s">
        <v>34</v>
      </c>
      <c r="B110" s="65">
        <v>1</v>
      </c>
      <c r="C110" t="s">
        <v>10</v>
      </c>
      <c r="D110" s="67">
        <v>115</v>
      </c>
      <c r="E110" s="67">
        <v>115</v>
      </c>
      <c r="F110" s="67">
        <v>115</v>
      </c>
      <c r="G110" s="13">
        <f t="shared" si="13"/>
        <v>0</v>
      </c>
      <c r="H110" s="13">
        <f t="shared" si="14"/>
        <v>0</v>
      </c>
      <c r="I110" s="73">
        <f t="shared" si="15"/>
        <v>0</v>
      </c>
      <c r="J110" s="73">
        <f t="shared" si="16"/>
        <v>0</v>
      </c>
      <c r="K110" s="72" t="str">
        <f t="shared" si="17"/>
        <v>CNJ2</v>
      </c>
      <c r="L110" s="72" t="str">
        <f t="shared" si="18"/>
        <v>FEBRUARY-1-CNJ2</v>
      </c>
      <c r="M110" s="73">
        <f t="shared" si="19"/>
        <v>0</v>
      </c>
      <c r="N110" s="73">
        <f t="shared" si="20"/>
        <v>0</v>
      </c>
      <c r="O110" s="13">
        <f t="shared" si="21"/>
        <v>1504511</v>
      </c>
      <c r="P110" s="13">
        <f t="shared" si="22"/>
        <v>1532581</v>
      </c>
      <c r="Q110" s="13">
        <f t="shared" si="23"/>
        <v>1515308</v>
      </c>
      <c r="R110" s="33">
        <f t="shared" si="24"/>
        <v>7.176418118578054E-3</v>
      </c>
      <c r="S110" s="33">
        <f t="shared" si="25"/>
        <v>-1.1270529910001548E-2</v>
      </c>
    </row>
    <row r="111" spans="1:19" x14ac:dyDescent="0.25">
      <c r="A111" s="9" t="s">
        <v>34</v>
      </c>
      <c r="B111" s="65">
        <v>1</v>
      </c>
      <c r="C111" t="s">
        <v>16</v>
      </c>
      <c r="D111" s="67">
        <v>67000</v>
      </c>
      <c r="E111" s="67">
        <v>67023</v>
      </c>
      <c r="F111" s="67">
        <v>67000</v>
      </c>
      <c r="G111" s="13">
        <f t="shared" si="13"/>
        <v>-23</v>
      </c>
      <c r="H111" s="13">
        <f t="shared" si="14"/>
        <v>0</v>
      </c>
      <c r="I111" s="73">
        <f t="shared" si="15"/>
        <v>0</v>
      </c>
      <c r="J111" s="73">
        <f t="shared" si="16"/>
        <v>-3.4316577891169153E-4</v>
      </c>
      <c r="K111" s="72" t="str">
        <f t="shared" si="17"/>
        <v>ANUGERAH</v>
      </c>
      <c r="L111" s="72" t="str">
        <f t="shared" si="18"/>
        <v>FEBRUARY-1-ANUGERAH</v>
      </c>
      <c r="M111" s="73">
        <f t="shared" si="19"/>
        <v>-7.0585494505494339E-2</v>
      </c>
      <c r="N111" s="73">
        <f t="shared" si="20"/>
        <v>-4.9518711539469518E-2</v>
      </c>
      <c r="O111" s="13">
        <f t="shared" si="21"/>
        <v>1504511</v>
      </c>
      <c r="P111" s="13">
        <f t="shared" si="22"/>
        <v>1532581</v>
      </c>
      <c r="Q111" s="13">
        <f t="shared" si="23"/>
        <v>1515308</v>
      </c>
      <c r="R111" s="33">
        <f t="shared" si="24"/>
        <v>7.176418118578054E-3</v>
      </c>
      <c r="S111" s="33">
        <f t="shared" si="25"/>
        <v>-1.1270529910001548E-2</v>
      </c>
    </row>
    <row r="112" spans="1:19" x14ac:dyDescent="0.25">
      <c r="A112" s="9" t="s">
        <v>34</v>
      </c>
      <c r="B112" s="65">
        <v>1</v>
      </c>
      <c r="C112" t="s">
        <v>16</v>
      </c>
      <c r="D112" s="67">
        <v>30000</v>
      </c>
      <c r="E112" s="67">
        <v>29526</v>
      </c>
      <c r="F112" s="67">
        <v>28963</v>
      </c>
      <c r="G112" s="13">
        <f t="shared" si="13"/>
        <v>-563</v>
      </c>
      <c r="H112" s="13">
        <f t="shared" si="14"/>
        <v>-1037</v>
      </c>
      <c r="I112" s="73">
        <f t="shared" si="15"/>
        <v>-3.4566666666666634E-2</v>
      </c>
      <c r="J112" s="73">
        <f t="shared" si="16"/>
        <v>-1.9067940120571669E-2</v>
      </c>
      <c r="K112" s="72" t="str">
        <f t="shared" si="17"/>
        <v>ANUGERAH</v>
      </c>
      <c r="L112" s="72" t="str">
        <f t="shared" si="18"/>
        <v>FEBRUARY-1-ANUGERAH</v>
      </c>
      <c r="M112" s="73">
        <f t="shared" si="19"/>
        <v>-7.0585494505494339E-2</v>
      </c>
      <c r="N112" s="73">
        <f t="shared" si="20"/>
        <v>-4.9518711539469518E-2</v>
      </c>
      <c r="O112" s="13">
        <f t="shared" si="21"/>
        <v>1504511</v>
      </c>
      <c r="P112" s="13">
        <f t="shared" si="22"/>
        <v>1532581</v>
      </c>
      <c r="Q112" s="13">
        <f t="shared" si="23"/>
        <v>1515308</v>
      </c>
      <c r="R112" s="33">
        <f t="shared" si="24"/>
        <v>7.176418118578054E-3</v>
      </c>
      <c r="S112" s="33">
        <f t="shared" si="25"/>
        <v>-1.1270529910001548E-2</v>
      </c>
    </row>
    <row r="113" spans="1:19" x14ac:dyDescent="0.25">
      <c r="A113" s="9" t="s">
        <v>34</v>
      </c>
      <c r="B113" s="65">
        <v>1</v>
      </c>
      <c r="C113" t="s">
        <v>16</v>
      </c>
      <c r="D113" s="67">
        <v>25000</v>
      </c>
      <c r="E113" s="67">
        <v>25065</v>
      </c>
      <c r="F113" s="67">
        <v>24932</v>
      </c>
      <c r="G113" s="13">
        <f t="shared" si="13"/>
        <v>-133</v>
      </c>
      <c r="H113" s="13">
        <f t="shared" si="14"/>
        <v>-68</v>
      </c>
      <c r="I113" s="73">
        <f t="shared" si="15"/>
        <v>-2.7199999999999447E-3</v>
      </c>
      <c r="J113" s="73">
        <f t="shared" si="16"/>
        <v>-5.3062038699381864E-3</v>
      </c>
      <c r="K113" s="72" t="str">
        <f t="shared" si="17"/>
        <v>ANUGERAH</v>
      </c>
      <c r="L113" s="72" t="str">
        <f t="shared" si="18"/>
        <v>FEBRUARY-1-ANUGERAH</v>
      </c>
      <c r="M113" s="73">
        <f t="shared" si="19"/>
        <v>-7.0585494505494339E-2</v>
      </c>
      <c r="N113" s="73">
        <f t="shared" si="20"/>
        <v>-4.9518711539469518E-2</v>
      </c>
      <c r="O113" s="13">
        <f t="shared" si="21"/>
        <v>1504511</v>
      </c>
      <c r="P113" s="13">
        <f t="shared" si="22"/>
        <v>1532581</v>
      </c>
      <c r="Q113" s="13">
        <f t="shared" si="23"/>
        <v>1515308</v>
      </c>
      <c r="R113" s="33">
        <f t="shared" si="24"/>
        <v>7.176418118578054E-3</v>
      </c>
      <c r="S113" s="33">
        <f t="shared" si="25"/>
        <v>-1.1270529910001548E-2</v>
      </c>
    </row>
    <row r="114" spans="1:19" x14ac:dyDescent="0.25">
      <c r="A114" s="9" t="s">
        <v>34</v>
      </c>
      <c r="B114" s="65">
        <v>1</v>
      </c>
      <c r="C114" t="s">
        <v>16</v>
      </c>
      <c r="D114" s="67">
        <v>25000</v>
      </c>
      <c r="E114" s="67">
        <v>25000</v>
      </c>
      <c r="F114" s="67">
        <v>24756</v>
      </c>
      <c r="G114" s="13">
        <f t="shared" si="13"/>
        <v>-244</v>
      </c>
      <c r="H114" s="13">
        <f t="shared" si="14"/>
        <v>-244</v>
      </c>
      <c r="I114" s="73">
        <f t="shared" si="15"/>
        <v>-9.7599999999999909E-3</v>
      </c>
      <c r="J114" s="73">
        <f t="shared" si="16"/>
        <v>-9.7599999999999909E-3</v>
      </c>
      <c r="K114" s="72" t="str">
        <f t="shared" si="17"/>
        <v>ANUGERAH</v>
      </c>
      <c r="L114" s="72" t="str">
        <f t="shared" si="18"/>
        <v>FEBRUARY-1-ANUGERAH</v>
      </c>
      <c r="M114" s="73">
        <f t="shared" si="19"/>
        <v>-7.0585494505494339E-2</v>
      </c>
      <c r="N114" s="73">
        <f t="shared" si="20"/>
        <v>-4.9518711539469518E-2</v>
      </c>
      <c r="O114" s="13">
        <f t="shared" si="21"/>
        <v>1504511</v>
      </c>
      <c r="P114" s="13">
        <f t="shared" si="22"/>
        <v>1532581</v>
      </c>
      <c r="Q114" s="13">
        <f t="shared" si="23"/>
        <v>1515308</v>
      </c>
      <c r="R114" s="33">
        <f t="shared" si="24"/>
        <v>7.176418118578054E-3</v>
      </c>
      <c r="S114" s="33">
        <f t="shared" si="25"/>
        <v>-1.1270529910001548E-2</v>
      </c>
    </row>
    <row r="115" spans="1:19" x14ac:dyDescent="0.25">
      <c r="A115" s="9" t="s">
        <v>34</v>
      </c>
      <c r="B115" s="65">
        <v>1</v>
      </c>
      <c r="C115" t="s">
        <v>16</v>
      </c>
      <c r="D115" s="67">
        <v>14000</v>
      </c>
      <c r="E115" s="67">
        <v>13864</v>
      </c>
      <c r="F115" s="67">
        <v>13735</v>
      </c>
      <c r="G115" s="13">
        <f t="shared" si="13"/>
        <v>-129</v>
      </c>
      <c r="H115" s="13">
        <f t="shared" si="14"/>
        <v>-265</v>
      </c>
      <c r="I115" s="73">
        <f t="shared" si="15"/>
        <v>-1.8928571428571406E-2</v>
      </c>
      <c r="J115" s="73">
        <f t="shared" si="16"/>
        <v>-9.3046739757646213E-3</v>
      </c>
      <c r="K115" s="72" t="str">
        <f t="shared" si="17"/>
        <v>ANUGERAH</v>
      </c>
      <c r="L115" s="72" t="str">
        <f t="shared" si="18"/>
        <v>FEBRUARY-1-ANUGERAH</v>
      </c>
      <c r="M115" s="73">
        <f t="shared" si="19"/>
        <v>-7.0585494505494339E-2</v>
      </c>
      <c r="N115" s="73">
        <f t="shared" si="20"/>
        <v>-4.9518711539469518E-2</v>
      </c>
      <c r="O115" s="13">
        <f t="shared" si="21"/>
        <v>1504511</v>
      </c>
      <c r="P115" s="13">
        <f t="shared" si="22"/>
        <v>1532581</v>
      </c>
      <c r="Q115" s="13">
        <f t="shared" si="23"/>
        <v>1515308</v>
      </c>
      <c r="R115" s="33">
        <f t="shared" si="24"/>
        <v>7.176418118578054E-3</v>
      </c>
      <c r="S115" s="33">
        <f t="shared" si="25"/>
        <v>-1.1270529910001548E-2</v>
      </c>
    </row>
    <row r="116" spans="1:19" x14ac:dyDescent="0.25">
      <c r="A116" s="9" t="s">
        <v>34</v>
      </c>
      <c r="B116" s="65">
        <v>1</v>
      </c>
      <c r="C116" t="s">
        <v>16</v>
      </c>
      <c r="D116" s="67">
        <v>19500</v>
      </c>
      <c r="E116" s="67">
        <v>19522</v>
      </c>
      <c r="F116" s="67">
        <v>19492</v>
      </c>
      <c r="G116" s="13">
        <f t="shared" si="13"/>
        <v>-30</v>
      </c>
      <c r="H116" s="13">
        <f t="shared" si="14"/>
        <v>-8</v>
      </c>
      <c r="I116" s="73">
        <f t="shared" si="15"/>
        <v>-4.1025641025638215E-4</v>
      </c>
      <c r="J116" s="73">
        <f t="shared" si="16"/>
        <v>-1.5367277942833768E-3</v>
      </c>
      <c r="K116" s="72" t="str">
        <f t="shared" si="17"/>
        <v>ANUGERAH</v>
      </c>
      <c r="L116" s="72" t="str">
        <f t="shared" si="18"/>
        <v>FEBRUARY-1-ANUGERAH</v>
      </c>
      <c r="M116" s="73">
        <f t="shared" si="19"/>
        <v>-7.0585494505494339E-2</v>
      </c>
      <c r="N116" s="73">
        <f t="shared" si="20"/>
        <v>-4.9518711539469518E-2</v>
      </c>
      <c r="O116" s="13">
        <f t="shared" si="21"/>
        <v>1504511</v>
      </c>
      <c r="P116" s="13">
        <f t="shared" si="22"/>
        <v>1532581</v>
      </c>
      <c r="Q116" s="13">
        <f t="shared" si="23"/>
        <v>1515308</v>
      </c>
      <c r="R116" s="33">
        <f t="shared" si="24"/>
        <v>7.176418118578054E-3</v>
      </c>
      <c r="S116" s="33">
        <f t="shared" si="25"/>
        <v>-1.1270529910001548E-2</v>
      </c>
    </row>
    <row r="117" spans="1:19" x14ac:dyDescent="0.25">
      <c r="A117" s="9" t="s">
        <v>34</v>
      </c>
      <c r="B117" s="65">
        <v>1</v>
      </c>
      <c r="C117" t="s">
        <v>16</v>
      </c>
      <c r="D117" s="67">
        <v>15000</v>
      </c>
      <c r="E117" s="67">
        <v>15000</v>
      </c>
      <c r="F117" s="67">
        <v>14937</v>
      </c>
      <c r="G117" s="13">
        <f t="shared" si="13"/>
        <v>-63</v>
      </c>
      <c r="H117" s="13">
        <f t="shared" si="14"/>
        <v>-63</v>
      </c>
      <c r="I117" s="73">
        <f t="shared" si="15"/>
        <v>-4.1999999999999815E-3</v>
      </c>
      <c r="J117" s="73">
        <f t="shared" si="16"/>
        <v>-4.1999999999999815E-3</v>
      </c>
      <c r="K117" s="72" t="str">
        <f t="shared" si="17"/>
        <v>ANUGERAH</v>
      </c>
      <c r="L117" s="72" t="str">
        <f t="shared" si="18"/>
        <v>FEBRUARY-1-ANUGERAH</v>
      </c>
      <c r="M117" s="73">
        <f t="shared" si="19"/>
        <v>-7.0585494505494339E-2</v>
      </c>
      <c r="N117" s="73">
        <f t="shared" si="20"/>
        <v>-4.9518711539469518E-2</v>
      </c>
      <c r="O117" s="13">
        <f t="shared" si="21"/>
        <v>1504511</v>
      </c>
      <c r="P117" s="13">
        <f t="shared" si="22"/>
        <v>1532581</v>
      </c>
      <c r="Q117" s="13">
        <f t="shared" si="23"/>
        <v>1515308</v>
      </c>
      <c r="R117" s="33">
        <f t="shared" si="24"/>
        <v>7.176418118578054E-3</v>
      </c>
      <c r="S117" s="33">
        <f t="shared" si="25"/>
        <v>-1.1270529910001548E-2</v>
      </c>
    </row>
    <row r="118" spans="1:19" x14ac:dyDescent="0.25">
      <c r="A118" s="9" t="s">
        <v>34</v>
      </c>
      <c r="B118" s="65">
        <v>1</v>
      </c>
      <c r="C118" t="s">
        <v>11</v>
      </c>
      <c r="D118" s="67">
        <v>760</v>
      </c>
      <c r="E118" s="67">
        <v>760</v>
      </c>
      <c r="F118" s="67">
        <v>760</v>
      </c>
      <c r="G118" s="13">
        <f t="shared" si="13"/>
        <v>0</v>
      </c>
      <c r="H118" s="13">
        <f t="shared" si="14"/>
        <v>0</v>
      </c>
      <c r="I118" s="73">
        <f t="shared" si="15"/>
        <v>0</v>
      </c>
      <c r="J118" s="73">
        <f t="shared" si="16"/>
        <v>0</v>
      </c>
      <c r="K118" s="72" t="str">
        <f t="shared" si="17"/>
        <v>MAJA1</v>
      </c>
      <c r="L118" s="72" t="str">
        <f t="shared" si="18"/>
        <v>FEBRUARY-1-MAJA1</v>
      </c>
      <c r="M118" s="73">
        <f t="shared" si="19"/>
        <v>0</v>
      </c>
      <c r="N118" s="73">
        <f t="shared" si="20"/>
        <v>-5.2356020942407877E-3</v>
      </c>
      <c r="O118" s="13">
        <f t="shared" si="21"/>
        <v>1504511</v>
      </c>
      <c r="P118" s="13">
        <f t="shared" si="22"/>
        <v>1532581</v>
      </c>
      <c r="Q118" s="13">
        <f t="shared" si="23"/>
        <v>1515308</v>
      </c>
      <c r="R118" s="33">
        <f t="shared" si="24"/>
        <v>7.176418118578054E-3</v>
      </c>
      <c r="S118" s="33">
        <f t="shared" si="25"/>
        <v>-1.1270529910001548E-2</v>
      </c>
    </row>
    <row r="119" spans="1:19" x14ac:dyDescent="0.25">
      <c r="A119" s="9" t="s">
        <v>34</v>
      </c>
      <c r="B119" s="65">
        <v>1</v>
      </c>
      <c r="C119" t="s">
        <v>11</v>
      </c>
      <c r="D119" s="67">
        <v>449</v>
      </c>
      <c r="E119" s="67">
        <v>449</v>
      </c>
      <c r="F119" s="67">
        <v>449</v>
      </c>
      <c r="G119" s="13">
        <f t="shared" si="13"/>
        <v>0</v>
      </c>
      <c r="H119" s="13">
        <f t="shared" si="14"/>
        <v>0</v>
      </c>
      <c r="I119" s="73">
        <f t="shared" si="15"/>
        <v>0</v>
      </c>
      <c r="J119" s="73">
        <f t="shared" si="16"/>
        <v>0</v>
      </c>
      <c r="K119" s="72" t="str">
        <f t="shared" si="17"/>
        <v>MAJA1</v>
      </c>
      <c r="L119" s="72" t="str">
        <f t="shared" si="18"/>
        <v>FEBRUARY-1-MAJA1</v>
      </c>
      <c r="M119" s="73">
        <f t="shared" si="19"/>
        <v>0</v>
      </c>
      <c r="N119" s="73">
        <f t="shared" si="20"/>
        <v>-5.2356020942407877E-3</v>
      </c>
      <c r="O119" s="13">
        <f t="shared" si="21"/>
        <v>1504511</v>
      </c>
      <c r="P119" s="13">
        <f t="shared" si="22"/>
        <v>1532581</v>
      </c>
      <c r="Q119" s="13">
        <f t="shared" si="23"/>
        <v>1515308</v>
      </c>
      <c r="R119" s="33">
        <f t="shared" si="24"/>
        <v>7.176418118578054E-3</v>
      </c>
      <c r="S119" s="33">
        <f t="shared" si="25"/>
        <v>-1.1270529910001548E-2</v>
      </c>
    </row>
    <row r="120" spans="1:19" x14ac:dyDescent="0.25">
      <c r="A120" s="9" t="s">
        <v>34</v>
      </c>
      <c r="B120" s="65">
        <v>1</v>
      </c>
      <c r="C120" t="s">
        <v>11</v>
      </c>
      <c r="D120" s="67">
        <v>190</v>
      </c>
      <c r="E120" s="67">
        <v>191</v>
      </c>
      <c r="F120" s="67">
        <v>190</v>
      </c>
      <c r="G120" s="13">
        <f t="shared" si="13"/>
        <v>-1</v>
      </c>
      <c r="H120" s="13">
        <f t="shared" si="14"/>
        <v>0</v>
      </c>
      <c r="I120" s="73">
        <f t="shared" si="15"/>
        <v>0</v>
      </c>
      <c r="J120" s="73">
        <f t="shared" si="16"/>
        <v>-5.2356020942407877E-3</v>
      </c>
      <c r="K120" s="72" t="str">
        <f t="shared" si="17"/>
        <v>MAJA1</v>
      </c>
      <c r="L120" s="72" t="str">
        <f t="shared" si="18"/>
        <v>FEBRUARY-1-MAJA1</v>
      </c>
      <c r="M120" s="73">
        <f t="shared" si="19"/>
        <v>0</v>
      </c>
      <c r="N120" s="73">
        <f t="shared" si="20"/>
        <v>-5.2356020942407877E-3</v>
      </c>
      <c r="O120" s="13">
        <f t="shared" si="21"/>
        <v>1504511</v>
      </c>
      <c r="P120" s="13">
        <f t="shared" si="22"/>
        <v>1532581</v>
      </c>
      <c r="Q120" s="13">
        <f t="shared" si="23"/>
        <v>1515308</v>
      </c>
      <c r="R120" s="33">
        <f t="shared" si="24"/>
        <v>7.176418118578054E-3</v>
      </c>
      <c r="S120" s="33">
        <f t="shared" si="25"/>
        <v>-1.1270529910001548E-2</v>
      </c>
    </row>
    <row r="121" spans="1:19" x14ac:dyDescent="0.25">
      <c r="A121" s="9" t="s">
        <v>34</v>
      </c>
      <c r="B121" s="65">
        <v>1</v>
      </c>
      <c r="C121" t="s">
        <v>11</v>
      </c>
      <c r="D121" s="67">
        <v>30</v>
      </c>
      <c r="E121" s="67">
        <v>30</v>
      </c>
      <c r="F121" s="67">
        <v>30</v>
      </c>
      <c r="G121" s="13">
        <f t="shared" si="13"/>
        <v>0</v>
      </c>
      <c r="H121" s="13">
        <f t="shared" si="14"/>
        <v>0</v>
      </c>
      <c r="I121" s="73">
        <f t="shared" si="15"/>
        <v>0</v>
      </c>
      <c r="J121" s="73">
        <f t="shared" si="16"/>
        <v>0</v>
      </c>
      <c r="K121" s="72" t="str">
        <f t="shared" si="17"/>
        <v>MAJA1</v>
      </c>
      <c r="L121" s="72" t="str">
        <f t="shared" si="18"/>
        <v>FEBRUARY-1-MAJA1</v>
      </c>
      <c r="M121" s="73">
        <f t="shared" si="19"/>
        <v>0</v>
      </c>
      <c r="N121" s="73">
        <f t="shared" si="20"/>
        <v>-5.2356020942407877E-3</v>
      </c>
      <c r="O121" s="13">
        <f t="shared" si="21"/>
        <v>1504511</v>
      </c>
      <c r="P121" s="13">
        <f t="shared" si="22"/>
        <v>1532581</v>
      </c>
      <c r="Q121" s="13">
        <f t="shared" si="23"/>
        <v>1515308</v>
      </c>
      <c r="R121" s="33">
        <f t="shared" si="24"/>
        <v>7.176418118578054E-3</v>
      </c>
      <c r="S121" s="33">
        <f t="shared" si="25"/>
        <v>-1.1270529910001548E-2</v>
      </c>
    </row>
    <row r="122" spans="1:19" x14ac:dyDescent="0.25">
      <c r="A122" s="9" t="s">
        <v>34</v>
      </c>
      <c r="B122" s="65">
        <v>1</v>
      </c>
      <c r="C122" t="s">
        <v>11</v>
      </c>
      <c r="D122" s="67">
        <v>70</v>
      </c>
      <c r="E122" s="67">
        <v>70</v>
      </c>
      <c r="F122" s="67">
        <v>70</v>
      </c>
      <c r="G122" s="13">
        <f t="shared" si="13"/>
        <v>0</v>
      </c>
      <c r="H122" s="13">
        <f t="shared" si="14"/>
        <v>0</v>
      </c>
      <c r="I122" s="73">
        <f t="shared" si="15"/>
        <v>0</v>
      </c>
      <c r="J122" s="73">
        <f t="shared" si="16"/>
        <v>0</v>
      </c>
      <c r="K122" s="72" t="str">
        <f t="shared" si="17"/>
        <v>MAJA1</v>
      </c>
      <c r="L122" s="72" t="str">
        <f t="shared" si="18"/>
        <v>FEBRUARY-1-MAJA1</v>
      </c>
      <c r="M122" s="73">
        <f t="shared" si="19"/>
        <v>0</v>
      </c>
      <c r="N122" s="73">
        <f t="shared" si="20"/>
        <v>-5.2356020942407877E-3</v>
      </c>
      <c r="O122" s="13">
        <f t="shared" si="21"/>
        <v>1504511</v>
      </c>
      <c r="P122" s="13">
        <f t="shared" si="22"/>
        <v>1532581</v>
      </c>
      <c r="Q122" s="13">
        <f t="shared" si="23"/>
        <v>1515308</v>
      </c>
      <c r="R122" s="33">
        <f t="shared" si="24"/>
        <v>7.176418118578054E-3</v>
      </c>
      <c r="S122" s="33">
        <f t="shared" si="25"/>
        <v>-1.1270529910001548E-2</v>
      </c>
    </row>
    <row r="123" spans="1:19" x14ac:dyDescent="0.25">
      <c r="A123" s="9" t="s">
        <v>34</v>
      </c>
      <c r="B123" s="65">
        <v>1</v>
      </c>
      <c r="C123" t="s">
        <v>11</v>
      </c>
      <c r="D123" s="67">
        <v>310</v>
      </c>
      <c r="E123" s="67">
        <v>310</v>
      </c>
      <c r="F123" s="67">
        <v>310</v>
      </c>
      <c r="G123" s="13">
        <f t="shared" si="13"/>
        <v>0</v>
      </c>
      <c r="H123" s="13">
        <f t="shared" si="14"/>
        <v>0</v>
      </c>
      <c r="I123" s="73">
        <f t="shared" si="15"/>
        <v>0</v>
      </c>
      <c r="J123" s="73">
        <f t="shared" si="16"/>
        <v>0</v>
      </c>
      <c r="K123" s="72" t="str">
        <f t="shared" si="17"/>
        <v>MAJA1</v>
      </c>
      <c r="L123" s="72" t="str">
        <f t="shared" si="18"/>
        <v>FEBRUARY-1-MAJA1</v>
      </c>
      <c r="M123" s="73">
        <f t="shared" si="19"/>
        <v>0</v>
      </c>
      <c r="N123" s="73">
        <f t="shared" si="20"/>
        <v>-5.2356020942407877E-3</v>
      </c>
      <c r="O123" s="13">
        <f t="shared" si="21"/>
        <v>1504511</v>
      </c>
      <c r="P123" s="13">
        <f t="shared" si="22"/>
        <v>1532581</v>
      </c>
      <c r="Q123" s="13">
        <f t="shared" si="23"/>
        <v>1515308</v>
      </c>
      <c r="R123" s="33">
        <f t="shared" si="24"/>
        <v>7.176418118578054E-3</v>
      </c>
      <c r="S123" s="33">
        <f t="shared" si="25"/>
        <v>-1.1270529910001548E-2</v>
      </c>
    </row>
    <row r="124" spans="1:19" x14ac:dyDescent="0.25">
      <c r="A124" s="9" t="s">
        <v>34</v>
      </c>
      <c r="B124" s="65">
        <v>1</v>
      </c>
      <c r="C124" t="s">
        <v>17</v>
      </c>
      <c r="D124" s="67">
        <v>3020</v>
      </c>
      <c r="E124" s="67">
        <v>3052</v>
      </c>
      <c r="F124" s="67">
        <v>3042</v>
      </c>
      <c r="G124" s="13">
        <f t="shared" si="13"/>
        <v>-10</v>
      </c>
      <c r="H124" s="13">
        <f t="shared" si="14"/>
        <v>22</v>
      </c>
      <c r="I124" s="73">
        <f t="shared" si="15"/>
        <v>7.2847682119205892E-3</v>
      </c>
      <c r="J124" s="73">
        <f t="shared" si="16"/>
        <v>-3.2765399737876288E-3</v>
      </c>
      <c r="K124" s="72" t="str">
        <f t="shared" si="17"/>
        <v>CBA</v>
      </c>
      <c r="L124" s="72" t="str">
        <f t="shared" si="18"/>
        <v>FEBRUARY-1-CBA</v>
      </c>
      <c r="M124" s="73">
        <f t="shared" si="19"/>
        <v>7.2847682119205892E-3</v>
      </c>
      <c r="N124" s="73">
        <f t="shared" si="20"/>
        <v>-3.2765399737876288E-3</v>
      </c>
      <c r="O124" s="13">
        <f t="shared" si="21"/>
        <v>1504511</v>
      </c>
      <c r="P124" s="13">
        <f t="shared" si="22"/>
        <v>1532581</v>
      </c>
      <c r="Q124" s="13">
        <f t="shared" si="23"/>
        <v>1515308</v>
      </c>
      <c r="R124" s="33">
        <f t="shared" si="24"/>
        <v>7.176418118578054E-3</v>
      </c>
      <c r="S124" s="33">
        <f t="shared" si="25"/>
        <v>-1.1270529910001548E-2</v>
      </c>
    </row>
    <row r="125" spans="1:19" x14ac:dyDescent="0.25">
      <c r="A125" s="9" t="s">
        <v>34</v>
      </c>
      <c r="B125" s="65">
        <v>2</v>
      </c>
      <c r="C125" t="s">
        <v>10</v>
      </c>
      <c r="D125" s="67">
        <v>9925</v>
      </c>
      <c r="E125" s="67">
        <v>10220</v>
      </c>
      <c r="F125" s="67">
        <v>9925</v>
      </c>
      <c r="G125" s="13">
        <f t="shared" si="13"/>
        <v>-295</v>
      </c>
      <c r="H125" s="13">
        <f t="shared" si="14"/>
        <v>0</v>
      </c>
      <c r="I125" s="73">
        <f t="shared" si="15"/>
        <v>0</v>
      </c>
      <c r="J125" s="73">
        <f t="shared" si="16"/>
        <v>-2.886497064579252E-2</v>
      </c>
      <c r="K125" s="72" t="str">
        <f t="shared" si="17"/>
        <v>CNJ2</v>
      </c>
      <c r="L125" s="72" t="str">
        <f t="shared" si="18"/>
        <v>FEBRUARY-2-CNJ2</v>
      </c>
      <c r="M125" s="73">
        <f t="shared" si="19"/>
        <v>0</v>
      </c>
      <c r="N125" s="73">
        <f t="shared" si="20"/>
        <v>-0.3276877271831673</v>
      </c>
      <c r="O125" s="13">
        <f t="shared" si="21"/>
        <v>1504511</v>
      </c>
      <c r="P125" s="13">
        <f t="shared" si="22"/>
        <v>1532581</v>
      </c>
      <c r="Q125" s="13">
        <f t="shared" si="23"/>
        <v>1515308</v>
      </c>
      <c r="R125" s="33">
        <f t="shared" si="24"/>
        <v>7.176418118578054E-3</v>
      </c>
      <c r="S125" s="33">
        <f t="shared" si="25"/>
        <v>-1.1270529910001548E-2</v>
      </c>
    </row>
    <row r="126" spans="1:19" x14ac:dyDescent="0.25">
      <c r="A126" s="9" t="s">
        <v>34</v>
      </c>
      <c r="B126" s="65">
        <v>2</v>
      </c>
      <c r="C126" t="s">
        <v>10</v>
      </c>
      <c r="D126" s="67">
        <v>1065</v>
      </c>
      <c r="E126" s="67">
        <v>1065</v>
      </c>
      <c r="F126" s="67">
        <v>1065</v>
      </c>
      <c r="G126" s="13">
        <f t="shared" si="13"/>
        <v>0</v>
      </c>
      <c r="H126" s="13">
        <f t="shared" si="14"/>
        <v>0</v>
      </c>
      <c r="I126" s="73">
        <f t="shared" si="15"/>
        <v>0</v>
      </c>
      <c r="J126" s="73">
        <f t="shared" si="16"/>
        <v>0</v>
      </c>
      <c r="K126" s="72" t="str">
        <f t="shared" si="17"/>
        <v>CNJ2</v>
      </c>
      <c r="L126" s="72" t="str">
        <f t="shared" si="18"/>
        <v>FEBRUARY-2-CNJ2</v>
      </c>
      <c r="M126" s="73">
        <f t="shared" si="19"/>
        <v>0</v>
      </c>
      <c r="N126" s="73">
        <f t="shared" si="20"/>
        <v>-0.3276877271831673</v>
      </c>
      <c r="O126" s="13">
        <f t="shared" si="21"/>
        <v>1504511</v>
      </c>
      <c r="P126" s="13">
        <f t="shared" si="22"/>
        <v>1532581</v>
      </c>
      <c r="Q126" s="13">
        <f t="shared" si="23"/>
        <v>1515308</v>
      </c>
      <c r="R126" s="33">
        <f t="shared" si="24"/>
        <v>7.176418118578054E-3</v>
      </c>
      <c r="S126" s="33">
        <f t="shared" si="25"/>
        <v>-1.1270529910001548E-2</v>
      </c>
    </row>
    <row r="127" spans="1:19" x14ac:dyDescent="0.25">
      <c r="A127" s="9" t="s">
        <v>34</v>
      </c>
      <c r="B127" s="65">
        <v>2</v>
      </c>
      <c r="C127" t="s">
        <v>11</v>
      </c>
      <c r="D127" s="67">
        <v>1250</v>
      </c>
      <c r="E127" s="67">
        <v>1250</v>
      </c>
      <c r="F127" s="67">
        <v>1250</v>
      </c>
      <c r="G127" s="13">
        <f t="shared" si="13"/>
        <v>0</v>
      </c>
      <c r="H127" s="13">
        <f t="shared" si="14"/>
        <v>0</v>
      </c>
      <c r="I127" s="73">
        <f t="shared" si="15"/>
        <v>0</v>
      </c>
      <c r="J127" s="73">
        <f t="shared" si="16"/>
        <v>0</v>
      </c>
      <c r="K127" s="72" t="str">
        <f t="shared" si="17"/>
        <v>MAJA1</v>
      </c>
      <c r="L127" s="72" t="str">
        <f t="shared" si="18"/>
        <v>FEBRUARY-2-MAJA1</v>
      </c>
      <c r="M127" s="73">
        <f t="shared" si="19"/>
        <v>-1.4115067350108701E-2</v>
      </c>
      <c r="N127" s="73">
        <f t="shared" si="20"/>
        <v>-0.41646017702597238</v>
      </c>
      <c r="O127" s="13">
        <f t="shared" si="21"/>
        <v>1504511</v>
      </c>
      <c r="P127" s="13">
        <f t="shared" si="22"/>
        <v>1532581</v>
      </c>
      <c r="Q127" s="13">
        <f t="shared" si="23"/>
        <v>1515308</v>
      </c>
      <c r="R127" s="33">
        <f t="shared" si="24"/>
        <v>7.176418118578054E-3</v>
      </c>
      <c r="S127" s="33">
        <f t="shared" si="25"/>
        <v>-1.1270529910001548E-2</v>
      </c>
    </row>
    <row r="128" spans="1:19" x14ac:dyDescent="0.25">
      <c r="A128" s="9" t="s">
        <v>34</v>
      </c>
      <c r="B128" s="65">
        <v>2</v>
      </c>
      <c r="C128" t="s">
        <v>11</v>
      </c>
      <c r="D128" s="67">
        <v>2600</v>
      </c>
      <c r="E128" s="67">
        <v>2628</v>
      </c>
      <c r="F128" s="67">
        <v>2563</v>
      </c>
      <c r="G128" s="13">
        <f t="shared" si="13"/>
        <v>-65</v>
      </c>
      <c r="H128" s="13">
        <f t="shared" si="14"/>
        <v>-37</v>
      </c>
      <c r="I128" s="73">
        <f t="shared" si="15"/>
        <v>-1.4230769230769269E-2</v>
      </c>
      <c r="J128" s="73">
        <f t="shared" si="16"/>
        <v>-2.473363774733639E-2</v>
      </c>
      <c r="K128" s="72" t="str">
        <f t="shared" si="17"/>
        <v>MAJA1</v>
      </c>
      <c r="L128" s="72" t="str">
        <f t="shared" si="18"/>
        <v>FEBRUARY-2-MAJA1</v>
      </c>
      <c r="M128" s="73">
        <f t="shared" si="19"/>
        <v>-1.4115067350108701E-2</v>
      </c>
      <c r="N128" s="73">
        <f t="shared" si="20"/>
        <v>-0.41646017702597238</v>
      </c>
      <c r="O128" s="13">
        <f t="shared" si="21"/>
        <v>1504511</v>
      </c>
      <c r="P128" s="13">
        <f t="shared" si="22"/>
        <v>1532581</v>
      </c>
      <c r="Q128" s="13">
        <f t="shared" si="23"/>
        <v>1515308</v>
      </c>
      <c r="R128" s="33">
        <f t="shared" si="24"/>
        <v>7.176418118578054E-3</v>
      </c>
      <c r="S128" s="33">
        <f t="shared" si="25"/>
        <v>-1.1270529910001548E-2</v>
      </c>
    </row>
    <row r="129" spans="1:19" x14ac:dyDescent="0.25">
      <c r="A129" s="9" t="s">
        <v>34</v>
      </c>
      <c r="B129" s="65">
        <v>2</v>
      </c>
      <c r="C129" t="s">
        <v>11</v>
      </c>
      <c r="D129" s="67">
        <v>1030</v>
      </c>
      <c r="E129" s="67">
        <v>1042</v>
      </c>
      <c r="F129" s="67">
        <v>1033</v>
      </c>
      <c r="G129" s="13">
        <f t="shared" si="13"/>
        <v>-9</v>
      </c>
      <c r="H129" s="13">
        <f t="shared" si="14"/>
        <v>3</v>
      </c>
      <c r="I129" s="73">
        <f t="shared" si="15"/>
        <v>2.9126213592232109E-3</v>
      </c>
      <c r="J129" s="73">
        <f t="shared" si="16"/>
        <v>-8.6372360844529927E-3</v>
      </c>
      <c r="K129" s="72" t="str">
        <f t="shared" si="17"/>
        <v>MAJA1</v>
      </c>
      <c r="L129" s="72" t="str">
        <f t="shared" si="18"/>
        <v>FEBRUARY-2-MAJA1</v>
      </c>
      <c r="M129" s="73">
        <f t="shared" si="19"/>
        <v>-1.4115067350108701E-2</v>
      </c>
      <c r="N129" s="73">
        <f t="shared" si="20"/>
        <v>-0.41646017702597238</v>
      </c>
      <c r="O129" s="13">
        <f t="shared" si="21"/>
        <v>1504511</v>
      </c>
      <c r="P129" s="13">
        <f t="shared" si="22"/>
        <v>1532581</v>
      </c>
      <c r="Q129" s="13">
        <f t="shared" si="23"/>
        <v>1515308</v>
      </c>
      <c r="R129" s="33">
        <f t="shared" si="24"/>
        <v>7.176418118578054E-3</v>
      </c>
      <c r="S129" s="33">
        <f t="shared" si="25"/>
        <v>-1.1270529910001548E-2</v>
      </c>
    </row>
    <row r="130" spans="1:19" x14ac:dyDescent="0.25">
      <c r="A130" s="9" t="s">
        <v>34</v>
      </c>
      <c r="B130" s="65">
        <v>2</v>
      </c>
      <c r="C130" t="s">
        <v>11</v>
      </c>
      <c r="D130" s="67">
        <v>1140</v>
      </c>
      <c r="E130" s="67">
        <v>1151</v>
      </c>
      <c r="F130" s="67">
        <v>1137</v>
      </c>
      <c r="G130" s="13">
        <f t="shared" ref="G130:G193" si="26">F130-E130</f>
        <v>-14</v>
      </c>
      <c r="H130" s="13">
        <f t="shared" ref="H130:H193" si="27">F130-D130</f>
        <v>-3</v>
      </c>
      <c r="I130" s="73">
        <f t="shared" ref="I130:I193" si="28">F130/D130-1</f>
        <v>-2.6315789473684292E-3</v>
      </c>
      <c r="J130" s="73">
        <f t="shared" ref="J130:J193" si="29">F130/E130-1</f>
        <v>-1.2163336229365718E-2</v>
      </c>
      <c r="K130" s="72" t="str">
        <f t="shared" ref="K130:K193" si="30">CLEAN(SUBSTITUTE(C130," ",""))</f>
        <v>MAJA1</v>
      </c>
      <c r="L130" s="72" t="str">
        <f t="shared" ref="L130:L193" si="31">A130&amp;"-"&amp;B130&amp;"-"&amp;K130</f>
        <v>FEBRUARY-2-MAJA1</v>
      </c>
      <c r="M130" s="73">
        <f t="shared" ref="M130:M193" si="32">SUMIF($L$2:$L$1396,L130,$I$2:$I$1396)</f>
        <v>-1.4115067350108701E-2</v>
      </c>
      <c r="N130" s="73">
        <f t="shared" ref="N130:N193" si="33">SUMIF($L$2:$L$1396,L130,$J$2:$J$1396)</f>
        <v>-0.41646017702597238</v>
      </c>
      <c r="O130" s="13">
        <f t="shared" ref="O130:O193" si="34">SUMIF($A$2:$A$1396,A130,$D$2:$D$1396)</f>
        <v>1504511</v>
      </c>
      <c r="P130" s="13">
        <f t="shared" ref="P130:P193" si="35">SUMIF($A$2:$A$1396,A130,$E$2:$E$1396)</f>
        <v>1532581</v>
      </c>
      <c r="Q130" s="13">
        <f t="shared" ref="Q130:Q193" si="36">SUMIF($A$2:$A$1396,A130,$F$2:$F$1396)</f>
        <v>1515308</v>
      </c>
      <c r="R130" s="33">
        <f t="shared" ref="R130:R193" si="37">Q130/O130-1</f>
        <v>7.176418118578054E-3</v>
      </c>
      <c r="S130" s="33">
        <f t="shared" ref="S130:S193" si="38">Q130/P130-1</f>
        <v>-1.1270529910001548E-2</v>
      </c>
    </row>
    <row r="131" spans="1:19" x14ac:dyDescent="0.25">
      <c r="A131" s="9" t="s">
        <v>34</v>
      </c>
      <c r="B131" s="65">
        <v>2</v>
      </c>
      <c r="C131" t="s">
        <v>11</v>
      </c>
      <c r="D131" s="67">
        <v>1350</v>
      </c>
      <c r="E131" s="67">
        <v>1367</v>
      </c>
      <c r="F131" s="67">
        <v>1358</v>
      </c>
      <c r="G131" s="13">
        <f t="shared" si="26"/>
        <v>-9</v>
      </c>
      <c r="H131" s="13">
        <f t="shared" si="27"/>
        <v>8</v>
      </c>
      <c r="I131" s="73">
        <f t="shared" si="28"/>
        <v>5.9259259259258901E-3</v>
      </c>
      <c r="J131" s="73">
        <f t="shared" si="29"/>
        <v>-6.5837600585223477E-3</v>
      </c>
      <c r="K131" s="72" t="str">
        <f t="shared" si="30"/>
        <v>MAJA1</v>
      </c>
      <c r="L131" s="72" t="str">
        <f t="shared" si="31"/>
        <v>FEBRUARY-2-MAJA1</v>
      </c>
      <c r="M131" s="73">
        <f t="shared" si="32"/>
        <v>-1.4115067350108701E-2</v>
      </c>
      <c r="N131" s="73">
        <f t="shared" si="33"/>
        <v>-0.41646017702597238</v>
      </c>
      <c r="O131" s="13">
        <f t="shared" si="34"/>
        <v>1504511</v>
      </c>
      <c r="P131" s="13">
        <f t="shared" si="35"/>
        <v>1532581</v>
      </c>
      <c r="Q131" s="13">
        <f t="shared" si="36"/>
        <v>1515308</v>
      </c>
      <c r="R131" s="33">
        <f t="shared" si="37"/>
        <v>7.176418118578054E-3</v>
      </c>
      <c r="S131" s="33">
        <f t="shared" si="38"/>
        <v>-1.1270529910001548E-2</v>
      </c>
    </row>
    <row r="132" spans="1:19" x14ac:dyDescent="0.25">
      <c r="A132" s="9" t="s">
        <v>34</v>
      </c>
      <c r="B132" s="65">
        <v>2</v>
      </c>
      <c r="C132" t="s">
        <v>11</v>
      </c>
      <c r="D132" s="67">
        <v>2600</v>
      </c>
      <c r="E132" s="67">
        <v>2639</v>
      </c>
      <c r="F132" s="67">
        <v>2611</v>
      </c>
      <c r="G132" s="13">
        <f t="shared" si="26"/>
        <v>-28</v>
      </c>
      <c r="H132" s="13">
        <f t="shared" si="27"/>
        <v>11</v>
      </c>
      <c r="I132" s="73">
        <f t="shared" si="28"/>
        <v>4.2307692307692601E-3</v>
      </c>
      <c r="J132" s="73">
        <f t="shared" si="29"/>
        <v>-1.0610079575596787E-2</v>
      </c>
      <c r="K132" s="72" t="str">
        <f t="shared" si="30"/>
        <v>MAJA1</v>
      </c>
      <c r="L132" s="72" t="str">
        <f t="shared" si="31"/>
        <v>FEBRUARY-2-MAJA1</v>
      </c>
      <c r="M132" s="73">
        <f t="shared" si="32"/>
        <v>-1.4115067350108701E-2</v>
      </c>
      <c r="N132" s="73">
        <f t="shared" si="33"/>
        <v>-0.41646017702597238</v>
      </c>
      <c r="O132" s="13">
        <f t="shared" si="34"/>
        <v>1504511</v>
      </c>
      <c r="P132" s="13">
        <f t="shared" si="35"/>
        <v>1532581</v>
      </c>
      <c r="Q132" s="13">
        <f t="shared" si="36"/>
        <v>1515308</v>
      </c>
      <c r="R132" s="33">
        <f t="shared" si="37"/>
        <v>7.176418118578054E-3</v>
      </c>
      <c r="S132" s="33">
        <f t="shared" si="38"/>
        <v>-1.1270529910001548E-2</v>
      </c>
    </row>
    <row r="133" spans="1:19" x14ac:dyDescent="0.25">
      <c r="A133" s="9" t="s">
        <v>34</v>
      </c>
      <c r="B133" s="65">
        <v>2</v>
      </c>
      <c r="C133" t="s">
        <v>11</v>
      </c>
      <c r="D133" s="67">
        <v>1968</v>
      </c>
      <c r="E133" s="67">
        <v>1990</v>
      </c>
      <c r="F133" s="67">
        <v>1981</v>
      </c>
      <c r="G133" s="13">
        <f t="shared" si="26"/>
        <v>-9</v>
      </c>
      <c r="H133" s="13">
        <f t="shared" si="27"/>
        <v>13</v>
      </c>
      <c r="I133" s="73">
        <f t="shared" si="28"/>
        <v>6.6056910569105565E-3</v>
      </c>
      <c r="J133" s="73">
        <f t="shared" si="29"/>
        <v>-4.5226130653266416E-3</v>
      </c>
      <c r="K133" s="72" t="str">
        <f t="shared" si="30"/>
        <v>MAJA1</v>
      </c>
      <c r="L133" s="72" t="str">
        <f t="shared" si="31"/>
        <v>FEBRUARY-2-MAJA1</v>
      </c>
      <c r="M133" s="73">
        <f t="shared" si="32"/>
        <v>-1.4115067350108701E-2</v>
      </c>
      <c r="N133" s="73">
        <f t="shared" si="33"/>
        <v>-0.41646017702597238</v>
      </c>
      <c r="O133" s="13">
        <f t="shared" si="34"/>
        <v>1504511</v>
      </c>
      <c r="P133" s="13">
        <f t="shared" si="35"/>
        <v>1532581</v>
      </c>
      <c r="Q133" s="13">
        <f t="shared" si="36"/>
        <v>1515308</v>
      </c>
      <c r="R133" s="33">
        <f t="shared" si="37"/>
        <v>7.176418118578054E-3</v>
      </c>
      <c r="S133" s="33">
        <f t="shared" si="38"/>
        <v>-1.1270529910001548E-2</v>
      </c>
    </row>
    <row r="134" spans="1:19" x14ac:dyDescent="0.25">
      <c r="A134" s="9" t="s">
        <v>34</v>
      </c>
      <c r="B134" s="65">
        <v>2</v>
      </c>
      <c r="C134" t="s">
        <v>10</v>
      </c>
      <c r="D134" s="67">
        <v>860</v>
      </c>
      <c r="E134" s="67">
        <v>860</v>
      </c>
      <c r="F134" s="67">
        <v>860</v>
      </c>
      <c r="G134" s="13">
        <f t="shared" si="26"/>
        <v>0</v>
      </c>
      <c r="H134" s="13">
        <f t="shared" si="27"/>
        <v>0</v>
      </c>
      <c r="I134" s="73">
        <f t="shared" si="28"/>
        <v>0</v>
      </c>
      <c r="J134" s="73">
        <f t="shared" si="29"/>
        <v>0</v>
      </c>
      <c r="K134" s="72" t="str">
        <f t="shared" si="30"/>
        <v>CNJ2</v>
      </c>
      <c r="L134" s="72" t="str">
        <f t="shared" si="31"/>
        <v>FEBRUARY-2-CNJ2</v>
      </c>
      <c r="M134" s="73">
        <f t="shared" si="32"/>
        <v>0</v>
      </c>
      <c r="N134" s="73">
        <f t="shared" si="33"/>
        <v>-0.3276877271831673</v>
      </c>
      <c r="O134" s="13">
        <f t="shared" si="34"/>
        <v>1504511</v>
      </c>
      <c r="P134" s="13">
        <f t="shared" si="35"/>
        <v>1532581</v>
      </c>
      <c r="Q134" s="13">
        <f t="shared" si="36"/>
        <v>1515308</v>
      </c>
      <c r="R134" s="33">
        <f t="shared" si="37"/>
        <v>7.176418118578054E-3</v>
      </c>
      <c r="S134" s="33">
        <f t="shared" si="38"/>
        <v>-1.1270529910001548E-2</v>
      </c>
    </row>
    <row r="135" spans="1:19" x14ac:dyDescent="0.25">
      <c r="A135" s="9" t="s">
        <v>34</v>
      </c>
      <c r="B135" s="65">
        <v>2</v>
      </c>
      <c r="C135" t="s">
        <v>10</v>
      </c>
      <c r="D135" s="67">
        <v>2080</v>
      </c>
      <c r="E135" s="67">
        <v>2092</v>
      </c>
      <c r="F135" s="67">
        <v>2080</v>
      </c>
      <c r="G135" s="13">
        <f t="shared" si="26"/>
        <v>-12</v>
      </c>
      <c r="H135" s="13">
        <f t="shared" si="27"/>
        <v>0</v>
      </c>
      <c r="I135" s="73">
        <f t="shared" si="28"/>
        <v>0</v>
      </c>
      <c r="J135" s="73">
        <f t="shared" si="29"/>
        <v>-5.7361376673039643E-3</v>
      </c>
      <c r="K135" s="72" t="str">
        <f t="shared" si="30"/>
        <v>CNJ2</v>
      </c>
      <c r="L135" s="72" t="str">
        <f t="shared" si="31"/>
        <v>FEBRUARY-2-CNJ2</v>
      </c>
      <c r="M135" s="73">
        <f t="shared" si="32"/>
        <v>0</v>
      </c>
      <c r="N135" s="73">
        <f t="shared" si="33"/>
        <v>-0.3276877271831673</v>
      </c>
      <c r="O135" s="13">
        <f t="shared" si="34"/>
        <v>1504511</v>
      </c>
      <c r="P135" s="13">
        <f t="shared" si="35"/>
        <v>1532581</v>
      </c>
      <c r="Q135" s="13">
        <f t="shared" si="36"/>
        <v>1515308</v>
      </c>
      <c r="R135" s="33">
        <f t="shared" si="37"/>
        <v>7.176418118578054E-3</v>
      </c>
      <c r="S135" s="33">
        <f t="shared" si="38"/>
        <v>-1.1270529910001548E-2</v>
      </c>
    </row>
    <row r="136" spans="1:19" x14ac:dyDescent="0.25">
      <c r="A136" s="9" t="s">
        <v>34</v>
      </c>
      <c r="B136" s="65">
        <v>2</v>
      </c>
      <c r="C136" t="s">
        <v>10</v>
      </c>
      <c r="D136" s="67">
        <v>3710</v>
      </c>
      <c r="E136" s="67">
        <v>3762</v>
      </c>
      <c r="F136" s="67">
        <v>3710</v>
      </c>
      <c r="G136" s="13">
        <f t="shared" si="26"/>
        <v>-52</v>
      </c>
      <c r="H136" s="13">
        <f t="shared" si="27"/>
        <v>0</v>
      </c>
      <c r="I136" s="73">
        <f t="shared" si="28"/>
        <v>0</v>
      </c>
      <c r="J136" s="73">
        <f t="shared" si="29"/>
        <v>-1.3822434875066403E-2</v>
      </c>
      <c r="K136" s="72" t="str">
        <f t="shared" si="30"/>
        <v>CNJ2</v>
      </c>
      <c r="L136" s="72" t="str">
        <f t="shared" si="31"/>
        <v>FEBRUARY-2-CNJ2</v>
      </c>
      <c r="M136" s="73">
        <f t="shared" si="32"/>
        <v>0</v>
      </c>
      <c r="N136" s="73">
        <f t="shared" si="33"/>
        <v>-0.3276877271831673</v>
      </c>
      <c r="O136" s="13">
        <f t="shared" si="34"/>
        <v>1504511</v>
      </c>
      <c r="P136" s="13">
        <f t="shared" si="35"/>
        <v>1532581</v>
      </c>
      <c r="Q136" s="13">
        <f t="shared" si="36"/>
        <v>1515308</v>
      </c>
      <c r="R136" s="33">
        <f t="shared" si="37"/>
        <v>7.176418118578054E-3</v>
      </c>
      <c r="S136" s="33">
        <f t="shared" si="38"/>
        <v>-1.1270529910001548E-2</v>
      </c>
    </row>
    <row r="137" spans="1:19" x14ac:dyDescent="0.25">
      <c r="A137" s="9" t="s">
        <v>34</v>
      </c>
      <c r="B137" s="65">
        <v>2</v>
      </c>
      <c r="C137" t="s">
        <v>10</v>
      </c>
      <c r="D137" s="67">
        <v>1510</v>
      </c>
      <c r="E137" s="67">
        <v>1516</v>
      </c>
      <c r="F137" s="67">
        <v>1510</v>
      </c>
      <c r="G137" s="13">
        <f t="shared" si="26"/>
        <v>-6</v>
      </c>
      <c r="H137" s="13">
        <f t="shared" si="27"/>
        <v>0</v>
      </c>
      <c r="I137" s="73">
        <f t="shared" si="28"/>
        <v>0</v>
      </c>
      <c r="J137" s="73">
        <f t="shared" si="29"/>
        <v>-3.9577836411609502E-3</v>
      </c>
      <c r="K137" s="72" t="str">
        <f t="shared" si="30"/>
        <v>CNJ2</v>
      </c>
      <c r="L137" s="72" t="str">
        <f t="shared" si="31"/>
        <v>FEBRUARY-2-CNJ2</v>
      </c>
      <c r="M137" s="73">
        <f t="shared" si="32"/>
        <v>0</v>
      </c>
      <c r="N137" s="73">
        <f t="shared" si="33"/>
        <v>-0.3276877271831673</v>
      </c>
      <c r="O137" s="13">
        <f t="shared" si="34"/>
        <v>1504511</v>
      </c>
      <c r="P137" s="13">
        <f t="shared" si="35"/>
        <v>1532581</v>
      </c>
      <c r="Q137" s="13">
        <f t="shared" si="36"/>
        <v>1515308</v>
      </c>
      <c r="R137" s="33">
        <f t="shared" si="37"/>
        <v>7.176418118578054E-3</v>
      </c>
      <c r="S137" s="33">
        <f t="shared" si="38"/>
        <v>-1.1270529910001548E-2</v>
      </c>
    </row>
    <row r="138" spans="1:19" x14ac:dyDescent="0.25">
      <c r="A138" s="9" t="s">
        <v>34</v>
      </c>
      <c r="B138" s="65">
        <v>2</v>
      </c>
      <c r="C138" t="s">
        <v>10</v>
      </c>
      <c r="D138" s="67">
        <v>2620</v>
      </c>
      <c r="E138" s="67">
        <v>2643</v>
      </c>
      <c r="F138" s="67">
        <v>2620</v>
      </c>
      <c r="G138" s="13">
        <f t="shared" si="26"/>
        <v>-23</v>
      </c>
      <c r="H138" s="13">
        <f t="shared" si="27"/>
        <v>0</v>
      </c>
      <c r="I138" s="73">
        <f t="shared" si="28"/>
        <v>0</v>
      </c>
      <c r="J138" s="73">
        <f t="shared" si="29"/>
        <v>-8.702232311766922E-3</v>
      </c>
      <c r="K138" s="72" t="str">
        <f t="shared" si="30"/>
        <v>CNJ2</v>
      </c>
      <c r="L138" s="72" t="str">
        <f t="shared" si="31"/>
        <v>FEBRUARY-2-CNJ2</v>
      </c>
      <c r="M138" s="73">
        <f t="shared" si="32"/>
        <v>0</v>
      </c>
      <c r="N138" s="73">
        <f t="shared" si="33"/>
        <v>-0.3276877271831673</v>
      </c>
      <c r="O138" s="13">
        <f t="shared" si="34"/>
        <v>1504511</v>
      </c>
      <c r="P138" s="13">
        <f t="shared" si="35"/>
        <v>1532581</v>
      </c>
      <c r="Q138" s="13">
        <f t="shared" si="36"/>
        <v>1515308</v>
      </c>
      <c r="R138" s="33">
        <f t="shared" si="37"/>
        <v>7.176418118578054E-3</v>
      </c>
      <c r="S138" s="33">
        <f t="shared" si="38"/>
        <v>-1.1270529910001548E-2</v>
      </c>
    </row>
    <row r="139" spans="1:19" x14ac:dyDescent="0.25">
      <c r="A139" s="9" t="s">
        <v>34</v>
      </c>
      <c r="B139" s="65">
        <v>2</v>
      </c>
      <c r="C139" t="s">
        <v>10</v>
      </c>
      <c r="D139" s="67">
        <v>682</v>
      </c>
      <c r="E139" s="67">
        <v>748</v>
      </c>
      <c r="F139" s="67">
        <v>682</v>
      </c>
      <c r="G139" s="13">
        <f t="shared" si="26"/>
        <v>-66</v>
      </c>
      <c r="H139" s="13">
        <f t="shared" si="27"/>
        <v>0</v>
      </c>
      <c r="I139" s="73">
        <f t="shared" si="28"/>
        <v>0</v>
      </c>
      <c r="J139" s="73">
        <f t="shared" si="29"/>
        <v>-8.8235294117647078E-2</v>
      </c>
      <c r="K139" s="72" t="str">
        <f t="shared" si="30"/>
        <v>CNJ2</v>
      </c>
      <c r="L139" s="72" t="str">
        <f t="shared" si="31"/>
        <v>FEBRUARY-2-CNJ2</v>
      </c>
      <c r="M139" s="73">
        <f t="shared" si="32"/>
        <v>0</v>
      </c>
      <c r="N139" s="73">
        <f t="shared" si="33"/>
        <v>-0.3276877271831673</v>
      </c>
      <c r="O139" s="13">
        <f t="shared" si="34"/>
        <v>1504511</v>
      </c>
      <c r="P139" s="13">
        <f t="shared" si="35"/>
        <v>1532581</v>
      </c>
      <c r="Q139" s="13">
        <f t="shared" si="36"/>
        <v>1515308</v>
      </c>
      <c r="R139" s="33">
        <f t="shared" si="37"/>
        <v>7.176418118578054E-3</v>
      </c>
      <c r="S139" s="33">
        <f t="shared" si="38"/>
        <v>-1.1270529910001548E-2</v>
      </c>
    </row>
    <row r="140" spans="1:19" x14ac:dyDescent="0.25">
      <c r="A140" s="9" t="s">
        <v>34</v>
      </c>
      <c r="B140" s="65">
        <v>2</v>
      </c>
      <c r="C140" t="s">
        <v>10</v>
      </c>
      <c r="D140" s="67">
        <v>1189</v>
      </c>
      <c r="E140" s="67">
        <v>1215</v>
      </c>
      <c r="F140" s="67">
        <v>1189</v>
      </c>
      <c r="G140" s="13">
        <f t="shared" si="26"/>
        <v>-26</v>
      </c>
      <c r="H140" s="13">
        <f t="shared" si="27"/>
        <v>0</v>
      </c>
      <c r="I140" s="73">
        <f t="shared" si="28"/>
        <v>0</v>
      </c>
      <c r="J140" s="73">
        <f t="shared" si="29"/>
        <v>-2.1399176954732479E-2</v>
      </c>
      <c r="K140" s="72" t="str">
        <f t="shared" si="30"/>
        <v>CNJ2</v>
      </c>
      <c r="L140" s="72" t="str">
        <f t="shared" si="31"/>
        <v>FEBRUARY-2-CNJ2</v>
      </c>
      <c r="M140" s="73">
        <f t="shared" si="32"/>
        <v>0</v>
      </c>
      <c r="N140" s="73">
        <f t="shared" si="33"/>
        <v>-0.3276877271831673</v>
      </c>
      <c r="O140" s="13">
        <f t="shared" si="34"/>
        <v>1504511</v>
      </c>
      <c r="P140" s="13">
        <f t="shared" si="35"/>
        <v>1532581</v>
      </c>
      <c r="Q140" s="13">
        <f t="shared" si="36"/>
        <v>1515308</v>
      </c>
      <c r="R140" s="33">
        <f t="shared" si="37"/>
        <v>7.176418118578054E-3</v>
      </c>
      <c r="S140" s="33">
        <f t="shared" si="38"/>
        <v>-1.1270529910001548E-2</v>
      </c>
    </row>
    <row r="141" spans="1:19" x14ac:dyDescent="0.25">
      <c r="A141" s="9" t="s">
        <v>34</v>
      </c>
      <c r="B141" s="65">
        <v>2</v>
      </c>
      <c r="C141" t="s">
        <v>10</v>
      </c>
      <c r="D141" s="67">
        <v>612</v>
      </c>
      <c r="E141" s="67">
        <v>675</v>
      </c>
      <c r="F141" s="67">
        <v>612</v>
      </c>
      <c r="G141" s="13">
        <f t="shared" si="26"/>
        <v>-63</v>
      </c>
      <c r="H141" s="13">
        <f t="shared" si="27"/>
        <v>0</v>
      </c>
      <c r="I141" s="73">
        <f t="shared" si="28"/>
        <v>0</v>
      </c>
      <c r="J141" s="73">
        <f t="shared" si="29"/>
        <v>-9.3333333333333379E-2</v>
      </c>
      <c r="K141" s="72" t="str">
        <f t="shared" si="30"/>
        <v>CNJ2</v>
      </c>
      <c r="L141" s="72" t="str">
        <f t="shared" si="31"/>
        <v>FEBRUARY-2-CNJ2</v>
      </c>
      <c r="M141" s="73">
        <f t="shared" si="32"/>
        <v>0</v>
      </c>
      <c r="N141" s="73">
        <f t="shared" si="33"/>
        <v>-0.3276877271831673</v>
      </c>
      <c r="O141" s="13">
        <f t="shared" si="34"/>
        <v>1504511</v>
      </c>
      <c r="P141" s="13">
        <f t="shared" si="35"/>
        <v>1532581</v>
      </c>
      <c r="Q141" s="13">
        <f t="shared" si="36"/>
        <v>1515308</v>
      </c>
      <c r="R141" s="33">
        <f t="shared" si="37"/>
        <v>7.176418118578054E-3</v>
      </c>
      <c r="S141" s="33">
        <f t="shared" si="38"/>
        <v>-1.1270529910001548E-2</v>
      </c>
    </row>
    <row r="142" spans="1:19" x14ac:dyDescent="0.25">
      <c r="A142" s="9" t="s">
        <v>34</v>
      </c>
      <c r="B142" s="65">
        <v>2</v>
      </c>
      <c r="C142" t="s">
        <v>10</v>
      </c>
      <c r="D142" s="67">
        <v>309</v>
      </c>
      <c r="E142" s="67">
        <v>330</v>
      </c>
      <c r="F142" s="67">
        <v>309</v>
      </c>
      <c r="G142" s="13">
        <f t="shared" si="26"/>
        <v>-21</v>
      </c>
      <c r="H142" s="13">
        <f t="shared" si="27"/>
        <v>0</v>
      </c>
      <c r="I142" s="73">
        <f t="shared" si="28"/>
        <v>0</v>
      </c>
      <c r="J142" s="73">
        <f t="shared" si="29"/>
        <v>-6.3636363636363602E-2</v>
      </c>
      <c r="K142" s="72" t="str">
        <f t="shared" si="30"/>
        <v>CNJ2</v>
      </c>
      <c r="L142" s="72" t="str">
        <f t="shared" si="31"/>
        <v>FEBRUARY-2-CNJ2</v>
      </c>
      <c r="M142" s="73">
        <f t="shared" si="32"/>
        <v>0</v>
      </c>
      <c r="N142" s="73">
        <f t="shared" si="33"/>
        <v>-0.3276877271831673</v>
      </c>
      <c r="O142" s="13">
        <f t="shared" si="34"/>
        <v>1504511</v>
      </c>
      <c r="P142" s="13">
        <f t="shared" si="35"/>
        <v>1532581</v>
      </c>
      <c r="Q142" s="13">
        <f t="shared" si="36"/>
        <v>1515308</v>
      </c>
      <c r="R142" s="33">
        <f t="shared" si="37"/>
        <v>7.176418118578054E-3</v>
      </c>
      <c r="S142" s="33">
        <f t="shared" si="38"/>
        <v>-1.1270529910001548E-2</v>
      </c>
    </row>
    <row r="143" spans="1:19" x14ac:dyDescent="0.25">
      <c r="A143" s="9" t="s">
        <v>34</v>
      </c>
      <c r="B143" s="65">
        <v>2</v>
      </c>
      <c r="C143" t="s">
        <v>11</v>
      </c>
      <c r="D143" s="67">
        <v>7200</v>
      </c>
      <c r="E143" s="67">
        <v>7215</v>
      </c>
      <c r="F143" s="67">
        <v>7072</v>
      </c>
      <c r="G143" s="13">
        <f t="shared" si="26"/>
        <v>-143</v>
      </c>
      <c r="H143" s="13">
        <f t="shared" si="27"/>
        <v>-128</v>
      </c>
      <c r="I143" s="73">
        <f t="shared" si="28"/>
        <v>-1.7777777777777781E-2</v>
      </c>
      <c r="J143" s="73">
        <f t="shared" si="29"/>
        <v>-1.9819819819819839E-2</v>
      </c>
      <c r="K143" s="72" t="str">
        <f t="shared" si="30"/>
        <v>MAJA1</v>
      </c>
      <c r="L143" s="72" t="str">
        <f t="shared" si="31"/>
        <v>FEBRUARY-2-MAJA1</v>
      </c>
      <c r="M143" s="73">
        <f t="shared" si="32"/>
        <v>-1.4115067350108701E-2</v>
      </c>
      <c r="N143" s="73">
        <f t="shared" si="33"/>
        <v>-0.41646017702597238</v>
      </c>
      <c r="O143" s="13">
        <f t="shared" si="34"/>
        <v>1504511</v>
      </c>
      <c r="P143" s="13">
        <f t="shared" si="35"/>
        <v>1532581</v>
      </c>
      <c r="Q143" s="13">
        <f t="shared" si="36"/>
        <v>1515308</v>
      </c>
      <c r="R143" s="33">
        <f t="shared" si="37"/>
        <v>7.176418118578054E-3</v>
      </c>
      <c r="S143" s="33">
        <f t="shared" si="38"/>
        <v>-1.1270529910001548E-2</v>
      </c>
    </row>
    <row r="144" spans="1:19" x14ac:dyDescent="0.25">
      <c r="A144" s="9" t="s">
        <v>34</v>
      </c>
      <c r="B144" s="65">
        <v>2</v>
      </c>
      <c r="C144" t="s">
        <v>11</v>
      </c>
      <c r="D144" s="67">
        <v>360</v>
      </c>
      <c r="E144" s="67">
        <v>347</v>
      </c>
      <c r="F144" s="67">
        <v>342</v>
      </c>
      <c r="G144" s="13">
        <f t="shared" si="26"/>
        <v>-5</v>
      </c>
      <c r="H144" s="13">
        <f t="shared" si="27"/>
        <v>-18</v>
      </c>
      <c r="I144" s="73">
        <f t="shared" si="28"/>
        <v>-5.0000000000000044E-2</v>
      </c>
      <c r="J144" s="73">
        <f t="shared" si="29"/>
        <v>-1.4409221902017322E-2</v>
      </c>
      <c r="K144" s="72" t="str">
        <f t="shared" si="30"/>
        <v>MAJA1</v>
      </c>
      <c r="L144" s="72" t="str">
        <f t="shared" si="31"/>
        <v>FEBRUARY-2-MAJA1</v>
      </c>
      <c r="M144" s="73">
        <f t="shared" si="32"/>
        <v>-1.4115067350108701E-2</v>
      </c>
      <c r="N144" s="73">
        <f t="shared" si="33"/>
        <v>-0.41646017702597238</v>
      </c>
      <c r="O144" s="13">
        <f t="shared" si="34"/>
        <v>1504511</v>
      </c>
      <c r="P144" s="13">
        <f t="shared" si="35"/>
        <v>1532581</v>
      </c>
      <c r="Q144" s="13">
        <f t="shared" si="36"/>
        <v>1515308</v>
      </c>
      <c r="R144" s="33">
        <f t="shared" si="37"/>
        <v>7.176418118578054E-3</v>
      </c>
      <c r="S144" s="33">
        <f t="shared" si="38"/>
        <v>-1.1270529910001548E-2</v>
      </c>
    </row>
    <row r="145" spans="1:19" x14ac:dyDescent="0.25">
      <c r="A145" s="9" t="s">
        <v>34</v>
      </c>
      <c r="B145" s="65">
        <v>2</v>
      </c>
      <c r="C145" t="s">
        <v>11</v>
      </c>
      <c r="D145" s="67">
        <v>1800</v>
      </c>
      <c r="E145" s="67">
        <v>1852</v>
      </c>
      <c r="F145" s="67">
        <v>1800</v>
      </c>
      <c r="G145" s="13">
        <f t="shared" si="26"/>
        <v>-52</v>
      </c>
      <c r="H145" s="13">
        <f t="shared" si="27"/>
        <v>0</v>
      </c>
      <c r="I145" s="73">
        <f t="shared" si="28"/>
        <v>0</v>
      </c>
      <c r="J145" s="73">
        <f t="shared" si="29"/>
        <v>-2.8077753779697678E-2</v>
      </c>
      <c r="K145" s="72" t="str">
        <f t="shared" si="30"/>
        <v>MAJA1</v>
      </c>
      <c r="L145" s="72" t="str">
        <f t="shared" si="31"/>
        <v>FEBRUARY-2-MAJA1</v>
      </c>
      <c r="M145" s="73">
        <f t="shared" si="32"/>
        <v>-1.4115067350108701E-2</v>
      </c>
      <c r="N145" s="73">
        <f t="shared" si="33"/>
        <v>-0.41646017702597238</v>
      </c>
      <c r="O145" s="13">
        <f t="shared" si="34"/>
        <v>1504511</v>
      </c>
      <c r="P145" s="13">
        <f t="shared" si="35"/>
        <v>1532581</v>
      </c>
      <c r="Q145" s="13">
        <f t="shared" si="36"/>
        <v>1515308</v>
      </c>
      <c r="R145" s="33">
        <f t="shared" si="37"/>
        <v>7.176418118578054E-3</v>
      </c>
      <c r="S145" s="33">
        <f t="shared" si="38"/>
        <v>-1.1270529910001548E-2</v>
      </c>
    </row>
    <row r="146" spans="1:19" x14ac:dyDescent="0.25">
      <c r="A146" s="9" t="s">
        <v>34</v>
      </c>
      <c r="B146" s="65">
        <v>2</v>
      </c>
      <c r="C146" t="s">
        <v>11</v>
      </c>
      <c r="D146" s="67">
        <v>1836</v>
      </c>
      <c r="E146" s="67">
        <v>1920</v>
      </c>
      <c r="F146" s="67">
        <v>1836</v>
      </c>
      <c r="G146" s="13">
        <f t="shared" si="26"/>
        <v>-84</v>
      </c>
      <c r="H146" s="13">
        <f t="shared" si="27"/>
        <v>0</v>
      </c>
      <c r="I146" s="73">
        <f t="shared" si="28"/>
        <v>0</v>
      </c>
      <c r="J146" s="73">
        <f t="shared" si="29"/>
        <v>-4.3749999999999956E-2</v>
      </c>
      <c r="K146" s="72" t="str">
        <f t="shared" si="30"/>
        <v>MAJA1</v>
      </c>
      <c r="L146" s="72" t="str">
        <f t="shared" si="31"/>
        <v>FEBRUARY-2-MAJA1</v>
      </c>
      <c r="M146" s="73">
        <f t="shared" si="32"/>
        <v>-1.4115067350108701E-2</v>
      </c>
      <c r="N146" s="73">
        <f t="shared" si="33"/>
        <v>-0.41646017702597238</v>
      </c>
      <c r="O146" s="13">
        <f t="shared" si="34"/>
        <v>1504511</v>
      </c>
      <c r="P146" s="13">
        <f t="shared" si="35"/>
        <v>1532581</v>
      </c>
      <c r="Q146" s="13">
        <f t="shared" si="36"/>
        <v>1515308</v>
      </c>
      <c r="R146" s="33">
        <f t="shared" si="37"/>
        <v>7.176418118578054E-3</v>
      </c>
      <c r="S146" s="33">
        <f t="shared" si="38"/>
        <v>-1.1270529910001548E-2</v>
      </c>
    </row>
    <row r="147" spans="1:19" x14ac:dyDescent="0.25">
      <c r="A147" s="9" t="s">
        <v>34</v>
      </c>
      <c r="B147" s="65">
        <v>2</v>
      </c>
      <c r="C147" t="s">
        <v>11</v>
      </c>
      <c r="D147" s="67">
        <v>1800</v>
      </c>
      <c r="E147" s="67">
        <v>1873</v>
      </c>
      <c r="F147" s="67">
        <v>1800</v>
      </c>
      <c r="G147" s="13">
        <f t="shared" si="26"/>
        <v>-73</v>
      </c>
      <c r="H147" s="13">
        <f t="shared" si="27"/>
        <v>0</v>
      </c>
      <c r="I147" s="73">
        <f t="shared" si="28"/>
        <v>0</v>
      </c>
      <c r="J147" s="73">
        <f t="shared" si="29"/>
        <v>-3.8974906567004752E-2</v>
      </c>
      <c r="K147" s="72" t="str">
        <f t="shared" si="30"/>
        <v>MAJA1</v>
      </c>
      <c r="L147" s="72" t="str">
        <f t="shared" si="31"/>
        <v>FEBRUARY-2-MAJA1</v>
      </c>
      <c r="M147" s="73">
        <f t="shared" si="32"/>
        <v>-1.4115067350108701E-2</v>
      </c>
      <c r="N147" s="73">
        <f t="shared" si="33"/>
        <v>-0.41646017702597238</v>
      </c>
      <c r="O147" s="13">
        <f t="shared" si="34"/>
        <v>1504511</v>
      </c>
      <c r="P147" s="13">
        <f t="shared" si="35"/>
        <v>1532581</v>
      </c>
      <c r="Q147" s="13">
        <f t="shared" si="36"/>
        <v>1515308</v>
      </c>
      <c r="R147" s="33">
        <f t="shared" si="37"/>
        <v>7.176418118578054E-3</v>
      </c>
      <c r="S147" s="33">
        <f t="shared" si="38"/>
        <v>-1.1270529910001548E-2</v>
      </c>
    </row>
    <row r="148" spans="1:19" x14ac:dyDescent="0.25">
      <c r="A148" s="9" t="s">
        <v>34</v>
      </c>
      <c r="B148" s="65">
        <v>2</v>
      </c>
      <c r="C148" t="s">
        <v>11</v>
      </c>
      <c r="D148" s="67">
        <v>1800</v>
      </c>
      <c r="E148" s="67">
        <v>1874</v>
      </c>
      <c r="F148" s="67">
        <v>1800</v>
      </c>
      <c r="G148" s="13">
        <f t="shared" si="26"/>
        <v>-74</v>
      </c>
      <c r="H148" s="13">
        <f t="shared" si="27"/>
        <v>0</v>
      </c>
      <c r="I148" s="73">
        <f t="shared" si="28"/>
        <v>0</v>
      </c>
      <c r="J148" s="73">
        <f t="shared" si="29"/>
        <v>-3.9487726787620026E-2</v>
      </c>
      <c r="K148" s="72" t="str">
        <f t="shared" si="30"/>
        <v>MAJA1</v>
      </c>
      <c r="L148" s="72" t="str">
        <f t="shared" si="31"/>
        <v>FEBRUARY-2-MAJA1</v>
      </c>
      <c r="M148" s="73">
        <f t="shared" si="32"/>
        <v>-1.4115067350108701E-2</v>
      </c>
      <c r="N148" s="73">
        <f t="shared" si="33"/>
        <v>-0.41646017702597238</v>
      </c>
      <c r="O148" s="13">
        <f t="shared" si="34"/>
        <v>1504511</v>
      </c>
      <c r="P148" s="13">
        <f t="shared" si="35"/>
        <v>1532581</v>
      </c>
      <c r="Q148" s="13">
        <f t="shared" si="36"/>
        <v>1515308</v>
      </c>
      <c r="R148" s="33">
        <f t="shared" si="37"/>
        <v>7.176418118578054E-3</v>
      </c>
      <c r="S148" s="33">
        <f t="shared" si="38"/>
        <v>-1.1270529910001548E-2</v>
      </c>
    </row>
    <row r="149" spans="1:19" x14ac:dyDescent="0.25">
      <c r="A149" s="9" t="s">
        <v>34</v>
      </c>
      <c r="B149" s="65">
        <v>2</v>
      </c>
      <c r="C149" t="s">
        <v>14</v>
      </c>
      <c r="D149" s="67">
        <v>4536</v>
      </c>
      <c r="E149" s="67">
        <v>4553</v>
      </c>
      <c r="F149" s="67">
        <v>4536</v>
      </c>
      <c r="G149" s="13">
        <f t="shared" si="26"/>
        <v>-17</v>
      </c>
      <c r="H149" s="13">
        <f t="shared" si="27"/>
        <v>0</v>
      </c>
      <c r="I149" s="73">
        <f t="shared" si="28"/>
        <v>0</v>
      </c>
      <c r="J149" s="73">
        <f t="shared" si="29"/>
        <v>-3.7338018888645186E-3</v>
      </c>
      <c r="K149" s="72" t="str">
        <f t="shared" si="30"/>
        <v>GM2</v>
      </c>
      <c r="L149" s="72" t="str">
        <f t="shared" si="31"/>
        <v>FEBRUARY-2-GM2</v>
      </c>
      <c r="M149" s="73">
        <f t="shared" si="32"/>
        <v>0.33919502201993978</v>
      </c>
      <c r="N149" s="73">
        <f t="shared" si="33"/>
        <v>-0.41437684178720191</v>
      </c>
      <c r="O149" s="13">
        <f t="shared" si="34"/>
        <v>1504511</v>
      </c>
      <c r="P149" s="13">
        <f t="shared" si="35"/>
        <v>1532581</v>
      </c>
      <c r="Q149" s="13">
        <f t="shared" si="36"/>
        <v>1515308</v>
      </c>
      <c r="R149" s="33">
        <f t="shared" si="37"/>
        <v>7.176418118578054E-3</v>
      </c>
      <c r="S149" s="33">
        <f t="shared" si="38"/>
        <v>-1.1270529910001548E-2</v>
      </c>
    </row>
    <row r="150" spans="1:19" x14ac:dyDescent="0.25">
      <c r="A150" s="9" t="s">
        <v>34</v>
      </c>
      <c r="B150" s="65">
        <v>2</v>
      </c>
      <c r="C150" t="s">
        <v>14</v>
      </c>
      <c r="D150" s="67">
        <v>4644</v>
      </c>
      <c r="E150" s="67">
        <v>4653</v>
      </c>
      <c r="F150" s="67">
        <v>4644</v>
      </c>
      <c r="G150" s="13">
        <f t="shared" si="26"/>
        <v>-9</v>
      </c>
      <c r="H150" s="13">
        <f t="shared" si="27"/>
        <v>0</v>
      </c>
      <c r="I150" s="73">
        <f t="shared" si="28"/>
        <v>0</v>
      </c>
      <c r="J150" s="73">
        <f t="shared" si="29"/>
        <v>-1.9342359767892114E-3</v>
      </c>
      <c r="K150" s="72" t="str">
        <f t="shared" si="30"/>
        <v>GM2</v>
      </c>
      <c r="L150" s="72" t="str">
        <f t="shared" si="31"/>
        <v>FEBRUARY-2-GM2</v>
      </c>
      <c r="M150" s="73">
        <f t="shared" si="32"/>
        <v>0.33919502201993978</v>
      </c>
      <c r="N150" s="73">
        <f t="shared" si="33"/>
        <v>-0.41437684178720191</v>
      </c>
      <c r="O150" s="13">
        <f t="shared" si="34"/>
        <v>1504511</v>
      </c>
      <c r="P150" s="13">
        <f t="shared" si="35"/>
        <v>1532581</v>
      </c>
      <c r="Q150" s="13">
        <f t="shared" si="36"/>
        <v>1515308</v>
      </c>
      <c r="R150" s="33">
        <f t="shared" si="37"/>
        <v>7.176418118578054E-3</v>
      </c>
      <c r="S150" s="33">
        <f t="shared" si="38"/>
        <v>-1.1270529910001548E-2</v>
      </c>
    </row>
    <row r="151" spans="1:19" x14ac:dyDescent="0.25">
      <c r="A151" s="9" t="s">
        <v>34</v>
      </c>
      <c r="B151" s="65">
        <v>2</v>
      </c>
      <c r="C151" t="s">
        <v>14</v>
      </c>
      <c r="D151" s="67">
        <v>1080</v>
      </c>
      <c r="E151" s="67">
        <v>1080</v>
      </c>
      <c r="F151" s="67">
        <v>1080</v>
      </c>
      <c r="G151" s="13">
        <f t="shared" si="26"/>
        <v>0</v>
      </c>
      <c r="H151" s="13">
        <f t="shared" si="27"/>
        <v>0</v>
      </c>
      <c r="I151" s="73">
        <f t="shared" si="28"/>
        <v>0</v>
      </c>
      <c r="J151" s="73">
        <f t="shared" si="29"/>
        <v>0</v>
      </c>
      <c r="K151" s="72" t="str">
        <f t="shared" si="30"/>
        <v>GM2</v>
      </c>
      <c r="L151" s="72" t="str">
        <f t="shared" si="31"/>
        <v>FEBRUARY-2-GM2</v>
      </c>
      <c r="M151" s="73">
        <f t="shared" si="32"/>
        <v>0.33919502201993978</v>
      </c>
      <c r="N151" s="73">
        <f t="shared" si="33"/>
        <v>-0.41437684178720191</v>
      </c>
      <c r="O151" s="13">
        <f t="shared" si="34"/>
        <v>1504511</v>
      </c>
      <c r="P151" s="13">
        <f t="shared" si="35"/>
        <v>1532581</v>
      </c>
      <c r="Q151" s="13">
        <f t="shared" si="36"/>
        <v>1515308</v>
      </c>
      <c r="R151" s="33">
        <f t="shared" si="37"/>
        <v>7.176418118578054E-3</v>
      </c>
      <c r="S151" s="33">
        <f t="shared" si="38"/>
        <v>-1.1270529910001548E-2</v>
      </c>
    </row>
    <row r="152" spans="1:19" x14ac:dyDescent="0.25">
      <c r="A152" s="9" t="s">
        <v>34</v>
      </c>
      <c r="B152" s="65">
        <v>2</v>
      </c>
      <c r="C152" t="s">
        <v>14</v>
      </c>
      <c r="D152" s="67">
        <v>5940</v>
      </c>
      <c r="E152" s="67">
        <v>6057</v>
      </c>
      <c r="F152" s="67">
        <v>6009</v>
      </c>
      <c r="G152" s="13">
        <f t="shared" si="26"/>
        <v>-48</v>
      </c>
      <c r="H152" s="13">
        <f t="shared" si="27"/>
        <v>69</v>
      </c>
      <c r="I152" s="73">
        <f t="shared" si="28"/>
        <v>1.1616161616161635E-2</v>
      </c>
      <c r="J152" s="73">
        <f t="shared" si="29"/>
        <v>-7.9247152055472725E-3</v>
      </c>
      <c r="K152" s="72" t="str">
        <f t="shared" si="30"/>
        <v>GM2</v>
      </c>
      <c r="L152" s="72" t="str">
        <f t="shared" si="31"/>
        <v>FEBRUARY-2-GM2</v>
      </c>
      <c r="M152" s="73">
        <f t="shared" si="32"/>
        <v>0.33919502201993978</v>
      </c>
      <c r="N152" s="73">
        <f t="shared" si="33"/>
        <v>-0.41437684178720191</v>
      </c>
      <c r="O152" s="13">
        <f t="shared" si="34"/>
        <v>1504511</v>
      </c>
      <c r="P152" s="13">
        <f t="shared" si="35"/>
        <v>1532581</v>
      </c>
      <c r="Q152" s="13">
        <f t="shared" si="36"/>
        <v>1515308</v>
      </c>
      <c r="R152" s="33">
        <f t="shared" si="37"/>
        <v>7.176418118578054E-3</v>
      </c>
      <c r="S152" s="33">
        <f t="shared" si="38"/>
        <v>-1.1270529910001548E-2</v>
      </c>
    </row>
    <row r="153" spans="1:19" x14ac:dyDescent="0.25">
      <c r="A153" s="9" t="s">
        <v>34</v>
      </c>
      <c r="B153" s="65">
        <v>2</v>
      </c>
      <c r="C153" t="s">
        <v>14</v>
      </c>
      <c r="D153" s="67">
        <v>1080</v>
      </c>
      <c r="E153" s="67">
        <v>1101</v>
      </c>
      <c r="F153" s="67">
        <v>1101</v>
      </c>
      <c r="G153" s="13">
        <f t="shared" si="26"/>
        <v>0</v>
      </c>
      <c r="H153" s="13">
        <f t="shared" si="27"/>
        <v>21</v>
      </c>
      <c r="I153" s="73">
        <f t="shared" si="28"/>
        <v>1.9444444444444375E-2</v>
      </c>
      <c r="J153" s="73">
        <f t="shared" si="29"/>
        <v>0</v>
      </c>
      <c r="K153" s="72" t="str">
        <f t="shared" si="30"/>
        <v>GM2</v>
      </c>
      <c r="L153" s="72" t="str">
        <f t="shared" si="31"/>
        <v>FEBRUARY-2-GM2</v>
      </c>
      <c r="M153" s="73">
        <f t="shared" si="32"/>
        <v>0.33919502201993978</v>
      </c>
      <c r="N153" s="73">
        <f t="shared" si="33"/>
        <v>-0.41437684178720191</v>
      </c>
      <c r="O153" s="13">
        <f t="shared" si="34"/>
        <v>1504511</v>
      </c>
      <c r="P153" s="13">
        <f t="shared" si="35"/>
        <v>1532581</v>
      </c>
      <c r="Q153" s="13">
        <f t="shared" si="36"/>
        <v>1515308</v>
      </c>
      <c r="R153" s="33">
        <f t="shared" si="37"/>
        <v>7.176418118578054E-3</v>
      </c>
      <c r="S153" s="33">
        <f t="shared" si="38"/>
        <v>-1.1270529910001548E-2</v>
      </c>
    </row>
    <row r="154" spans="1:19" x14ac:dyDescent="0.25">
      <c r="A154" s="9" t="s">
        <v>34</v>
      </c>
      <c r="B154" s="65">
        <v>2</v>
      </c>
      <c r="C154" t="s">
        <v>14</v>
      </c>
      <c r="D154" s="67">
        <v>7020</v>
      </c>
      <c r="E154" s="67">
        <v>7166</v>
      </c>
      <c r="F154" s="67">
        <v>7098</v>
      </c>
      <c r="G154" s="13">
        <f t="shared" si="26"/>
        <v>-68</v>
      </c>
      <c r="H154" s="13">
        <f t="shared" si="27"/>
        <v>78</v>
      </c>
      <c r="I154" s="73">
        <f t="shared" si="28"/>
        <v>1.1111111111111072E-2</v>
      </c>
      <c r="J154" s="73">
        <f t="shared" si="29"/>
        <v>-9.4892548144013267E-3</v>
      </c>
      <c r="K154" s="72" t="str">
        <f t="shared" si="30"/>
        <v>GM2</v>
      </c>
      <c r="L154" s="72" t="str">
        <f t="shared" si="31"/>
        <v>FEBRUARY-2-GM2</v>
      </c>
      <c r="M154" s="73">
        <f t="shared" si="32"/>
        <v>0.33919502201993978</v>
      </c>
      <c r="N154" s="73">
        <f t="shared" si="33"/>
        <v>-0.41437684178720191</v>
      </c>
      <c r="O154" s="13">
        <f t="shared" si="34"/>
        <v>1504511</v>
      </c>
      <c r="P154" s="13">
        <f t="shared" si="35"/>
        <v>1532581</v>
      </c>
      <c r="Q154" s="13">
        <f t="shared" si="36"/>
        <v>1515308</v>
      </c>
      <c r="R154" s="33">
        <f t="shared" si="37"/>
        <v>7.176418118578054E-3</v>
      </c>
      <c r="S154" s="33">
        <f t="shared" si="38"/>
        <v>-1.1270529910001548E-2</v>
      </c>
    </row>
    <row r="155" spans="1:19" x14ac:dyDescent="0.25">
      <c r="A155" s="9" t="s">
        <v>34</v>
      </c>
      <c r="B155" s="65">
        <v>2</v>
      </c>
      <c r="C155" t="s">
        <v>14</v>
      </c>
      <c r="D155" s="67">
        <v>4320</v>
      </c>
      <c r="E155" s="67">
        <v>4404</v>
      </c>
      <c r="F155" s="67">
        <v>4377</v>
      </c>
      <c r="G155" s="13">
        <f t="shared" si="26"/>
        <v>-27</v>
      </c>
      <c r="H155" s="13">
        <f t="shared" si="27"/>
        <v>57</v>
      </c>
      <c r="I155" s="73">
        <f t="shared" si="28"/>
        <v>1.3194444444444509E-2</v>
      </c>
      <c r="J155" s="73">
        <f t="shared" si="29"/>
        <v>-6.1307901907357021E-3</v>
      </c>
      <c r="K155" s="72" t="str">
        <f t="shared" si="30"/>
        <v>GM2</v>
      </c>
      <c r="L155" s="72" t="str">
        <f t="shared" si="31"/>
        <v>FEBRUARY-2-GM2</v>
      </c>
      <c r="M155" s="73">
        <f t="shared" si="32"/>
        <v>0.33919502201993978</v>
      </c>
      <c r="N155" s="73">
        <f t="shared" si="33"/>
        <v>-0.41437684178720191</v>
      </c>
      <c r="O155" s="13">
        <f t="shared" si="34"/>
        <v>1504511</v>
      </c>
      <c r="P155" s="13">
        <f t="shared" si="35"/>
        <v>1532581</v>
      </c>
      <c r="Q155" s="13">
        <f t="shared" si="36"/>
        <v>1515308</v>
      </c>
      <c r="R155" s="33">
        <f t="shared" si="37"/>
        <v>7.176418118578054E-3</v>
      </c>
      <c r="S155" s="33">
        <f t="shared" si="38"/>
        <v>-1.1270529910001548E-2</v>
      </c>
    </row>
    <row r="156" spans="1:19" x14ac:dyDescent="0.25">
      <c r="A156" s="9" t="s">
        <v>34</v>
      </c>
      <c r="B156" s="65">
        <v>2</v>
      </c>
      <c r="C156" t="s">
        <v>14</v>
      </c>
      <c r="D156" s="67">
        <v>5076</v>
      </c>
      <c r="E156" s="67">
        <v>5235</v>
      </c>
      <c r="F156" s="67">
        <v>5076</v>
      </c>
      <c r="G156" s="13">
        <f t="shared" si="26"/>
        <v>-159</v>
      </c>
      <c r="H156" s="13">
        <f t="shared" si="27"/>
        <v>0</v>
      </c>
      <c r="I156" s="73">
        <f t="shared" si="28"/>
        <v>0</v>
      </c>
      <c r="J156" s="73">
        <f t="shared" si="29"/>
        <v>-3.0372492836676201E-2</v>
      </c>
      <c r="K156" s="72" t="str">
        <f t="shared" si="30"/>
        <v>GM2</v>
      </c>
      <c r="L156" s="72" t="str">
        <f t="shared" si="31"/>
        <v>FEBRUARY-2-GM2</v>
      </c>
      <c r="M156" s="73">
        <f t="shared" si="32"/>
        <v>0.33919502201993978</v>
      </c>
      <c r="N156" s="73">
        <f t="shared" si="33"/>
        <v>-0.41437684178720191</v>
      </c>
      <c r="O156" s="13">
        <f t="shared" si="34"/>
        <v>1504511</v>
      </c>
      <c r="P156" s="13">
        <f t="shared" si="35"/>
        <v>1532581</v>
      </c>
      <c r="Q156" s="13">
        <f t="shared" si="36"/>
        <v>1515308</v>
      </c>
      <c r="R156" s="33">
        <f t="shared" si="37"/>
        <v>7.176418118578054E-3</v>
      </c>
      <c r="S156" s="33">
        <f t="shared" si="38"/>
        <v>-1.1270529910001548E-2</v>
      </c>
    </row>
    <row r="157" spans="1:19" x14ac:dyDescent="0.25">
      <c r="A157" s="9" t="s">
        <v>34</v>
      </c>
      <c r="B157" s="65">
        <v>2</v>
      </c>
      <c r="C157" t="s">
        <v>14</v>
      </c>
      <c r="D157" s="67">
        <v>1080</v>
      </c>
      <c r="E157" s="67">
        <v>1080</v>
      </c>
      <c r="F157" s="67">
        <v>1080</v>
      </c>
      <c r="G157" s="13">
        <f t="shared" si="26"/>
        <v>0</v>
      </c>
      <c r="H157" s="13">
        <f t="shared" si="27"/>
        <v>0</v>
      </c>
      <c r="I157" s="73">
        <f t="shared" si="28"/>
        <v>0</v>
      </c>
      <c r="J157" s="73">
        <f t="shared" si="29"/>
        <v>0</v>
      </c>
      <c r="K157" s="72" t="str">
        <f t="shared" si="30"/>
        <v>GM2</v>
      </c>
      <c r="L157" s="72" t="str">
        <f t="shared" si="31"/>
        <v>FEBRUARY-2-GM2</v>
      </c>
      <c r="M157" s="73">
        <f t="shared" si="32"/>
        <v>0.33919502201993978</v>
      </c>
      <c r="N157" s="73">
        <f t="shared" si="33"/>
        <v>-0.41437684178720191</v>
      </c>
      <c r="O157" s="13">
        <f t="shared" si="34"/>
        <v>1504511</v>
      </c>
      <c r="P157" s="13">
        <f t="shared" si="35"/>
        <v>1532581</v>
      </c>
      <c r="Q157" s="13">
        <f t="shared" si="36"/>
        <v>1515308</v>
      </c>
      <c r="R157" s="33">
        <f t="shared" si="37"/>
        <v>7.176418118578054E-3</v>
      </c>
      <c r="S157" s="33">
        <f t="shared" si="38"/>
        <v>-1.1270529910001548E-2</v>
      </c>
    </row>
    <row r="158" spans="1:19" x14ac:dyDescent="0.25">
      <c r="A158" s="9" t="s">
        <v>34</v>
      </c>
      <c r="B158" s="65">
        <v>2</v>
      </c>
      <c r="C158" t="s">
        <v>14</v>
      </c>
      <c r="D158" s="67">
        <v>4320</v>
      </c>
      <c r="E158" s="67">
        <v>4329</v>
      </c>
      <c r="F158" s="67">
        <v>4281</v>
      </c>
      <c r="G158" s="13">
        <f t="shared" si="26"/>
        <v>-48</v>
      </c>
      <c r="H158" s="13">
        <f t="shared" si="27"/>
        <v>-39</v>
      </c>
      <c r="I158" s="73">
        <f t="shared" si="28"/>
        <v>-9.0277777777777457E-3</v>
      </c>
      <c r="J158" s="73">
        <f t="shared" si="29"/>
        <v>-1.1088011088011052E-2</v>
      </c>
      <c r="K158" s="72" t="str">
        <f t="shared" si="30"/>
        <v>GM2</v>
      </c>
      <c r="L158" s="72" t="str">
        <f t="shared" si="31"/>
        <v>FEBRUARY-2-GM2</v>
      </c>
      <c r="M158" s="73">
        <f t="shared" si="32"/>
        <v>0.33919502201993978</v>
      </c>
      <c r="N158" s="73">
        <f t="shared" si="33"/>
        <v>-0.41437684178720191</v>
      </c>
      <c r="O158" s="13">
        <f t="shared" si="34"/>
        <v>1504511</v>
      </c>
      <c r="P158" s="13">
        <f t="shared" si="35"/>
        <v>1532581</v>
      </c>
      <c r="Q158" s="13">
        <f t="shared" si="36"/>
        <v>1515308</v>
      </c>
      <c r="R158" s="33">
        <f t="shared" si="37"/>
        <v>7.176418118578054E-3</v>
      </c>
      <c r="S158" s="33">
        <f t="shared" si="38"/>
        <v>-1.1270529910001548E-2</v>
      </c>
    </row>
    <row r="159" spans="1:19" x14ac:dyDescent="0.25">
      <c r="A159" s="9" t="s">
        <v>34</v>
      </c>
      <c r="B159" s="65">
        <v>2</v>
      </c>
      <c r="C159" t="s">
        <v>11</v>
      </c>
      <c r="D159" s="67">
        <v>4428</v>
      </c>
      <c r="E159" s="67">
        <v>4562</v>
      </c>
      <c r="F159" s="67">
        <v>4428</v>
      </c>
      <c r="G159" s="13">
        <f t="shared" si="26"/>
        <v>-134</v>
      </c>
      <c r="H159" s="13">
        <f t="shared" si="27"/>
        <v>0</v>
      </c>
      <c r="I159" s="73">
        <f t="shared" si="28"/>
        <v>0</v>
      </c>
      <c r="J159" s="73">
        <f t="shared" si="29"/>
        <v>-2.9373081981587057E-2</v>
      </c>
      <c r="K159" s="72" t="str">
        <f t="shared" si="30"/>
        <v>MAJA1</v>
      </c>
      <c r="L159" s="72" t="str">
        <f t="shared" si="31"/>
        <v>FEBRUARY-2-MAJA1</v>
      </c>
      <c r="M159" s="73">
        <f t="shared" si="32"/>
        <v>-1.4115067350108701E-2</v>
      </c>
      <c r="N159" s="73">
        <f t="shared" si="33"/>
        <v>-0.41646017702597238</v>
      </c>
      <c r="O159" s="13">
        <f t="shared" si="34"/>
        <v>1504511</v>
      </c>
      <c r="P159" s="13">
        <f t="shared" si="35"/>
        <v>1532581</v>
      </c>
      <c r="Q159" s="13">
        <f t="shared" si="36"/>
        <v>1515308</v>
      </c>
      <c r="R159" s="33">
        <f t="shared" si="37"/>
        <v>7.176418118578054E-3</v>
      </c>
      <c r="S159" s="33">
        <f t="shared" si="38"/>
        <v>-1.1270529910001548E-2</v>
      </c>
    </row>
    <row r="160" spans="1:19" x14ac:dyDescent="0.25">
      <c r="A160" s="9" t="s">
        <v>34</v>
      </c>
      <c r="B160" s="65">
        <v>2</v>
      </c>
      <c r="C160" t="s">
        <v>11</v>
      </c>
      <c r="D160" s="67">
        <v>1080</v>
      </c>
      <c r="E160" s="67">
        <v>1115</v>
      </c>
      <c r="F160" s="67">
        <v>1080</v>
      </c>
      <c r="G160" s="13">
        <f t="shared" si="26"/>
        <v>-35</v>
      </c>
      <c r="H160" s="13">
        <f t="shared" si="27"/>
        <v>0</v>
      </c>
      <c r="I160" s="73">
        <f t="shared" si="28"/>
        <v>0</v>
      </c>
      <c r="J160" s="73">
        <f t="shared" si="29"/>
        <v>-3.1390134529147962E-2</v>
      </c>
      <c r="K160" s="72" t="str">
        <f t="shared" si="30"/>
        <v>MAJA1</v>
      </c>
      <c r="L160" s="72" t="str">
        <f t="shared" si="31"/>
        <v>FEBRUARY-2-MAJA1</v>
      </c>
      <c r="M160" s="73">
        <f t="shared" si="32"/>
        <v>-1.4115067350108701E-2</v>
      </c>
      <c r="N160" s="73">
        <f t="shared" si="33"/>
        <v>-0.41646017702597238</v>
      </c>
      <c r="O160" s="13">
        <f t="shared" si="34"/>
        <v>1504511</v>
      </c>
      <c r="P160" s="13">
        <f t="shared" si="35"/>
        <v>1532581</v>
      </c>
      <c r="Q160" s="13">
        <f t="shared" si="36"/>
        <v>1515308</v>
      </c>
      <c r="R160" s="33">
        <f t="shared" si="37"/>
        <v>7.176418118578054E-3</v>
      </c>
      <c r="S160" s="33">
        <f t="shared" si="38"/>
        <v>-1.1270529910001548E-2</v>
      </c>
    </row>
    <row r="161" spans="1:19" x14ac:dyDescent="0.25">
      <c r="A161" s="9" t="s">
        <v>34</v>
      </c>
      <c r="B161" s="65">
        <v>2</v>
      </c>
      <c r="C161" t="s">
        <v>14</v>
      </c>
      <c r="D161" s="67">
        <v>4644</v>
      </c>
      <c r="E161" s="67">
        <v>4795</v>
      </c>
      <c r="F161" s="67">
        <v>4653</v>
      </c>
      <c r="G161" s="13">
        <f t="shared" si="26"/>
        <v>-142</v>
      </c>
      <c r="H161" s="13">
        <f t="shared" si="27"/>
        <v>9</v>
      </c>
      <c r="I161" s="73">
        <f t="shared" si="28"/>
        <v>1.9379844961240345E-3</v>
      </c>
      <c r="J161" s="73">
        <f t="shared" si="29"/>
        <v>-2.9614181438998965E-2</v>
      </c>
      <c r="K161" s="72" t="str">
        <f t="shared" si="30"/>
        <v>GM2</v>
      </c>
      <c r="L161" s="72" t="str">
        <f t="shared" si="31"/>
        <v>FEBRUARY-2-GM2</v>
      </c>
      <c r="M161" s="73">
        <f t="shared" si="32"/>
        <v>0.33919502201993978</v>
      </c>
      <c r="N161" s="73">
        <f t="shared" si="33"/>
        <v>-0.41437684178720191</v>
      </c>
      <c r="O161" s="13">
        <f t="shared" si="34"/>
        <v>1504511</v>
      </c>
      <c r="P161" s="13">
        <f t="shared" si="35"/>
        <v>1532581</v>
      </c>
      <c r="Q161" s="13">
        <f t="shared" si="36"/>
        <v>1515308</v>
      </c>
      <c r="R161" s="33">
        <f t="shared" si="37"/>
        <v>7.176418118578054E-3</v>
      </c>
      <c r="S161" s="33">
        <f t="shared" si="38"/>
        <v>-1.1270529910001548E-2</v>
      </c>
    </row>
    <row r="162" spans="1:19" x14ac:dyDescent="0.25">
      <c r="A162" s="9" t="s">
        <v>34</v>
      </c>
      <c r="B162" s="65">
        <v>2</v>
      </c>
      <c r="C162" t="s">
        <v>14</v>
      </c>
      <c r="D162" s="67">
        <v>3888</v>
      </c>
      <c r="E162" s="67">
        <v>3899</v>
      </c>
      <c r="F162" s="67">
        <v>3873</v>
      </c>
      <c r="G162" s="13">
        <f t="shared" si="26"/>
        <v>-26</v>
      </c>
      <c r="H162" s="13">
        <f t="shared" si="27"/>
        <v>-15</v>
      </c>
      <c r="I162" s="73">
        <f t="shared" si="28"/>
        <v>-3.8580246913579863E-3</v>
      </c>
      <c r="J162" s="73">
        <f t="shared" si="29"/>
        <v>-6.6683765067966361E-3</v>
      </c>
      <c r="K162" s="72" t="str">
        <f t="shared" si="30"/>
        <v>GM2</v>
      </c>
      <c r="L162" s="72" t="str">
        <f t="shared" si="31"/>
        <v>FEBRUARY-2-GM2</v>
      </c>
      <c r="M162" s="73">
        <f t="shared" si="32"/>
        <v>0.33919502201993978</v>
      </c>
      <c r="N162" s="73">
        <f t="shared" si="33"/>
        <v>-0.41437684178720191</v>
      </c>
      <c r="O162" s="13">
        <f t="shared" si="34"/>
        <v>1504511</v>
      </c>
      <c r="P162" s="13">
        <f t="shared" si="35"/>
        <v>1532581</v>
      </c>
      <c r="Q162" s="13">
        <f t="shared" si="36"/>
        <v>1515308</v>
      </c>
      <c r="R162" s="33">
        <f t="shared" si="37"/>
        <v>7.176418118578054E-3</v>
      </c>
      <c r="S162" s="33">
        <f t="shared" si="38"/>
        <v>-1.1270529910001548E-2</v>
      </c>
    </row>
    <row r="163" spans="1:19" x14ac:dyDescent="0.25">
      <c r="A163" s="9" t="s">
        <v>34</v>
      </c>
      <c r="B163" s="65">
        <v>2</v>
      </c>
      <c r="C163" t="s">
        <v>14</v>
      </c>
      <c r="D163" s="67">
        <v>6912</v>
      </c>
      <c r="E163" s="67">
        <v>7095</v>
      </c>
      <c r="F163" s="67">
        <v>6912</v>
      </c>
      <c r="G163" s="13">
        <f t="shared" si="26"/>
        <v>-183</v>
      </c>
      <c r="H163" s="13">
        <f t="shared" si="27"/>
        <v>0</v>
      </c>
      <c r="I163" s="73">
        <f t="shared" si="28"/>
        <v>0</v>
      </c>
      <c r="J163" s="73">
        <f t="shared" si="29"/>
        <v>-2.5792811839323471E-2</v>
      </c>
      <c r="K163" s="72" t="str">
        <f t="shared" si="30"/>
        <v>GM2</v>
      </c>
      <c r="L163" s="72" t="str">
        <f t="shared" si="31"/>
        <v>FEBRUARY-2-GM2</v>
      </c>
      <c r="M163" s="73">
        <f t="shared" si="32"/>
        <v>0.33919502201993978</v>
      </c>
      <c r="N163" s="73">
        <f t="shared" si="33"/>
        <v>-0.41437684178720191</v>
      </c>
      <c r="O163" s="13">
        <f t="shared" si="34"/>
        <v>1504511</v>
      </c>
      <c r="P163" s="13">
        <f t="shared" si="35"/>
        <v>1532581</v>
      </c>
      <c r="Q163" s="13">
        <f t="shared" si="36"/>
        <v>1515308</v>
      </c>
      <c r="R163" s="33">
        <f t="shared" si="37"/>
        <v>7.176418118578054E-3</v>
      </c>
      <c r="S163" s="33">
        <f t="shared" si="38"/>
        <v>-1.1270529910001548E-2</v>
      </c>
    </row>
    <row r="164" spans="1:19" x14ac:dyDescent="0.25">
      <c r="A164" s="9" t="s">
        <v>34</v>
      </c>
      <c r="B164" s="65">
        <v>2</v>
      </c>
      <c r="C164" t="s">
        <v>14</v>
      </c>
      <c r="D164" s="67">
        <v>3456</v>
      </c>
      <c r="E164" s="67">
        <v>3561</v>
      </c>
      <c r="F164" s="67">
        <v>3516</v>
      </c>
      <c r="G164" s="13">
        <f t="shared" si="26"/>
        <v>-45</v>
      </c>
      <c r="H164" s="13">
        <f t="shared" si="27"/>
        <v>60</v>
      </c>
      <c r="I164" s="73">
        <f t="shared" si="28"/>
        <v>1.736111111111116E-2</v>
      </c>
      <c r="J164" s="73">
        <f t="shared" si="29"/>
        <v>-1.2636899747262009E-2</v>
      </c>
      <c r="K164" s="72" t="str">
        <f t="shared" si="30"/>
        <v>GM2</v>
      </c>
      <c r="L164" s="72" t="str">
        <f t="shared" si="31"/>
        <v>FEBRUARY-2-GM2</v>
      </c>
      <c r="M164" s="73">
        <f t="shared" si="32"/>
        <v>0.33919502201993978</v>
      </c>
      <c r="N164" s="73">
        <f t="shared" si="33"/>
        <v>-0.41437684178720191</v>
      </c>
      <c r="O164" s="13">
        <f t="shared" si="34"/>
        <v>1504511</v>
      </c>
      <c r="P164" s="13">
        <f t="shared" si="35"/>
        <v>1532581</v>
      </c>
      <c r="Q164" s="13">
        <f t="shared" si="36"/>
        <v>1515308</v>
      </c>
      <c r="R164" s="33">
        <f t="shared" si="37"/>
        <v>7.176418118578054E-3</v>
      </c>
      <c r="S164" s="33">
        <f t="shared" si="38"/>
        <v>-1.1270529910001548E-2</v>
      </c>
    </row>
    <row r="165" spans="1:19" x14ac:dyDescent="0.25">
      <c r="A165" s="9" t="s">
        <v>34</v>
      </c>
      <c r="B165" s="65">
        <v>2</v>
      </c>
      <c r="C165" t="s">
        <v>13</v>
      </c>
      <c r="D165" s="67">
        <v>44604</v>
      </c>
      <c r="E165" s="67">
        <v>45955</v>
      </c>
      <c r="F165" s="67">
        <v>45870</v>
      </c>
      <c r="G165" s="13">
        <f t="shared" si="26"/>
        <v>-85</v>
      </c>
      <c r="H165" s="13">
        <f t="shared" si="27"/>
        <v>1266</v>
      </c>
      <c r="I165" s="73">
        <f t="shared" si="28"/>
        <v>2.8383104654291058E-2</v>
      </c>
      <c r="J165" s="73">
        <f t="shared" si="29"/>
        <v>-1.8496355130018793E-3</v>
      </c>
      <c r="K165" s="72" t="str">
        <f t="shared" si="30"/>
        <v>KALIBENDA</v>
      </c>
      <c r="L165" s="72" t="str">
        <f t="shared" si="31"/>
        <v>FEBRUARY-2-KALIBENDA</v>
      </c>
      <c r="M165" s="73">
        <f t="shared" si="32"/>
        <v>0.1429043110769348</v>
      </c>
      <c r="N165" s="73">
        <f t="shared" si="33"/>
        <v>-1.9401885427859478E-2</v>
      </c>
      <c r="O165" s="13">
        <f t="shared" si="34"/>
        <v>1504511</v>
      </c>
      <c r="P165" s="13">
        <f t="shared" si="35"/>
        <v>1532581</v>
      </c>
      <c r="Q165" s="13">
        <f t="shared" si="36"/>
        <v>1515308</v>
      </c>
      <c r="R165" s="33">
        <f t="shared" si="37"/>
        <v>7.176418118578054E-3</v>
      </c>
      <c r="S165" s="33">
        <f t="shared" si="38"/>
        <v>-1.1270529910001548E-2</v>
      </c>
    </row>
    <row r="166" spans="1:19" x14ac:dyDescent="0.25">
      <c r="A166" s="9" t="s">
        <v>34</v>
      </c>
      <c r="B166" s="65">
        <v>2</v>
      </c>
      <c r="C166" t="s">
        <v>13</v>
      </c>
      <c r="D166" s="67">
        <v>7560</v>
      </c>
      <c r="E166" s="67">
        <v>7787</v>
      </c>
      <c r="F166" s="67">
        <v>7776</v>
      </c>
      <c r="G166" s="13">
        <f t="shared" si="26"/>
        <v>-11</v>
      </c>
      <c r="H166" s="13">
        <f t="shared" si="27"/>
        <v>216</v>
      </c>
      <c r="I166" s="73">
        <f t="shared" si="28"/>
        <v>2.857142857142847E-2</v>
      </c>
      <c r="J166" s="73">
        <f t="shared" si="29"/>
        <v>-1.4126107615256567E-3</v>
      </c>
      <c r="K166" s="72" t="str">
        <f t="shared" si="30"/>
        <v>KALIBENDA</v>
      </c>
      <c r="L166" s="72" t="str">
        <f t="shared" si="31"/>
        <v>FEBRUARY-2-KALIBENDA</v>
      </c>
      <c r="M166" s="73">
        <f t="shared" si="32"/>
        <v>0.1429043110769348</v>
      </c>
      <c r="N166" s="73">
        <f t="shared" si="33"/>
        <v>-1.9401885427859478E-2</v>
      </c>
      <c r="O166" s="13">
        <f t="shared" si="34"/>
        <v>1504511</v>
      </c>
      <c r="P166" s="13">
        <f t="shared" si="35"/>
        <v>1532581</v>
      </c>
      <c r="Q166" s="13">
        <f t="shared" si="36"/>
        <v>1515308</v>
      </c>
      <c r="R166" s="33">
        <f t="shared" si="37"/>
        <v>7.176418118578054E-3</v>
      </c>
      <c r="S166" s="33">
        <f t="shared" si="38"/>
        <v>-1.1270529910001548E-2</v>
      </c>
    </row>
    <row r="167" spans="1:19" x14ac:dyDescent="0.25">
      <c r="A167" s="9" t="s">
        <v>34</v>
      </c>
      <c r="B167" s="65">
        <v>2</v>
      </c>
      <c r="C167" t="s">
        <v>14</v>
      </c>
      <c r="D167" s="67">
        <v>4860</v>
      </c>
      <c r="E167" s="67">
        <v>5009</v>
      </c>
      <c r="F167" s="67">
        <v>4944</v>
      </c>
      <c r="G167" s="13">
        <f t="shared" si="26"/>
        <v>-65</v>
      </c>
      <c r="H167" s="13">
        <f t="shared" si="27"/>
        <v>84</v>
      </c>
      <c r="I167" s="73">
        <f t="shared" si="28"/>
        <v>1.7283950617283939E-2</v>
      </c>
      <c r="J167" s="73">
        <f t="shared" si="29"/>
        <v>-1.2976642044320252E-2</v>
      </c>
      <c r="K167" s="72" t="str">
        <f t="shared" si="30"/>
        <v>GM2</v>
      </c>
      <c r="L167" s="72" t="str">
        <f t="shared" si="31"/>
        <v>FEBRUARY-2-GM2</v>
      </c>
      <c r="M167" s="73">
        <f t="shared" si="32"/>
        <v>0.33919502201993978</v>
      </c>
      <c r="N167" s="73">
        <f t="shared" si="33"/>
        <v>-0.41437684178720191</v>
      </c>
      <c r="O167" s="13">
        <f t="shared" si="34"/>
        <v>1504511</v>
      </c>
      <c r="P167" s="13">
        <f t="shared" si="35"/>
        <v>1532581</v>
      </c>
      <c r="Q167" s="13">
        <f t="shared" si="36"/>
        <v>1515308</v>
      </c>
      <c r="R167" s="33">
        <f t="shared" si="37"/>
        <v>7.176418118578054E-3</v>
      </c>
      <c r="S167" s="33">
        <f t="shared" si="38"/>
        <v>-1.1270529910001548E-2</v>
      </c>
    </row>
    <row r="168" spans="1:19" x14ac:dyDescent="0.25">
      <c r="A168" s="9" t="s">
        <v>34</v>
      </c>
      <c r="B168" s="65">
        <v>2</v>
      </c>
      <c r="C168" t="s">
        <v>14</v>
      </c>
      <c r="D168" s="67">
        <v>1080</v>
      </c>
      <c r="E168" s="67">
        <v>1112</v>
      </c>
      <c r="F168" s="67">
        <v>1095</v>
      </c>
      <c r="G168" s="13">
        <f t="shared" si="26"/>
        <v>-17</v>
      </c>
      <c r="H168" s="13">
        <f t="shared" si="27"/>
        <v>15</v>
      </c>
      <c r="I168" s="73">
        <f t="shared" si="28"/>
        <v>1.388888888888884E-2</v>
      </c>
      <c r="J168" s="73">
        <f t="shared" si="29"/>
        <v>-1.5287769784172678E-2</v>
      </c>
      <c r="K168" s="72" t="str">
        <f t="shared" si="30"/>
        <v>GM2</v>
      </c>
      <c r="L168" s="72" t="str">
        <f t="shared" si="31"/>
        <v>FEBRUARY-2-GM2</v>
      </c>
      <c r="M168" s="73">
        <f t="shared" si="32"/>
        <v>0.33919502201993978</v>
      </c>
      <c r="N168" s="73">
        <f t="shared" si="33"/>
        <v>-0.41437684178720191</v>
      </c>
      <c r="O168" s="13">
        <f t="shared" si="34"/>
        <v>1504511</v>
      </c>
      <c r="P168" s="13">
        <f t="shared" si="35"/>
        <v>1532581</v>
      </c>
      <c r="Q168" s="13">
        <f t="shared" si="36"/>
        <v>1515308</v>
      </c>
      <c r="R168" s="33">
        <f t="shared" si="37"/>
        <v>7.176418118578054E-3</v>
      </c>
      <c r="S168" s="33">
        <f t="shared" si="38"/>
        <v>-1.1270529910001548E-2</v>
      </c>
    </row>
    <row r="169" spans="1:19" x14ac:dyDescent="0.25">
      <c r="A169" s="9" t="s">
        <v>34</v>
      </c>
      <c r="B169" s="65">
        <v>2</v>
      </c>
      <c r="C169" t="s">
        <v>13</v>
      </c>
      <c r="D169" s="67">
        <v>3672</v>
      </c>
      <c r="E169" s="67">
        <v>3753</v>
      </c>
      <c r="F169" s="67">
        <v>3735</v>
      </c>
      <c r="G169" s="13">
        <f t="shared" si="26"/>
        <v>-18</v>
      </c>
      <c r="H169" s="13">
        <f t="shared" si="27"/>
        <v>63</v>
      </c>
      <c r="I169" s="73">
        <f t="shared" si="28"/>
        <v>1.7156862745097978E-2</v>
      </c>
      <c r="J169" s="73">
        <f t="shared" si="29"/>
        <v>-4.7961630695443347E-3</v>
      </c>
      <c r="K169" s="72" t="str">
        <f t="shared" si="30"/>
        <v>KALIBENDA</v>
      </c>
      <c r="L169" s="72" t="str">
        <f t="shared" si="31"/>
        <v>FEBRUARY-2-KALIBENDA</v>
      </c>
      <c r="M169" s="73">
        <f t="shared" si="32"/>
        <v>0.1429043110769348</v>
      </c>
      <c r="N169" s="73">
        <f t="shared" si="33"/>
        <v>-1.9401885427859478E-2</v>
      </c>
      <c r="O169" s="13">
        <f t="shared" si="34"/>
        <v>1504511</v>
      </c>
      <c r="P169" s="13">
        <f t="shared" si="35"/>
        <v>1532581</v>
      </c>
      <c r="Q169" s="13">
        <f t="shared" si="36"/>
        <v>1515308</v>
      </c>
      <c r="R169" s="33">
        <f t="shared" si="37"/>
        <v>7.176418118578054E-3</v>
      </c>
      <c r="S169" s="33">
        <f t="shared" si="38"/>
        <v>-1.1270529910001548E-2</v>
      </c>
    </row>
    <row r="170" spans="1:19" x14ac:dyDescent="0.25">
      <c r="A170" s="9" t="s">
        <v>34</v>
      </c>
      <c r="B170" s="65">
        <v>2</v>
      </c>
      <c r="C170" t="s">
        <v>13</v>
      </c>
      <c r="D170" s="67">
        <v>19224</v>
      </c>
      <c r="E170" s="67">
        <v>19672</v>
      </c>
      <c r="F170" s="67">
        <v>19650</v>
      </c>
      <c r="G170" s="13">
        <f t="shared" si="26"/>
        <v>-22</v>
      </c>
      <c r="H170" s="13">
        <f t="shared" si="27"/>
        <v>426</v>
      </c>
      <c r="I170" s="73">
        <f t="shared" si="28"/>
        <v>2.2159800249687889E-2</v>
      </c>
      <c r="J170" s="73">
        <f t="shared" si="29"/>
        <v>-1.1183407889385766E-3</v>
      </c>
      <c r="K170" s="72" t="str">
        <f t="shared" si="30"/>
        <v>KALIBENDA</v>
      </c>
      <c r="L170" s="72" t="str">
        <f t="shared" si="31"/>
        <v>FEBRUARY-2-KALIBENDA</v>
      </c>
      <c r="M170" s="73">
        <f t="shared" si="32"/>
        <v>0.1429043110769348</v>
      </c>
      <c r="N170" s="73">
        <f t="shared" si="33"/>
        <v>-1.9401885427859478E-2</v>
      </c>
      <c r="O170" s="13">
        <f t="shared" si="34"/>
        <v>1504511</v>
      </c>
      <c r="P170" s="13">
        <f t="shared" si="35"/>
        <v>1532581</v>
      </c>
      <c r="Q170" s="13">
        <f t="shared" si="36"/>
        <v>1515308</v>
      </c>
      <c r="R170" s="33">
        <f t="shared" si="37"/>
        <v>7.176418118578054E-3</v>
      </c>
      <c r="S170" s="33">
        <f t="shared" si="38"/>
        <v>-1.1270529910001548E-2</v>
      </c>
    </row>
    <row r="171" spans="1:19" x14ac:dyDescent="0.25">
      <c r="A171" s="9" t="s">
        <v>34</v>
      </c>
      <c r="B171" s="65">
        <v>2</v>
      </c>
      <c r="C171" t="s">
        <v>13</v>
      </c>
      <c r="D171" s="67">
        <v>8640</v>
      </c>
      <c r="E171" s="67">
        <v>8754</v>
      </c>
      <c r="F171" s="67">
        <v>8715</v>
      </c>
      <c r="G171" s="13">
        <f t="shared" si="26"/>
        <v>-39</v>
      </c>
      <c r="H171" s="13">
        <f t="shared" si="27"/>
        <v>75</v>
      </c>
      <c r="I171" s="73">
        <f t="shared" si="28"/>
        <v>8.6805555555555802E-3</v>
      </c>
      <c r="J171" s="73">
        <f t="shared" si="29"/>
        <v>-4.4551062371487316E-3</v>
      </c>
      <c r="K171" s="72" t="str">
        <f t="shared" si="30"/>
        <v>KALIBENDA</v>
      </c>
      <c r="L171" s="72" t="str">
        <f t="shared" si="31"/>
        <v>FEBRUARY-2-KALIBENDA</v>
      </c>
      <c r="M171" s="73">
        <f t="shared" si="32"/>
        <v>0.1429043110769348</v>
      </c>
      <c r="N171" s="73">
        <f t="shared" si="33"/>
        <v>-1.9401885427859478E-2</v>
      </c>
      <c r="O171" s="13">
        <f t="shared" si="34"/>
        <v>1504511</v>
      </c>
      <c r="P171" s="13">
        <f t="shared" si="35"/>
        <v>1532581</v>
      </c>
      <c r="Q171" s="13">
        <f t="shared" si="36"/>
        <v>1515308</v>
      </c>
      <c r="R171" s="33">
        <f t="shared" si="37"/>
        <v>7.176418118578054E-3</v>
      </c>
      <c r="S171" s="33">
        <f t="shared" si="38"/>
        <v>-1.1270529910001548E-2</v>
      </c>
    </row>
    <row r="172" spans="1:19" x14ac:dyDescent="0.25">
      <c r="A172" s="9" t="s">
        <v>34</v>
      </c>
      <c r="B172" s="65">
        <v>2</v>
      </c>
      <c r="C172" t="s">
        <v>13</v>
      </c>
      <c r="D172" s="67">
        <v>9612</v>
      </c>
      <c r="E172" s="67">
        <v>9900</v>
      </c>
      <c r="F172" s="67">
        <v>9870</v>
      </c>
      <c r="G172" s="13">
        <f t="shared" si="26"/>
        <v>-30</v>
      </c>
      <c r="H172" s="13">
        <f t="shared" si="27"/>
        <v>258</v>
      </c>
      <c r="I172" s="73">
        <f t="shared" si="28"/>
        <v>2.6841448189762751E-2</v>
      </c>
      <c r="J172" s="73">
        <f t="shared" si="29"/>
        <v>-3.0303030303030498E-3</v>
      </c>
      <c r="K172" s="72" t="str">
        <f t="shared" si="30"/>
        <v>KALIBENDA</v>
      </c>
      <c r="L172" s="72" t="str">
        <f t="shared" si="31"/>
        <v>FEBRUARY-2-KALIBENDA</v>
      </c>
      <c r="M172" s="73">
        <f t="shared" si="32"/>
        <v>0.1429043110769348</v>
      </c>
      <c r="N172" s="73">
        <f t="shared" si="33"/>
        <v>-1.9401885427859478E-2</v>
      </c>
      <c r="O172" s="13">
        <f t="shared" si="34"/>
        <v>1504511</v>
      </c>
      <c r="P172" s="13">
        <f t="shared" si="35"/>
        <v>1532581</v>
      </c>
      <c r="Q172" s="13">
        <f t="shared" si="36"/>
        <v>1515308</v>
      </c>
      <c r="R172" s="33">
        <f t="shared" si="37"/>
        <v>7.176418118578054E-3</v>
      </c>
      <c r="S172" s="33">
        <f t="shared" si="38"/>
        <v>-1.1270529910001548E-2</v>
      </c>
    </row>
    <row r="173" spans="1:19" x14ac:dyDescent="0.25">
      <c r="A173" s="9" t="s">
        <v>34</v>
      </c>
      <c r="B173" s="65">
        <v>2</v>
      </c>
      <c r="C173" t="s">
        <v>13</v>
      </c>
      <c r="D173" s="67">
        <v>1080</v>
      </c>
      <c r="E173" s="67">
        <v>1095</v>
      </c>
      <c r="F173" s="67">
        <v>1092</v>
      </c>
      <c r="G173" s="13">
        <f t="shared" si="26"/>
        <v>-3</v>
      </c>
      <c r="H173" s="13">
        <f t="shared" si="27"/>
        <v>12</v>
      </c>
      <c r="I173" s="73">
        <f t="shared" si="28"/>
        <v>1.1111111111111072E-2</v>
      </c>
      <c r="J173" s="73">
        <f t="shared" si="29"/>
        <v>-2.739726027397249E-3</v>
      </c>
      <c r="K173" s="72" t="str">
        <f t="shared" si="30"/>
        <v>KALIBENDA</v>
      </c>
      <c r="L173" s="72" t="str">
        <f t="shared" si="31"/>
        <v>FEBRUARY-2-KALIBENDA</v>
      </c>
      <c r="M173" s="73">
        <f t="shared" si="32"/>
        <v>0.1429043110769348</v>
      </c>
      <c r="N173" s="73">
        <f t="shared" si="33"/>
        <v>-1.9401885427859478E-2</v>
      </c>
      <c r="O173" s="13">
        <f t="shared" si="34"/>
        <v>1504511</v>
      </c>
      <c r="P173" s="13">
        <f t="shared" si="35"/>
        <v>1532581</v>
      </c>
      <c r="Q173" s="13">
        <f t="shared" si="36"/>
        <v>1515308</v>
      </c>
      <c r="R173" s="33">
        <f t="shared" si="37"/>
        <v>7.176418118578054E-3</v>
      </c>
      <c r="S173" s="33">
        <f t="shared" si="38"/>
        <v>-1.1270529910001548E-2</v>
      </c>
    </row>
    <row r="174" spans="1:19" x14ac:dyDescent="0.25">
      <c r="A174" s="9" t="s">
        <v>34</v>
      </c>
      <c r="B174" s="65">
        <v>2</v>
      </c>
      <c r="C174" t="s">
        <v>11</v>
      </c>
      <c r="D174" s="67">
        <v>4752</v>
      </c>
      <c r="E174" s="67">
        <v>4899</v>
      </c>
      <c r="F174" s="67">
        <v>4821</v>
      </c>
      <c r="G174" s="13">
        <f t="shared" si="26"/>
        <v>-78</v>
      </c>
      <c r="H174" s="13">
        <f t="shared" si="27"/>
        <v>69</v>
      </c>
      <c r="I174" s="73">
        <f t="shared" si="28"/>
        <v>1.4520202020201989E-2</v>
      </c>
      <c r="J174" s="73">
        <f t="shared" si="29"/>
        <v>-1.5921616656460524E-2</v>
      </c>
      <c r="K174" s="72" t="str">
        <f t="shared" si="30"/>
        <v>MAJA1</v>
      </c>
      <c r="L174" s="72" t="str">
        <f t="shared" si="31"/>
        <v>FEBRUARY-2-MAJA1</v>
      </c>
      <c r="M174" s="73">
        <f t="shared" si="32"/>
        <v>-1.4115067350108701E-2</v>
      </c>
      <c r="N174" s="73">
        <f t="shared" si="33"/>
        <v>-0.41646017702597238</v>
      </c>
      <c r="O174" s="13">
        <f t="shared" si="34"/>
        <v>1504511</v>
      </c>
      <c r="P174" s="13">
        <f t="shared" si="35"/>
        <v>1532581</v>
      </c>
      <c r="Q174" s="13">
        <f t="shared" si="36"/>
        <v>1515308</v>
      </c>
      <c r="R174" s="33">
        <f t="shared" si="37"/>
        <v>7.176418118578054E-3</v>
      </c>
      <c r="S174" s="33">
        <f t="shared" si="38"/>
        <v>-1.1270529910001548E-2</v>
      </c>
    </row>
    <row r="175" spans="1:19" x14ac:dyDescent="0.25">
      <c r="A175" s="9" t="s">
        <v>34</v>
      </c>
      <c r="B175" s="65">
        <v>2</v>
      </c>
      <c r="C175" t="s">
        <v>11</v>
      </c>
      <c r="D175" s="67">
        <v>8856</v>
      </c>
      <c r="E175" s="67">
        <v>9124</v>
      </c>
      <c r="F175" s="67">
        <v>9021</v>
      </c>
      <c r="G175" s="13">
        <f t="shared" si="26"/>
        <v>-103</v>
      </c>
      <c r="H175" s="13">
        <f t="shared" si="27"/>
        <v>165</v>
      </c>
      <c r="I175" s="73">
        <f t="shared" si="28"/>
        <v>1.8631436314363148E-2</v>
      </c>
      <c r="J175" s="73">
        <f t="shared" si="29"/>
        <v>-1.1288908373520368E-2</v>
      </c>
      <c r="K175" s="72" t="str">
        <f t="shared" si="30"/>
        <v>MAJA1</v>
      </c>
      <c r="L175" s="72" t="str">
        <f t="shared" si="31"/>
        <v>FEBRUARY-2-MAJA1</v>
      </c>
      <c r="M175" s="73">
        <f t="shared" si="32"/>
        <v>-1.4115067350108701E-2</v>
      </c>
      <c r="N175" s="73">
        <f t="shared" si="33"/>
        <v>-0.41646017702597238</v>
      </c>
      <c r="O175" s="13">
        <f t="shared" si="34"/>
        <v>1504511</v>
      </c>
      <c r="P175" s="13">
        <f t="shared" si="35"/>
        <v>1532581</v>
      </c>
      <c r="Q175" s="13">
        <f t="shared" si="36"/>
        <v>1515308</v>
      </c>
      <c r="R175" s="33">
        <f t="shared" si="37"/>
        <v>7.176418118578054E-3</v>
      </c>
      <c r="S175" s="33">
        <f t="shared" si="38"/>
        <v>-1.1270529910001548E-2</v>
      </c>
    </row>
    <row r="176" spans="1:19" x14ac:dyDescent="0.25">
      <c r="A176" s="9" t="s">
        <v>34</v>
      </c>
      <c r="B176" s="65">
        <v>2</v>
      </c>
      <c r="C176" t="s">
        <v>11</v>
      </c>
      <c r="D176" s="67">
        <v>5400</v>
      </c>
      <c r="E176" s="67">
        <v>5595</v>
      </c>
      <c r="F176" s="67">
        <v>5442</v>
      </c>
      <c r="G176" s="13">
        <f t="shared" si="26"/>
        <v>-153</v>
      </c>
      <c r="H176" s="13">
        <f t="shared" si="27"/>
        <v>42</v>
      </c>
      <c r="I176" s="73">
        <f t="shared" si="28"/>
        <v>7.7777777777778834E-3</v>
      </c>
      <c r="J176" s="73">
        <f t="shared" si="29"/>
        <v>-2.7345844504021444E-2</v>
      </c>
      <c r="K176" s="72" t="str">
        <f t="shared" si="30"/>
        <v>MAJA1</v>
      </c>
      <c r="L176" s="72" t="str">
        <f t="shared" si="31"/>
        <v>FEBRUARY-2-MAJA1</v>
      </c>
      <c r="M176" s="73">
        <f t="shared" si="32"/>
        <v>-1.4115067350108701E-2</v>
      </c>
      <c r="N176" s="73">
        <f t="shared" si="33"/>
        <v>-0.41646017702597238</v>
      </c>
      <c r="O176" s="13">
        <f t="shared" si="34"/>
        <v>1504511</v>
      </c>
      <c r="P176" s="13">
        <f t="shared" si="35"/>
        <v>1532581</v>
      </c>
      <c r="Q176" s="13">
        <f t="shared" si="36"/>
        <v>1515308</v>
      </c>
      <c r="R176" s="33">
        <f t="shared" si="37"/>
        <v>7.176418118578054E-3</v>
      </c>
      <c r="S176" s="33">
        <f t="shared" si="38"/>
        <v>-1.1270529910001548E-2</v>
      </c>
    </row>
    <row r="177" spans="1:19" x14ac:dyDescent="0.25">
      <c r="A177" s="9" t="s">
        <v>34</v>
      </c>
      <c r="B177" s="65">
        <v>2</v>
      </c>
      <c r="C177" t="s">
        <v>14</v>
      </c>
      <c r="D177" s="67">
        <v>9288</v>
      </c>
      <c r="E177" s="67">
        <v>9737</v>
      </c>
      <c r="F177" s="67">
        <v>9450</v>
      </c>
      <c r="G177" s="13">
        <f t="shared" si="26"/>
        <v>-287</v>
      </c>
      <c r="H177" s="13">
        <f t="shared" si="27"/>
        <v>162</v>
      </c>
      <c r="I177" s="73">
        <f t="shared" si="28"/>
        <v>1.744186046511631E-2</v>
      </c>
      <c r="J177" s="73">
        <f t="shared" si="29"/>
        <v>-2.9475197699496802E-2</v>
      </c>
      <c r="K177" s="72" t="str">
        <f t="shared" si="30"/>
        <v>GM2</v>
      </c>
      <c r="L177" s="72" t="str">
        <f t="shared" si="31"/>
        <v>FEBRUARY-2-GM2</v>
      </c>
      <c r="M177" s="73">
        <f t="shared" si="32"/>
        <v>0.33919502201993978</v>
      </c>
      <c r="N177" s="73">
        <f t="shared" si="33"/>
        <v>-0.41437684178720191</v>
      </c>
      <c r="O177" s="13">
        <f t="shared" si="34"/>
        <v>1504511</v>
      </c>
      <c r="P177" s="13">
        <f t="shared" si="35"/>
        <v>1532581</v>
      </c>
      <c r="Q177" s="13">
        <f t="shared" si="36"/>
        <v>1515308</v>
      </c>
      <c r="R177" s="33">
        <f t="shared" si="37"/>
        <v>7.176418118578054E-3</v>
      </c>
      <c r="S177" s="33">
        <f t="shared" si="38"/>
        <v>-1.1270529910001548E-2</v>
      </c>
    </row>
    <row r="178" spans="1:19" x14ac:dyDescent="0.25">
      <c r="A178" s="9" t="s">
        <v>34</v>
      </c>
      <c r="B178" s="65">
        <v>2</v>
      </c>
      <c r="C178" t="s">
        <v>14</v>
      </c>
      <c r="D178" s="67">
        <v>1512</v>
      </c>
      <c r="E178" s="67">
        <v>1560</v>
      </c>
      <c r="F178" s="67">
        <v>1557</v>
      </c>
      <c r="G178" s="13">
        <f t="shared" si="26"/>
        <v>-3</v>
      </c>
      <c r="H178" s="13">
        <f t="shared" si="27"/>
        <v>45</v>
      </c>
      <c r="I178" s="73">
        <f t="shared" si="28"/>
        <v>2.9761904761904656E-2</v>
      </c>
      <c r="J178" s="73">
        <f t="shared" si="29"/>
        <v>-1.9230769230769162E-3</v>
      </c>
      <c r="K178" s="72" t="str">
        <f t="shared" si="30"/>
        <v>GM2</v>
      </c>
      <c r="L178" s="72" t="str">
        <f t="shared" si="31"/>
        <v>FEBRUARY-2-GM2</v>
      </c>
      <c r="M178" s="73">
        <f t="shared" si="32"/>
        <v>0.33919502201993978</v>
      </c>
      <c r="N178" s="73">
        <f t="shared" si="33"/>
        <v>-0.41437684178720191</v>
      </c>
      <c r="O178" s="13">
        <f t="shared" si="34"/>
        <v>1504511</v>
      </c>
      <c r="P178" s="13">
        <f t="shared" si="35"/>
        <v>1532581</v>
      </c>
      <c r="Q178" s="13">
        <f t="shared" si="36"/>
        <v>1515308</v>
      </c>
      <c r="R178" s="33">
        <f t="shared" si="37"/>
        <v>7.176418118578054E-3</v>
      </c>
      <c r="S178" s="33">
        <f t="shared" si="38"/>
        <v>-1.1270529910001548E-2</v>
      </c>
    </row>
    <row r="179" spans="1:19" x14ac:dyDescent="0.25">
      <c r="A179" s="9" t="s">
        <v>34</v>
      </c>
      <c r="B179" s="65">
        <v>2</v>
      </c>
      <c r="C179" t="s">
        <v>14</v>
      </c>
      <c r="D179" s="67">
        <v>4320</v>
      </c>
      <c r="E179" s="67">
        <v>4457</v>
      </c>
      <c r="F179" s="67">
        <v>4398</v>
      </c>
      <c r="G179" s="13">
        <f t="shared" si="26"/>
        <v>-59</v>
      </c>
      <c r="H179" s="13">
        <f t="shared" si="27"/>
        <v>78</v>
      </c>
      <c r="I179" s="73">
        <f t="shared" si="28"/>
        <v>1.8055555555555491E-2</v>
      </c>
      <c r="J179" s="73">
        <f t="shared" si="29"/>
        <v>-1.3237603769351569E-2</v>
      </c>
      <c r="K179" s="72" t="str">
        <f t="shared" si="30"/>
        <v>GM2</v>
      </c>
      <c r="L179" s="72" t="str">
        <f t="shared" si="31"/>
        <v>FEBRUARY-2-GM2</v>
      </c>
      <c r="M179" s="73">
        <f t="shared" si="32"/>
        <v>0.33919502201993978</v>
      </c>
      <c r="N179" s="73">
        <f t="shared" si="33"/>
        <v>-0.41437684178720191</v>
      </c>
      <c r="O179" s="13">
        <f t="shared" si="34"/>
        <v>1504511</v>
      </c>
      <c r="P179" s="13">
        <f t="shared" si="35"/>
        <v>1532581</v>
      </c>
      <c r="Q179" s="13">
        <f t="shared" si="36"/>
        <v>1515308</v>
      </c>
      <c r="R179" s="33">
        <f t="shared" si="37"/>
        <v>7.176418118578054E-3</v>
      </c>
      <c r="S179" s="33">
        <f t="shared" si="38"/>
        <v>-1.1270529910001548E-2</v>
      </c>
    </row>
    <row r="180" spans="1:19" x14ac:dyDescent="0.25">
      <c r="A180" s="9" t="s">
        <v>34</v>
      </c>
      <c r="B180" s="65">
        <v>2</v>
      </c>
      <c r="C180" t="s">
        <v>14</v>
      </c>
      <c r="D180" s="67">
        <v>6156</v>
      </c>
      <c r="E180" s="67">
        <v>6353</v>
      </c>
      <c r="F180" s="67">
        <v>6156</v>
      </c>
      <c r="G180" s="13">
        <f t="shared" si="26"/>
        <v>-197</v>
      </c>
      <c r="H180" s="13">
        <f t="shared" si="27"/>
        <v>0</v>
      </c>
      <c r="I180" s="73">
        <f t="shared" si="28"/>
        <v>0</v>
      </c>
      <c r="J180" s="73">
        <f t="shared" si="29"/>
        <v>-3.1008972139146884E-2</v>
      </c>
      <c r="K180" s="72" t="str">
        <f t="shared" si="30"/>
        <v>GM2</v>
      </c>
      <c r="L180" s="72" t="str">
        <f t="shared" si="31"/>
        <v>FEBRUARY-2-GM2</v>
      </c>
      <c r="M180" s="73">
        <f t="shared" si="32"/>
        <v>0.33919502201993978</v>
      </c>
      <c r="N180" s="73">
        <f t="shared" si="33"/>
        <v>-0.41437684178720191</v>
      </c>
      <c r="O180" s="13">
        <f t="shared" si="34"/>
        <v>1504511</v>
      </c>
      <c r="P180" s="13">
        <f t="shared" si="35"/>
        <v>1532581</v>
      </c>
      <c r="Q180" s="13">
        <f t="shared" si="36"/>
        <v>1515308</v>
      </c>
      <c r="R180" s="33">
        <f t="shared" si="37"/>
        <v>7.176418118578054E-3</v>
      </c>
      <c r="S180" s="33">
        <f t="shared" si="38"/>
        <v>-1.1270529910001548E-2</v>
      </c>
    </row>
    <row r="181" spans="1:19" x14ac:dyDescent="0.25">
      <c r="A181" s="9" t="s">
        <v>34</v>
      </c>
      <c r="B181" s="65">
        <v>2</v>
      </c>
      <c r="C181" t="s">
        <v>14</v>
      </c>
      <c r="D181" s="67">
        <v>7236</v>
      </c>
      <c r="E181" s="67">
        <v>7519</v>
      </c>
      <c r="F181" s="67">
        <v>7236</v>
      </c>
      <c r="G181" s="13">
        <f t="shared" si="26"/>
        <v>-283</v>
      </c>
      <c r="H181" s="13">
        <f t="shared" si="27"/>
        <v>0</v>
      </c>
      <c r="I181" s="73">
        <f t="shared" si="28"/>
        <v>0</v>
      </c>
      <c r="J181" s="73">
        <f t="shared" si="29"/>
        <v>-3.7637983774438055E-2</v>
      </c>
      <c r="K181" s="72" t="str">
        <f t="shared" si="30"/>
        <v>GM2</v>
      </c>
      <c r="L181" s="72" t="str">
        <f t="shared" si="31"/>
        <v>FEBRUARY-2-GM2</v>
      </c>
      <c r="M181" s="73">
        <f t="shared" si="32"/>
        <v>0.33919502201993978</v>
      </c>
      <c r="N181" s="73">
        <f t="shared" si="33"/>
        <v>-0.41437684178720191</v>
      </c>
      <c r="O181" s="13">
        <f t="shared" si="34"/>
        <v>1504511</v>
      </c>
      <c r="P181" s="13">
        <f t="shared" si="35"/>
        <v>1532581</v>
      </c>
      <c r="Q181" s="13">
        <f t="shared" si="36"/>
        <v>1515308</v>
      </c>
      <c r="R181" s="33">
        <f t="shared" si="37"/>
        <v>7.176418118578054E-3</v>
      </c>
      <c r="S181" s="33">
        <f t="shared" si="38"/>
        <v>-1.1270529910001548E-2</v>
      </c>
    </row>
    <row r="182" spans="1:19" x14ac:dyDescent="0.25">
      <c r="A182" s="9" t="s">
        <v>34</v>
      </c>
      <c r="B182" s="65">
        <v>2</v>
      </c>
      <c r="C182" t="s">
        <v>14</v>
      </c>
      <c r="D182" s="67">
        <v>6696</v>
      </c>
      <c r="E182" s="67">
        <v>6924</v>
      </c>
      <c r="F182" s="67">
        <v>6858</v>
      </c>
      <c r="G182" s="13">
        <f t="shared" si="26"/>
        <v>-66</v>
      </c>
      <c r="H182" s="13">
        <f t="shared" si="27"/>
        <v>162</v>
      </c>
      <c r="I182" s="73">
        <f t="shared" si="28"/>
        <v>2.4193548387096753E-2</v>
      </c>
      <c r="J182" s="73">
        <f t="shared" si="29"/>
        <v>-9.5320623916811398E-3</v>
      </c>
      <c r="K182" s="72" t="str">
        <f t="shared" si="30"/>
        <v>GM2</v>
      </c>
      <c r="L182" s="72" t="str">
        <f t="shared" si="31"/>
        <v>FEBRUARY-2-GM2</v>
      </c>
      <c r="M182" s="73">
        <f t="shared" si="32"/>
        <v>0.33919502201993978</v>
      </c>
      <c r="N182" s="73">
        <f t="shared" si="33"/>
        <v>-0.41437684178720191</v>
      </c>
      <c r="O182" s="13">
        <f t="shared" si="34"/>
        <v>1504511</v>
      </c>
      <c r="P182" s="13">
        <f t="shared" si="35"/>
        <v>1532581</v>
      </c>
      <c r="Q182" s="13">
        <f t="shared" si="36"/>
        <v>1515308</v>
      </c>
      <c r="R182" s="33">
        <f t="shared" si="37"/>
        <v>7.176418118578054E-3</v>
      </c>
      <c r="S182" s="33">
        <f t="shared" si="38"/>
        <v>-1.1270529910001548E-2</v>
      </c>
    </row>
    <row r="183" spans="1:19" x14ac:dyDescent="0.25">
      <c r="A183" s="9" t="s">
        <v>34</v>
      </c>
      <c r="B183" s="65">
        <v>2</v>
      </c>
      <c r="C183" t="s">
        <v>14</v>
      </c>
      <c r="D183" s="67">
        <v>5184</v>
      </c>
      <c r="E183" s="67">
        <v>5358</v>
      </c>
      <c r="F183" s="67">
        <v>5184</v>
      </c>
      <c r="G183" s="13">
        <f t="shared" si="26"/>
        <v>-174</v>
      </c>
      <c r="H183" s="13">
        <f t="shared" si="27"/>
        <v>0</v>
      </c>
      <c r="I183" s="73">
        <f t="shared" si="28"/>
        <v>0</v>
      </c>
      <c r="J183" s="73">
        <f t="shared" si="29"/>
        <v>-3.2474804031354942E-2</v>
      </c>
      <c r="K183" s="72" t="str">
        <f t="shared" si="30"/>
        <v>GM2</v>
      </c>
      <c r="L183" s="72" t="str">
        <f t="shared" si="31"/>
        <v>FEBRUARY-2-GM2</v>
      </c>
      <c r="M183" s="73">
        <f t="shared" si="32"/>
        <v>0.33919502201993978</v>
      </c>
      <c r="N183" s="73">
        <f t="shared" si="33"/>
        <v>-0.41437684178720191</v>
      </c>
      <c r="O183" s="13">
        <f t="shared" si="34"/>
        <v>1504511</v>
      </c>
      <c r="P183" s="13">
        <f t="shared" si="35"/>
        <v>1532581</v>
      </c>
      <c r="Q183" s="13">
        <f t="shared" si="36"/>
        <v>1515308</v>
      </c>
      <c r="R183" s="33">
        <f t="shared" si="37"/>
        <v>7.176418118578054E-3</v>
      </c>
      <c r="S183" s="33">
        <f t="shared" si="38"/>
        <v>-1.1270529910001548E-2</v>
      </c>
    </row>
    <row r="184" spans="1:19" x14ac:dyDescent="0.25">
      <c r="A184" s="9" t="s">
        <v>34</v>
      </c>
      <c r="B184" s="65">
        <v>2</v>
      </c>
      <c r="C184" t="s">
        <v>14</v>
      </c>
      <c r="D184" s="67">
        <v>1080</v>
      </c>
      <c r="E184" s="67">
        <v>1116</v>
      </c>
      <c r="F184" s="67">
        <v>1080</v>
      </c>
      <c r="G184" s="13">
        <f t="shared" si="26"/>
        <v>-36</v>
      </c>
      <c r="H184" s="13">
        <f t="shared" si="27"/>
        <v>0</v>
      </c>
      <c r="I184" s="73">
        <f t="shared" si="28"/>
        <v>0</v>
      </c>
      <c r="J184" s="73">
        <f t="shared" si="29"/>
        <v>-3.2258064516129004E-2</v>
      </c>
      <c r="K184" s="72" t="str">
        <f t="shared" si="30"/>
        <v>GM2</v>
      </c>
      <c r="L184" s="72" t="str">
        <f t="shared" si="31"/>
        <v>FEBRUARY-2-GM2</v>
      </c>
      <c r="M184" s="73">
        <f t="shared" si="32"/>
        <v>0.33919502201993978</v>
      </c>
      <c r="N184" s="73">
        <f t="shared" si="33"/>
        <v>-0.41437684178720191</v>
      </c>
      <c r="O184" s="13">
        <f t="shared" si="34"/>
        <v>1504511</v>
      </c>
      <c r="P184" s="13">
        <f t="shared" si="35"/>
        <v>1532581</v>
      </c>
      <c r="Q184" s="13">
        <f t="shared" si="36"/>
        <v>1515308</v>
      </c>
      <c r="R184" s="33">
        <f t="shared" si="37"/>
        <v>7.176418118578054E-3</v>
      </c>
      <c r="S184" s="33">
        <f t="shared" si="38"/>
        <v>-1.1270529910001548E-2</v>
      </c>
    </row>
    <row r="185" spans="1:19" x14ac:dyDescent="0.25">
      <c r="A185" s="9" t="s">
        <v>34</v>
      </c>
      <c r="B185" s="65">
        <v>2</v>
      </c>
      <c r="C185" t="s">
        <v>11</v>
      </c>
      <c r="D185" s="67">
        <v>7560</v>
      </c>
      <c r="E185" s="67">
        <v>7826</v>
      </c>
      <c r="F185" s="67">
        <v>7635</v>
      </c>
      <c r="G185" s="13">
        <f t="shared" si="26"/>
        <v>-191</v>
      </c>
      <c r="H185" s="13">
        <f t="shared" si="27"/>
        <v>75</v>
      </c>
      <c r="I185" s="73">
        <f t="shared" si="28"/>
        <v>9.9206349206348854E-3</v>
      </c>
      <c r="J185" s="73">
        <f t="shared" si="29"/>
        <v>-2.440582673140812E-2</v>
      </c>
      <c r="K185" s="72" t="str">
        <f t="shared" si="30"/>
        <v>MAJA1</v>
      </c>
      <c r="L185" s="72" t="str">
        <f t="shared" si="31"/>
        <v>FEBRUARY-2-MAJA1</v>
      </c>
      <c r="M185" s="73">
        <f t="shared" si="32"/>
        <v>-1.4115067350108701E-2</v>
      </c>
      <c r="N185" s="73">
        <f t="shared" si="33"/>
        <v>-0.41646017702597238</v>
      </c>
      <c r="O185" s="13">
        <f t="shared" si="34"/>
        <v>1504511</v>
      </c>
      <c r="P185" s="13">
        <f t="shared" si="35"/>
        <v>1532581</v>
      </c>
      <c r="Q185" s="13">
        <f t="shared" si="36"/>
        <v>1515308</v>
      </c>
      <c r="R185" s="33">
        <f t="shared" si="37"/>
        <v>7.176418118578054E-3</v>
      </c>
      <c r="S185" s="33">
        <f t="shared" si="38"/>
        <v>-1.1270529910001548E-2</v>
      </c>
    </row>
    <row r="186" spans="1:19" x14ac:dyDescent="0.25">
      <c r="A186" s="9" t="s">
        <v>34</v>
      </c>
      <c r="B186" s="65">
        <v>2</v>
      </c>
      <c r="C186" t="s">
        <v>14</v>
      </c>
      <c r="D186" s="67">
        <v>9648</v>
      </c>
      <c r="E186" s="67">
        <v>9822</v>
      </c>
      <c r="F186" s="67">
        <v>9604</v>
      </c>
      <c r="G186" s="13">
        <f t="shared" si="26"/>
        <v>-218</v>
      </c>
      <c r="H186" s="13">
        <f t="shared" si="27"/>
        <v>-44</v>
      </c>
      <c r="I186" s="73">
        <f t="shared" si="28"/>
        <v>-4.560530679933672E-3</v>
      </c>
      <c r="J186" s="73">
        <f t="shared" si="29"/>
        <v>-2.2195072286703366E-2</v>
      </c>
      <c r="K186" s="72" t="str">
        <f t="shared" si="30"/>
        <v>GM2</v>
      </c>
      <c r="L186" s="72" t="str">
        <f t="shared" si="31"/>
        <v>FEBRUARY-2-GM2</v>
      </c>
      <c r="M186" s="73">
        <f t="shared" si="32"/>
        <v>0.33919502201993978</v>
      </c>
      <c r="N186" s="73">
        <f t="shared" si="33"/>
        <v>-0.41437684178720191</v>
      </c>
      <c r="O186" s="13">
        <f t="shared" si="34"/>
        <v>1504511</v>
      </c>
      <c r="P186" s="13">
        <f t="shared" si="35"/>
        <v>1532581</v>
      </c>
      <c r="Q186" s="13">
        <f t="shared" si="36"/>
        <v>1515308</v>
      </c>
      <c r="R186" s="33">
        <f t="shared" si="37"/>
        <v>7.176418118578054E-3</v>
      </c>
      <c r="S186" s="33">
        <f t="shared" si="38"/>
        <v>-1.1270529910001548E-2</v>
      </c>
    </row>
    <row r="187" spans="1:19" x14ac:dyDescent="0.25">
      <c r="A187" s="9" t="s">
        <v>34</v>
      </c>
      <c r="B187" s="65">
        <v>2</v>
      </c>
      <c r="C187" t="s">
        <v>14</v>
      </c>
      <c r="D187" s="67">
        <v>10368</v>
      </c>
      <c r="E187" s="67">
        <v>10415</v>
      </c>
      <c r="F187" s="67">
        <v>10400</v>
      </c>
      <c r="G187" s="13">
        <f t="shared" si="26"/>
        <v>-15</v>
      </c>
      <c r="H187" s="13">
        <f t="shared" si="27"/>
        <v>32</v>
      </c>
      <c r="I187" s="73">
        <f t="shared" si="28"/>
        <v>3.0864197530864335E-3</v>
      </c>
      <c r="J187" s="73">
        <f t="shared" si="29"/>
        <v>-1.4402304368699159E-3</v>
      </c>
      <c r="K187" s="72" t="str">
        <f t="shared" si="30"/>
        <v>GM2</v>
      </c>
      <c r="L187" s="72" t="str">
        <f t="shared" si="31"/>
        <v>FEBRUARY-2-GM2</v>
      </c>
      <c r="M187" s="73">
        <f t="shared" si="32"/>
        <v>0.33919502201993978</v>
      </c>
      <c r="N187" s="73">
        <f t="shared" si="33"/>
        <v>-0.41437684178720191</v>
      </c>
      <c r="O187" s="13">
        <f t="shared" si="34"/>
        <v>1504511</v>
      </c>
      <c r="P187" s="13">
        <f t="shared" si="35"/>
        <v>1532581</v>
      </c>
      <c r="Q187" s="13">
        <f t="shared" si="36"/>
        <v>1515308</v>
      </c>
      <c r="R187" s="33">
        <f t="shared" si="37"/>
        <v>7.176418118578054E-3</v>
      </c>
      <c r="S187" s="33">
        <f t="shared" si="38"/>
        <v>-1.1270529910001548E-2</v>
      </c>
    </row>
    <row r="188" spans="1:19" x14ac:dyDescent="0.25">
      <c r="A188" s="9" t="s">
        <v>34</v>
      </c>
      <c r="B188" s="65">
        <v>2</v>
      </c>
      <c r="C188" t="s">
        <v>14</v>
      </c>
      <c r="D188" s="67">
        <v>6480</v>
      </c>
      <c r="E188" s="67">
        <v>6634</v>
      </c>
      <c r="F188" s="67">
        <v>6540</v>
      </c>
      <c r="G188" s="13">
        <f t="shared" si="26"/>
        <v>-94</v>
      </c>
      <c r="H188" s="13">
        <f t="shared" si="27"/>
        <v>60</v>
      </c>
      <c r="I188" s="73">
        <f t="shared" si="28"/>
        <v>9.2592592592593004E-3</v>
      </c>
      <c r="J188" s="73">
        <f t="shared" si="29"/>
        <v>-1.4169430208019307E-2</v>
      </c>
      <c r="K188" s="72" t="str">
        <f t="shared" si="30"/>
        <v>GM2</v>
      </c>
      <c r="L188" s="72" t="str">
        <f t="shared" si="31"/>
        <v>FEBRUARY-2-GM2</v>
      </c>
      <c r="M188" s="73">
        <f t="shared" si="32"/>
        <v>0.33919502201993978</v>
      </c>
      <c r="N188" s="73">
        <f t="shared" si="33"/>
        <v>-0.41437684178720191</v>
      </c>
      <c r="O188" s="13">
        <f t="shared" si="34"/>
        <v>1504511</v>
      </c>
      <c r="P188" s="13">
        <f t="shared" si="35"/>
        <v>1532581</v>
      </c>
      <c r="Q188" s="13">
        <f t="shared" si="36"/>
        <v>1515308</v>
      </c>
      <c r="R188" s="33">
        <f t="shared" si="37"/>
        <v>7.176418118578054E-3</v>
      </c>
      <c r="S188" s="33">
        <f t="shared" si="38"/>
        <v>-1.1270529910001548E-2</v>
      </c>
    </row>
    <row r="189" spans="1:19" x14ac:dyDescent="0.25">
      <c r="A189" s="9" t="s">
        <v>34</v>
      </c>
      <c r="B189" s="65">
        <v>2</v>
      </c>
      <c r="C189" t="s">
        <v>14</v>
      </c>
      <c r="D189" s="67">
        <v>6480</v>
      </c>
      <c r="E189" s="67">
        <v>6423</v>
      </c>
      <c r="F189" s="67">
        <v>6456</v>
      </c>
      <c r="G189" s="13">
        <f t="shared" si="26"/>
        <v>33</v>
      </c>
      <c r="H189" s="13">
        <f t="shared" si="27"/>
        <v>-24</v>
      </c>
      <c r="I189" s="73">
        <f t="shared" si="28"/>
        <v>-3.7037037037036535E-3</v>
      </c>
      <c r="J189" s="73">
        <f t="shared" si="29"/>
        <v>5.1377860812704679E-3</v>
      </c>
      <c r="K189" s="72" t="str">
        <f t="shared" si="30"/>
        <v>GM2</v>
      </c>
      <c r="L189" s="72" t="str">
        <f t="shared" si="31"/>
        <v>FEBRUARY-2-GM2</v>
      </c>
      <c r="M189" s="73">
        <f t="shared" si="32"/>
        <v>0.33919502201993978</v>
      </c>
      <c r="N189" s="73">
        <f t="shared" si="33"/>
        <v>-0.41437684178720191</v>
      </c>
      <c r="O189" s="13">
        <f t="shared" si="34"/>
        <v>1504511</v>
      </c>
      <c r="P189" s="13">
        <f t="shared" si="35"/>
        <v>1532581</v>
      </c>
      <c r="Q189" s="13">
        <f t="shared" si="36"/>
        <v>1515308</v>
      </c>
      <c r="R189" s="33">
        <f t="shared" si="37"/>
        <v>7.176418118578054E-3</v>
      </c>
      <c r="S189" s="33">
        <f t="shared" si="38"/>
        <v>-1.1270529910001548E-2</v>
      </c>
    </row>
    <row r="190" spans="1:19" x14ac:dyDescent="0.25">
      <c r="A190" s="9" t="s">
        <v>34</v>
      </c>
      <c r="B190" s="65">
        <v>2</v>
      </c>
      <c r="C190" t="s">
        <v>14</v>
      </c>
      <c r="D190" s="67">
        <v>12240</v>
      </c>
      <c r="E190" s="67">
        <v>12493</v>
      </c>
      <c r="F190" s="67">
        <v>12484</v>
      </c>
      <c r="G190" s="13">
        <f t="shared" si="26"/>
        <v>-9</v>
      </c>
      <c r="H190" s="13">
        <f t="shared" si="27"/>
        <v>244</v>
      </c>
      <c r="I190" s="73">
        <f t="shared" si="28"/>
        <v>1.9934640522875746E-2</v>
      </c>
      <c r="J190" s="73">
        <f t="shared" si="29"/>
        <v>-7.2040342591850326E-4</v>
      </c>
      <c r="K190" s="72" t="str">
        <f t="shared" si="30"/>
        <v>GM2</v>
      </c>
      <c r="L190" s="72" t="str">
        <f t="shared" si="31"/>
        <v>FEBRUARY-2-GM2</v>
      </c>
      <c r="M190" s="73">
        <f t="shared" si="32"/>
        <v>0.33919502201993978</v>
      </c>
      <c r="N190" s="73">
        <f t="shared" si="33"/>
        <v>-0.41437684178720191</v>
      </c>
      <c r="O190" s="13">
        <f t="shared" si="34"/>
        <v>1504511</v>
      </c>
      <c r="P190" s="13">
        <f t="shared" si="35"/>
        <v>1532581</v>
      </c>
      <c r="Q190" s="13">
        <f t="shared" si="36"/>
        <v>1515308</v>
      </c>
      <c r="R190" s="33">
        <f t="shared" si="37"/>
        <v>7.176418118578054E-3</v>
      </c>
      <c r="S190" s="33">
        <f t="shared" si="38"/>
        <v>-1.1270529910001548E-2</v>
      </c>
    </row>
    <row r="191" spans="1:19" x14ac:dyDescent="0.25">
      <c r="A191" s="9" t="s">
        <v>34</v>
      </c>
      <c r="B191" s="65">
        <v>2</v>
      </c>
      <c r="C191" t="s">
        <v>14</v>
      </c>
      <c r="D191" s="67">
        <v>11376</v>
      </c>
      <c r="E191" s="67">
        <v>11604</v>
      </c>
      <c r="F191" s="67">
        <v>11516</v>
      </c>
      <c r="G191" s="13">
        <f t="shared" si="26"/>
        <v>-88</v>
      </c>
      <c r="H191" s="13">
        <f t="shared" si="27"/>
        <v>140</v>
      </c>
      <c r="I191" s="73">
        <f t="shared" si="28"/>
        <v>1.2306610407876173E-2</v>
      </c>
      <c r="J191" s="73">
        <f t="shared" si="29"/>
        <v>-7.5835918648742284E-3</v>
      </c>
      <c r="K191" s="72" t="str">
        <f t="shared" si="30"/>
        <v>GM2</v>
      </c>
      <c r="L191" s="72" t="str">
        <f t="shared" si="31"/>
        <v>FEBRUARY-2-GM2</v>
      </c>
      <c r="M191" s="73">
        <f t="shared" si="32"/>
        <v>0.33919502201993978</v>
      </c>
      <c r="N191" s="73">
        <f t="shared" si="33"/>
        <v>-0.41437684178720191</v>
      </c>
      <c r="O191" s="13">
        <f t="shared" si="34"/>
        <v>1504511</v>
      </c>
      <c r="P191" s="13">
        <f t="shared" si="35"/>
        <v>1532581</v>
      </c>
      <c r="Q191" s="13">
        <f t="shared" si="36"/>
        <v>1515308</v>
      </c>
      <c r="R191" s="33">
        <f t="shared" si="37"/>
        <v>7.176418118578054E-3</v>
      </c>
      <c r="S191" s="33">
        <f t="shared" si="38"/>
        <v>-1.1270529910001548E-2</v>
      </c>
    </row>
    <row r="192" spans="1:19" x14ac:dyDescent="0.25">
      <c r="A192" s="9" t="s">
        <v>34</v>
      </c>
      <c r="B192" s="65">
        <v>2</v>
      </c>
      <c r="C192" t="s">
        <v>14</v>
      </c>
      <c r="D192" s="67">
        <v>4896</v>
      </c>
      <c r="E192" s="67">
        <v>4995</v>
      </c>
      <c r="F192" s="67">
        <v>4952</v>
      </c>
      <c r="G192" s="13">
        <f t="shared" si="26"/>
        <v>-43</v>
      </c>
      <c r="H192" s="13">
        <f t="shared" si="27"/>
        <v>56</v>
      </c>
      <c r="I192" s="73">
        <f t="shared" si="28"/>
        <v>1.1437908496731986E-2</v>
      </c>
      <c r="J192" s="73">
        <f t="shared" si="29"/>
        <v>-8.60860860860857E-3</v>
      </c>
      <c r="K192" s="72" t="str">
        <f t="shared" si="30"/>
        <v>GM2</v>
      </c>
      <c r="L192" s="72" t="str">
        <f t="shared" si="31"/>
        <v>FEBRUARY-2-GM2</v>
      </c>
      <c r="M192" s="73">
        <f t="shared" si="32"/>
        <v>0.33919502201993978</v>
      </c>
      <c r="N192" s="73">
        <f t="shared" si="33"/>
        <v>-0.41437684178720191</v>
      </c>
      <c r="O192" s="13">
        <f t="shared" si="34"/>
        <v>1504511</v>
      </c>
      <c r="P192" s="13">
        <f t="shared" si="35"/>
        <v>1532581</v>
      </c>
      <c r="Q192" s="13">
        <f t="shared" si="36"/>
        <v>1515308</v>
      </c>
      <c r="R192" s="33">
        <f t="shared" si="37"/>
        <v>7.176418118578054E-3</v>
      </c>
      <c r="S192" s="33">
        <f t="shared" si="38"/>
        <v>-1.1270529910001548E-2</v>
      </c>
    </row>
    <row r="193" spans="1:19" x14ac:dyDescent="0.25">
      <c r="A193" s="9" t="s">
        <v>34</v>
      </c>
      <c r="B193" s="65">
        <v>2</v>
      </c>
      <c r="C193" t="s">
        <v>14</v>
      </c>
      <c r="D193" s="67">
        <v>7920</v>
      </c>
      <c r="E193" s="67">
        <v>8093</v>
      </c>
      <c r="F193" s="67">
        <v>8100</v>
      </c>
      <c r="G193" s="13">
        <f t="shared" si="26"/>
        <v>7</v>
      </c>
      <c r="H193" s="13">
        <f t="shared" si="27"/>
        <v>180</v>
      </c>
      <c r="I193" s="73">
        <f t="shared" si="28"/>
        <v>2.2727272727272707E-2</v>
      </c>
      <c r="J193" s="73">
        <f t="shared" si="29"/>
        <v>8.6494501420975034E-4</v>
      </c>
      <c r="K193" s="72" t="str">
        <f t="shared" si="30"/>
        <v>GM2</v>
      </c>
      <c r="L193" s="72" t="str">
        <f t="shared" si="31"/>
        <v>FEBRUARY-2-GM2</v>
      </c>
      <c r="M193" s="73">
        <f t="shared" si="32"/>
        <v>0.33919502201993978</v>
      </c>
      <c r="N193" s="73">
        <f t="shared" si="33"/>
        <v>-0.41437684178720191</v>
      </c>
      <c r="O193" s="13">
        <f t="shared" si="34"/>
        <v>1504511</v>
      </c>
      <c r="P193" s="13">
        <f t="shared" si="35"/>
        <v>1532581</v>
      </c>
      <c r="Q193" s="13">
        <f t="shared" si="36"/>
        <v>1515308</v>
      </c>
      <c r="R193" s="33">
        <f t="shared" si="37"/>
        <v>7.176418118578054E-3</v>
      </c>
      <c r="S193" s="33">
        <f t="shared" si="38"/>
        <v>-1.1270529910001548E-2</v>
      </c>
    </row>
    <row r="194" spans="1:19" x14ac:dyDescent="0.25">
      <c r="A194" s="9" t="s">
        <v>34</v>
      </c>
      <c r="B194" s="65">
        <v>2</v>
      </c>
      <c r="C194" t="s">
        <v>11</v>
      </c>
      <c r="D194" s="67">
        <v>16560</v>
      </c>
      <c r="E194" s="67">
        <v>16984</v>
      </c>
      <c r="F194" s="67">
        <v>16560</v>
      </c>
      <c r="G194" s="13">
        <f t="shared" ref="G194:G257" si="39">F194-E194</f>
        <v>-424</v>
      </c>
      <c r="H194" s="13">
        <f t="shared" ref="H194:H257" si="40">F194-D194</f>
        <v>0</v>
      </c>
      <c r="I194" s="73">
        <f t="shared" ref="I194:I257" si="41">F194/D194-1</f>
        <v>0</v>
      </c>
      <c r="J194" s="73">
        <f t="shared" ref="J194:J257" si="42">F194/E194-1</f>
        <v>-2.4964672633066454E-2</v>
      </c>
      <c r="K194" s="72" t="str">
        <f t="shared" ref="K194:K257" si="43">CLEAN(SUBSTITUTE(C194," ",""))</f>
        <v>MAJA1</v>
      </c>
      <c r="L194" s="72" t="str">
        <f t="shared" ref="L194:L257" si="44">A194&amp;"-"&amp;B194&amp;"-"&amp;K194</f>
        <v>FEBRUARY-2-MAJA1</v>
      </c>
      <c r="M194" s="73">
        <f t="shared" ref="M194:M257" si="45">SUMIF($L$2:$L$1396,L194,$I$2:$I$1396)</f>
        <v>-1.4115067350108701E-2</v>
      </c>
      <c r="N194" s="73">
        <f t="shared" ref="N194:N257" si="46">SUMIF($L$2:$L$1396,L194,$J$2:$J$1396)</f>
        <v>-0.41646017702597238</v>
      </c>
      <c r="O194" s="13">
        <f t="shared" ref="O194:O257" si="47">SUMIF($A$2:$A$1396,A194,$D$2:$D$1396)</f>
        <v>1504511</v>
      </c>
      <c r="P194" s="13">
        <f t="shared" ref="P194:P257" si="48">SUMIF($A$2:$A$1396,A194,$E$2:$E$1396)</f>
        <v>1532581</v>
      </c>
      <c r="Q194" s="13">
        <f t="shared" ref="Q194:Q257" si="49">SUMIF($A$2:$A$1396,A194,$F$2:$F$1396)</f>
        <v>1515308</v>
      </c>
      <c r="R194" s="33">
        <f t="shared" ref="R194:R257" si="50">Q194/O194-1</f>
        <v>7.176418118578054E-3</v>
      </c>
      <c r="S194" s="33">
        <f t="shared" ref="S194:S257" si="51">Q194/P194-1</f>
        <v>-1.1270529910001548E-2</v>
      </c>
    </row>
    <row r="195" spans="1:19" x14ac:dyDescent="0.25">
      <c r="A195" s="9" t="s">
        <v>34</v>
      </c>
      <c r="B195" s="65">
        <v>2</v>
      </c>
      <c r="C195" t="s">
        <v>14</v>
      </c>
      <c r="D195" s="67">
        <v>18468</v>
      </c>
      <c r="E195" s="67">
        <v>19028</v>
      </c>
      <c r="F195" s="67">
        <v>19023</v>
      </c>
      <c r="G195" s="13">
        <f t="shared" si="39"/>
        <v>-5</v>
      </c>
      <c r="H195" s="13">
        <f t="shared" si="40"/>
        <v>555</v>
      </c>
      <c r="I195" s="73">
        <f t="shared" si="41"/>
        <v>3.0051981806367811E-2</v>
      </c>
      <c r="J195" s="73">
        <f t="shared" si="42"/>
        <v>-2.6277065377333653E-4</v>
      </c>
      <c r="K195" s="72" t="str">
        <f t="shared" si="43"/>
        <v>GM2</v>
      </c>
      <c r="L195" s="72" t="str">
        <f t="shared" si="44"/>
        <v>FEBRUARY-2-GM2</v>
      </c>
      <c r="M195" s="73">
        <f t="shared" si="45"/>
        <v>0.33919502201993978</v>
      </c>
      <c r="N195" s="73">
        <f t="shared" si="46"/>
        <v>-0.41437684178720191</v>
      </c>
      <c r="O195" s="13">
        <f t="shared" si="47"/>
        <v>1504511</v>
      </c>
      <c r="P195" s="13">
        <f t="shared" si="48"/>
        <v>1532581</v>
      </c>
      <c r="Q195" s="13">
        <f t="shared" si="49"/>
        <v>1515308</v>
      </c>
      <c r="R195" s="33">
        <f t="shared" si="50"/>
        <v>7.176418118578054E-3</v>
      </c>
      <c r="S195" s="33">
        <f t="shared" si="51"/>
        <v>-1.1270529910001548E-2</v>
      </c>
    </row>
    <row r="196" spans="1:19" x14ac:dyDescent="0.25">
      <c r="A196" s="9" t="s">
        <v>34</v>
      </c>
      <c r="B196" s="65">
        <v>2</v>
      </c>
      <c r="C196" t="s">
        <v>14</v>
      </c>
      <c r="D196" s="67">
        <v>1836</v>
      </c>
      <c r="E196" s="67">
        <v>1892</v>
      </c>
      <c r="F196" s="67">
        <v>1887</v>
      </c>
      <c r="G196" s="13">
        <f t="shared" si="39"/>
        <v>-5</v>
      </c>
      <c r="H196" s="13">
        <f t="shared" si="40"/>
        <v>51</v>
      </c>
      <c r="I196" s="73">
        <f t="shared" si="41"/>
        <v>2.7777777777777679E-2</v>
      </c>
      <c r="J196" s="73">
        <f t="shared" si="42"/>
        <v>-2.6427061310781985E-3</v>
      </c>
      <c r="K196" s="72" t="str">
        <f t="shared" si="43"/>
        <v>GM2</v>
      </c>
      <c r="L196" s="72" t="str">
        <f t="shared" si="44"/>
        <v>FEBRUARY-2-GM2</v>
      </c>
      <c r="M196" s="73">
        <f t="shared" si="45"/>
        <v>0.33919502201993978</v>
      </c>
      <c r="N196" s="73">
        <f t="shared" si="46"/>
        <v>-0.41437684178720191</v>
      </c>
      <c r="O196" s="13">
        <f t="shared" si="47"/>
        <v>1504511</v>
      </c>
      <c r="P196" s="13">
        <f t="shared" si="48"/>
        <v>1532581</v>
      </c>
      <c r="Q196" s="13">
        <f t="shared" si="49"/>
        <v>1515308</v>
      </c>
      <c r="R196" s="33">
        <f t="shared" si="50"/>
        <v>7.176418118578054E-3</v>
      </c>
      <c r="S196" s="33">
        <f t="shared" si="51"/>
        <v>-1.1270529910001548E-2</v>
      </c>
    </row>
    <row r="197" spans="1:19" x14ac:dyDescent="0.25">
      <c r="A197" s="9" t="s">
        <v>34</v>
      </c>
      <c r="B197" s="65">
        <v>2</v>
      </c>
      <c r="C197" t="s">
        <v>14</v>
      </c>
      <c r="D197" s="67">
        <v>23040</v>
      </c>
      <c r="E197" s="67">
        <v>23733</v>
      </c>
      <c r="F197" s="67">
        <v>23696</v>
      </c>
      <c r="G197" s="13">
        <f t="shared" si="39"/>
        <v>-37</v>
      </c>
      <c r="H197" s="13">
        <f t="shared" si="40"/>
        <v>656</v>
      </c>
      <c r="I197" s="73">
        <f t="shared" si="41"/>
        <v>2.8472222222222232E-2</v>
      </c>
      <c r="J197" s="73">
        <f t="shared" si="42"/>
        <v>-1.5590106602620946E-3</v>
      </c>
      <c r="K197" s="72" t="str">
        <f t="shared" si="43"/>
        <v>GM2</v>
      </c>
      <c r="L197" s="72" t="str">
        <f t="shared" si="44"/>
        <v>FEBRUARY-2-GM2</v>
      </c>
      <c r="M197" s="73">
        <f t="shared" si="45"/>
        <v>0.33919502201993978</v>
      </c>
      <c r="N197" s="73">
        <f t="shared" si="46"/>
        <v>-0.41437684178720191</v>
      </c>
      <c r="O197" s="13">
        <f t="shared" si="47"/>
        <v>1504511</v>
      </c>
      <c r="P197" s="13">
        <f t="shared" si="48"/>
        <v>1532581</v>
      </c>
      <c r="Q197" s="13">
        <f t="shared" si="49"/>
        <v>1515308</v>
      </c>
      <c r="R197" s="33">
        <f t="shared" si="50"/>
        <v>7.176418118578054E-3</v>
      </c>
      <c r="S197" s="33">
        <f t="shared" si="51"/>
        <v>-1.1270529910001548E-2</v>
      </c>
    </row>
    <row r="198" spans="1:19" x14ac:dyDescent="0.25">
      <c r="A198" s="9" t="s">
        <v>34</v>
      </c>
      <c r="B198" s="65">
        <v>3</v>
      </c>
      <c r="C198" t="s">
        <v>10</v>
      </c>
      <c r="D198" s="67">
        <v>700</v>
      </c>
      <c r="E198" s="67">
        <v>700</v>
      </c>
      <c r="F198" s="67">
        <v>700</v>
      </c>
      <c r="G198" s="13">
        <f t="shared" si="39"/>
        <v>0</v>
      </c>
      <c r="H198" s="13">
        <f t="shared" si="40"/>
        <v>0</v>
      </c>
      <c r="I198" s="73">
        <f t="shared" si="41"/>
        <v>0</v>
      </c>
      <c r="J198" s="73">
        <f t="shared" si="42"/>
        <v>0</v>
      </c>
      <c r="K198" s="72" t="str">
        <f t="shared" si="43"/>
        <v>CNJ2</v>
      </c>
      <c r="L198" s="72" t="str">
        <f t="shared" si="44"/>
        <v>FEBRUARY-3-CNJ2</v>
      </c>
      <c r="M198" s="73">
        <f t="shared" si="45"/>
        <v>5.8636363636364042E-3</v>
      </c>
      <c r="N198" s="73">
        <f t="shared" si="46"/>
        <v>-1.3727325400008872E-2</v>
      </c>
      <c r="O198" s="13">
        <f t="shared" si="47"/>
        <v>1504511</v>
      </c>
      <c r="P198" s="13">
        <f t="shared" si="48"/>
        <v>1532581</v>
      </c>
      <c r="Q198" s="13">
        <f t="shared" si="49"/>
        <v>1515308</v>
      </c>
      <c r="R198" s="33">
        <f t="shared" si="50"/>
        <v>7.176418118578054E-3</v>
      </c>
      <c r="S198" s="33">
        <f t="shared" si="51"/>
        <v>-1.1270529910001548E-2</v>
      </c>
    </row>
    <row r="199" spans="1:19" x14ac:dyDescent="0.25">
      <c r="A199" s="9" t="s">
        <v>34</v>
      </c>
      <c r="B199" s="65">
        <v>3</v>
      </c>
      <c r="C199" t="s">
        <v>10</v>
      </c>
      <c r="D199" s="67">
        <v>50</v>
      </c>
      <c r="E199" s="67">
        <v>50</v>
      </c>
      <c r="F199" s="67">
        <v>50</v>
      </c>
      <c r="G199" s="13">
        <f t="shared" si="39"/>
        <v>0</v>
      </c>
      <c r="H199" s="13">
        <f t="shared" si="40"/>
        <v>0</v>
      </c>
      <c r="I199" s="73">
        <f t="shared" si="41"/>
        <v>0</v>
      </c>
      <c r="J199" s="73">
        <f t="shared" si="42"/>
        <v>0</v>
      </c>
      <c r="K199" s="72" t="str">
        <f t="shared" si="43"/>
        <v>CNJ2</v>
      </c>
      <c r="L199" s="72" t="str">
        <f t="shared" si="44"/>
        <v>FEBRUARY-3-CNJ2</v>
      </c>
      <c r="M199" s="73">
        <f t="shared" si="45"/>
        <v>5.8636363636364042E-3</v>
      </c>
      <c r="N199" s="73">
        <f t="shared" si="46"/>
        <v>-1.3727325400008872E-2</v>
      </c>
      <c r="O199" s="13">
        <f t="shared" si="47"/>
        <v>1504511</v>
      </c>
      <c r="P199" s="13">
        <f t="shared" si="48"/>
        <v>1532581</v>
      </c>
      <c r="Q199" s="13">
        <f t="shared" si="49"/>
        <v>1515308</v>
      </c>
      <c r="R199" s="33">
        <f t="shared" si="50"/>
        <v>7.176418118578054E-3</v>
      </c>
      <c r="S199" s="33">
        <f t="shared" si="51"/>
        <v>-1.1270529910001548E-2</v>
      </c>
    </row>
    <row r="200" spans="1:19" x14ac:dyDescent="0.25">
      <c r="A200" s="9" t="s">
        <v>34</v>
      </c>
      <c r="B200" s="65">
        <v>3</v>
      </c>
      <c r="C200" t="s">
        <v>10</v>
      </c>
      <c r="D200" s="67">
        <v>360</v>
      </c>
      <c r="E200" s="67">
        <v>360</v>
      </c>
      <c r="F200" s="67">
        <v>360</v>
      </c>
      <c r="G200" s="13">
        <f t="shared" si="39"/>
        <v>0</v>
      </c>
      <c r="H200" s="13">
        <f t="shared" si="40"/>
        <v>0</v>
      </c>
      <c r="I200" s="73">
        <f t="shared" si="41"/>
        <v>0</v>
      </c>
      <c r="J200" s="73">
        <f t="shared" si="42"/>
        <v>0</v>
      </c>
      <c r="K200" s="72" t="str">
        <f t="shared" si="43"/>
        <v>CNJ2</v>
      </c>
      <c r="L200" s="72" t="str">
        <f t="shared" si="44"/>
        <v>FEBRUARY-3-CNJ2</v>
      </c>
      <c r="M200" s="73">
        <f t="shared" si="45"/>
        <v>5.8636363636364042E-3</v>
      </c>
      <c r="N200" s="73">
        <f t="shared" si="46"/>
        <v>-1.3727325400008872E-2</v>
      </c>
      <c r="O200" s="13">
        <f t="shared" si="47"/>
        <v>1504511</v>
      </c>
      <c r="P200" s="13">
        <f t="shared" si="48"/>
        <v>1532581</v>
      </c>
      <c r="Q200" s="13">
        <f t="shared" si="49"/>
        <v>1515308</v>
      </c>
      <c r="R200" s="33">
        <f t="shared" si="50"/>
        <v>7.176418118578054E-3</v>
      </c>
      <c r="S200" s="33">
        <f t="shared" si="51"/>
        <v>-1.1270529910001548E-2</v>
      </c>
    </row>
    <row r="201" spans="1:19" x14ac:dyDescent="0.25">
      <c r="A201" s="9" t="s">
        <v>34</v>
      </c>
      <c r="B201" s="65">
        <v>3</v>
      </c>
      <c r="C201" t="s">
        <v>10</v>
      </c>
      <c r="D201" s="67">
        <v>50</v>
      </c>
      <c r="E201" s="67">
        <v>50</v>
      </c>
      <c r="F201" s="67">
        <v>50</v>
      </c>
      <c r="G201" s="13">
        <f t="shared" si="39"/>
        <v>0</v>
      </c>
      <c r="H201" s="13">
        <f t="shared" si="40"/>
        <v>0</v>
      </c>
      <c r="I201" s="73">
        <f t="shared" si="41"/>
        <v>0</v>
      </c>
      <c r="J201" s="73">
        <f t="shared" si="42"/>
        <v>0</v>
      </c>
      <c r="K201" s="72" t="str">
        <f t="shared" si="43"/>
        <v>CNJ2</v>
      </c>
      <c r="L201" s="72" t="str">
        <f t="shared" si="44"/>
        <v>FEBRUARY-3-CNJ2</v>
      </c>
      <c r="M201" s="73">
        <f t="shared" si="45"/>
        <v>5.8636363636364042E-3</v>
      </c>
      <c r="N201" s="73">
        <f t="shared" si="46"/>
        <v>-1.3727325400008872E-2</v>
      </c>
      <c r="O201" s="13">
        <f t="shared" si="47"/>
        <v>1504511</v>
      </c>
      <c r="P201" s="13">
        <f t="shared" si="48"/>
        <v>1532581</v>
      </c>
      <c r="Q201" s="13">
        <f t="shared" si="49"/>
        <v>1515308</v>
      </c>
      <c r="R201" s="33">
        <f t="shared" si="50"/>
        <v>7.176418118578054E-3</v>
      </c>
      <c r="S201" s="33">
        <f t="shared" si="51"/>
        <v>-1.1270529910001548E-2</v>
      </c>
    </row>
    <row r="202" spans="1:19" x14ac:dyDescent="0.25">
      <c r="A202" s="9" t="s">
        <v>34</v>
      </c>
      <c r="B202" s="65">
        <v>3</v>
      </c>
      <c r="C202" t="s">
        <v>17</v>
      </c>
      <c r="D202" s="67">
        <v>2490</v>
      </c>
      <c r="E202" s="67">
        <v>2492</v>
      </c>
      <c r="F202" s="67">
        <v>2488</v>
      </c>
      <c r="G202" s="13">
        <f t="shared" si="39"/>
        <v>-4</v>
      </c>
      <c r="H202" s="13">
        <f t="shared" si="40"/>
        <v>-2</v>
      </c>
      <c r="I202" s="73">
        <f t="shared" si="41"/>
        <v>-8.0321285140561027E-4</v>
      </c>
      <c r="J202" s="73">
        <f t="shared" si="42"/>
        <v>-1.6051364365970988E-3</v>
      </c>
      <c r="K202" s="72" t="str">
        <f t="shared" si="43"/>
        <v>CBA</v>
      </c>
      <c r="L202" s="72" t="str">
        <f t="shared" si="44"/>
        <v>FEBRUARY-3-CBA</v>
      </c>
      <c r="M202" s="73">
        <f t="shared" si="45"/>
        <v>-8.0321285140561027E-4</v>
      </c>
      <c r="N202" s="73">
        <f t="shared" si="46"/>
        <v>-1.6051364365970988E-3</v>
      </c>
      <c r="O202" s="13">
        <f t="shared" si="47"/>
        <v>1504511</v>
      </c>
      <c r="P202" s="13">
        <f t="shared" si="48"/>
        <v>1532581</v>
      </c>
      <c r="Q202" s="13">
        <f t="shared" si="49"/>
        <v>1515308</v>
      </c>
      <c r="R202" s="33">
        <f t="shared" si="50"/>
        <v>7.176418118578054E-3</v>
      </c>
      <c r="S202" s="33">
        <f t="shared" si="51"/>
        <v>-1.1270529910001548E-2</v>
      </c>
    </row>
    <row r="203" spans="1:19" x14ac:dyDescent="0.25">
      <c r="A203" s="9" t="s">
        <v>34</v>
      </c>
      <c r="B203" s="65">
        <v>3</v>
      </c>
      <c r="C203" t="s">
        <v>16</v>
      </c>
      <c r="D203" s="67">
        <v>33000</v>
      </c>
      <c r="E203" s="67">
        <v>33228</v>
      </c>
      <c r="F203" s="67">
        <v>32744</v>
      </c>
      <c r="G203" s="13">
        <f t="shared" si="39"/>
        <v>-484</v>
      </c>
      <c r="H203" s="13">
        <f t="shared" si="40"/>
        <v>-256</v>
      </c>
      <c r="I203" s="73">
        <f t="shared" si="41"/>
        <v>-7.7575757575757409E-3</v>
      </c>
      <c r="J203" s="73">
        <f t="shared" si="42"/>
        <v>-1.456602865053569E-2</v>
      </c>
      <c r="K203" s="72" t="str">
        <f t="shared" si="43"/>
        <v>ANUGERAH</v>
      </c>
      <c r="L203" s="72" t="str">
        <f t="shared" si="44"/>
        <v>FEBRUARY-3-ANUGERAH</v>
      </c>
      <c r="M203" s="73">
        <f t="shared" si="45"/>
        <v>-0.35146388528138528</v>
      </c>
      <c r="N203" s="73">
        <f t="shared" si="46"/>
        <v>-0.70051199626505078</v>
      </c>
      <c r="O203" s="13">
        <f t="shared" si="47"/>
        <v>1504511</v>
      </c>
      <c r="P203" s="13">
        <f t="shared" si="48"/>
        <v>1532581</v>
      </c>
      <c r="Q203" s="13">
        <f t="shared" si="49"/>
        <v>1515308</v>
      </c>
      <c r="R203" s="33">
        <f t="shared" si="50"/>
        <v>7.176418118578054E-3</v>
      </c>
      <c r="S203" s="33">
        <f t="shared" si="51"/>
        <v>-1.1270529910001548E-2</v>
      </c>
    </row>
    <row r="204" spans="1:19" x14ac:dyDescent="0.25">
      <c r="A204" s="9" t="s">
        <v>34</v>
      </c>
      <c r="B204" s="65">
        <v>3</v>
      </c>
      <c r="C204" t="s">
        <v>16</v>
      </c>
      <c r="D204" s="67">
        <v>6000</v>
      </c>
      <c r="E204" s="67">
        <v>6018</v>
      </c>
      <c r="F204" s="67">
        <v>5958</v>
      </c>
      <c r="G204" s="13">
        <f t="shared" si="39"/>
        <v>-60</v>
      </c>
      <c r="H204" s="13">
        <f t="shared" si="40"/>
        <v>-42</v>
      </c>
      <c r="I204" s="73">
        <f t="shared" si="41"/>
        <v>-7.0000000000000062E-3</v>
      </c>
      <c r="J204" s="73">
        <f t="shared" si="42"/>
        <v>-9.9700897308075964E-3</v>
      </c>
      <c r="K204" s="72" t="str">
        <f t="shared" si="43"/>
        <v>ANUGERAH</v>
      </c>
      <c r="L204" s="72" t="str">
        <f t="shared" si="44"/>
        <v>FEBRUARY-3-ANUGERAH</v>
      </c>
      <c r="M204" s="73">
        <f t="shared" si="45"/>
        <v>-0.35146388528138528</v>
      </c>
      <c r="N204" s="73">
        <f t="shared" si="46"/>
        <v>-0.70051199626505078</v>
      </c>
      <c r="O204" s="13">
        <f t="shared" si="47"/>
        <v>1504511</v>
      </c>
      <c r="P204" s="13">
        <f t="shared" si="48"/>
        <v>1532581</v>
      </c>
      <c r="Q204" s="13">
        <f t="shared" si="49"/>
        <v>1515308</v>
      </c>
      <c r="R204" s="33">
        <f t="shared" si="50"/>
        <v>7.176418118578054E-3</v>
      </c>
      <c r="S204" s="33">
        <f t="shared" si="51"/>
        <v>-1.1270529910001548E-2</v>
      </c>
    </row>
    <row r="205" spans="1:19" x14ac:dyDescent="0.25">
      <c r="A205" s="9" t="s">
        <v>34</v>
      </c>
      <c r="B205" s="65">
        <v>3</v>
      </c>
      <c r="C205" t="s">
        <v>16</v>
      </c>
      <c r="D205" s="67">
        <v>10500</v>
      </c>
      <c r="E205" s="67">
        <v>10187</v>
      </c>
      <c r="F205" s="67">
        <v>9833</v>
      </c>
      <c r="G205" s="13">
        <f t="shared" si="39"/>
        <v>-354</v>
      </c>
      <c r="H205" s="13">
        <f t="shared" si="40"/>
        <v>-667</v>
      </c>
      <c r="I205" s="73">
        <f t="shared" si="41"/>
        <v>-6.3523809523809538E-2</v>
      </c>
      <c r="J205" s="73">
        <f t="shared" si="42"/>
        <v>-3.4750171787572448E-2</v>
      </c>
      <c r="K205" s="72" t="str">
        <f t="shared" si="43"/>
        <v>ANUGERAH</v>
      </c>
      <c r="L205" s="72" t="str">
        <f t="shared" si="44"/>
        <v>FEBRUARY-3-ANUGERAH</v>
      </c>
      <c r="M205" s="73">
        <f t="shared" si="45"/>
        <v>-0.35146388528138528</v>
      </c>
      <c r="N205" s="73">
        <f t="shared" si="46"/>
        <v>-0.70051199626505078</v>
      </c>
      <c r="O205" s="13">
        <f t="shared" si="47"/>
        <v>1504511</v>
      </c>
      <c r="P205" s="13">
        <f t="shared" si="48"/>
        <v>1532581</v>
      </c>
      <c r="Q205" s="13">
        <f t="shared" si="49"/>
        <v>1515308</v>
      </c>
      <c r="R205" s="33">
        <f t="shared" si="50"/>
        <v>7.176418118578054E-3</v>
      </c>
      <c r="S205" s="33">
        <f t="shared" si="51"/>
        <v>-1.1270529910001548E-2</v>
      </c>
    </row>
    <row r="206" spans="1:19" x14ac:dyDescent="0.25">
      <c r="A206" s="9" t="s">
        <v>34</v>
      </c>
      <c r="B206" s="65">
        <v>3</v>
      </c>
      <c r="C206" t="s">
        <v>16</v>
      </c>
      <c r="D206" s="67">
        <v>10000</v>
      </c>
      <c r="E206" s="67">
        <v>10335</v>
      </c>
      <c r="F206" s="67">
        <v>10000</v>
      </c>
      <c r="G206" s="13">
        <f t="shared" si="39"/>
        <v>-335</v>
      </c>
      <c r="H206" s="13">
        <f t="shared" si="40"/>
        <v>0</v>
      </c>
      <c r="I206" s="73">
        <f t="shared" si="41"/>
        <v>0</v>
      </c>
      <c r="J206" s="73">
        <f t="shared" si="42"/>
        <v>-3.2414126753749439E-2</v>
      </c>
      <c r="K206" s="72" t="str">
        <f t="shared" si="43"/>
        <v>ANUGERAH</v>
      </c>
      <c r="L206" s="72" t="str">
        <f t="shared" si="44"/>
        <v>FEBRUARY-3-ANUGERAH</v>
      </c>
      <c r="M206" s="73">
        <f t="shared" si="45"/>
        <v>-0.35146388528138528</v>
      </c>
      <c r="N206" s="73">
        <f t="shared" si="46"/>
        <v>-0.70051199626505078</v>
      </c>
      <c r="O206" s="13">
        <f t="shared" si="47"/>
        <v>1504511</v>
      </c>
      <c r="P206" s="13">
        <f t="shared" si="48"/>
        <v>1532581</v>
      </c>
      <c r="Q206" s="13">
        <f t="shared" si="49"/>
        <v>1515308</v>
      </c>
      <c r="R206" s="33">
        <f t="shared" si="50"/>
        <v>7.176418118578054E-3</v>
      </c>
      <c r="S206" s="33">
        <f t="shared" si="51"/>
        <v>-1.1270529910001548E-2</v>
      </c>
    </row>
    <row r="207" spans="1:19" x14ac:dyDescent="0.25">
      <c r="A207" s="9" t="s">
        <v>34</v>
      </c>
      <c r="B207" s="65">
        <v>3</v>
      </c>
      <c r="C207" t="s">
        <v>16</v>
      </c>
      <c r="D207" s="67">
        <v>25000</v>
      </c>
      <c r="E207" s="67">
        <v>25276</v>
      </c>
      <c r="F207" s="67">
        <v>24817</v>
      </c>
      <c r="G207" s="13">
        <f t="shared" si="39"/>
        <v>-459</v>
      </c>
      <c r="H207" s="13">
        <f t="shared" si="40"/>
        <v>-183</v>
      </c>
      <c r="I207" s="73">
        <f t="shared" si="41"/>
        <v>-7.3199999999999932E-3</v>
      </c>
      <c r="J207" s="73">
        <f t="shared" si="42"/>
        <v>-1.8159518911220141E-2</v>
      </c>
      <c r="K207" s="72" t="str">
        <f t="shared" si="43"/>
        <v>ANUGERAH</v>
      </c>
      <c r="L207" s="72" t="str">
        <f t="shared" si="44"/>
        <v>FEBRUARY-3-ANUGERAH</v>
      </c>
      <c r="M207" s="73">
        <f t="shared" si="45"/>
        <v>-0.35146388528138528</v>
      </c>
      <c r="N207" s="73">
        <f t="shared" si="46"/>
        <v>-0.70051199626505078</v>
      </c>
      <c r="O207" s="13">
        <f t="shared" si="47"/>
        <v>1504511</v>
      </c>
      <c r="P207" s="13">
        <f t="shared" si="48"/>
        <v>1532581</v>
      </c>
      <c r="Q207" s="13">
        <f t="shared" si="49"/>
        <v>1515308</v>
      </c>
      <c r="R207" s="33">
        <f t="shared" si="50"/>
        <v>7.176418118578054E-3</v>
      </c>
      <c r="S207" s="33">
        <f t="shared" si="51"/>
        <v>-1.1270529910001548E-2</v>
      </c>
    </row>
    <row r="208" spans="1:19" x14ac:dyDescent="0.25">
      <c r="A208" s="9" t="s">
        <v>34</v>
      </c>
      <c r="B208" s="65">
        <v>3</v>
      </c>
      <c r="C208" t="s">
        <v>16</v>
      </c>
      <c r="D208" s="67">
        <v>7800</v>
      </c>
      <c r="E208" s="67">
        <v>7638</v>
      </c>
      <c r="F208" s="67">
        <v>7527</v>
      </c>
      <c r="G208" s="13">
        <f t="shared" si="39"/>
        <v>-111</v>
      </c>
      <c r="H208" s="13">
        <f t="shared" si="40"/>
        <v>-273</v>
      </c>
      <c r="I208" s="73">
        <f t="shared" si="41"/>
        <v>-3.5000000000000031E-2</v>
      </c>
      <c r="J208" s="73">
        <f t="shared" si="42"/>
        <v>-1.4532600157109221E-2</v>
      </c>
      <c r="K208" s="72" t="str">
        <f t="shared" si="43"/>
        <v>ANUGERAH</v>
      </c>
      <c r="L208" s="72" t="str">
        <f t="shared" si="44"/>
        <v>FEBRUARY-3-ANUGERAH</v>
      </c>
      <c r="M208" s="73">
        <f t="shared" si="45"/>
        <v>-0.35146388528138528</v>
      </c>
      <c r="N208" s="73">
        <f t="shared" si="46"/>
        <v>-0.70051199626505078</v>
      </c>
      <c r="O208" s="13">
        <f t="shared" si="47"/>
        <v>1504511</v>
      </c>
      <c r="P208" s="13">
        <f t="shared" si="48"/>
        <v>1532581</v>
      </c>
      <c r="Q208" s="13">
        <f t="shared" si="49"/>
        <v>1515308</v>
      </c>
      <c r="R208" s="33">
        <f t="shared" si="50"/>
        <v>7.176418118578054E-3</v>
      </c>
      <c r="S208" s="33">
        <f t="shared" si="51"/>
        <v>-1.1270529910001548E-2</v>
      </c>
    </row>
    <row r="209" spans="1:19" x14ac:dyDescent="0.25">
      <c r="A209" s="9" t="s">
        <v>34</v>
      </c>
      <c r="B209" s="65">
        <v>3</v>
      </c>
      <c r="C209" t="s">
        <v>16</v>
      </c>
      <c r="D209" s="67">
        <v>48000</v>
      </c>
      <c r="E209" s="67">
        <v>48000</v>
      </c>
      <c r="F209" s="67">
        <v>47957</v>
      </c>
      <c r="G209" s="13">
        <f t="shared" si="39"/>
        <v>-43</v>
      </c>
      <c r="H209" s="13">
        <f t="shared" si="40"/>
        <v>-43</v>
      </c>
      <c r="I209" s="73">
        <f t="shared" si="41"/>
        <v>-8.9583333333331794E-4</v>
      </c>
      <c r="J209" s="73">
        <f t="shared" si="42"/>
        <v>-8.9583333333331794E-4</v>
      </c>
      <c r="K209" s="72" t="str">
        <f t="shared" si="43"/>
        <v>ANUGERAH</v>
      </c>
      <c r="L209" s="72" t="str">
        <f t="shared" si="44"/>
        <v>FEBRUARY-3-ANUGERAH</v>
      </c>
      <c r="M209" s="73">
        <f t="shared" si="45"/>
        <v>-0.35146388528138528</v>
      </c>
      <c r="N209" s="73">
        <f t="shared" si="46"/>
        <v>-0.70051199626505078</v>
      </c>
      <c r="O209" s="13">
        <f t="shared" si="47"/>
        <v>1504511</v>
      </c>
      <c r="P209" s="13">
        <f t="shared" si="48"/>
        <v>1532581</v>
      </c>
      <c r="Q209" s="13">
        <f t="shared" si="49"/>
        <v>1515308</v>
      </c>
      <c r="R209" s="33">
        <f t="shared" si="50"/>
        <v>7.176418118578054E-3</v>
      </c>
      <c r="S209" s="33">
        <f t="shared" si="51"/>
        <v>-1.1270529910001548E-2</v>
      </c>
    </row>
    <row r="210" spans="1:19" x14ac:dyDescent="0.25">
      <c r="A210" s="9" t="s">
        <v>34</v>
      </c>
      <c r="B210" s="65">
        <v>3</v>
      </c>
      <c r="C210" t="s">
        <v>16</v>
      </c>
      <c r="D210" s="67">
        <v>7500</v>
      </c>
      <c r="E210" s="67">
        <v>7716</v>
      </c>
      <c r="F210" s="67">
        <v>7509</v>
      </c>
      <c r="G210" s="13">
        <f t="shared" si="39"/>
        <v>-207</v>
      </c>
      <c r="H210" s="13">
        <f t="shared" si="40"/>
        <v>9</v>
      </c>
      <c r="I210" s="73">
        <f t="shared" si="41"/>
        <v>1.2000000000000899E-3</v>
      </c>
      <c r="J210" s="73">
        <f t="shared" si="42"/>
        <v>-2.6827371695178903E-2</v>
      </c>
      <c r="K210" s="72" t="str">
        <f t="shared" si="43"/>
        <v>ANUGERAH</v>
      </c>
      <c r="L210" s="72" t="str">
        <f t="shared" si="44"/>
        <v>FEBRUARY-3-ANUGERAH</v>
      </c>
      <c r="M210" s="73">
        <f t="shared" si="45"/>
        <v>-0.35146388528138528</v>
      </c>
      <c r="N210" s="73">
        <f t="shared" si="46"/>
        <v>-0.70051199626505078</v>
      </c>
      <c r="O210" s="13">
        <f t="shared" si="47"/>
        <v>1504511</v>
      </c>
      <c r="P210" s="13">
        <f t="shared" si="48"/>
        <v>1532581</v>
      </c>
      <c r="Q210" s="13">
        <f t="shared" si="49"/>
        <v>1515308</v>
      </c>
      <c r="R210" s="33">
        <f t="shared" si="50"/>
        <v>7.176418118578054E-3</v>
      </c>
      <c r="S210" s="33">
        <f t="shared" si="51"/>
        <v>-1.1270529910001548E-2</v>
      </c>
    </row>
    <row r="211" spans="1:19" x14ac:dyDescent="0.25">
      <c r="A211" s="9" t="s">
        <v>34</v>
      </c>
      <c r="B211" s="65">
        <v>3</v>
      </c>
      <c r="C211" t="s">
        <v>10</v>
      </c>
      <c r="D211" s="67">
        <v>22000</v>
      </c>
      <c r="E211" s="67">
        <v>22437</v>
      </c>
      <c r="F211" s="67">
        <v>22129</v>
      </c>
      <c r="G211" s="13">
        <f t="shared" si="39"/>
        <v>-308</v>
      </c>
      <c r="H211" s="13">
        <f t="shared" si="40"/>
        <v>129</v>
      </c>
      <c r="I211" s="73">
        <f t="shared" si="41"/>
        <v>5.8636363636364042E-3</v>
      </c>
      <c r="J211" s="73">
        <f t="shared" si="42"/>
        <v>-1.3727325400008872E-2</v>
      </c>
      <c r="K211" s="72" t="str">
        <f t="shared" si="43"/>
        <v>CNJ2</v>
      </c>
      <c r="L211" s="72" t="str">
        <f t="shared" si="44"/>
        <v>FEBRUARY-3-CNJ2</v>
      </c>
      <c r="M211" s="73">
        <f t="shared" si="45"/>
        <v>5.8636363636364042E-3</v>
      </c>
      <c r="N211" s="73">
        <f t="shared" si="46"/>
        <v>-1.3727325400008872E-2</v>
      </c>
      <c r="O211" s="13">
        <f t="shared" si="47"/>
        <v>1504511</v>
      </c>
      <c r="P211" s="13">
        <f t="shared" si="48"/>
        <v>1532581</v>
      </c>
      <c r="Q211" s="13">
        <f t="shared" si="49"/>
        <v>1515308</v>
      </c>
      <c r="R211" s="33">
        <f t="shared" si="50"/>
        <v>7.176418118578054E-3</v>
      </c>
      <c r="S211" s="33">
        <f t="shared" si="51"/>
        <v>-1.1270529910001548E-2</v>
      </c>
    </row>
    <row r="212" spans="1:19" x14ac:dyDescent="0.25">
      <c r="A212" s="9" t="s">
        <v>34</v>
      </c>
      <c r="B212" s="65">
        <v>3</v>
      </c>
      <c r="C212" t="s">
        <v>16</v>
      </c>
      <c r="D212" s="67">
        <v>450</v>
      </c>
      <c r="E212" s="67">
        <v>462</v>
      </c>
      <c r="F212" s="67">
        <v>434</v>
      </c>
      <c r="G212" s="13">
        <f t="shared" si="39"/>
        <v>-28</v>
      </c>
      <c r="H212" s="13">
        <f t="shared" si="40"/>
        <v>-16</v>
      </c>
      <c r="I212" s="73">
        <f t="shared" si="41"/>
        <v>-3.5555555555555562E-2</v>
      </c>
      <c r="J212" s="73">
        <f t="shared" si="42"/>
        <v>-6.0606060606060552E-2</v>
      </c>
      <c r="K212" s="72" t="str">
        <f t="shared" si="43"/>
        <v>ANUGERAH</v>
      </c>
      <c r="L212" s="72" t="str">
        <f t="shared" si="44"/>
        <v>FEBRUARY-3-ANUGERAH</v>
      </c>
      <c r="M212" s="73">
        <f t="shared" si="45"/>
        <v>-0.35146388528138528</v>
      </c>
      <c r="N212" s="73">
        <f t="shared" si="46"/>
        <v>-0.70051199626505078</v>
      </c>
      <c r="O212" s="13">
        <f t="shared" si="47"/>
        <v>1504511</v>
      </c>
      <c r="P212" s="13">
        <f t="shared" si="48"/>
        <v>1532581</v>
      </c>
      <c r="Q212" s="13">
        <f t="shared" si="49"/>
        <v>1515308</v>
      </c>
      <c r="R212" s="33">
        <f t="shared" si="50"/>
        <v>7.176418118578054E-3</v>
      </c>
      <c r="S212" s="33">
        <f t="shared" si="51"/>
        <v>-1.1270529910001548E-2</v>
      </c>
    </row>
    <row r="213" spans="1:19" x14ac:dyDescent="0.25">
      <c r="A213" s="9" t="s">
        <v>34</v>
      </c>
      <c r="B213" s="65">
        <v>3</v>
      </c>
      <c r="C213" t="s">
        <v>16</v>
      </c>
      <c r="D213" s="67">
        <v>750</v>
      </c>
      <c r="E213" s="67">
        <v>768</v>
      </c>
      <c r="F213" s="67">
        <v>732</v>
      </c>
      <c r="G213" s="13">
        <f t="shared" si="39"/>
        <v>-36</v>
      </c>
      <c r="H213" s="13">
        <f t="shared" si="40"/>
        <v>-18</v>
      </c>
      <c r="I213" s="73">
        <f t="shared" si="41"/>
        <v>-2.4000000000000021E-2</v>
      </c>
      <c r="J213" s="73">
        <f t="shared" si="42"/>
        <v>-4.6875E-2</v>
      </c>
      <c r="K213" s="72" t="str">
        <f t="shared" si="43"/>
        <v>ANUGERAH</v>
      </c>
      <c r="L213" s="72" t="str">
        <f t="shared" si="44"/>
        <v>FEBRUARY-3-ANUGERAH</v>
      </c>
      <c r="M213" s="73">
        <f t="shared" si="45"/>
        <v>-0.35146388528138528</v>
      </c>
      <c r="N213" s="73">
        <f t="shared" si="46"/>
        <v>-0.70051199626505078</v>
      </c>
      <c r="O213" s="13">
        <f t="shared" si="47"/>
        <v>1504511</v>
      </c>
      <c r="P213" s="13">
        <f t="shared" si="48"/>
        <v>1532581</v>
      </c>
      <c r="Q213" s="13">
        <f t="shared" si="49"/>
        <v>1515308</v>
      </c>
      <c r="R213" s="33">
        <f t="shared" si="50"/>
        <v>7.176418118578054E-3</v>
      </c>
      <c r="S213" s="33">
        <f t="shared" si="51"/>
        <v>-1.1270529910001548E-2</v>
      </c>
    </row>
    <row r="214" spans="1:19" x14ac:dyDescent="0.25">
      <c r="A214" s="9" t="s">
        <v>34</v>
      </c>
      <c r="B214" s="65">
        <v>3</v>
      </c>
      <c r="C214" t="s">
        <v>16</v>
      </c>
      <c r="D214" s="67">
        <v>450</v>
      </c>
      <c r="E214" s="67">
        <v>462</v>
      </c>
      <c r="F214" s="67">
        <v>445</v>
      </c>
      <c r="G214" s="13">
        <f t="shared" si="39"/>
        <v>-17</v>
      </c>
      <c r="H214" s="13">
        <f t="shared" si="40"/>
        <v>-5</v>
      </c>
      <c r="I214" s="73">
        <f t="shared" si="41"/>
        <v>-1.1111111111111072E-2</v>
      </c>
      <c r="J214" s="73">
        <f t="shared" si="42"/>
        <v>-3.6796536796536827E-2</v>
      </c>
      <c r="K214" s="72" t="str">
        <f t="shared" si="43"/>
        <v>ANUGERAH</v>
      </c>
      <c r="L214" s="72" t="str">
        <f t="shared" si="44"/>
        <v>FEBRUARY-3-ANUGERAH</v>
      </c>
      <c r="M214" s="73">
        <f t="shared" si="45"/>
        <v>-0.35146388528138528</v>
      </c>
      <c r="N214" s="73">
        <f t="shared" si="46"/>
        <v>-0.70051199626505078</v>
      </c>
      <c r="O214" s="13">
        <f t="shared" si="47"/>
        <v>1504511</v>
      </c>
      <c r="P214" s="13">
        <f t="shared" si="48"/>
        <v>1532581</v>
      </c>
      <c r="Q214" s="13">
        <f t="shared" si="49"/>
        <v>1515308</v>
      </c>
      <c r="R214" s="33">
        <f t="shared" si="50"/>
        <v>7.176418118578054E-3</v>
      </c>
      <c r="S214" s="33">
        <f t="shared" si="51"/>
        <v>-1.1270529910001548E-2</v>
      </c>
    </row>
    <row r="215" spans="1:19" x14ac:dyDescent="0.25">
      <c r="A215" s="9" t="s">
        <v>34</v>
      </c>
      <c r="B215" s="65">
        <v>3</v>
      </c>
      <c r="C215" t="s">
        <v>16</v>
      </c>
      <c r="D215" s="67">
        <v>750</v>
      </c>
      <c r="E215" s="67">
        <v>768</v>
      </c>
      <c r="F215" s="67">
        <v>738</v>
      </c>
      <c r="G215" s="13">
        <f t="shared" si="39"/>
        <v>-30</v>
      </c>
      <c r="H215" s="13">
        <f t="shared" si="40"/>
        <v>-12</v>
      </c>
      <c r="I215" s="73">
        <f t="shared" si="41"/>
        <v>-1.6000000000000014E-2</v>
      </c>
      <c r="J215" s="73">
        <f t="shared" si="42"/>
        <v>-3.90625E-2</v>
      </c>
      <c r="K215" s="72" t="str">
        <f t="shared" si="43"/>
        <v>ANUGERAH</v>
      </c>
      <c r="L215" s="72" t="str">
        <f t="shared" si="44"/>
        <v>FEBRUARY-3-ANUGERAH</v>
      </c>
      <c r="M215" s="73">
        <f t="shared" si="45"/>
        <v>-0.35146388528138528</v>
      </c>
      <c r="N215" s="73">
        <f t="shared" si="46"/>
        <v>-0.70051199626505078</v>
      </c>
      <c r="O215" s="13">
        <f t="shared" si="47"/>
        <v>1504511</v>
      </c>
      <c r="P215" s="13">
        <f t="shared" si="48"/>
        <v>1532581</v>
      </c>
      <c r="Q215" s="13">
        <f t="shared" si="49"/>
        <v>1515308</v>
      </c>
      <c r="R215" s="33">
        <f t="shared" si="50"/>
        <v>7.176418118578054E-3</v>
      </c>
      <c r="S215" s="33">
        <f t="shared" si="51"/>
        <v>-1.1270529910001548E-2</v>
      </c>
    </row>
    <row r="216" spans="1:19" x14ac:dyDescent="0.25">
      <c r="A216" s="9" t="s">
        <v>34</v>
      </c>
      <c r="B216" s="65">
        <v>3</v>
      </c>
      <c r="C216" t="s">
        <v>16</v>
      </c>
      <c r="D216" s="67">
        <v>400</v>
      </c>
      <c r="E216" s="67">
        <v>408</v>
      </c>
      <c r="F216" s="67">
        <v>403</v>
      </c>
      <c r="G216" s="13">
        <f t="shared" si="39"/>
        <v>-5</v>
      </c>
      <c r="H216" s="13">
        <f t="shared" si="40"/>
        <v>3</v>
      </c>
      <c r="I216" s="73">
        <f t="shared" si="41"/>
        <v>7.5000000000000622E-3</v>
      </c>
      <c r="J216" s="73">
        <f t="shared" si="42"/>
        <v>-1.225490196078427E-2</v>
      </c>
      <c r="K216" s="72" t="str">
        <f t="shared" si="43"/>
        <v>ANUGERAH</v>
      </c>
      <c r="L216" s="72" t="str">
        <f t="shared" si="44"/>
        <v>FEBRUARY-3-ANUGERAH</v>
      </c>
      <c r="M216" s="73">
        <f t="shared" si="45"/>
        <v>-0.35146388528138528</v>
      </c>
      <c r="N216" s="73">
        <f t="shared" si="46"/>
        <v>-0.70051199626505078</v>
      </c>
      <c r="O216" s="13">
        <f t="shared" si="47"/>
        <v>1504511</v>
      </c>
      <c r="P216" s="13">
        <f t="shared" si="48"/>
        <v>1532581</v>
      </c>
      <c r="Q216" s="13">
        <f t="shared" si="49"/>
        <v>1515308</v>
      </c>
      <c r="R216" s="33">
        <f t="shared" si="50"/>
        <v>7.176418118578054E-3</v>
      </c>
      <c r="S216" s="33">
        <f t="shared" si="51"/>
        <v>-1.1270529910001548E-2</v>
      </c>
    </row>
    <row r="217" spans="1:19" x14ac:dyDescent="0.25">
      <c r="A217" s="9" t="s">
        <v>34</v>
      </c>
      <c r="B217" s="65">
        <v>3</v>
      </c>
      <c r="C217" t="s">
        <v>16</v>
      </c>
      <c r="D217" s="67">
        <v>600</v>
      </c>
      <c r="E217" s="67">
        <v>576</v>
      </c>
      <c r="F217" s="67">
        <v>576</v>
      </c>
      <c r="G217" s="13">
        <f t="shared" si="39"/>
        <v>0</v>
      </c>
      <c r="H217" s="13">
        <f t="shared" si="40"/>
        <v>-24</v>
      </c>
      <c r="I217" s="73">
        <f t="shared" si="41"/>
        <v>-4.0000000000000036E-2</v>
      </c>
      <c r="J217" s="73">
        <f t="shared" si="42"/>
        <v>0</v>
      </c>
      <c r="K217" s="72" t="str">
        <f t="shared" si="43"/>
        <v>ANUGERAH</v>
      </c>
      <c r="L217" s="72" t="str">
        <f t="shared" si="44"/>
        <v>FEBRUARY-3-ANUGERAH</v>
      </c>
      <c r="M217" s="73">
        <f t="shared" si="45"/>
        <v>-0.35146388528138528</v>
      </c>
      <c r="N217" s="73">
        <f t="shared" si="46"/>
        <v>-0.70051199626505078</v>
      </c>
      <c r="O217" s="13">
        <f t="shared" si="47"/>
        <v>1504511</v>
      </c>
      <c r="P217" s="13">
        <f t="shared" si="48"/>
        <v>1532581</v>
      </c>
      <c r="Q217" s="13">
        <f t="shared" si="49"/>
        <v>1515308</v>
      </c>
      <c r="R217" s="33">
        <f t="shared" si="50"/>
        <v>7.176418118578054E-3</v>
      </c>
      <c r="S217" s="33">
        <f t="shared" si="51"/>
        <v>-1.1270529910001548E-2</v>
      </c>
    </row>
    <row r="218" spans="1:19" x14ac:dyDescent="0.25">
      <c r="A218" s="9" t="s">
        <v>34</v>
      </c>
      <c r="B218" s="65">
        <v>3</v>
      </c>
      <c r="C218" t="s">
        <v>16</v>
      </c>
      <c r="D218" s="67">
        <v>400</v>
      </c>
      <c r="E218" s="67">
        <v>408</v>
      </c>
      <c r="F218" s="67">
        <v>408</v>
      </c>
      <c r="G218" s="13">
        <f t="shared" si="39"/>
        <v>0</v>
      </c>
      <c r="H218" s="13">
        <f t="shared" si="40"/>
        <v>8</v>
      </c>
      <c r="I218" s="73">
        <f t="shared" si="41"/>
        <v>2.0000000000000018E-2</v>
      </c>
      <c r="J218" s="73">
        <f t="shared" si="42"/>
        <v>0</v>
      </c>
      <c r="K218" s="72" t="str">
        <f t="shared" si="43"/>
        <v>ANUGERAH</v>
      </c>
      <c r="L218" s="72" t="str">
        <f t="shared" si="44"/>
        <v>FEBRUARY-3-ANUGERAH</v>
      </c>
      <c r="M218" s="73">
        <f t="shared" si="45"/>
        <v>-0.35146388528138528</v>
      </c>
      <c r="N218" s="73">
        <f t="shared" si="46"/>
        <v>-0.70051199626505078</v>
      </c>
      <c r="O218" s="13">
        <f t="shared" si="47"/>
        <v>1504511</v>
      </c>
      <c r="P218" s="13">
        <f t="shared" si="48"/>
        <v>1532581</v>
      </c>
      <c r="Q218" s="13">
        <f t="shared" si="49"/>
        <v>1515308</v>
      </c>
      <c r="R218" s="33">
        <f t="shared" si="50"/>
        <v>7.176418118578054E-3</v>
      </c>
      <c r="S218" s="33">
        <f t="shared" si="51"/>
        <v>-1.1270529910001548E-2</v>
      </c>
    </row>
    <row r="219" spans="1:19" x14ac:dyDescent="0.25">
      <c r="A219" s="9" t="s">
        <v>34</v>
      </c>
      <c r="B219" s="65">
        <v>3</v>
      </c>
      <c r="C219" t="s">
        <v>16</v>
      </c>
      <c r="D219" s="67">
        <v>600</v>
      </c>
      <c r="E219" s="67">
        <v>618</v>
      </c>
      <c r="F219" s="67">
        <v>564</v>
      </c>
      <c r="G219" s="13">
        <f t="shared" si="39"/>
        <v>-54</v>
      </c>
      <c r="H219" s="13">
        <f t="shared" si="40"/>
        <v>-36</v>
      </c>
      <c r="I219" s="73">
        <f t="shared" si="41"/>
        <v>-6.0000000000000053E-2</v>
      </c>
      <c r="J219" s="73">
        <f t="shared" si="42"/>
        <v>-8.737864077669899E-2</v>
      </c>
      <c r="K219" s="72" t="str">
        <f t="shared" si="43"/>
        <v>ANUGERAH</v>
      </c>
      <c r="L219" s="72" t="str">
        <f t="shared" si="44"/>
        <v>FEBRUARY-3-ANUGERAH</v>
      </c>
      <c r="M219" s="73">
        <f t="shared" si="45"/>
        <v>-0.35146388528138528</v>
      </c>
      <c r="N219" s="73">
        <f t="shared" si="46"/>
        <v>-0.70051199626505078</v>
      </c>
      <c r="O219" s="13">
        <f t="shared" si="47"/>
        <v>1504511</v>
      </c>
      <c r="P219" s="13">
        <f t="shared" si="48"/>
        <v>1532581</v>
      </c>
      <c r="Q219" s="13">
        <f t="shared" si="49"/>
        <v>1515308</v>
      </c>
      <c r="R219" s="33">
        <f t="shared" si="50"/>
        <v>7.176418118578054E-3</v>
      </c>
      <c r="S219" s="33">
        <f t="shared" si="51"/>
        <v>-1.1270529910001548E-2</v>
      </c>
    </row>
    <row r="220" spans="1:19" x14ac:dyDescent="0.25">
      <c r="A220" s="9" t="s">
        <v>34</v>
      </c>
      <c r="B220" s="65">
        <v>3</v>
      </c>
      <c r="C220" t="s">
        <v>16</v>
      </c>
      <c r="D220" s="67">
        <v>450</v>
      </c>
      <c r="E220" s="67">
        <v>458</v>
      </c>
      <c r="F220" s="67">
        <v>442</v>
      </c>
      <c r="G220" s="13">
        <f t="shared" si="39"/>
        <v>-16</v>
      </c>
      <c r="H220" s="13">
        <f t="shared" si="40"/>
        <v>-8</v>
      </c>
      <c r="I220" s="73">
        <f t="shared" si="41"/>
        <v>-1.7777777777777781E-2</v>
      </c>
      <c r="J220" s="73">
        <f t="shared" si="42"/>
        <v>-3.4934497816593857E-2</v>
      </c>
      <c r="K220" s="72" t="str">
        <f t="shared" si="43"/>
        <v>ANUGERAH</v>
      </c>
      <c r="L220" s="72" t="str">
        <f t="shared" si="44"/>
        <v>FEBRUARY-3-ANUGERAH</v>
      </c>
      <c r="M220" s="73">
        <f t="shared" si="45"/>
        <v>-0.35146388528138528</v>
      </c>
      <c r="N220" s="73">
        <f t="shared" si="46"/>
        <v>-0.70051199626505078</v>
      </c>
      <c r="O220" s="13">
        <f t="shared" si="47"/>
        <v>1504511</v>
      </c>
      <c r="P220" s="13">
        <f t="shared" si="48"/>
        <v>1532581</v>
      </c>
      <c r="Q220" s="13">
        <f t="shared" si="49"/>
        <v>1515308</v>
      </c>
      <c r="R220" s="33">
        <f t="shared" si="50"/>
        <v>7.176418118578054E-3</v>
      </c>
      <c r="S220" s="33">
        <f t="shared" si="51"/>
        <v>-1.1270529910001548E-2</v>
      </c>
    </row>
    <row r="221" spans="1:19" x14ac:dyDescent="0.25">
      <c r="A221" s="9" t="s">
        <v>34</v>
      </c>
      <c r="B221" s="65">
        <v>3</v>
      </c>
      <c r="C221" t="s">
        <v>16</v>
      </c>
      <c r="D221" s="67">
        <v>750</v>
      </c>
      <c r="E221" s="67">
        <v>810</v>
      </c>
      <c r="F221" s="67">
        <v>732</v>
      </c>
      <c r="G221" s="13">
        <f t="shared" si="39"/>
        <v>-78</v>
      </c>
      <c r="H221" s="13">
        <f t="shared" si="40"/>
        <v>-18</v>
      </c>
      <c r="I221" s="73">
        <f t="shared" si="41"/>
        <v>-2.4000000000000021E-2</v>
      </c>
      <c r="J221" s="73">
        <f t="shared" si="42"/>
        <v>-9.6296296296296324E-2</v>
      </c>
      <c r="K221" s="72" t="str">
        <f t="shared" si="43"/>
        <v>ANUGERAH</v>
      </c>
      <c r="L221" s="72" t="str">
        <f t="shared" si="44"/>
        <v>FEBRUARY-3-ANUGERAH</v>
      </c>
      <c r="M221" s="73">
        <f t="shared" si="45"/>
        <v>-0.35146388528138528</v>
      </c>
      <c r="N221" s="73">
        <f t="shared" si="46"/>
        <v>-0.70051199626505078</v>
      </c>
      <c r="O221" s="13">
        <f t="shared" si="47"/>
        <v>1504511</v>
      </c>
      <c r="P221" s="13">
        <f t="shared" si="48"/>
        <v>1532581</v>
      </c>
      <c r="Q221" s="13">
        <f t="shared" si="49"/>
        <v>1515308</v>
      </c>
      <c r="R221" s="33">
        <f t="shared" si="50"/>
        <v>7.176418118578054E-3</v>
      </c>
      <c r="S221" s="33">
        <f t="shared" si="51"/>
        <v>-1.1270529910001548E-2</v>
      </c>
    </row>
    <row r="222" spans="1:19" x14ac:dyDescent="0.25">
      <c r="A222" s="9" t="s">
        <v>34</v>
      </c>
      <c r="B222" s="65">
        <v>3</v>
      </c>
      <c r="C222" t="s">
        <v>16</v>
      </c>
      <c r="D222" s="67">
        <v>450</v>
      </c>
      <c r="E222" s="67">
        <v>458</v>
      </c>
      <c r="F222" s="67">
        <v>440</v>
      </c>
      <c r="G222" s="13">
        <f t="shared" si="39"/>
        <v>-18</v>
      </c>
      <c r="H222" s="13">
        <f t="shared" si="40"/>
        <v>-10</v>
      </c>
      <c r="I222" s="73">
        <f t="shared" si="41"/>
        <v>-2.2222222222222254E-2</v>
      </c>
      <c r="J222" s="73">
        <f t="shared" si="42"/>
        <v>-3.9301310043668103E-2</v>
      </c>
      <c r="K222" s="72" t="str">
        <f t="shared" si="43"/>
        <v>ANUGERAH</v>
      </c>
      <c r="L222" s="72" t="str">
        <f t="shared" si="44"/>
        <v>FEBRUARY-3-ANUGERAH</v>
      </c>
      <c r="M222" s="73">
        <f t="shared" si="45"/>
        <v>-0.35146388528138528</v>
      </c>
      <c r="N222" s="73">
        <f t="shared" si="46"/>
        <v>-0.70051199626505078</v>
      </c>
      <c r="O222" s="13">
        <f t="shared" si="47"/>
        <v>1504511</v>
      </c>
      <c r="P222" s="13">
        <f t="shared" si="48"/>
        <v>1532581</v>
      </c>
      <c r="Q222" s="13">
        <f t="shared" si="49"/>
        <v>1515308</v>
      </c>
      <c r="R222" s="33">
        <f t="shared" si="50"/>
        <v>7.176418118578054E-3</v>
      </c>
      <c r="S222" s="33">
        <f t="shared" si="51"/>
        <v>-1.1270529910001548E-2</v>
      </c>
    </row>
    <row r="223" spans="1:19" x14ac:dyDescent="0.25">
      <c r="A223" s="9" t="s">
        <v>34</v>
      </c>
      <c r="B223" s="65">
        <v>3</v>
      </c>
      <c r="C223" t="s">
        <v>16</v>
      </c>
      <c r="D223" s="67">
        <v>750</v>
      </c>
      <c r="E223" s="67">
        <v>822</v>
      </c>
      <c r="F223" s="67">
        <v>744</v>
      </c>
      <c r="G223" s="13">
        <f t="shared" si="39"/>
        <v>-78</v>
      </c>
      <c r="H223" s="13">
        <f t="shared" si="40"/>
        <v>-6</v>
      </c>
      <c r="I223" s="73">
        <f t="shared" si="41"/>
        <v>-8.0000000000000071E-3</v>
      </c>
      <c r="J223" s="73">
        <f t="shared" si="42"/>
        <v>-9.4890510948905105E-2</v>
      </c>
      <c r="K223" s="72" t="str">
        <f t="shared" si="43"/>
        <v>ANUGERAH</v>
      </c>
      <c r="L223" s="72" t="str">
        <f t="shared" si="44"/>
        <v>FEBRUARY-3-ANUGERAH</v>
      </c>
      <c r="M223" s="73">
        <f t="shared" si="45"/>
        <v>-0.35146388528138528</v>
      </c>
      <c r="N223" s="73">
        <f t="shared" si="46"/>
        <v>-0.70051199626505078</v>
      </c>
      <c r="O223" s="13">
        <f t="shared" si="47"/>
        <v>1504511</v>
      </c>
      <c r="P223" s="13">
        <f t="shared" si="48"/>
        <v>1532581</v>
      </c>
      <c r="Q223" s="13">
        <f t="shared" si="49"/>
        <v>1515308</v>
      </c>
      <c r="R223" s="33">
        <f t="shared" si="50"/>
        <v>7.176418118578054E-3</v>
      </c>
      <c r="S223" s="33">
        <f t="shared" si="51"/>
        <v>-1.1270529910001548E-2</v>
      </c>
    </row>
    <row r="224" spans="1:19" x14ac:dyDescent="0.25">
      <c r="A224" s="9" t="s">
        <v>34</v>
      </c>
      <c r="B224" s="65">
        <v>4</v>
      </c>
      <c r="C224" t="s">
        <v>10</v>
      </c>
      <c r="D224" s="67">
        <v>50</v>
      </c>
      <c r="E224" s="67">
        <v>50</v>
      </c>
      <c r="F224" s="67">
        <v>50</v>
      </c>
      <c r="G224" s="13">
        <f t="shared" si="39"/>
        <v>0</v>
      </c>
      <c r="H224" s="13">
        <f t="shared" si="40"/>
        <v>0</v>
      </c>
      <c r="I224" s="73">
        <f t="shared" si="41"/>
        <v>0</v>
      </c>
      <c r="J224" s="73">
        <f t="shared" si="42"/>
        <v>0</v>
      </c>
      <c r="K224" s="72" t="str">
        <f t="shared" si="43"/>
        <v>CNJ2</v>
      </c>
      <c r="L224" s="72" t="str">
        <f t="shared" si="44"/>
        <v>FEBRUARY-4-CNJ2</v>
      </c>
      <c r="M224" s="73">
        <f t="shared" si="45"/>
        <v>0</v>
      </c>
      <c r="N224" s="73">
        <f t="shared" si="46"/>
        <v>0</v>
      </c>
      <c r="O224" s="13">
        <f t="shared" si="47"/>
        <v>1504511</v>
      </c>
      <c r="P224" s="13">
        <f t="shared" si="48"/>
        <v>1532581</v>
      </c>
      <c r="Q224" s="13">
        <f t="shared" si="49"/>
        <v>1515308</v>
      </c>
      <c r="R224" s="33">
        <f t="shared" si="50"/>
        <v>7.176418118578054E-3</v>
      </c>
      <c r="S224" s="33">
        <f t="shared" si="51"/>
        <v>-1.1270529910001548E-2</v>
      </c>
    </row>
    <row r="225" spans="1:19" x14ac:dyDescent="0.25">
      <c r="A225" s="9" t="s">
        <v>34</v>
      </c>
      <c r="B225" s="65">
        <v>4</v>
      </c>
      <c r="C225" t="s">
        <v>10</v>
      </c>
      <c r="D225" s="67">
        <v>50</v>
      </c>
      <c r="E225" s="67">
        <v>50</v>
      </c>
      <c r="F225" s="67">
        <v>50</v>
      </c>
      <c r="G225" s="13">
        <f t="shared" si="39"/>
        <v>0</v>
      </c>
      <c r="H225" s="13">
        <f t="shared" si="40"/>
        <v>0</v>
      </c>
      <c r="I225" s="73">
        <f t="shared" si="41"/>
        <v>0</v>
      </c>
      <c r="J225" s="73">
        <f t="shared" si="42"/>
        <v>0</v>
      </c>
      <c r="K225" s="72" t="str">
        <f t="shared" si="43"/>
        <v>CNJ2</v>
      </c>
      <c r="L225" s="72" t="str">
        <f t="shared" si="44"/>
        <v>FEBRUARY-4-CNJ2</v>
      </c>
      <c r="M225" s="73">
        <f t="shared" si="45"/>
        <v>0</v>
      </c>
      <c r="N225" s="73">
        <f t="shared" si="46"/>
        <v>0</v>
      </c>
      <c r="O225" s="13">
        <f t="shared" si="47"/>
        <v>1504511</v>
      </c>
      <c r="P225" s="13">
        <f t="shared" si="48"/>
        <v>1532581</v>
      </c>
      <c r="Q225" s="13">
        <f t="shared" si="49"/>
        <v>1515308</v>
      </c>
      <c r="R225" s="33">
        <f t="shared" si="50"/>
        <v>7.176418118578054E-3</v>
      </c>
      <c r="S225" s="33">
        <f t="shared" si="51"/>
        <v>-1.1270529910001548E-2</v>
      </c>
    </row>
    <row r="226" spans="1:19" x14ac:dyDescent="0.25">
      <c r="A226" s="9" t="s">
        <v>34</v>
      </c>
      <c r="B226" s="65">
        <v>4</v>
      </c>
      <c r="C226" t="s">
        <v>11</v>
      </c>
      <c r="D226" s="67">
        <v>3672</v>
      </c>
      <c r="E226" s="67">
        <v>3905</v>
      </c>
      <c r="F226" s="67">
        <v>3672</v>
      </c>
      <c r="G226" s="13">
        <f t="shared" si="39"/>
        <v>-233</v>
      </c>
      <c r="H226" s="13">
        <f t="shared" si="40"/>
        <v>0</v>
      </c>
      <c r="I226" s="73">
        <f t="shared" si="41"/>
        <v>0</v>
      </c>
      <c r="J226" s="73">
        <f t="shared" si="42"/>
        <v>-5.9667093469910393E-2</v>
      </c>
      <c r="K226" s="72" t="str">
        <f t="shared" si="43"/>
        <v>MAJA1</v>
      </c>
      <c r="L226" s="72" t="str">
        <f t="shared" si="44"/>
        <v>FEBRUARY-4-MAJA1</v>
      </c>
      <c r="M226" s="73">
        <f t="shared" si="45"/>
        <v>7.1294967851639246E-2</v>
      </c>
      <c r="N226" s="73">
        <f t="shared" si="46"/>
        <v>-0.1191098043784754</v>
      </c>
      <c r="O226" s="13">
        <f t="shared" si="47"/>
        <v>1504511</v>
      </c>
      <c r="P226" s="13">
        <f t="shared" si="48"/>
        <v>1532581</v>
      </c>
      <c r="Q226" s="13">
        <f t="shared" si="49"/>
        <v>1515308</v>
      </c>
      <c r="R226" s="33">
        <f t="shared" si="50"/>
        <v>7.176418118578054E-3</v>
      </c>
      <c r="S226" s="33">
        <f t="shared" si="51"/>
        <v>-1.1270529910001548E-2</v>
      </c>
    </row>
    <row r="227" spans="1:19" x14ac:dyDescent="0.25">
      <c r="A227" s="9" t="s">
        <v>34</v>
      </c>
      <c r="B227" s="65">
        <v>4</v>
      </c>
      <c r="C227" t="s">
        <v>11</v>
      </c>
      <c r="D227" s="67">
        <v>5904</v>
      </c>
      <c r="E227" s="67">
        <v>6176</v>
      </c>
      <c r="F227" s="67">
        <v>6086</v>
      </c>
      <c r="G227" s="13">
        <f t="shared" si="39"/>
        <v>-90</v>
      </c>
      <c r="H227" s="13">
        <f t="shared" si="40"/>
        <v>182</v>
      </c>
      <c r="I227" s="73">
        <f t="shared" si="41"/>
        <v>3.0826558265582671E-2</v>
      </c>
      <c r="J227" s="73">
        <f t="shared" si="42"/>
        <v>-1.4572538860103679E-2</v>
      </c>
      <c r="K227" s="72" t="str">
        <f t="shared" si="43"/>
        <v>MAJA1</v>
      </c>
      <c r="L227" s="72" t="str">
        <f t="shared" si="44"/>
        <v>FEBRUARY-4-MAJA1</v>
      </c>
      <c r="M227" s="73">
        <f t="shared" si="45"/>
        <v>7.1294967851639246E-2</v>
      </c>
      <c r="N227" s="73">
        <f t="shared" si="46"/>
        <v>-0.1191098043784754</v>
      </c>
      <c r="O227" s="13">
        <f t="shared" si="47"/>
        <v>1504511</v>
      </c>
      <c r="P227" s="13">
        <f t="shared" si="48"/>
        <v>1532581</v>
      </c>
      <c r="Q227" s="13">
        <f t="shared" si="49"/>
        <v>1515308</v>
      </c>
      <c r="R227" s="33">
        <f t="shared" si="50"/>
        <v>7.176418118578054E-3</v>
      </c>
      <c r="S227" s="33">
        <f t="shared" si="51"/>
        <v>-1.1270529910001548E-2</v>
      </c>
    </row>
    <row r="228" spans="1:19" x14ac:dyDescent="0.25">
      <c r="A228" s="9" t="s">
        <v>34</v>
      </c>
      <c r="B228" s="65">
        <v>4</v>
      </c>
      <c r="C228" t="s">
        <v>11</v>
      </c>
      <c r="D228" s="67">
        <v>5976</v>
      </c>
      <c r="E228" s="67">
        <v>6169</v>
      </c>
      <c r="F228" s="67">
        <v>5976</v>
      </c>
      <c r="G228" s="13">
        <f t="shared" si="39"/>
        <v>-193</v>
      </c>
      <c r="H228" s="13">
        <f t="shared" si="40"/>
        <v>0</v>
      </c>
      <c r="I228" s="73">
        <f t="shared" si="41"/>
        <v>0</v>
      </c>
      <c r="J228" s="73">
        <f t="shared" si="42"/>
        <v>-3.128545955584372E-2</v>
      </c>
      <c r="K228" s="72" t="str">
        <f t="shared" si="43"/>
        <v>MAJA1</v>
      </c>
      <c r="L228" s="72" t="str">
        <f t="shared" si="44"/>
        <v>FEBRUARY-4-MAJA1</v>
      </c>
      <c r="M228" s="73">
        <f t="shared" si="45"/>
        <v>7.1294967851639246E-2</v>
      </c>
      <c r="N228" s="73">
        <f t="shared" si="46"/>
        <v>-0.1191098043784754</v>
      </c>
      <c r="O228" s="13">
        <f t="shared" si="47"/>
        <v>1504511</v>
      </c>
      <c r="P228" s="13">
        <f t="shared" si="48"/>
        <v>1532581</v>
      </c>
      <c r="Q228" s="13">
        <f t="shared" si="49"/>
        <v>1515308</v>
      </c>
      <c r="R228" s="33">
        <f t="shared" si="50"/>
        <v>7.176418118578054E-3</v>
      </c>
      <c r="S228" s="33">
        <f t="shared" si="51"/>
        <v>-1.1270529910001548E-2</v>
      </c>
    </row>
    <row r="229" spans="1:19" x14ac:dyDescent="0.25">
      <c r="A229" s="9" t="s">
        <v>34</v>
      </c>
      <c r="B229" s="65">
        <v>4</v>
      </c>
      <c r="C229" t="s">
        <v>13</v>
      </c>
      <c r="D229" s="67">
        <v>23328</v>
      </c>
      <c r="E229" s="67">
        <v>24021</v>
      </c>
      <c r="F229" s="67">
        <v>23913</v>
      </c>
      <c r="G229" s="13">
        <f t="shared" si="39"/>
        <v>-108</v>
      </c>
      <c r="H229" s="13">
        <f t="shared" si="40"/>
        <v>585</v>
      </c>
      <c r="I229" s="73">
        <f t="shared" si="41"/>
        <v>2.5077160493827133E-2</v>
      </c>
      <c r="J229" s="73">
        <f t="shared" si="42"/>
        <v>-4.4960659423004534E-3</v>
      </c>
      <c r="K229" s="72" t="str">
        <f t="shared" si="43"/>
        <v>KALIBENDA</v>
      </c>
      <c r="L229" s="72" t="str">
        <f t="shared" si="44"/>
        <v>FEBRUARY-4-KALIBENDA</v>
      </c>
      <c r="M229" s="73">
        <f t="shared" si="45"/>
        <v>4.8499126148802585E-2</v>
      </c>
      <c r="N229" s="73">
        <f t="shared" si="46"/>
        <v>-1.5004528949160156E-2</v>
      </c>
      <c r="O229" s="13">
        <f t="shared" si="47"/>
        <v>1504511</v>
      </c>
      <c r="P229" s="13">
        <f t="shared" si="48"/>
        <v>1532581</v>
      </c>
      <c r="Q229" s="13">
        <f t="shared" si="49"/>
        <v>1515308</v>
      </c>
      <c r="R229" s="33">
        <f t="shared" si="50"/>
        <v>7.176418118578054E-3</v>
      </c>
      <c r="S229" s="33">
        <f t="shared" si="51"/>
        <v>-1.1270529910001548E-2</v>
      </c>
    </row>
    <row r="230" spans="1:19" x14ac:dyDescent="0.25">
      <c r="A230" s="9" t="s">
        <v>34</v>
      </c>
      <c r="B230" s="65">
        <v>4</v>
      </c>
      <c r="C230" t="s">
        <v>13</v>
      </c>
      <c r="D230" s="67">
        <v>3996</v>
      </c>
      <c r="E230" s="67">
        <v>4116</v>
      </c>
      <c r="F230" s="67">
        <v>4098</v>
      </c>
      <c r="G230" s="13">
        <f t="shared" si="39"/>
        <v>-18</v>
      </c>
      <c r="H230" s="13">
        <f t="shared" si="40"/>
        <v>102</v>
      </c>
      <c r="I230" s="73">
        <f t="shared" si="41"/>
        <v>2.5525525525525561E-2</v>
      </c>
      <c r="J230" s="73">
        <f t="shared" si="42"/>
        <v>-4.3731778425656342E-3</v>
      </c>
      <c r="K230" s="72" t="str">
        <f t="shared" si="43"/>
        <v>KALIBENDA</v>
      </c>
      <c r="L230" s="72" t="str">
        <f t="shared" si="44"/>
        <v>FEBRUARY-4-KALIBENDA</v>
      </c>
      <c r="M230" s="73">
        <f t="shared" si="45"/>
        <v>4.8499126148802585E-2</v>
      </c>
      <c r="N230" s="73">
        <f t="shared" si="46"/>
        <v>-1.5004528949160156E-2</v>
      </c>
      <c r="O230" s="13">
        <f t="shared" si="47"/>
        <v>1504511</v>
      </c>
      <c r="P230" s="13">
        <f t="shared" si="48"/>
        <v>1532581</v>
      </c>
      <c r="Q230" s="13">
        <f t="shared" si="49"/>
        <v>1515308</v>
      </c>
      <c r="R230" s="33">
        <f t="shared" si="50"/>
        <v>7.176418118578054E-3</v>
      </c>
      <c r="S230" s="33">
        <f t="shared" si="51"/>
        <v>-1.1270529910001548E-2</v>
      </c>
    </row>
    <row r="231" spans="1:19" x14ac:dyDescent="0.25">
      <c r="A231" s="9" t="s">
        <v>34</v>
      </c>
      <c r="B231" s="65">
        <v>4</v>
      </c>
      <c r="C231" t="s">
        <v>14</v>
      </c>
      <c r="D231" s="67">
        <v>13392</v>
      </c>
      <c r="E231" s="67">
        <v>13752</v>
      </c>
      <c r="F231" s="67">
        <v>13641</v>
      </c>
      <c r="G231" s="13">
        <f t="shared" si="39"/>
        <v>-111</v>
      </c>
      <c r="H231" s="13">
        <f t="shared" si="40"/>
        <v>249</v>
      </c>
      <c r="I231" s="73">
        <f t="shared" si="41"/>
        <v>1.8593189964157597E-2</v>
      </c>
      <c r="J231" s="73">
        <f t="shared" si="42"/>
        <v>-8.0715532286212976E-3</v>
      </c>
      <c r="K231" s="72" t="str">
        <f t="shared" si="43"/>
        <v>GM2</v>
      </c>
      <c r="L231" s="72" t="str">
        <f t="shared" si="44"/>
        <v>FEBRUARY-4-GM2</v>
      </c>
      <c r="M231" s="73">
        <f t="shared" si="45"/>
        <v>0.41376803845423793</v>
      </c>
      <c r="N231" s="73">
        <f t="shared" si="46"/>
        <v>-0.18461597979036748</v>
      </c>
      <c r="O231" s="13">
        <f t="shared" si="47"/>
        <v>1504511</v>
      </c>
      <c r="P231" s="13">
        <f t="shared" si="48"/>
        <v>1532581</v>
      </c>
      <c r="Q231" s="13">
        <f t="shared" si="49"/>
        <v>1515308</v>
      </c>
      <c r="R231" s="33">
        <f t="shared" si="50"/>
        <v>7.176418118578054E-3</v>
      </c>
      <c r="S231" s="33">
        <f t="shared" si="51"/>
        <v>-1.1270529910001548E-2</v>
      </c>
    </row>
    <row r="232" spans="1:19" x14ac:dyDescent="0.25">
      <c r="A232" s="9" t="s">
        <v>34</v>
      </c>
      <c r="B232" s="65">
        <v>4</v>
      </c>
      <c r="C232" t="s">
        <v>14</v>
      </c>
      <c r="D232" s="67">
        <v>1296</v>
      </c>
      <c r="E232" s="67">
        <v>1337</v>
      </c>
      <c r="F232" s="67">
        <v>1314</v>
      </c>
      <c r="G232" s="13">
        <f t="shared" si="39"/>
        <v>-23</v>
      </c>
      <c r="H232" s="13">
        <f t="shared" si="40"/>
        <v>18</v>
      </c>
      <c r="I232" s="73">
        <f t="shared" si="41"/>
        <v>1.388888888888884E-2</v>
      </c>
      <c r="J232" s="73">
        <f t="shared" si="42"/>
        <v>-1.7202692595362779E-2</v>
      </c>
      <c r="K232" s="72" t="str">
        <f t="shared" si="43"/>
        <v>GM2</v>
      </c>
      <c r="L232" s="72" t="str">
        <f t="shared" si="44"/>
        <v>FEBRUARY-4-GM2</v>
      </c>
      <c r="M232" s="73">
        <f t="shared" si="45"/>
        <v>0.41376803845423793</v>
      </c>
      <c r="N232" s="73">
        <f t="shared" si="46"/>
        <v>-0.18461597979036748</v>
      </c>
      <c r="O232" s="13">
        <f t="shared" si="47"/>
        <v>1504511</v>
      </c>
      <c r="P232" s="13">
        <f t="shared" si="48"/>
        <v>1532581</v>
      </c>
      <c r="Q232" s="13">
        <f t="shared" si="49"/>
        <v>1515308</v>
      </c>
      <c r="R232" s="33">
        <f t="shared" si="50"/>
        <v>7.176418118578054E-3</v>
      </c>
      <c r="S232" s="33">
        <f t="shared" si="51"/>
        <v>-1.1270529910001548E-2</v>
      </c>
    </row>
    <row r="233" spans="1:19" x14ac:dyDescent="0.25">
      <c r="A233" s="9" t="s">
        <v>34</v>
      </c>
      <c r="B233" s="65">
        <v>4</v>
      </c>
      <c r="C233" t="s">
        <v>14</v>
      </c>
      <c r="D233" s="67">
        <v>9828</v>
      </c>
      <c r="E233" s="67">
        <v>10193</v>
      </c>
      <c r="F233" s="67">
        <v>10083</v>
      </c>
      <c r="G233" s="13">
        <f t="shared" si="39"/>
        <v>-110</v>
      </c>
      <c r="H233" s="13">
        <f t="shared" si="40"/>
        <v>255</v>
      </c>
      <c r="I233" s="73">
        <f t="shared" si="41"/>
        <v>2.5946275946275854E-2</v>
      </c>
      <c r="J233" s="73">
        <f t="shared" si="42"/>
        <v>-1.0791719807711209E-2</v>
      </c>
      <c r="K233" s="72" t="str">
        <f t="shared" si="43"/>
        <v>GM2</v>
      </c>
      <c r="L233" s="72" t="str">
        <f t="shared" si="44"/>
        <v>FEBRUARY-4-GM2</v>
      </c>
      <c r="M233" s="73">
        <f t="shared" si="45"/>
        <v>0.41376803845423793</v>
      </c>
      <c r="N233" s="73">
        <f t="shared" si="46"/>
        <v>-0.18461597979036748</v>
      </c>
      <c r="O233" s="13">
        <f t="shared" si="47"/>
        <v>1504511</v>
      </c>
      <c r="P233" s="13">
        <f t="shared" si="48"/>
        <v>1532581</v>
      </c>
      <c r="Q233" s="13">
        <f t="shared" si="49"/>
        <v>1515308</v>
      </c>
      <c r="R233" s="33">
        <f t="shared" si="50"/>
        <v>7.176418118578054E-3</v>
      </c>
      <c r="S233" s="33">
        <f t="shared" si="51"/>
        <v>-1.1270529910001548E-2</v>
      </c>
    </row>
    <row r="234" spans="1:19" x14ac:dyDescent="0.25">
      <c r="A234" s="9" t="s">
        <v>34</v>
      </c>
      <c r="B234" s="65">
        <v>4</v>
      </c>
      <c r="C234" t="s">
        <v>14</v>
      </c>
      <c r="D234" s="67">
        <v>1296</v>
      </c>
      <c r="E234" s="67">
        <v>1337</v>
      </c>
      <c r="F234" s="67">
        <v>1323</v>
      </c>
      <c r="G234" s="13">
        <f t="shared" si="39"/>
        <v>-14</v>
      </c>
      <c r="H234" s="13">
        <f t="shared" si="40"/>
        <v>27</v>
      </c>
      <c r="I234" s="73">
        <f t="shared" si="41"/>
        <v>2.0833333333333259E-2</v>
      </c>
      <c r="J234" s="73">
        <f t="shared" si="42"/>
        <v>-1.0471204188481686E-2</v>
      </c>
      <c r="K234" s="72" t="str">
        <f t="shared" si="43"/>
        <v>GM2</v>
      </c>
      <c r="L234" s="72" t="str">
        <f t="shared" si="44"/>
        <v>FEBRUARY-4-GM2</v>
      </c>
      <c r="M234" s="73">
        <f t="shared" si="45"/>
        <v>0.41376803845423793</v>
      </c>
      <c r="N234" s="73">
        <f t="shared" si="46"/>
        <v>-0.18461597979036748</v>
      </c>
      <c r="O234" s="13">
        <f t="shared" si="47"/>
        <v>1504511</v>
      </c>
      <c r="P234" s="13">
        <f t="shared" si="48"/>
        <v>1532581</v>
      </c>
      <c r="Q234" s="13">
        <f t="shared" si="49"/>
        <v>1515308</v>
      </c>
      <c r="R234" s="33">
        <f t="shared" si="50"/>
        <v>7.176418118578054E-3</v>
      </c>
      <c r="S234" s="33">
        <f t="shared" si="51"/>
        <v>-1.1270529910001548E-2</v>
      </c>
    </row>
    <row r="235" spans="1:19" x14ac:dyDescent="0.25">
      <c r="A235" s="9" t="s">
        <v>34</v>
      </c>
      <c r="B235" s="65">
        <v>4</v>
      </c>
      <c r="C235" t="s">
        <v>14</v>
      </c>
      <c r="D235" s="67">
        <v>11772</v>
      </c>
      <c r="E235" s="67">
        <v>12140</v>
      </c>
      <c r="F235" s="67">
        <v>12066</v>
      </c>
      <c r="G235" s="13">
        <f t="shared" si="39"/>
        <v>-74</v>
      </c>
      <c r="H235" s="13">
        <f t="shared" si="40"/>
        <v>294</v>
      </c>
      <c r="I235" s="73">
        <f t="shared" si="41"/>
        <v>2.4974515800203934E-2</v>
      </c>
      <c r="J235" s="73">
        <f t="shared" si="42"/>
        <v>-6.0955518945634557E-3</v>
      </c>
      <c r="K235" s="72" t="str">
        <f t="shared" si="43"/>
        <v>GM2</v>
      </c>
      <c r="L235" s="72" t="str">
        <f t="shared" si="44"/>
        <v>FEBRUARY-4-GM2</v>
      </c>
      <c r="M235" s="73">
        <f t="shared" si="45"/>
        <v>0.41376803845423793</v>
      </c>
      <c r="N235" s="73">
        <f t="shared" si="46"/>
        <v>-0.18461597979036748</v>
      </c>
      <c r="O235" s="13">
        <f t="shared" si="47"/>
        <v>1504511</v>
      </c>
      <c r="P235" s="13">
        <f t="shared" si="48"/>
        <v>1532581</v>
      </c>
      <c r="Q235" s="13">
        <f t="shared" si="49"/>
        <v>1515308</v>
      </c>
      <c r="R235" s="33">
        <f t="shared" si="50"/>
        <v>7.176418118578054E-3</v>
      </c>
      <c r="S235" s="33">
        <f t="shared" si="51"/>
        <v>-1.1270529910001548E-2</v>
      </c>
    </row>
    <row r="236" spans="1:19" x14ac:dyDescent="0.25">
      <c r="A236" s="9" t="s">
        <v>34</v>
      </c>
      <c r="B236" s="65">
        <v>4</v>
      </c>
      <c r="C236" t="s">
        <v>14</v>
      </c>
      <c r="D236" s="67">
        <v>1080</v>
      </c>
      <c r="E236" s="67">
        <v>1116</v>
      </c>
      <c r="F236" s="67">
        <v>1113</v>
      </c>
      <c r="G236" s="13">
        <f t="shared" si="39"/>
        <v>-3</v>
      </c>
      <c r="H236" s="13">
        <f t="shared" si="40"/>
        <v>33</v>
      </c>
      <c r="I236" s="73">
        <f t="shared" si="41"/>
        <v>3.0555555555555447E-2</v>
      </c>
      <c r="J236" s="73">
        <f t="shared" si="42"/>
        <v>-2.6881720430107503E-3</v>
      </c>
      <c r="K236" s="72" t="str">
        <f t="shared" si="43"/>
        <v>GM2</v>
      </c>
      <c r="L236" s="72" t="str">
        <f t="shared" si="44"/>
        <v>FEBRUARY-4-GM2</v>
      </c>
      <c r="M236" s="73">
        <f t="shared" si="45"/>
        <v>0.41376803845423793</v>
      </c>
      <c r="N236" s="73">
        <f t="shared" si="46"/>
        <v>-0.18461597979036748</v>
      </c>
      <c r="O236" s="13">
        <f t="shared" si="47"/>
        <v>1504511</v>
      </c>
      <c r="P236" s="13">
        <f t="shared" si="48"/>
        <v>1532581</v>
      </c>
      <c r="Q236" s="13">
        <f t="shared" si="49"/>
        <v>1515308</v>
      </c>
      <c r="R236" s="33">
        <f t="shared" si="50"/>
        <v>7.176418118578054E-3</v>
      </c>
      <c r="S236" s="33">
        <f t="shared" si="51"/>
        <v>-1.1270529910001548E-2</v>
      </c>
    </row>
    <row r="237" spans="1:19" x14ac:dyDescent="0.25">
      <c r="A237" s="9" t="s">
        <v>34</v>
      </c>
      <c r="B237" s="65">
        <v>4</v>
      </c>
      <c r="C237" t="s">
        <v>14</v>
      </c>
      <c r="D237" s="67">
        <v>9720</v>
      </c>
      <c r="E237" s="67">
        <v>10020</v>
      </c>
      <c r="F237" s="67">
        <v>9951</v>
      </c>
      <c r="G237" s="13">
        <f t="shared" si="39"/>
        <v>-69</v>
      </c>
      <c r="H237" s="13">
        <f t="shared" si="40"/>
        <v>231</v>
      </c>
      <c r="I237" s="73">
        <f t="shared" si="41"/>
        <v>2.3765432098765471E-2</v>
      </c>
      <c r="J237" s="73">
        <f t="shared" si="42"/>
        <v>-6.8862275449101951E-3</v>
      </c>
      <c r="K237" s="72" t="str">
        <f t="shared" si="43"/>
        <v>GM2</v>
      </c>
      <c r="L237" s="72" t="str">
        <f t="shared" si="44"/>
        <v>FEBRUARY-4-GM2</v>
      </c>
      <c r="M237" s="73">
        <f t="shared" si="45"/>
        <v>0.41376803845423793</v>
      </c>
      <c r="N237" s="73">
        <f t="shared" si="46"/>
        <v>-0.18461597979036748</v>
      </c>
      <c r="O237" s="13">
        <f t="shared" si="47"/>
        <v>1504511</v>
      </c>
      <c r="P237" s="13">
        <f t="shared" si="48"/>
        <v>1532581</v>
      </c>
      <c r="Q237" s="13">
        <f t="shared" si="49"/>
        <v>1515308</v>
      </c>
      <c r="R237" s="33">
        <f t="shared" si="50"/>
        <v>7.176418118578054E-3</v>
      </c>
      <c r="S237" s="33">
        <f t="shared" si="51"/>
        <v>-1.1270529910001548E-2</v>
      </c>
    </row>
    <row r="238" spans="1:19" x14ac:dyDescent="0.25">
      <c r="A238" s="9" t="s">
        <v>34</v>
      </c>
      <c r="B238" s="65">
        <v>4</v>
      </c>
      <c r="C238" t="s">
        <v>14</v>
      </c>
      <c r="D238" s="67">
        <v>9504</v>
      </c>
      <c r="E238" s="67">
        <v>9793</v>
      </c>
      <c r="F238" s="67">
        <v>9693</v>
      </c>
      <c r="G238" s="13">
        <f t="shared" si="39"/>
        <v>-100</v>
      </c>
      <c r="H238" s="13">
        <f t="shared" si="40"/>
        <v>189</v>
      </c>
      <c r="I238" s="73">
        <f t="shared" si="41"/>
        <v>1.9886363636363535E-2</v>
      </c>
      <c r="J238" s="73">
        <f t="shared" si="42"/>
        <v>-1.021137547227613E-2</v>
      </c>
      <c r="K238" s="72" t="str">
        <f t="shared" si="43"/>
        <v>GM2</v>
      </c>
      <c r="L238" s="72" t="str">
        <f t="shared" si="44"/>
        <v>FEBRUARY-4-GM2</v>
      </c>
      <c r="M238" s="73">
        <f t="shared" si="45"/>
        <v>0.41376803845423793</v>
      </c>
      <c r="N238" s="73">
        <f t="shared" si="46"/>
        <v>-0.18461597979036748</v>
      </c>
      <c r="O238" s="13">
        <f t="shared" si="47"/>
        <v>1504511</v>
      </c>
      <c r="P238" s="13">
        <f t="shared" si="48"/>
        <v>1532581</v>
      </c>
      <c r="Q238" s="13">
        <f t="shared" si="49"/>
        <v>1515308</v>
      </c>
      <c r="R238" s="33">
        <f t="shared" si="50"/>
        <v>7.176418118578054E-3</v>
      </c>
      <c r="S238" s="33">
        <f t="shared" si="51"/>
        <v>-1.1270529910001548E-2</v>
      </c>
    </row>
    <row r="239" spans="1:19" x14ac:dyDescent="0.25">
      <c r="A239" s="9" t="s">
        <v>34</v>
      </c>
      <c r="B239" s="65">
        <v>4</v>
      </c>
      <c r="C239" t="s">
        <v>14</v>
      </c>
      <c r="D239" s="67">
        <v>13068</v>
      </c>
      <c r="E239" s="67">
        <v>13481</v>
      </c>
      <c r="F239" s="67">
        <v>13290</v>
      </c>
      <c r="G239" s="13">
        <f t="shared" si="39"/>
        <v>-191</v>
      </c>
      <c r="H239" s="13">
        <f t="shared" si="40"/>
        <v>222</v>
      </c>
      <c r="I239" s="73">
        <f t="shared" si="41"/>
        <v>1.6988062442607976E-2</v>
      </c>
      <c r="J239" s="73">
        <f t="shared" si="42"/>
        <v>-1.4168088420740355E-2</v>
      </c>
      <c r="K239" s="72" t="str">
        <f t="shared" si="43"/>
        <v>GM2</v>
      </c>
      <c r="L239" s="72" t="str">
        <f t="shared" si="44"/>
        <v>FEBRUARY-4-GM2</v>
      </c>
      <c r="M239" s="73">
        <f t="shared" si="45"/>
        <v>0.41376803845423793</v>
      </c>
      <c r="N239" s="73">
        <f t="shared" si="46"/>
        <v>-0.18461597979036748</v>
      </c>
      <c r="O239" s="13">
        <f t="shared" si="47"/>
        <v>1504511</v>
      </c>
      <c r="P239" s="13">
        <f t="shared" si="48"/>
        <v>1532581</v>
      </c>
      <c r="Q239" s="13">
        <f t="shared" si="49"/>
        <v>1515308</v>
      </c>
      <c r="R239" s="33">
        <f t="shared" si="50"/>
        <v>7.176418118578054E-3</v>
      </c>
      <c r="S239" s="33">
        <f t="shared" si="51"/>
        <v>-1.1270529910001548E-2</v>
      </c>
    </row>
    <row r="240" spans="1:19" x14ac:dyDescent="0.25">
      <c r="A240" s="9" t="s">
        <v>34</v>
      </c>
      <c r="B240" s="65">
        <v>4</v>
      </c>
      <c r="C240" t="s">
        <v>14</v>
      </c>
      <c r="D240" s="67">
        <v>5184</v>
      </c>
      <c r="E240" s="67">
        <v>5346</v>
      </c>
      <c r="F240" s="67">
        <v>5283</v>
      </c>
      <c r="G240" s="13">
        <f t="shared" si="39"/>
        <v>-63</v>
      </c>
      <c r="H240" s="13">
        <f t="shared" si="40"/>
        <v>99</v>
      </c>
      <c r="I240" s="73">
        <f t="shared" si="41"/>
        <v>1.9097222222222321E-2</v>
      </c>
      <c r="J240" s="73">
        <f t="shared" si="42"/>
        <v>-1.1784511784511786E-2</v>
      </c>
      <c r="K240" s="72" t="str">
        <f t="shared" si="43"/>
        <v>GM2</v>
      </c>
      <c r="L240" s="72" t="str">
        <f t="shared" si="44"/>
        <v>FEBRUARY-4-GM2</v>
      </c>
      <c r="M240" s="73">
        <f t="shared" si="45"/>
        <v>0.41376803845423793</v>
      </c>
      <c r="N240" s="73">
        <f t="shared" si="46"/>
        <v>-0.18461597979036748</v>
      </c>
      <c r="O240" s="13">
        <f t="shared" si="47"/>
        <v>1504511</v>
      </c>
      <c r="P240" s="13">
        <f t="shared" si="48"/>
        <v>1532581</v>
      </c>
      <c r="Q240" s="13">
        <f t="shared" si="49"/>
        <v>1515308</v>
      </c>
      <c r="R240" s="33">
        <f t="shared" si="50"/>
        <v>7.176418118578054E-3</v>
      </c>
      <c r="S240" s="33">
        <f t="shared" si="51"/>
        <v>-1.1270529910001548E-2</v>
      </c>
    </row>
    <row r="241" spans="1:19" x14ac:dyDescent="0.25">
      <c r="A241" s="9" t="s">
        <v>34</v>
      </c>
      <c r="B241" s="65">
        <v>4</v>
      </c>
      <c r="C241" t="s">
        <v>14</v>
      </c>
      <c r="D241" s="67">
        <v>1296</v>
      </c>
      <c r="E241" s="67">
        <v>1337</v>
      </c>
      <c r="F241" s="67">
        <v>1323</v>
      </c>
      <c r="G241" s="13">
        <f t="shared" si="39"/>
        <v>-14</v>
      </c>
      <c r="H241" s="13">
        <f t="shared" si="40"/>
        <v>27</v>
      </c>
      <c r="I241" s="73">
        <f t="shared" si="41"/>
        <v>2.0833333333333259E-2</v>
      </c>
      <c r="J241" s="73">
        <f t="shared" si="42"/>
        <v>-1.0471204188481686E-2</v>
      </c>
      <c r="K241" s="72" t="str">
        <f t="shared" si="43"/>
        <v>GM2</v>
      </c>
      <c r="L241" s="72" t="str">
        <f t="shared" si="44"/>
        <v>FEBRUARY-4-GM2</v>
      </c>
      <c r="M241" s="73">
        <f t="shared" si="45"/>
        <v>0.41376803845423793</v>
      </c>
      <c r="N241" s="73">
        <f t="shared" si="46"/>
        <v>-0.18461597979036748</v>
      </c>
      <c r="O241" s="13">
        <f t="shared" si="47"/>
        <v>1504511</v>
      </c>
      <c r="P241" s="13">
        <f t="shared" si="48"/>
        <v>1532581</v>
      </c>
      <c r="Q241" s="13">
        <f t="shared" si="49"/>
        <v>1515308</v>
      </c>
      <c r="R241" s="33">
        <f t="shared" si="50"/>
        <v>7.176418118578054E-3</v>
      </c>
      <c r="S241" s="33">
        <f t="shared" si="51"/>
        <v>-1.1270529910001548E-2</v>
      </c>
    </row>
    <row r="242" spans="1:19" x14ac:dyDescent="0.25">
      <c r="A242" s="9" t="s">
        <v>34</v>
      </c>
      <c r="B242" s="65">
        <v>4</v>
      </c>
      <c r="C242" t="s">
        <v>14</v>
      </c>
      <c r="D242" s="67">
        <v>3996</v>
      </c>
      <c r="E242" s="67">
        <v>4127</v>
      </c>
      <c r="F242" s="67">
        <v>4113</v>
      </c>
      <c r="G242" s="13">
        <f t="shared" si="39"/>
        <v>-14</v>
      </c>
      <c r="H242" s="13">
        <f t="shared" si="40"/>
        <v>117</v>
      </c>
      <c r="I242" s="73">
        <f t="shared" si="41"/>
        <v>2.9279279279279313E-2</v>
      </c>
      <c r="J242" s="73">
        <f t="shared" si="42"/>
        <v>-3.3922946450205549E-3</v>
      </c>
      <c r="K242" s="72" t="str">
        <f t="shared" si="43"/>
        <v>GM2</v>
      </c>
      <c r="L242" s="72" t="str">
        <f t="shared" si="44"/>
        <v>FEBRUARY-4-GM2</v>
      </c>
      <c r="M242" s="73">
        <f t="shared" si="45"/>
        <v>0.41376803845423793</v>
      </c>
      <c r="N242" s="73">
        <f t="shared" si="46"/>
        <v>-0.18461597979036748</v>
      </c>
      <c r="O242" s="13">
        <f t="shared" si="47"/>
        <v>1504511</v>
      </c>
      <c r="P242" s="13">
        <f t="shared" si="48"/>
        <v>1532581</v>
      </c>
      <c r="Q242" s="13">
        <f t="shared" si="49"/>
        <v>1515308</v>
      </c>
      <c r="R242" s="33">
        <f t="shared" si="50"/>
        <v>7.176418118578054E-3</v>
      </c>
      <c r="S242" s="33">
        <f t="shared" si="51"/>
        <v>-1.1270529910001548E-2</v>
      </c>
    </row>
    <row r="243" spans="1:19" x14ac:dyDescent="0.25">
      <c r="A243" s="9" t="s">
        <v>34</v>
      </c>
      <c r="B243" s="65">
        <v>4</v>
      </c>
      <c r="C243" t="s">
        <v>14</v>
      </c>
      <c r="D243" s="67">
        <v>1080</v>
      </c>
      <c r="E243" s="67">
        <v>1116</v>
      </c>
      <c r="F243" s="67">
        <v>1113</v>
      </c>
      <c r="G243" s="13">
        <f t="shared" si="39"/>
        <v>-3</v>
      </c>
      <c r="H243" s="13">
        <f t="shared" si="40"/>
        <v>33</v>
      </c>
      <c r="I243" s="73">
        <f t="shared" si="41"/>
        <v>3.0555555555555447E-2</v>
      </c>
      <c r="J243" s="73">
        <f t="shared" si="42"/>
        <v>-2.6881720430107503E-3</v>
      </c>
      <c r="K243" s="72" t="str">
        <f t="shared" si="43"/>
        <v>GM2</v>
      </c>
      <c r="L243" s="72" t="str">
        <f t="shared" si="44"/>
        <v>FEBRUARY-4-GM2</v>
      </c>
      <c r="M243" s="73">
        <f t="shared" si="45"/>
        <v>0.41376803845423793</v>
      </c>
      <c r="N243" s="73">
        <f t="shared" si="46"/>
        <v>-0.18461597979036748</v>
      </c>
      <c r="O243" s="13">
        <f t="shared" si="47"/>
        <v>1504511</v>
      </c>
      <c r="P243" s="13">
        <f t="shared" si="48"/>
        <v>1532581</v>
      </c>
      <c r="Q243" s="13">
        <f t="shared" si="49"/>
        <v>1515308</v>
      </c>
      <c r="R243" s="33">
        <f t="shared" si="50"/>
        <v>7.176418118578054E-3</v>
      </c>
      <c r="S243" s="33">
        <f t="shared" si="51"/>
        <v>-1.1270529910001548E-2</v>
      </c>
    </row>
    <row r="244" spans="1:19" x14ac:dyDescent="0.25">
      <c r="A244" s="9" t="s">
        <v>34</v>
      </c>
      <c r="B244" s="65">
        <v>4</v>
      </c>
      <c r="C244" t="s">
        <v>14</v>
      </c>
      <c r="D244" s="67">
        <v>10044</v>
      </c>
      <c r="E244" s="67">
        <v>10348</v>
      </c>
      <c r="F244" s="67">
        <v>10260</v>
      </c>
      <c r="G244" s="13">
        <f t="shared" si="39"/>
        <v>-88</v>
      </c>
      <c r="H244" s="13">
        <f t="shared" si="40"/>
        <v>216</v>
      </c>
      <c r="I244" s="73">
        <f t="shared" si="41"/>
        <v>2.1505376344086002E-2</v>
      </c>
      <c r="J244" s="73">
        <f t="shared" si="42"/>
        <v>-8.5040587553150138E-3</v>
      </c>
      <c r="K244" s="72" t="str">
        <f t="shared" si="43"/>
        <v>GM2</v>
      </c>
      <c r="L244" s="72" t="str">
        <f t="shared" si="44"/>
        <v>FEBRUARY-4-GM2</v>
      </c>
      <c r="M244" s="73">
        <f t="shared" si="45"/>
        <v>0.41376803845423793</v>
      </c>
      <c r="N244" s="73">
        <f t="shared" si="46"/>
        <v>-0.18461597979036748</v>
      </c>
      <c r="O244" s="13">
        <f t="shared" si="47"/>
        <v>1504511</v>
      </c>
      <c r="P244" s="13">
        <f t="shared" si="48"/>
        <v>1532581</v>
      </c>
      <c r="Q244" s="13">
        <f t="shared" si="49"/>
        <v>1515308</v>
      </c>
      <c r="R244" s="33">
        <f t="shared" si="50"/>
        <v>7.176418118578054E-3</v>
      </c>
      <c r="S244" s="33">
        <f t="shared" si="51"/>
        <v>-1.1270529910001548E-2</v>
      </c>
    </row>
    <row r="245" spans="1:19" x14ac:dyDescent="0.25">
      <c r="A245" s="9" t="s">
        <v>34</v>
      </c>
      <c r="B245" s="65">
        <v>4</v>
      </c>
      <c r="C245" t="s">
        <v>14</v>
      </c>
      <c r="D245" s="67">
        <v>12096</v>
      </c>
      <c r="E245" s="67">
        <v>12466</v>
      </c>
      <c r="F245" s="67">
        <v>12396</v>
      </c>
      <c r="G245" s="13">
        <f t="shared" si="39"/>
        <v>-70</v>
      </c>
      <c r="H245" s="13">
        <f t="shared" si="40"/>
        <v>300</v>
      </c>
      <c r="I245" s="73">
        <f t="shared" si="41"/>
        <v>2.4801587301587213E-2</v>
      </c>
      <c r="J245" s="73">
        <f t="shared" si="42"/>
        <v>-5.6152735440397894E-3</v>
      </c>
      <c r="K245" s="72" t="str">
        <f t="shared" si="43"/>
        <v>GM2</v>
      </c>
      <c r="L245" s="72" t="str">
        <f t="shared" si="44"/>
        <v>FEBRUARY-4-GM2</v>
      </c>
      <c r="M245" s="73">
        <f t="shared" si="45"/>
        <v>0.41376803845423793</v>
      </c>
      <c r="N245" s="73">
        <f t="shared" si="46"/>
        <v>-0.18461597979036748</v>
      </c>
      <c r="O245" s="13">
        <f t="shared" si="47"/>
        <v>1504511</v>
      </c>
      <c r="P245" s="13">
        <f t="shared" si="48"/>
        <v>1532581</v>
      </c>
      <c r="Q245" s="13">
        <f t="shared" si="49"/>
        <v>1515308</v>
      </c>
      <c r="R245" s="33">
        <f t="shared" si="50"/>
        <v>7.176418118578054E-3</v>
      </c>
      <c r="S245" s="33">
        <f t="shared" si="51"/>
        <v>-1.1270529910001548E-2</v>
      </c>
    </row>
    <row r="246" spans="1:19" x14ac:dyDescent="0.25">
      <c r="A246" s="9" t="s">
        <v>34</v>
      </c>
      <c r="B246" s="65">
        <v>4</v>
      </c>
      <c r="C246" t="s">
        <v>13</v>
      </c>
      <c r="D246" s="67">
        <v>44496</v>
      </c>
      <c r="E246" s="67">
        <v>44676</v>
      </c>
      <c r="F246" s="67">
        <v>44526</v>
      </c>
      <c r="G246" s="13">
        <f t="shared" si="39"/>
        <v>-150</v>
      </c>
      <c r="H246" s="13">
        <f t="shared" si="40"/>
        <v>30</v>
      </c>
      <c r="I246" s="73">
        <f t="shared" si="41"/>
        <v>6.7421790722765884E-4</v>
      </c>
      <c r="J246" s="73">
        <f t="shared" si="42"/>
        <v>-3.3575073865163008E-3</v>
      </c>
      <c r="K246" s="72" t="str">
        <f t="shared" si="43"/>
        <v>KALIBENDA</v>
      </c>
      <c r="L246" s="72" t="str">
        <f t="shared" si="44"/>
        <v>FEBRUARY-4-KALIBENDA</v>
      </c>
      <c r="M246" s="73">
        <f t="shared" si="45"/>
        <v>4.8499126148802585E-2</v>
      </c>
      <c r="N246" s="73">
        <f t="shared" si="46"/>
        <v>-1.5004528949160156E-2</v>
      </c>
      <c r="O246" s="13">
        <f t="shared" si="47"/>
        <v>1504511</v>
      </c>
      <c r="P246" s="13">
        <f t="shared" si="48"/>
        <v>1532581</v>
      </c>
      <c r="Q246" s="13">
        <f t="shared" si="49"/>
        <v>1515308</v>
      </c>
      <c r="R246" s="33">
        <f t="shared" si="50"/>
        <v>7.176418118578054E-3</v>
      </c>
      <c r="S246" s="33">
        <f t="shared" si="51"/>
        <v>-1.1270529910001548E-2</v>
      </c>
    </row>
    <row r="247" spans="1:19" x14ac:dyDescent="0.25">
      <c r="A247" s="9" t="s">
        <v>34</v>
      </c>
      <c r="B247" s="65">
        <v>4</v>
      </c>
      <c r="C247" t="s">
        <v>13</v>
      </c>
      <c r="D247" s="67">
        <v>7560</v>
      </c>
      <c r="E247" s="67">
        <v>7560</v>
      </c>
      <c r="F247" s="67">
        <v>7539</v>
      </c>
      <c r="G247" s="13">
        <f t="shared" si="39"/>
        <v>-21</v>
      </c>
      <c r="H247" s="13">
        <f t="shared" si="40"/>
        <v>-21</v>
      </c>
      <c r="I247" s="73">
        <f t="shared" si="41"/>
        <v>-2.7777777777777679E-3</v>
      </c>
      <c r="J247" s="73">
        <f t="shared" si="42"/>
        <v>-2.7777777777777679E-3</v>
      </c>
      <c r="K247" s="72" t="str">
        <f t="shared" si="43"/>
        <v>KALIBENDA</v>
      </c>
      <c r="L247" s="72" t="str">
        <f t="shared" si="44"/>
        <v>FEBRUARY-4-KALIBENDA</v>
      </c>
      <c r="M247" s="73">
        <f t="shared" si="45"/>
        <v>4.8499126148802585E-2</v>
      </c>
      <c r="N247" s="73">
        <f t="shared" si="46"/>
        <v>-1.5004528949160156E-2</v>
      </c>
      <c r="O247" s="13">
        <f t="shared" si="47"/>
        <v>1504511</v>
      </c>
      <c r="P247" s="13">
        <f t="shared" si="48"/>
        <v>1532581</v>
      </c>
      <c r="Q247" s="13">
        <f t="shared" si="49"/>
        <v>1515308</v>
      </c>
      <c r="R247" s="33">
        <f t="shared" si="50"/>
        <v>7.176418118578054E-3</v>
      </c>
      <c r="S247" s="33">
        <f t="shared" si="51"/>
        <v>-1.1270529910001548E-2</v>
      </c>
    </row>
    <row r="248" spans="1:19" x14ac:dyDescent="0.25">
      <c r="A248" s="9" t="s">
        <v>34</v>
      </c>
      <c r="B248" s="65">
        <v>4</v>
      </c>
      <c r="C248" t="s">
        <v>14</v>
      </c>
      <c r="D248" s="67">
        <v>7560</v>
      </c>
      <c r="E248" s="67">
        <v>7666</v>
      </c>
      <c r="F248" s="67">
        <v>7560</v>
      </c>
      <c r="G248" s="13">
        <f t="shared" si="39"/>
        <v>-106</v>
      </c>
      <c r="H248" s="13">
        <f t="shared" si="40"/>
        <v>0</v>
      </c>
      <c r="I248" s="73">
        <f t="shared" si="41"/>
        <v>0</v>
      </c>
      <c r="J248" s="73">
        <f t="shared" si="42"/>
        <v>-1.3827289329506942E-2</v>
      </c>
      <c r="K248" s="72" t="str">
        <f t="shared" si="43"/>
        <v>GM2</v>
      </c>
      <c r="L248" s="72" t="str">
        <f t="shared" si="44"/>
        <v>FEBRUARY-4-GM2</v>
      </c>
      <c r="M248" s="73">
        <f t="shared" si="45"/>
        <v>0.41376803845423793</v>
      </c>
      <c r="N248" s="73">
        <f t="shared" si="46"/>
        <v>-0.18461597979036748</v>
      </c>
      <c r="O248" s="13">
        <f t="shared" si="47"/>
        <v>1504511</v>
      </c>
      <c r="P248" s="13">
        <f t="shared" si="48"/>
        <v>1532581</v>
      </c>
      <c r="Q248" s="13">
        <f t="shared" si="49"/>
        <v>1515308</v>
      </c>
      <c r="R248" s="33">
        <f t="shared" si="50"/>
        <v>7.176418118578054E-3</v>
      </c>
      <c r="S248" s="33">
        <f t="shared" si="51"/>
        <v>-1.1270529910001548E-2</v>
      </c>
    </row>
    <row r="249" spans="1:19" x14ac:dyDescent="0.25">
      <c r="A249" s="9" t="s">
        <v>34</v>
      </c>
      <c r="B249" s="65">
        <v>4</v>
      </c>
      <c r="C249" t="s">
        <v>14</v>
      </c>
      <c r="D249" s="67">
        <v>23004</v>
      </c>
      <c r="E249" s="67">
        <v>23700</v>
      </c>
      <c r="F249" s="67">
        <v>23598</v>
      </c>
      <c r="G249" s="13">
        <f t="shared" si="39"/>
        <v>-102</v>
      </c>
      <c r="H249" s="13">
        <f t="shared" si="40"/>
        <v>594</v>
      </c>
      <c r="I249" s="73">
        <f t="shared" si="41"/>
        <v>2.5821596244131495E-2</v>
      </c>
      <c r="J249" s="73">
        <f t="shared" si="42"/>
        <v>-4.3037974683544089E-3</v>
      </c>
      <c r="K249" s="72" t="str">
        <f t="shared" si="43"/>
        <v>GM2</v>
      </c>
      <c r="L249" s="72" t="str">
        <f t="shared" si="44"/>
        <v>FEBRUARY-4-GM2</v>
      </c>
      <c r="M249" s="73">
        <f t="shared" si="45"/>
        <v>0.41376803845423793</v>
      </c>
      <c r="N249" s="73">
        <f t="shared" si="46"/>
        <v>-0.18461597979036748</v>
      </c>
      <c r="O249" s="13">
        <f t="shared" si="47"/>
        <v>1504511</v>
      </c>
      <c r="P249" s="13">
        <f t="shared" si="48"/>
        <v>1532581</v>
      </c>
      <c r="Q249" s="13">
        <f t="shared" si="49"/>
        <v>1515308</v>
      </c>
      <c r="R249" s="33">
        <f t="shared" si="50"/>
        <v>7.176418118578054E-3</v>
      </c>
      <c r="S249" s="33">
        <f t="shared" si="51"/>
        <v>-1.1270529910001548E-2</v>
      </c>
    </row>
    <row r="250" spans="1:19" x14ac:dyDescent="0.25">
      <c r="A250" s="9" t="s">
        <v>34</v>
      </c>
      <c r="B250" s="65">
        <v>4</v>
      </c>
      <c r="C250" t="s">
        <v>14</v>
      </c>
      <c r="D250" s="67">
        <v>3888</v>
      </c>
      <c r="E250" s="67">
        <v>4008</v>
      </c>
      <c r="F250" s="67">
        <v>3978</v>
      </c>
      <c r="G250" s="13">
        <f t="shared" si="39"/>
        <v>-30</v>
      </c>
      <c r="H250" s="13">
        <f t="shared" si="40"/>
        <v>90</v>
      </c>
      <c r="I250" s="73">
        <f t="shared" si="41"/>
        <v>2.314814814814814E-2</v>
      </c>
      <c r="J250" s="73">
        <f t="shared" si="42"/>
        <v>-7.4850299401197917E-3</v>
      </c>
      <c r="K250" s="72" t="str">
        <f t="shared" si="43"/>
        <v>GM2</v>
      </c>
      <c r="L250" s="72" t="str">
        <f t="shared" si="44"/>
        <v>FEBRUARY-4-GM2</v>
      </c>
      <c r="M250" s="73">
        <f t="shared" si="45"/>
        <v>0.41376803845423793</v>
      </c>
      <c r="N250" s="73">
        <f t="shared" si="46"/>
        <v>-0.18461597979036748</v>
      </c>
      <c r="O250" s="13">
        <f t="shared" si="47"/>
        <v>1504511</v>
      </c>
      <c r="P250" s="13">
        <f t="shared" si="48"/>
        <v>1532581</v>
      </c>
      <c r="Q250" s="13">
        <f t="shared" si="49"/>
        <v>1515308</v>
      </c>
      <c r="R250" s="33">
        <f t="shared" si="50"/>
        <v>7.176418118578054E-3</v>
      </c>
      <c r="S250" s="33">
        <f t="shared" si="51"/>
        <v>-1.1270529910001548E-2</v>
      </c>
    </row>
    <row r="251" spans="1:19" x14ac:dyDescent="0.25">
      <c r="A251" s="9" t="s">
        <v>34</v>
      </c>
      <c r="B251" s="65">
        <v>4</v>
      </c>
      <c r="C251" t="s">
        <v>14</v>
      </c>
      <c r="D251" s="67">
        <v>23112</v>
      </c>
      <c r="E251" s="67">
        <v>23650</v>
      </c>
      <c r="F251" s="67">
        <v>23286</v>
      </c>
      <c r="G251" s="13">
        <f t="shared" si="39"/>
        <v>-364</v>
      </c>
      <c r="H251" s="13">
        <f t="shared" si="40"/>
        <v>174</v>
      </c>
      <c r="I251" s="73">
        <f t="shared" si="41"/>
        <v>7.5285565939771093E-3</v>
      </c>
      <c r="J251" s="73">
        <f t="shared" si="42"/>
        <v>-1.5391120507399547E-2</v>
      </c>
      <c r="K251" s="72" t="str">
        <f t="shared" si="43"/>
        <v>GM2</v>
      </c>
      <c r="L251" s="72" t="str">
        <f t="shared" si="44"/>
        <v>FEBRUARY-4-GM2</v>
      </c>
      <c r="M251" s="73">
        <f t="shared" si="45"/>
        <v>0.41376803845423793</v>
      </c>
      <c r="N251" s="73">
        <f t="shared" si="46"/>
        <v>-0.18461597979036748</v>
      </c>
      <c r="O251" s="13">
        <f t="shared" si="47"/>
        <v>1504511</v>
      </c>
      <c r="P251" s="13">
        <f t="shared" si="48"/>
        <v>1532581</v>
      </c>
      <c r="Q251" s="13">
        <f t="shared" si="49"/>
        <v>1515308</v>
      </c>
      <c r="R251" s="33">
        <f t="shared" si="50"/>
        <v>7.176418118578054E-3</v>
      </c>
      <c r="S251" s="33">
        <f t="shared" si="51"/>
        <v>-1.1270529910001548E-2</v>
      </c>
    </row>
    <row r="252" spans="1:19" x14ac:dyDescent="0.25">
      <c r="A252" s="9" t="s">
        <v>34</v>
      </c>
      <c r="B252" s="65">
        <v>4</v>
      </c>
      <c r="C252" t="s">
        <v>14</v>
      </c>
      <c r="D252" s="67">
        <v>3996</v>
      </c>
      <c r="E252" s="67">
        <v>4119</v>
      </c>
      <c r="F252" s="67">
        <v>4059</v>
      </c>
      <c r="G252" s="13">
        <f t="shared" si="39"/>
        <v>-60</v>
      </c>
      <c r="H252" s="13">
        <f t="shared" si="40"/>
        <v>63</v>
      </c>
      <c r="I252" s="73">
        <f t="shared" si="41"/>
        <v>1.5765765765765716E-2</v>
      </c>
      <c r="J252" s="73">
        <f t="shared" si="42"/>
        <v>-1.4566642388929352E-2</v>
      </c>
      <c r="K252" s="72" t="str">
        <f t="shared" si="43"/>
        <v>GM2</v>
      </c>
      <c r="L252" s="72" t="str">
        <f t="shared" si="44"/>
        <v>FEBRUARY-4-GM2</v>
      </c>
      <c r="M252" s="73">
        <f t="shared" si="45"/>
        <v>0.41376803845423793</v>
      </c>
      <c r="N252" s="73">
        <f t="shared" si="46"/>
        <v>-0.18461597979036748</v>
      </c>
      <c r="O252" s="13">
        <f t="shared" si="47"/>
        <v>1504511</v>
      </c>
      <c r="P252" s="13">
        <f t="shared" si="48"/>
        <v>1532581</v>
      </c>
      <c r="Q252" s="13">
        <f t="shared" si="49"/>
        <v>1515308</v>
      </c>
      <c r="R252" s="33">
        <f t="shared" si="50"/>
        <v>7.176418118578054E-3</v>
      </c>
      <c r="S252" s="33">
        <f t="shared" si="51"/>
        <v>-1.1270529910001548E-2</v>
      </c>
    </row>
    <row r="253" spans="1:19" x14ac:dyDescent="0.25">
      <c r="A253" s="9" t="s">
        <v>34</v>
      </c>
      <c r="B253" s="65">
        <v>4</v>
      </c>
      <c r="C253" t="s">
        <v>11</v>
      </c>
      <c r="D253" s="67">
        <v>14688</v>
      </c>
      <c r="E253" s="67">
        <v>14946</v>
      </c>
      <c r="F253" s="67">
        <v>14836</v>
      </c>
      <c r="G253" s="13">
        <f t="shared" si="39"/>
        <v>-110</v>
      </c>
      <c r="H253" s="13">
        <f t="shared" si="40"/>
        <v>148</v>
      </c>
      <c r="I253" s="73">
        <f t="shared" si="41"/>
        <v>1.0076252723311585E-2</v>
      </c>
      <c r="J253" s="73">
        <f t="shared" si="42"/>
        <v>-7.359828716713479E-3</v>
      </c>
      <c r="K253" s="72" t="str">
        <f t="shared" si="43"/>
        <v>MAJA1</v>
      </c>
      <c r="L253" s="72" t="str">
        <f t="shared" si="44"/>
        <v>FEBRUARY-4-MAJA1</v>
      </c>
      <c r="M253" s="73">
        <f t="shared" si="45"/>
        <v>7.1294967851639246E-2</v>
      </c>
      <c r="N253" s="73">
        <f t="shared" si="46"/>
        <v>-0.1191098043784754</v>
      </c>
      <c r="O253" s="13">
        <f t="shared" si="47"/>
        <v>1504511</v>
      </c>
      <c r="P253" s="13">
        <f t="shared" si="48"/>
        <v>1532581</v>
      </c>
      <c r="Q253" s="13">
        <f t="shared" si="49"/>
        <v>1515308</v>
      </c>
      <c r="R253" s="33">
        <f t="shared" si="50"/>
        <v>7.176418118578054E-3</v>
      </c>
      <c r="S253" s="33">
        <f t="shared" si="51"/>
        <v>-1.1270529910001548E-2</v>
      </c>
    </row>
    <row r="254" spans="1:19" x14ac:dyDescent="0.25">
      <c r="A254" s="9" t="s">
        <v>34</v>
      </c>
      <c r="B254" s="65">
        <v>4</v>
      </c>
      <c r="C254" t="s">
        <v>11</v>
      </c>
      <c r="D254" s="67">
        <v>12240</v>
      </c>
      <c r="E254" s="67">
        <v>12691</v>
      </c>
      <c r="F254" s="67">
        <v>12612</v>
      </c>
      <c r="G254" s="13">
        <f t="shared" si="39"/>
        <v>-79</v>
      </c>
      <c r="H254" s="13">
        <f t="shared" si="40"/>
        <v>372</v>
      </c>
      <c r="I254" s="73">
        <f t="shared" si="41"/>
        <v>3.039215686274499E-2</v>
      </c>
      <c r="J254" s="73">
        <f t="shared" si="42"/>
        <v>-6.2248837759041331E-3</v>
      </c>
      <c r="K254" s="72" t="str">
        <f t="shared" si="43"/>
        <v>MAJA1</v>
      </c>
      <c r="L254" s="72" t="str">
        <f t="shared" si="44"/>
        <v>FEBRUARY-4-MAJA1</v>
      </c>
      <c r="M254" s="73">
        <f t="shared" si="45"/>
        <v>7.1294967851639246E-2</v>
      </c>
      <c r="N254" s="73">
        <f t="shared" si="46"/>
        <v>-0.1191098043784754</v>
      </c>
      <c r="O254" s="13">
        <f t="shared" si="47"/>
        <v>1504511</v>
      </c>
      <c r="P254" s="13">
        <f t="shared" si="48"/>
        <v>1532581</v>
      </c>
      <c r="Q254" s="13">
        <f t="shared" si="49"/>
        <v>1515308</v>
      </c>
      <c r="R254" s="33">
        <f t="shared" si="50"/>
        <v>7.176418118578054E-3</v>
      </c>
      <c r="S254" s="33">
        <f t="shared" si="51"/>
        <v>-1.1270529910001548E-2</v>
      </c>
    </row>
    <row r="255" spans="1:19" x14ac:dyDescent="0.25">
      <c r="A255" s="9" t="s">
        <v>34</v>
      </c>
      <c r="B255" s="65">
        <v>4</v>
      </c>
      <c r="C255" t="s">
        <v>15</v>
      </c>
      <c r="D255" s="67">
        <v>566</v>
      </c>
      <c r="E255" s="67">
        <v>587</v>
      </c>
      <c r="F255" s="67">
        <v>569</v>
      </c>
      <c r="G255" s="13">
        <f t="shared" si="39"/>
        <v>-18</v>
      </c>
      <c r="H255" s="13">
        <f t="shared" si="40"/>
        <v>3</v>
      </c>
      <c r="I255" s="73">
        <f t="shared" si="41"/>
        <v>5.300353356890497E-3</v>
      </c>
      <c r="J255" s="73">
        <f t="shared" si="42"/>
        <v>-3.0664395229982988E-2</v>
      </c>
      <c r="K255" s="72" t="str">
        <f t="shared" si="43"/>
        <v>CHAWAN</v>
      </c>
      <c r="L255" s="72" t="str">
        <f t="shared" si="44"/>
        <v>FEBRUARY-4-CHAWAN</v>
      </c>
      <c r="M255" s="73">
        <f t="shared" si="45"/>
        <v>5.300353356890497E-3</v>
      </c>
      <c r="N255" s="73">
        <f t="shared" si="46"/>
        <v>-3.0664395229982988E-2</v>
      </c>
      <c r="O255" s="13">
        <f t="shared" si="47"/>
        <v>1504511</v>
      </c>
      <c r="P255" s="13">
        <f t="shared" si="48"/>
        <v>1532581</v>
      </c>
      <c r="Q255" s="13">
        <f t="shared" si="49"/>
        <v>1515308</v>
      </c>
      <c r="R255" s="33">
        <f t="shared" si="50"/>
        <v>7.176418118578054E-3</v>
      </c>
      <c r="S255" s="33">
        <f t="shared" si="51"/>
        <v>-1.1270529910001548E-2</v>
      </c>
    </row>
    <row r="256" spans="1:19" x14ac:dyDescent="0.25">
      <c r="A256" s="9" t="s">
        <v>34</v>
      </c>
      <c r="B256" s="65">
        <v>5</v>
      </c>
      <c r="C256" t="s">
        <v>13</v>
      </c>
      <c r="D256" s="67">
        <v>7560</v>
      </c>
      <c r="E256" s="67">
        <v>7656</v>
      </c>
      <c r="F256" s="67">
        <v>7635</v>
      </c>
      <c r="G256" s="13">
        <f t="shared" si="39"/>
        <v>-21</v>
      </c>
      <c r="H256" s="13">
        <f t="shared" si="40"/>
        <v>75</v>
      </c>
      <c r="I256" s="73">
        <f t="shared" si="41"/>
        <v>9.9206349206348854E-3</v>
      </c>
      <c r="J256" s="73">
        <f t="shared" si="42"/>
        <v>-2.742946708463978E-3</v>
      </c>
      <c r="K256" s="72" t="str">
        <f t="shared" si="43"/>
        <v>KALIBENDA</v>
      </c>
      <c r="L256" s="72" t="str">
        <f t="shared" si="44"/>
        <v>FEBRUARY-5-KALIBENDA</v>
      </c>
      <c r="M256" s="73">
        <f t="shared" si="45"/>
        <v>0.11709997449956644</v>
      </c>
      <c r="N256" s="73">
        <f t="shared" si="46"/>
        <v>-1.1587744693673074E-2</v>
      </c>
      <c r="O256" s="13">
        <f t="shared" si="47"/>
        <v>1504511</v>
      </c>
      <c r="P256" s="13">
        <f t="shared" si="48"/>
        <v>1532581</v>
      </c>
      <c r="Q256" s="13">
        <f t="shared" si="49"/>
        <v>1515308</v>
      </c>
      <c r="R256" s="33">
        <f t="shared" si="50"/>
        <v>7.176418118578054E-3</v>
      </c>
      <c r="S256" s="33">
        <f t="shared" si="51"/>
        <v>-1.1270529910001548E-2</v>
      </c>
    </row>
    <row r="257" spans="1:19" x14ac:dyDescent="0.25">
      <c r="A257" s="9" t="s">
        <v>34</v>
      </c>
      <c r="B257" s="65">
        <v>5</v>
      </c>
      <c r="C257" t="s">
        <v>13</v>
      </c>
      <c r="D257" s="67">
        <v>44496</v>
      </c>
      <c r="E257" s="67">
        <v>45657</v>
      </c>
      <c r="F257" s="67">
        <v>45489</v>
      </c>
      <c r="G257" s="13">
        <f t="shared" si="39"/>
        <v>-168</v>
      </c>
      <c r="H257" s="13">
        <f t="shared" si="40"/>
        <v>993</v>
      </c>
      <c r="I257" s="73">
        <f t="shared" si="41"/>
        <v>2.231661272923402E-2</v>
      </c>
      <c r="J257" s="73">
        <f t="shared" si="42"/>
        <v>-3.6796110125500991E-3</v>
      </c>
      <c r="K257" s="72" t="str">
        <f t="shared" si="43"/>
        <v>KALIBENDA</v>
      </c>
      <c r="L257" s="72" t="str">
        <f t="shared" si="44"/>
        <v>FEBRUARY-5-KALIBENDA</v>
      </c>
      <c r="M257" s="73">
        <f t="shared" si="45"/>
        <v>0.11709997449956644</v>
      </c>
      <c r="N257" s="73">
        <f t="shared" si="46"/>
        <v>-1.1587744693673074E-2</v>
      </c>
      <c r="O257" s="13">
        <f t="shared" si="47"/>
        <v>1504511</v>
      </c>
      <c r="P257" s="13">
        <f t="shared" si="48"/>
        <v>1532581</v>
      </c>
      <c r="Q257" s="13">
        <f t="shared" si="49"/>
        <v>1515308</v>
      </c>
      <c r="R257" s="33">
        <f t="shared" si="50"/>
        <v>7.176418118578054E-3</v>
      </c>
      <c r="S257" s="33">
        <f t="shared" si="51"/>
        <v>-1.1270529910001548E-2</v>
      </c>
    </row>
    <row r="258" spans="1:19" x14ac:dyDescent="0.25">
      <c r="A258" s="9" t="s">
        <v>34</v>
      </c>
      <c r="B258" s="65">
        <v>5</v>
      </c>
      <c r="C258" t="s">
        <v>13</v>
      </c>
      <c r="D258" s="67">
        <v>7560</v>
      </c>
      <c r="E258" s="67">
        <v>7788</v>
      </c>
      <c r="F258" s="67">
        <v>7761</v>
      </c>
      <c r="G258" s="13">
        <f t="shared" ref="G258:G321" si="52">F258-E258</f>
        <v>-27</v>
      </c>
      <c r="H258" s="13">
        <f t="shared" ref="H258:H321" si="53">F258-D258</f>
        <v>201</v>
      </c>
      <c r="I258" s="73">
        <f t="shared" ref="I258:I321" si="54">F258/D258-1</f>
        <v>2.6587301587301493E-2</v>
      </c>
      <c r="J258" s="73">
        <f t="shared" ref="J258:J321" si="55">F258/E258-1</f>
        <v>-3.4668721109398781E-3</v>
      </c>
      <c r="K258" s="72" t="str">
        <f t="shared" ref="K258:K321" si="56">CLEAN(SUBSTITUTE(C258," ",""))</f>
        <v>KALIBENDA</v>
      </c>
      <c r="L258" s="72" t="str">
        <f t="shared" ref="L258:L321" si="57">A258&amp;"-"&amp;B258&amp;"-"&amp;K258</f>
        <v>FEBRUARY-5-KALIBENDA</v>
      </c>
      <c r="M258" s="73">
        <f t="shared" ref="M258:M321" si="58">SUMIF($L$2:$L$1396,L258,$I$2:$I$1396)</f>
        <v>0.11709997449956644</v>
      </c>
      <c r="N258" s="73">
        <f t="shared" ref="N258:N321" si="59">SUMIF($L$2:$L$1396,L258,$J$2:$J$1396)</f>
        <v>-1.1587744693673074E-2</v>
      </c>
      <c r="O258" s="13">
        <f t="shared" ref="O258:O321" si="60">SUMIF($A$2:$A$1396,A258,$D$2:$D$1396)</f>
        <v>1504511</v>
      </c>
      <c r="P258" s="13">
        <f t="shared" ref="P258:P321" si="61">SUMIF($A$2:$A$1396,A258,$E$2:$E$1396)</f>
        <v>1532581</v>
      </c>
      <c r="Q258" s="13">
        <f t="shared" ref="Q258:Q321" si="62">SUMIF($A$2:$A$1396,A258,$F$2:$F$1396)</f>
        <v>1515308</v>
      </c>
      <c r="R258" s="33">
        <f t="shared" ref="R258:R321" si="63">Q258/O258-1</f>
        <v>7.176418118578054E-3</v>
      </c>
      <c r="S258" s="33">
        <f t="shared" ref="S258:S321" si="64">Q258/P258-1</f>
        <v>-1.1270529910001548E-2</v>
      </c>
    </row>
    <row r="259" spans="1:19" x14ac:dyDescent="0.25">
      <c r="A259" s="9" t="s">
        <v>34</v>
      </c>
      <c r="B259" s="65">
        <v>5</v>
      </c>
      <c r="C259" t="s">
        <v>14</v>
      </c>
      <c r="D259" s="67">
        <v>23436</v>
      </c>
      <c r="E259" s="67">
        <v>23713</v>
      </c>
      <c r="F259" s="67">
        <v>22926</v>
      </c>
      <c r="G259" s="13">
        <f t="shared" si="52"/>
        <v>-787</v>
      </c>
      <c r="H259" s="13">
        <f t="shared" si="53"/>
        <v>-510</v>
      </c>
      <c r="I259" s="73">
        <f t="shared" si="54"/>
        <v>-2.1761392729134688E-2</v>
      </c>
      <c r="J259" s="73">
        <f t="shared" si="55"/>
        <v>-3.3188546366971661E-2</v>
      </c>
      <c r="K259" s="72" t="str">
        <f t="shared" si="56"/>
        <v>GM2</v>
      </c>
      <c r="L259" s="72" t="str">
        <f t="shared" si="57"/>
        <v>FEBRUARY-5-GM2</v>
      </c>
      <c r="M259" s="73">
        <f t="shared" si="58"/>
        <v>5.7912949800109192E-2</v>
      </c>
      <c r="N259" s="73">
        <f t="shared" si="59"/>
        <v>-0.28024167602584682</v>
      </c>
      <c r="O259" s="13">
        <f t="shared" si="60"/>
        <v>1504511</v>
      </c>
      <c r="P259" s="13">
        <f t="shared" si="61"/>
        <v>1532581</v>
      </c>
      <c r="Q259" s="13">
        <f t="shared" si="62"/>
        <v>1515308</v>
      </c>
      <c r="R259" s="33">
        <f t="shared" si="63"/>
        <v>7.176418118578054E-3</v>
      </c>
      <c r="S259" s="33">
        <f t="shared" si="64"/>
        <v>-1.1270529910001548E-2</v>
      </c>
    </row>
    <row r="260" spans="1:19" x14ac:dyDescent="0.25">
      <c r="A260" s="9" t="s">
        <v>34</v>
      </c>
      <c r="B260" s="65">
        <v>5</v>
      </c>
      <c r="C260" t="s">
        <v>14</v>
      </c>
      <c r="D260" s="67">
        <v>3996</v>
      </c>
      <c r="E260" s="67">
        <v>4094</v>
      </c>
      <c r="F260" s="67">
        <v>4029</v>
      </c>
      <c r="G260" s="13">
        <f t="shared" si="52"/>
        <v>-65</v>
      </c>
      <c r="H260" s="13">
        <f t="shared" si="53"/>
        <v>33</v>
      </c>
      <c r="I260" s="73">
        <f t="shared" si="54"/>
        <v>8.2582582582582109E-3</v>
      </c>
      <c r="J260" s="73">
        <f t="shared" si="55"/>
        <v>-1.5876893014167059E-2</v>
      </c>
      <c r="K260" s="72" t="str">
        <f t="shared" si="56"/>
        <v>GM2</v>
      </c>
      <c r="L260" s="72" t="str">
        <f t="shared" si="57"/>
        <v>FEBRUARY-5-GM2</v>
      </c>
      <c r="M260" s="73">
        <f t="shared" si="58"/>
        <v>5.7912949800109192E-2</v>
      </c>
      <c r="N260" s="73">
        <f t="shared" si="59"/>
        <v>-0.28024167602584682</v>
      </c>
      <c r="O260" s="13">
        <f t="shared" si="60"/>
        <v>1504511</v>
      </c>
      <c r="P260" s="13">
        <f t="shared" si="61"/>
        <v>1532581</v>
      </c>
      <c r="Q260" s="13">
        <f t="shared" si="62"/>
        <v>1515308</v>
      </c>
      <c r="R260" s="33">
        <f t="shared" si="63"/>
        <v>7.176418118578054E-3</v>
      </c>
      <c r="S260" s="33">
        <f t="shared" si="64"/>
        <v>-1.1270529910001548E-2</v>
      </c>
    </row>
    <row r="261" spans="1:19" x14ac:dyDescent="0.25">
      <c r="A261" s="9" t="s">
        <v>34</v>
      </c>
      <c r="B261" s="65">
        <v>5</v>
      </c>
      <c r="C261" t="s">
        <v>14</v>
      </c>
      <c r="D261" s="67">
        <v>44172</v>
      </c>
      <c r="E261" s="67">
        <v>44910</v>
      </c>
      <c r="F261" s="67">
        <v>44205</v>
      </c>
      <c r="G261" s="13">
        <f t="shared" si="52"/>
        <v>-705</v>
      </c>
      <c r="H261" s="13">
        <f t="shared" si="53"/>
        <v>33</v>
      </c>
      <c r="I261" s="73">
        <f t="shared" si="54"/>
        <v>7.4707959793540724E-4</v>
      </c>
      <c r="J261" s="73">
        <f t="shared" si="55"/>
        <v>-1.5698062792251166E-2</v>
      </c>
      <c r="K261" s="72" t="str">
        <f t="shared" si="56"/>
        <v>GM2</v>
      </c>
      <c r="L261" s="72" t="str">
        <f t="shared" si="57"/>
        <v>FEBRUARY-5-GM2</v>
      </c>
      <c r="M261" s="73">
        <f t="shared" si="58"/>
        <v>5.7912949800109192E-2</v>
      </c>
      <c r="N261" s="73">
        <f t="shared" si="59"/>
        <v>-0.28024167602584682</v>
      </c>
      <c r="O261" s="13">
        <f t="shared" si="60"/>
        <v>1504511</v>
      </c>
      <c r="P261" s="13">
        <f t="shared" si="61"/>
        <v>1532581</v>
      </c>
      <c r="Q261" s="13">
        <f t="shared" si="62"/>
        <v>1515308</v>
      </c>
      <c r="R261" s="33">
        <f t="shared" si="63"/>
        <v>7.176418118578054E-3</v>
      </c>
      <c r="S261" s="33">
        <f t="shared" si="64"/>
        <v>-1.1270529910001548E-2</v>
      </c>
    </row>
    <row r="262" spans="1:19" x14ac:dyDescent="0.25">
      <c r="A262" s="9" t="s">
        <v>34</v>
      </c>
      <c r="B262" s="65">
        <v>5</v>
      </c>
      <c r="C262" t="s">
        <v>14</v>
      </c>
      <c r="D262" s="67">
        <v>7452</v>
      </c>
      <c r="E262" s="67">
        <v>7639</v>
      </c>
      <c r="F262" s="67">
        <v>7503</v>
      </c>
      <c r="G262" s="13">
        <f t="shared" si="52"/>
        <v>-136</v>
      </c>
      <c r="H262" s="13">
        <f t="shared" si="53"/>
        <v>51</v>
      </c>
      <c r="I262" s="73">
        <f t="shared" si="54"/>
        <v>6.843800322061222E-3</v>
      </c>
      <c r="J262" s="73">
        <f t="shared" si="55"/>
        <v>-1.7803377405419596E-2</v>
      </c>
      <c r="K262" s="72" t="str">
        <f t="shared" si="56"/>
        <v>GM2</v>
      </c>
      <c r="L262" s="72" t="str">
        <f t="shared" si="57"/>
        <v>FEBRUARY-5-GM2</v>
      </c>
      <c r="M262" s="73">
        <f t="shared" si="58"/>
        <v>5.7912949800109192E-2</v>
      </c>
      <c r="N262" s="73">
        <f t="shared" si="59"/>
        <v>-0.28024167602584682</v>
      </c>
      <c r="O262" s="13">
        <f t="shared" si="60"/>
        <v>1504511</v>
      </c>
      <c r="P262" s="13">
        <f t="shared" si="61"/>
        <v>1532581</v>
      </c>
      <c r="Q262" s="13">
        <f t="shared" si="62"/>
        <v>1515308</v>
      </c>
      <c r="R262" s="33">
        <f t="shared" si="63"/>
        <v>7.176418118578054E-3</v>
      </c>
      <c r="S262" s="33">
        <f t="shared" si="64"/>
        <v>-1.1270529910001548E-2</v>
      </c>
    </row>
    <row r="263" spans="1:19" x14ac:dyDescent="0.25">
      <c r="A263" s="9" t="s">
        <v>34</v>
      </c>
      <c r="B263" s="65">
        <v>5</v>
      </c>
      <c r="C263" t="s">
        <v>11</v>
      </c>
      <c r="D263" s="67">
        <v>5760</v>
      </c>
      <c r="E263" s="67">
        <v>5876</v>
      </c>
      <c r="F263" s="67">
        <v>5876</v>
      </c>
      <c r="G263" s="13">
        <f t="shared" si="52"/>
        <v>0</v>
      </c>
      <c r="H263" s="13">
        <f t="shared" si="53"/>
        <v>116</v>
      </c>
      <c r="I263" s="73">
        <f t="shared" si="54"/>
        <v>2.0138888888888928E-2</v>
      </c>
      <c r="J263" s="73">
        <f t="shared" si="55"/>
        <v>0</v>
      </c>
      <c r="K263" s="72" t="str">
        <f t="shared" si="56"/>
        <v>MAJA1</v>
      </c>
      <c r="L263" s="72" t="str">
        <f t="shared" si="57"/>
        <v>FEBRUARY-5-MAJA1</v>
      </c>
      <c r="M263" s="73">
        <f t="shared" si="58"/>
        <v>8.0072463768115831E-2</v>
      </c>
      <c r="N263" s="73">
        <f t="shared" si="59"/>
        <v>-3.8194481553288084E-2</v>
      </c>
      <c r="O263" s="13">
        <f t="shared" si="60"/>
        <v>1504511</v>
      </c>
      <c r="P263" s="13">
        <f t="shared" si="61"/>
        <v>1532581</v>
      </c>
      <c r="Q263" s="13">
        <f t="shared" si="62"/>
        <v>1515308</v>
      </c>
      <c r="R263" s="33">
        <f t="shared" si="63"/>
        <v>7.176418118578054E-3</v>
      </c>
      <c r="S263" s="33">
        <f t="shared" si="64"/>
        <v>-1.1270529910001548E-2</v>
      </c>
    </row>
    <row r="264" spans="1:19" x14ac:dyDescent="0.25">
      <c r="A264" s="9" t="s">
        <v>34</v>
      </c>
      <c r="B264" s="65">
        <v>5</v>
      </c>
      <c r="C264" t="s">
        <v>11</v>
      </c>
      <c r="D264" s="67">
        <v>5760</v>
      </c>
      <c r="E264" s="67">
        <v>5876</v>
      </c>
      <c r="F264" s="67">
        <v>5876</v>
      </c>
      <c r="G264" s="13">
        <f t="shared" si="52"/>
        <v>0</v>
      </c>
      <c r="H264" s="13">
        <f t="shared" si="53"/>
        <v>116</v>
      </c>
      <c r="I264" s="73">
        <f t="shared" si="54"/>
        <v>2.0138888888888928E-2</v>
      </c>
      <c r="J264" s="73">
        <f t="shared" si="55"/>
        <v>0</v>
      </c>
      <c r="K264" s="72" t="str">
        <f t="shared" si="56"/>
        <v>MAJA1</v>
      </c>
      <c r="L264" s="72" t="str">
        <f t="shared" si="57"/>
        <v>FEBRUARY-5-MAJA1</v>
      </c>
      <c r="M264" s="73">
        <f t="shared" si="58"/>
        <v>8.0072463768115831E-2</v>
      </c>
      <c r="N264" s="73">
        <f t="shared" si="59"/>
        <v>-3.8194481553288084E-2</v>
      </c>
      <c r="O264" s="13">
        <f t="shared" si="60"/>
        <v>1504511</v>
      </c>
      <c r="P264" s="13">
        <f t="shared" si="61"/>
        <v>1532581</v>
      </c>
      <c r="Q264" s="13">
        <f t="shared" si="62"/>
        <v>1515308</v>
      </c>
      <c r="R264" s="33">
        <f t="shared" si="63"/>
        <v>7.176418118578054E-3</v>
      </c>
      <c r="S264" s="33">
        <f t="shared" si="64"/>
        <v>-1.1270529910001548E-2</v>
      </c>
    </row>
    <row r="265" spans="1:19" x14ac:dyDescent="0.25">
      <c r="A265" s="9" t="s">
        <v>34</v>
      </c>
      <c r="B265" s="65">
        <v>5</v>
      </c>
      <c r="C265" t="s">
        <v>11</v>
      </c>
      <c r="D265" s="67">
        <v>5760</v>
      </c>
      <c r="E265" s="67">
        <v>5961</v>
      </c>
      <c r="F265" s="67">
        <v>5896</v>
      </c>
      <c r="G265" s="13">
        <f t="shared" si="52"/>
        <v>-65</v>
      </c>
      <c r="H265" s="13">
        <f t="shared" si="53"/>
        <v>136</v>
      </c>
      <c r="I265" s="73">
        <f t="shared" si="54"/>
        <v>2.3611111111111027E-2</v>
      </c>
      <c r="J265" s="73">
        <f t="shared" si="55"/>
        <v>-1.0904210702902151E-2</v>
      </c>
      <c r="K265" s="72" t="str">
        <f t="shared" si="56"/>
        <v>MAJA1</v>
      </c>
      <c r="L265" s="72" t="str">
        <f t="shared" si="57"/>
        <v>FEBRUARY-5-MAJA1</v>
      </c>
      <c r="M265" s="73">
        <f t="shared" si="58"/>
        <v>8.0072463768115831E-2</v>
      </c>
      <c r="N265" s="73">
        <f t="shared" si="59"/>
        <v>-3.8194481553288084E-2</v>
      </c>
      <c r="O265" s="13">
        <f t="shared" si="60"/>
        <v>1504511</v>
      </c>
      <c r="P265" s="13">
        <f t="shared" si="61"/>
        <v>1532581</v>
      </c>
      <c r="Q265" s="13">
        <f t="shared" si="62"/>
        <v>1515308</v>
      </c>
      <c r="R265" s="33">
        <f t="shared" si="63"/>
        <v>7.176418118578054E-3</v>
      </c>
      <c r="S265" s="33">
        <f t="shared" si="64"/>
        <v>-1.1270529910001548E-2</v>
      </c>
    </row>
    <row r="266" spans="1:19" x14ac:dyDescent="0.25">
      <c r="A266" s="9" t="s">
        <v>34</v>
      </c>
      <c r="B266" s="65">
        <v>5</v>
      </c>
      <c r="C266" t="s">
        <v>11</v>
      </c>
      <c r="D266" s="67">
        <v>33120</v>
      </c>
      <c r="E266" s="67">
        <v>33912</v>
      </c>
      <c r="F266" s="67">
        <v>33656</v>
      </c>
      <c r="G266" s="13">
        <f t="shared" si="52"/>
        <v>-256</v>
      </c>
      <c r="H266" s="13">
        <f t="shared" si="53"/>
        <v>536</v>
      </c>
      <c r="I266" s="73">
        <f t="shared" si="54"/>
        <v>1.6183574879226947E-2</v>
      </c>
      <c r="J266" s="73">
        <f t="shared" si="55"/>
        <v>-7.5489502241095074E-3</v>
      </c>
      <c r="K266" s="72" t="str">
        <f t="shared" si="56"/>
        <v>MAJA1</v>
      </c>
      <c r="L266" s="72" t="str">
        <f t="shared" si="57"/>
        <v>FEBRUARY-5-MAJA1</v>
      </c>
      <c r="M266" s="73">
        <f t="shared" si="58"/>
        <v>8.0072463768115831E-2</v>
      </c>
      <c r="N266" s="73">
        <f t="shared" si="59"/>
        <v>-3.8194481553288084E-2</v>
      </c>
      <c r="O266" s="13">
        <f t="shared" si="60"/>
        <v>1504511</v>
      </c>
      <c r="P266" s="13">
        <f t="shared" si="61"/>
        <v>1532581</v>
      </c>
      <c r="Q266" s="13">
        <f t="shared" si="62"/>
        <v>1515308</v>
      </c>
      <c r="R266" s="33">
        <f t="shared" si="63"/>
        <v>7.176418118578054E-3</v>
      </c>
      <c r="S266" s="33">
        <f t="shared" si="64"/>
        <v>-1.1270529910001548E-2</v>
      </c>
    </row>
    <row r="267" spans="1:19" x14ac:dyDescent="0.25">
      <c r="A267" s="9" t="s">
        <v>34</v>
      </c>
      <c r="B267" s="65">
        <v>5</v>
      </c>
      <c r="C267" t="s">
        <v>11</v>
      </c>
      <c r="D267" s="67">
        <v>5760</v>
      </c>
      <c r="E267" s="67">
        <v>5876</v>
      </c>
      <c r="F267" s="67">
        <v>5760</v>
      </c>
      <c r="G267" s="13">
        <f t="shared" si="52"/>
        <v>-116</v>
      </c>
      <c r="H267" s="13">
        <f t="shared" si="53"/>
        <v>0</v>
      </c>
      <c r="I267" s="73">
        <f t="shared" si="54"/>
        <v>0</v>
      </c>
      <c r="J267" s="73">
        <f t="shared" si="55"/>
        <v>-1.9741320626276426E-2</v>
      </c>
      <c r="K267" s="72" t="str">
        <f t="shared" si="56"/>
        <v>MAJA1</v>
      </c>
      <c r="L267" s="72" t="str">
        <f t="shared" si="57"/>
        <v>FEBRUARY-5-MAJA1</v>
      </c>
      <c r="M267" s="73">
        <f t="shared" si="58"/>
        <v>8.0072463768115831E-2</v>
      </c>
      <c r="N267" s="73">
        <f t="shared" si="59"/>
        <v>-3.8194481553288084E-2</v>
      </c>
      <c r="O267" s="13">
        <f t="shared" si="60"/>
        <v>1504511</v>
      </c>
      <c r="P267" s="13">
        <f t="shared" si="61"/>
        <v>1532581</v>
      </c>
      <c r="Q267" s="13">
        <f t="shared" si="62"/>
        <v>1515308</v>
      </c>
      <c r="R267" s="33">
        <f t="shared" si="63"/>
        <v>7.176418118578054E-3</v>
      </c>
      <c r="S267" s="33">
        <f t="shared" si="64"/>
        <v>-1.1270529910001548E-2</v>
      </c>
    </row>
    <row r="268" spans="1:19" x14ac:dyDescent="0.25">
      <c r="A268" s="9" t="s">
        <v>34</v>
      </c>
      <c r="B268" s="65">
        <v>5</v>
      </c>
      <c r="C268" t="s">
        <v>14</v>
      </c>
      <c r="D268" s="67">
        <v>33984</v>
      </c>
      <c r="E268" s="67">
        <v>35075</v>
      </c>
      <c r="F268" s="67">
        <v>33984</v>
      </c>
      <c r="G268" s="13">
        <f t="shared" si="52"/>
        <v>-1091</v>
      </c>
      <c r="H268" s="13">
        <f t="shared" si="53"/>
        <v>0</v>
      </c>
      <c r="I268" s="73">
        <f t="shared" si="54"/>
        <v>0</v>
      </c>
      <c r="J268" s="73">
        <f t="shared" si="55"/>
        <v>-3.1104775481111901E-2</v>
      </c>
      <c r="K268" s="72" t="str">
        <f t="shared" si="56"/>
        <v>GM2</v>
      </c>
      <c r="L268" s="72" t="str">
        <f t="shared" si="57"/>
        <v>FEBRUARY-5-GM2</v>
      </c>
      <c r="M268" s="73">
        <f t="shared" si="58"/>
        <v>5.7912949800109192E-2</v>
      </c>
      <c r="N268" s="73">
        <f t="shared" si="59"/>
        <v>-0.28024167602584682</v>
      </c>
      <c r="O268" s="13">
        <f t="shared" si="60"/>
        <v>1504511</v>
      </c>
      <c r="P268" s="13">
        <f t="shared" si="61"/>
        <v>1532581</v>
      </c>
      <c r="Q268" s="13">
        <f t="shared" si="62"/>
        <v>1515308</v>
      </c>
      <c r="R268" s="33">
        <f t="shared" si="63"/>
        <v>7.176418118578054E-3</v>
      </c>
      <c r="S268" s="33">
        <f t="shared" si="64"/>
        <v>-1.1270529910001548E-2</v>
      </c>
    </row>
    <row r="269" spans="1:19" x14ac:dyDescent="0.25">
      <c r="A269" s="9" t="s">
        <v>34</v>
      </c>
      <c r="B269" s="65">
        <v>5</v>
      </c>
      <c r="C269" t="s">
        <v>14</v>
      </c>
      <c r="D269" s="67">
        <v>5760</v>
      </c>
      <c r="E269" s="67">
        <v>5994</v>
      </c>
      <c r="F269" s="67">
        <v>5760</v>
      </c>
      <c r="G269" s="13">
        <f t="shared" si="52"/>
        <v>-234</v>
      </c>
      <c r="H269" s="13">
        <f t="shared" si="53"/>
        <v>0</v>
      </c>
      <c r="I269" s="73">
        <f t="shared" si="54"/>
        <v>0</v>
      </c>
      <c r="J269" s="73">
        <f t="shared" si="55"/>
        <v>-3.9039039039039047E-2</v>
      </c>
      <c r="K269" s="72" t="str">
        <f t="shared" si="56"/>
        <v>GM2</v>
      </c>
      <c r="L269" s="72" t="str">
        <f t="shared" si="57"/>
        <v>FEBRUARY-5-GM2</v>
      </c>
      <c r="M269" s="73">
        <f t="shared" si="58"/>
        <v>5.7912949800109192E-2</v>
      </c>
      <c r="N269" s="73">
        <f t="shared" si="59"/>
        <v>-0.28024167602584682</v>
      </c>
      <c r="O269" s="13">
        <f t="shared" si="60"/>
        <v>1504511</v>
      </c>
      <c r="P269" s="13">
        <f t="shared" si="61"/>
        <v>1532581</v>
      </c>
      <c r="Q269" s="13">
        <f t="shared" si="62"/>
        <v>1515308</v>
      </c>
      <c r="R269" s="33">
        <f t="shared" si="63"/>
        <v>7.176418118578054E-3</v>
      </c>
      <c r="S269" s="33">
        <f t="shared" si="64"/>
        <v>-1.1270529910001548E-2</v>
      </c>
    </row>
    <row r="270" spans="1:19" x14ac:dyDescent="0.25">
      <c r="A270" s="9" t="s">
        <v>34</v>
      </c>
      <c r="B270" s="65">
        <v>5</v>
      </c>
      <c r="C270" t="s">
        <v>13</v>
      </c>
      <c r="D270" s="67">
        <v>66312</v>
      </c>
      <c r="E270" s="67">
        <v>68303</v>
      </c>
      <c r="F270" s="67">
        <v>68187</v>
      </c>
      <c r="G270" s="13">
        <f t="shared" si="52"/>
        <v>-116</v>
      </c>
      <c r="H270" s="13">
        <f t="shared" si="53"/>
        <v>1875</v>
      </c>
      <c r="I270" s="73">
        <f t="shared" si="54"/>
        <v>2.8275425262396015E-2</v>
      </c>
      <c r="J270" s="73">
        <f t="shared" si="55"/>
        <v>-1.6983148617191191E-3</v>
      </c>
      <c r="K270" s="72" t="str">
        <f t="shared" si="56"/>
        <v>KALIBENDA</v>
      </c>
      <c r="L270" s="72" t="str">
        <f t="shared" si="57"/>
        <v>FEBRUARY-5-KALIBENDA</v>
      </c>
      <c r="M270" s="73">
        <f t="shared" si="58"/>
        <v>0.11709997449956644</v>
      </c>
      <c r="N270" s="73">
        <f t="shared" si="59"/>
        <v>-1.1587744693673074E-2</v>
      </c>
      <c r="O270" s="13">
        <f t="shared" si="60"/>
        <v>1504511</v>
      </c>
      <c r="P270" s="13">
        <f t="shared" si="61"/>
        <v>1532581</v>
      </c>
      <c r="Q270" s="13">
        <f t="shared" si="62"/>
        <v>1515308</v>
      </c>
      <c r="R270" s="33">
        <f t="shared" si="63"/>
        <v>7.176418118578054E-3</v>
      </c>
      <c r="S270" s="33">
        <f t="shared" si="64"/>
        <v>-1.1270529910001548E-2</v>
      </c>
    </row>
    <row r="271" spans="1:19" x14ac:dyDescent="0.25">
      <c r="A271" s="9" t="s">
        <v>34</v>
      </c>
      <c r="B271" s="65">
        <v>5</v>
      </c>
      <c r="C271" t="s">
        <v>13</v>
      </c>
      <c r="D271" s="67">
        <v>2700</v>
      </c>
      <c r="E271" s="67">
        <v>2781</v>
      </c>
      <c r="F271" s="67">
        <v>2781</v>
      </c>
      <c r="G271" s="13">
        <f t="shared" si="52"/>
        <v>0</v>
      </c>
      <c r="H271" s="13">
        <f t="shared" si="53"/>
        <v>81</v>
      </c>
      <c r="I271" s="73">
        <f t="shared" si="54"/>
        <v>3.0000000000000027E-2</v>
      </c>
      <c r="J271" s="73">
        <f t="shared" si="55"/>
        <v>0</v>
      </c>
      <c r="K271" s="72" t="str">
        <f t="shared" si="56"/>
        <v>KALIBENDA</v>
      </c>
      <c r="L271" s="72" t="str">
        <f t="shared" si="57"/>
        <v>FEBRUARY-5-KALIBENDA</v>
      </c>
      <c r="M271" s="73">
        <f t="shared" si="58"/>
        <v>0.11709997449956644</v>
      </c>
      <c r="N271" s="73">
        <f t="shared" si="59"/>
        <v>-1.1587744693673074E-2</v>
      </c>
      <c r="O271" s="13">
        <f t="shared" si="60"/>
        <v>1504511</v>
      </c>
      <c r="P271" s="13">
        <f t="shared" si="61"/>
        <v>1532581</v>
      </c>
      <c r="Q271" s="13">
        <f t="shared" si="62"/>
        <v>1515308</v>
      </c>
      <c r="R271" s="33">
        <f t="shared" si="63"/>
        <v>7.176418118578054E-3</v>
      </c>
      <c r="S271" s="33">
        <f t="shared" si="64"/>
        <v>-1.1270529910001548E-2</v>
      </c>
    </row>
    <row r="272" spans="1:19" x14ac:dyDescent="0.25">
      <c r="A272" s="9" t="s">
        <v>34</v>
      </c>
      <c r="B272" s="65">
        <v>5</v>
      </c>
      <c r="C272" t="s">
        <v>14</v>
      </c>
      <c r="D272" s="67">
        <v>17280</v>
      </c>
      <c r="E272" s="67">
        <v>17803</v>
      </c>
      <c r="F272" s="67">
        <v>17280</v>
      </c>
      <c r="G272" s="13">
        <f t="shared" si="52"/>
        <v>-523</v>
      </c>
      <c r="H272" s="13">
        <f t="shared" si="53"/>
        <v>0</v>
      </c>
      <c r="I272" s="73">
        <f t="shared" si="54"/>
        <v>0</v>
      </c>
      <c r="J272" s="73">
        <f t="shared" si="55"/>
        <v>-2.9377071280121347E-2</v>
      </c>
      <c r="K272" s="72" t="str">
        <f t="shared" si="56"/>
        <v>GM2</v>
      </c>
      <c r="L272" s="72" t="str">
        <f t="shared" si="57"/>
        <v>FEBRUARY-5-GM2</v>
      </c>
      <c r="M272" s="73">
        <f t="shared" si="58"/>
        <v>5.7912949800109192E-2</v>
      </c>
      <c r="N272" s="73">
        <f t="shared" si="59"/>
        <v>-0.28024167602584682</v>
      </c>
      <c r="O272" s="13">
        <f t="shared" si="60"/>
        <v>1504511</v>
      </c>
      <c r="P272" s="13">
        <f t="shared" si="61"/>
        <v>1532581</v>
      </c>
      <c r="Q272" s="13">
        <f t="shared" si="62"/>
        <v>1515308</v>
      </c>
      <c r="R272" s="33">
        <f t="shared" si="63"/>
        <v>7.176418118578054E-3</v>
      </c>
      <c r="S272" s="33">
        <f t="shared" si="64"/>
        <v>-1.1270529910001548E-2</v>
      </c>
    </row>
    <row r="273" spans="1:19" x14ac:dyDescent="0.25">
      <c r="A273" s="9" t="s">
        <v>34</v>
      </c>
      <c r="B273" s="65">
        <v>5</v>
      </c>
      <c r="C273" t="s">
        <v>14</v>
      </c>
      <c r="D273" s="67">
        <v>1080</v>
      </c>
      <c r="E273" s="67">
        <v>1119</v>
      </c>
      <c r="F273" s="67">
        <v>1113</v>
      </c>
      <c r="G273" s="13">
        <f t="shared" si="52"/>
        <v>-6</v>
      </c>
      <c r="H273" s="13">
        <f t="shared" si="53"/>
        <v>33</v>
      </c>
      <c r="I273" s="73">
        <f t="shared" si="54"/>
        <v>3.0555555555555447E-2</v>
      </c>
      <c r="J273" s="73">
        <f t="shared" si="55"/>
        <v>-5.3619302949061698E-3</v>
      </c>
      <c r="K273" s="72" t="str">
        <f t="shared" si="56"/>
        <v>GM2</v>
      </c>
      <c r="L273" s="72" t="str">
        <f t="shared" si="57"/>
        <v>FEBRUARY-5-GM2</v>
      </c>
      <c r="M273" s="73">
        <f t="shared" si="58"/>
        <v>5.7912949800109192E-2</v>
      </c>
      <c r="N273" s="73">
        <f t="shared" si="59"/>
        <v>-0.28024167602584682</v>
      </c>
      <c r="O273" s="13">
        <f t="shared" si="60"/>
        <v>1504511</v>
      </c>
      <c r="P273" s="13">
        <f t="shared" si="61"/>
        <v>1532581</v>
      </c>
      <c r="Q273" s="13">
        <f t="shared" si="62"/>
        <v>1515308</v>
      </c>
      <c r="R273" s="33">
        <f t="shared" si="63"/>
        <v>7.176418118578054E-3</v>
      </c>
      <c r="S273" s="33">
        <f t="shared" si="64"/>
        <v>-1.1270529910001548E-2</v>
      </c>
    </row>
    <row r="274" spans="1:19" x14ac:dyDescent="0.25">
      <c r="A274" s="9" t="s">
        <v>34</v>
      </c>
      <c r="B274" s="65">
        <v>5</v>
      </c>
      <c r="C274" t="s">
        <v>14</v>
      </c>
      <c r="D274" s="67">
        <v>8964</v>
      </c>
      <c r="E274" s="67">
        <v>9240</v>
      </c>
      <c r="F274" s="67">
        <v>8964</v>
      </c>
      <c r="G274" s="13">
        <f t="shared" si="52"/>
        <v>-276</v>
      </c>
      <c r="H274" s="13">
        <f t="shared" si="53"/>
        <v>0</v>
      </c>
      <c r="I274" s="73">
        <f t="shared" si="54"/>
        <v>0</v>
      </c>
      <c r="J274" s="73">
        <f t="shared" si="55"/>
        <v>-2.9870129870129825E-2</v>
      </c>
      <c r="K274" s="72" t="str">
        <f t="shared" si="56"/>
        <v>GM2</v>
      </c>
      <c r="L274" s="72" t="str">
        <f t="shared" si="57"/>
        <v>FEBRUARY-5-GM2</v>
      </c>
      <c r="M274" s="73">
        <f t="shared" si="58"/>
        <v>5.7912949800109192E-2</v>
      </c>
      <c r="N274" s="73">
        <f t="shared" si="59"/>
        <v>-0.28024167602584682</v>
      </c>
      <c r="O274" s="13">
        <f t="shared" si="60"/>
        <v>1504511</v>
      </c>
      <c r="P274" s="13">
        <f t="shared" si="61"/>
        <v>1532581</v>
      </c>
      <c r="Q274" s="13">
        <f t="shared" si="62"/>
        <v>1515308</v>
      </c>
      <c r="R274" s="33">
        <f t="shared" si="63"/>
        <v>7.176418118578054E-3</v>
      </c>
      <c r="S274" s="33">
        <f t="shared" si="64"/>
        <v>-1.1270529910001548E-2</v>
      </c>
    </row>
    <row r="275" spans="1:19" x14ac:dyDescent="0.25">
      <c r="A275" s="9" t="s">
        <v>34</v>
      </c>
      <c r="B275" s="65">
        <v>5</v>
      </c>
      <c r="C275" t="s">
        <v>14</v>
      </c>
      <c r="D275" s="67">
        <v>6048</v>
      </c>
      <c r="E275" s="67">
        <v>6243</v>
      </c>
      <c r="F275" s="67">
        <v>6048</v>
      </c>
      <c r="G275" s="13">
        <f t="shared" si="52"/>
        <v>-195</v>
      </c>
      <c r="H275" s="13">
        <f t="shared" si="53"/>
        <v>0</v>
      </c>
      <c r="I275" s="73">
        <f t="shared" si="54"/>
        <v>0</v>
      </c>
      <c r="J275" s="73">
        <f t="shared" si="55"/>
        <v>-3.1234983181162912E-2</v>
      </c>
      <c r="K275" s="72" t="str">
        <f t="shared" si="56"/>
        <v>GM2</v>
      </c>
      <c r="L275" s="72" t="str">
        <f t="shared" si="57"/>
        <v>FEBRUARY-5-GM2</v>
      </c>
      <c r="M275" s="73">
        <f t="shared" si="58"/>
        <v>5.7912949800109192E-2</v>
      </c>
      <c r="N275" s="73">
        <f t="shared" si="59"/>
        <v>-0.28024167602584682</v>
      </c>
      <c r="O275" s="13">
        <f t="shared" si="60"/>
        <v>1504511</v>
      </c>
      <c r="P275" s="13">
        <f t="shared" si="61"/>
        <v>1532581</v>
      </c>
      <c r="Q275" s="13">
        <f t="shared" si="62"/>
        <v>1515308</v>
      </c>
      <c r="R275" s="33">
        <f t="shared" si="63"/>
        <v>7.176418118578054E-3</v>
      </c>
      <c r="S275" s="33">
        <f t="shared" si="64"/>
        <v>-1.1270529910001548E-2</v>
      </c>
    </row>
    <row r="276" spans="1:19" x14ac:dyDescent="0.25">
      <c r="A276" s="9" t="s">
        <v>34</v>
      </c>
      <c r="B276" s="65">
        <v>5</v>
      </c>
      <c r="C276" t="s">
        <v>14</v>
      </c>
      <c r="D276" s="67">
        <v>1080</v>
      </c>
      <c r="E276" s="67">
        <v>1116</v>
      </c>
      <c r="F276" s="67">
        <v>1107</v>
      </c>
      <c r="G276" s="13">
        <f t="shared" si="52"/>
        <v>-9</v>
      </c>
      <c r="H276" s="13">
        <f t="shared" si="53"/>
        <v>27</v>
      </c>
      <c r="I276" s="73">
        <f t="shared" si="54"/>
        <v>2.4999999999999911E-2</v>
      </c>
      <c r="J276" s="73">
        <f t="shared" si="55"/>
        <v>-8.0645161290322509E-3</v>
      </c>
      <c r="K276" s="72" t="str">
        <f t="shared" si="56"/>
        <v>GM2</v>
      </c>
      <c r="L276" s="72" t="str">
        <f t="shared" si="57"/>
        <v>FEBRUARY-5-GM2</v>
      </c>
      <c r="M276" s="73">
        <f t="shared" si="58"/>
        <v>5.7912949800109192E-2</v>
      </c>
      <c r="N276" s="73">
        <f t="shared" si="59"/>
        <v>-0.28024167602584682</v>
      </c>
      <c r="O276" s="13">
        <f t="shared" si="60"/>
        <v>1504511</v>
      </c>
      <c r="P276" s="13">
        <f t="shared" si="61"/>
        <v>1532581</v>
      </c>
      <c r="Q276" s="13">
        <f t="shared" si="62"/>
        <v>1515308</v>
      </c>
      <c r="R276" s="33">
        <f t="shared" si="63"/>
        <v>7.176418118578054E-3</v>
      </c>
      <c r="S276" s="33">
        <f t="shared" si="64"/>
        <v>-1.1270529910001548E-2</v>
      </c>
    </row>
    <row r="277" spans="1:19" x14ac:dyDescent="0.25">
      <c r="A277" s="9" t="s">
        <v>34</v>
      </c>
      <c r="B277" s="65">
        <v>5</v>
      </c>
      <c r="C277" t="s">
        <v>14</v>
      </c>
      <c r="D277" s="67">
        <v>39852</v>
      </c>
      <c r="E277" s="67">
        <v>40699</v>
      </c>
      <c r="F277" s="67">
        <v>40494</v>
      </c>
      <c r="G277" s="13">
        <f t="shared" si="52"/>
        <v>-205</v>
      </c>
      <c r="H277" s="13">
        <f t="shared" si="53"/>
        <v>642</v>
      </c>
      <c r="I277" s="73">
        <f t="shared" si="54"/>
        <v>1.6109605540499894E-2</v>
      </c>
      <c r="J277" s="73">
        <f t="shared" si="55"/>
        <v>-5.0369787955477641E-3</v>
      </c>
      <c r="K277" s="72" t="str">
        <f t="shared" si="56"/>
        <v>GM2</v>
      </c>
      <c r="L277" s="72" t="str">
        <f t="shared" si="57"/>
        <v>FEBRUARY-5-GM2</v>
      </c>
      <c r="M277" s="73">
        <f t="shared" si="58"/>
        <v>5.7912949800109192E-2</v>
      </c>
      <c r="N277" s="73">
        <f t="shared" si="59"/>
        <v>-0.28024167602584682</v>
      </c>
      <c r="O277" s="13">
        <f t="shared" si="60"/>
        <v>1504511</v>
      </c>
      <c r="P277" s="13">
        <f t="shared" si="61"/>
        <v>1532581</v>
      </c>
      <c r="Q277" s="13">
        <f t="shared" si="62"/>
        <v>1515308</v>
      </c>
      <c r="R277" s="33">
        <f t="shared" si="63"/>
        <v>7.176418118578054E-3</v>
      </c>
      <c r="S277" s="33">
        <f t="shared" si="64"/>
        <v>-1.1270529910001548E-2</v>
      </c>
    </row>
    <row r="278" spans="1:19" x14ac:dyDescent="0.25">
      <c r="A278" s="9" t="s">
        <v>34</v>
      </c>
      <c r="B278" s="65">
        <v>5</v>
      </c>
      <c r="C278" t="s">
        <v>14</v>
      </c>
      <c r="D278" s="67">
        <v>44388</v>
      </c>
      <c r="E278" s="67">
        <v>44874</v>
      </c>
      <c r="F278" s="67">
        <v>44040</v>
      </c>
      <c r="G278" s="13">
        <f t="shared" si="52"/>
        <v>-834</v>
      </c>
      <c r="H278" s="13">
        <f t="shared" si="53"/>
        <v>-348</v>
      </c>
      <c r="I278" s="73">
        <f t="shared" si="54"/>
        <v>-7.8399567450662122E-3</v>
      </c>
      <c r="J278" s="73">
        <f t="shared" si="55"/>
        <v>-1.858537237598612E-2</v>
      </c>
      <c r="K278" s="72" t="str">
        <f t="shared" si="56"/>
        <v>GM2</v>
      </c>
      <c r="L278" s="72" t="str">
        <f t="shared" si="57"/>
        <v>FEBRUARY-5-GM2</v>
      </c>
      <c r="M278" s="73">
        <f t="shared" si="58"/>
        <v>5.7912949800109192E-2</v>
      </c>
      <c r="N278" s="73">
        <f t="shared" si="59"/>
        <v>-0.28024167602584682</v>
      </c>
      <c r="O278" s="13">
        <f t="shared" si="60"/>
        <v>1504511</v>
      </c>
      <c r="P278" s="13">
        <f t="shared" si="61"/>
        <v>1532581</v>
      </c>
      <c r="Q278" s="13">
        <f t="shared" si="62"/>
        <v>1515308</v>
      </c>
      <c r="R278" s="33">
        <f t="shared" si="63"/>
        <v>7.176418118578054E-3</v>
      </c>
      <c r="S278" s="33">
        <f t="shared" si="64"/>
        <v>-1.1270529910001548E-2</v>
      </c>
    </row>
    <row r="279" spans="1:19" x14ac:dyDescent="0.25">
      <c r="A279" t="s">
        <v>37</v>
      </c>
      <c r="B279" s="65">
        <v>1</v>
      </c>
      <c r="C279" t="s">
        <v>10</v>
      </c>
      <c r="D279" s="67">
        <v>3790</v>
      </c>
      <c r="E279" s="67">
        <v>3790</v>
      </c>
      <c r="F279" s="67">
        <v>3790</v>
      </c>
      <c r="G279" s="13">
        <f t="shared" si="52"/>
        <v>0</v>
      </c>
      <c r="H279" s="13">
        <f t="shared" si="53"/>
        <v>0</v>
      </c>
      <c r="I279" s="73">
        <f t="shared" si="54"/>
        <v>0</v>
      </c>
      <c r="J279" s="73">
        <f t="shared" si="55"/>
        <v>0</v>
      </c>
      <c r="K279" s="72" t="str">
        <f t="shared" si="56"/>
        <v>CNJ2</v>
      </c>
      <c r="L279" s="72" t="str">
        <f t="shared" si="57"/>
        <v>MARCH-1-CNJ2</v>
      </c>
      <c r="M279" s="73">
        <f t="shared" si="58"/>
        <v>0</v>
      </c>
      <c r="N279" s="73">
        <f t="shared" si="59"/>
        <v>0</v>
      </c>
      <c r="O279" s="13">
        <f t="shared" si="60"/>
        <v>866221</v>
      </c>
      <c r="P279" s="13">
        <f t="shared" si="61"/>
        <v>884020</v>
      </c>
      <c r="Q279" s="13">
        <f t="shared" si="62"/>
        <v>874493</v>
      </c>
      <c r="R279" s="33">
        <f t="shared" si="63"/>
        <v>9.5495260447391317E-3</v>
      </c>
      <c r="S279" s="33">
        <f t="shared" si="64"/>
        <v>-1.0776905499875533E-2</v>
      </c>
    </row>
    <row r="280" spans="1:19" x14ac:dyDescent="0.25">
      <c r="A280" t="s">
        <v>37</v>
      </c>
      <c r="B280" s="65">
        <v>1</v>
      </c>
      <c r="C280" t="s">
        <v>10</v>
      </c>
      <c r="D280" s="67">
        <v>750</v>
      </c>
      <c r="E280" s="67">
        <v>750</v>
      </c>
      <c r="F280" s="67">
        <v>750</v>
      </c>
      <c r="G280" s="13">
        <f t="shared" si="52"/>
        <v>0</v>
      </c>
      <c r="H280" s="13">
        <f t="shared" si="53"/>
        <v>0</v>
      </c>
      <c r="I280" s="73">
        <f t="shared" si="54"/>
        <v>0</v>
      </c>
      <c r="J280" s="73">
        <f t="shared" si="55"/>
        <v>0</v>
      </c>
      <c r="K280" s="72" t="str">
        <f t="shared" si="56"/>
        <v>CNJ2</v>
      </c>
      <c r="L280" s="72" t="str">
        <f t="shared" si="57"/>
        <v>MARCH-1-CNJ2</v>
      </c>
      <c r="M280" s="73">
        <f t="shared" si="58"/>
        <v>0</v>
      </c>
      <c r="N280" s="73">
        <f t="shared" si="59"/>
        <v>0</v>
      </c>
      <c r="O280" s="13">
        <f t="shared" si="60"/>
        <v>866221</v>
      </c>
      <c r="P280" s="13">
        <f t="shared" si="61"/>
        <v>884020</v>
      </c>
      <c r="Q280" s="13">
        <f t="shared" si="62"/>
        <v>874493</v>
      </c>
      <c r="R280" s="33">
        <f t="shared" si="63"/>
        <v>9.5495260447391317E-3</v>
      </c>
      <c r="S280" s="33">
        <f t="shared" si="64"/>
        <v>-1.0776905499875533E-2</v>
      </c>
    </row>
    <row r="281" spans="1:19" x14ac:dyDescent="0.25">
      <c r="A281" t="s">
        <v>37</v>
      </c>
      <c r="B281" s="65">
        <v>1</v>
      </c>
      <c r="C281" t="s">
        <v>10</v>
      </c>
      <c r="D281" s="67">
        <v>820</v>
      </c>
      <c r="E281" s="67">
        <v>820</v>
      </c>
      <c r="F281" s="67">
        <v>820</v>
      </c>
      <c r="G281" s="13">
        <f t="shared" si="52"/>
        <v>0</v>
      </c>
      <c r="H281" s="13">
        <f t="shared" si="53"/>
        <v>0</v>
      </c>
      <c r="I281" s="73">
        <f t="shared" si="54"/>
        <v>0</v>
      </c>
      <c r="J281" s="73">
        <f t="shared" si="55"/>
        <v>0</v>
      </c>
      <c r="K281" s="72" t="str">
        <f t="shared" si="56"/>
        <v>CNJ2</v>
      </c>
      <c r="L281" s="72" t="str">
        <f t="shared" si="57"/>
        <v>MARCH-1-CNJ2</v>
      </c>
      <c r="M281" s="73">
        <f t="shared" si="58"/>
        <v>0</v>
      </c>
      <c r="N281" s="73">
        <f t="shared" si="59"/>
        <v>0</v>
      </c>
      <c r="O281" s="13">
        <f t="shared" si="60"/>
        <v>866221</v>
      </c>
      <c r="P281" s="13">
        <f t="shared" si="61"/>
        <v>884020</v>
      </c>
      <c r="Q281" s="13">
        <f t="shared" si="62"/>
        <v>874493</v>
      </c>
      <c r="R281" s="33">
        <f t="shared" si="63"/>
        <v>9.5495260447391317E-3</v>
      </c>
      <c r="S281" s="33">
        <f t="shared" si="64"/>
        <v>-1.0776905499875533E-2</v>
      </c>
    </row>
    <row r="282" spans="1:19" x14ac:dyDescent="0.25">
      <c r="A282" t="s">
        <v>37</v>
      </c>
      <c r="B282" s="65">
        <v>1</v>
      </c>
      <c r="C282" t="s">
        <v>15</v>
      </c>
      <c r="D282" s="67">
        <v>220</v>
      </c>
      <c r="E282" s="67">
        <v>220</v>
      </c>
      <c r="F282" s="67">
        <v>220</v>
      </c>
      <c r="G282" s="13">
        <f t="shared" si="52"/>
        <v>0</v>
      </c>
      <c r="H282" s="13">
        <f t="shared" si="53"/>
        <v>0</v>
      </c>
      <c r="I282" s="73">
        <f t="shared" si="54"/>
        <v>0</v>
      </c>
      <c r="J282" s="73">
        <f t="shared" si="55"/>
        <v>0</v>
      </c>
      <c r="K282" s="72" t="str">
        <f t="shared" si="56"/>
        <v>CHAWAN</v>
      </c>
      <c r="L282" s="72" t="str">
        <f t="shared" si="57"/>
        <v>MARCH-1-CHAWAN</v>
      </c>
      <c r="M282" s="73">
        <f t="shared" si="58"/>
        <v>0</v>
      </c>
      <c r="N282" s="73">
        <f t="shared" si="59"/>
        <v>0</v>
      </c>
      <c r="O282" s="13">
        <f t="shared" si="60"/>
        <v>866221</v>
      </c>
      <c r="P282" s="13">
        <f t="shared" si="61"/>
        <v>884020</v>
      </c>
      <c r="Q282" s="13">
        <f t="shared" si="62"/>
        <v>874493</v>
      </c>
      <c r="R282" s="33">
        <f t="shared" si="63"/>
        <v>9.5495260447391317E-3</v>
      </c>
      <c r="S282" s="33">
        <f t="shared" si="64"/>
        <v>-1.0776905499875533E-2</v>
      </c>
    </row>
    <row r="283" spans="1:19" x14ac:dyDescent="0.25">
      <c r="A283" t="s">
        <v>37</v>
      </c>
      <c r="B283" s="65">
        <v>1</v>
      </c>
      <c r="C283" t="s">
        <v>16</v>
      </c>
      <c r="D283" s="67">
        <v>600</v>
      </c>
      <c r="E283" s="67">
        <v>618</v>
      </c>
      <c r="F283" s="67">
        <v>600</v>
      </c>
      <c r="G283" s="13">
        <f t="shared" si="52"/>
        <v>-18</v>
      </c>
      <c r="H283" s="13">
        <f t="shared" si="53"/>
        <v>0</v>
      </c>
      <c r="I283" s="73">
        <f t="shared" si="54"/>
        <v>0</v>
      </c>
      <c r="J283" s="73">
        <f t="shared" si="55"/>
        <v>-2.9126213592232997E-2</v>
      </c>
      <c r="K283" s="72" t="str">
        <f t="shared" si="56"/>
        <v>ANUGERAH</v>
      </c>
      <c r="L283" s="72" t="str">
        <f t="shared" si="57"/>
        <v>MARCH-1-ANUGERAH</v>
      </c>
      <c r="M283" s="73">
        <f t="shared" si="58"/>
        <v>0</v>
      </c>
      <c r="N283" s="73">
        <f t="shared" si="59"/>
        <v>-0.13232650125854006</v>
      </c>
      <c r="O283" s="13">
        <f t="shared" si="60"/>
        <v>866221</v>
      </c>
      <c r="P283" s="13">
        <f t="shared" si="61"/>
        <v>884020</v>
      </c>
      <c r="Q283" s="13">
        <f t="shared" si="62"/>
        <v>874493</v>
      </c>
      <c r="R283" s="33">
        <f t="shared" si="63"/>
        <v>9.5495260447391317E-3</v>
      </c>
      <c r="S283" s="33">
        <f t="shared" si="64"/>
        <v>-1.0776905499875533E-2</v>
      </c>
    </row>
    <row r="284" spans="1:19" x14ac:dyDescent="0.25">
      <c r="A284" t="s">
        <v>37</v>
      </c>
      <c r="B284" s="65">
        <v>1</v>
      </c>
      <c r="C284" t="s">
        <v>16</v>
      </c>
      <c r="D284" s="67">
        <v>600</v>
      </c>
      <c r="E284" s="67">
        <v>618</v>
      </c>
      <c r="F284" s="67">
        <v>600</v>
      </c>
      <c r="G284" s="13">
        <f t="shared" si="52"/>
        <v>-18</v>
      </c>
      <c r="H284" s="13">
        <f t="shared" si="53"/>
        <v>0</v>
      </c>
      <c r="I284" s="73">
        <f t="shared" si="54"/>
        <v>0</v>
      </c>
      <c r="J284" s="73">
        <f t="shared" si="55"/>
        <v>-2.9126213592232997E-2</v>
      </c>
      <c r="K284" s="72" t="str">
        <f t="shared" si="56"/>
        <v>ANUGERAH</v>
      </c>
      <c r="L284" s="72" t="str">
        <f t="shared" si="57"/>
        <v>MARCH-1-ANUGERAH</v>
      </c>
      <c r="M284" s="73">
        <f t="shared" si="58"/>
        <v>0</v>
      </c>
      <c r="N284" s="73">
        <f t="shared" si="59"/>
        <v>-0.13232650125854006</v>
      </c>
      <c r="O284" s="13">
        <f t="shared" si="60"/>
        <v>866221</v>
      </c>
      <c r="P284" s="13">
        <f t="shared" si="61"/>
        <v>884020</v>
      </c>
      <c r="Q284" s="13">
        <f t="shared" si="62"/>
        <v>874493</v>
      </c>
      <c r="R284" s="33">
        <f t="shared" si="63"/>
        <v>9.5495260447391317E-3</v>
      </c>
      <c r="S284" s="33">
        <f t="shared" si="64"/>
        <v>-1.0776905499875533E-2</v>
      </c>
    </row>
    <row r="285" spans="1:19" x14ac:dyDescent="0.25">
      <c r="A285" t="s">
        <v>37</v>
      </c>
      <c r="B285" s="65">
        <v>1</v>
      </c>
      <c r="C285" t="s">
        <v>16</v>
      </c>
      <c r="D285" s="67">
        <v>600</v>
      </c>
      <c r="E285" s="67">
        <v>648</v>
      </c>
      <c r="F285" s="67">
        <v>600</v>
      </c>
      <c r="G285" s="13">
        <f t="shared" si="52"/>
        <v>-48</v>
      </c>
      <c r="H285" s="13">
        <f t="shared" si="53"/>
        <v>0</v>
      </c>
      <c r="I285" s="73">
        <f t="shared" si="54"/>
        <v>0</v>
      </c>
      <c r="J285" s="73">
        <f t="shared" si="55"/>
        <v>-7.407407407407407E-2</v>
      </c>
      <c r="K285" s="72" t="str">
        <f t="shared" si="56"/>
        <v>ANUGERAH</v>
      </c>
      <c r="L285" s="72" t="str">
        <f t="shared" si="57"/>
        <v>MARCH-1-ANUGERAH</v>
      </c>
      <c r="M285" s="73">
        <f t="shared" si="58"/>
        <v>0</v>
      </c>
      <c r="N285" s="73">
        <f t="shared" si="59"/>
        <v>-0.13232650125854006</v>
      </c>
      <c r="O285" s="13">
        <f t="shared" si="60"/>
        <v>866221</v>
      </c>
      <c r="P285" s="13">
        <f t="shared" si="61"/>
        <v>884020</v>
      </c>
      <c r="Q285" s="13">
        <f t="shared" si="62"/>
        <v>874493</v>
      </c>
      <c r="R285" s="33">
        <f t="shared" si="63"/>
        <v>9.5495260447391317E-3</v>
      </c>
      <c r="S285" s="33">
        <f t="shared" si="64"/>
        <v>-1.0776905499875533E-2</v>
      </c>
    </row>
    <row r="286" spans="1:19" x14ac:dyDescent="0.25">
      <c r="A286" t="s">
        <v>37</v>
      </c>
      <c r="B286" s="65">
        <v>2</v>
      </c>
      <c r="C286" t="s">
        <v>10</v>
      </c>
      <c r="D286" s="67">
        <v>4375</v>
      </c>
      <c r="E286" s="67">
        <v>4375</v>
      </c>
      <c r="F286" s="67">
        <v>4375</v>
      </c>
      <c r="G286" s="13">
        <f t="shared" si="52"/>
        <v>0</v>
      </c>
      <c r="H286" s="13">
        <f t="shared" si="53"/>
        <v>0</v>
      </c>
      <c r="I286" s="73">
        <f t="shared" si="54"/>
        <v>0</v>
      </c>
      <c r="J286" s="73">
        <f t="shared" si="55"/>
        <v>0</v>
      </c>
      <c r="K286" s="72" t="str">
        <f t="shared" si="56"/>
        <v>CNJ2</v>
      </c>
      <c r="L286" s="72" t="str">
        <f t="shared" si="57"/>
        <v>MARCH-2-CNJ2</v>
      </c>
      <c r="M286" s="73">
        <f t="shared" si="58"/>
        <v>0</v>
      </c>
      <c r="N286" s="73">
        <f t="shared" si="59"/>
        <v>-2.5682810696923131E-3</v>
      </c>
      <c r="O286" s="13">
        <f t="shared" si="60"/>
        <v>866221</v>
      </c>
      <c r="P286" s="13">
        <f t="shared" si="61"/>
        <v>884020</v>
      </c>
      <c r="Q286" s="13">
        <f t="shared" si="62"/>
        <v>874493</v>
      </c>
      <c r="R286" s="33">
        <f t="shared" si="63"/>
        <v>9.5495260447391317E-3</v>
      </c>
      <c r="S286" s="33">
        <f t="shared" si="64"/>
        <v>-1.0776905499875533E-2</v>
      </c>
    </row>
    <row r="287" spans="1:19" x14ac:dyDescent="0.25">
      <c r="A287" t="s">
        <v>37</v>
      </c>
      <c r="B287" s="65">
        <v>2</v>
      </c>
      <c r="C287" t="s">
        <v>10</v>
      </c>
      <c r="D287" s="67">
        <v>540</v>
      </c>
      <c r="E287" s="67">
        <v>540</v>
      </c>
      <c r="F287" s="67">
        <v>540</v>
      </c>
      <c r="G287" s="13">
        <f t="shared" si="52"/>
        <v>0</v>
      </c>
      <c r="H287" s="13">
        <f t="shared" si="53"/>
        <v>0</v>
      </c>
      <c r="I287" s="73">
        <f t="shared" si="54"/>
        <v>0</v>
      </c>
      <c r="J287" s="73">
        <f t="shared" si="55"/>
        <v>0</v>
      </c>
      <c r="K287" s="72" t="str">
        <f t="shared" si="56"/>
        <v>CNJ2</v>
      </c>
      <c r="L287" s="72" t="str">
        <f t="shared" si="57"/>
        <v>MARCH-2-CNJ2</v>
      </c>
      <c r="M287" s="73">
        <f t="shared" si="58"/>
        <v>0</v>
      </c>
      <c r="N287" s="73">
        <f t="shared" si="59"/>
        <v>-2.5682810696923131E-3</v>
      </c>
      <c r="O287" s="13">
        <f t="shared" si="60"/>
        <v>866221</v>
      </c>
      <c r="P287" s="13">
        <f t="shared" si="61"/>
        <v>884020</v>
      </c>
      <c r="Q287" s="13">
        <f t="shared" si="62"/>
        <v>874493</v>
      </c>
      <c r="R287" s="33">
        <f t="shared" si="63"/>
        <v>9.5495260447391317E-3</v>
      </c>
      <c r="S287" s="33">
        <f t="shared" si="64"/>
        <v>-1.0776905499875533E-2</v>
      </c>
    </row>
    <row r="288" spans="1:19" x14ac:dyDescent="0.25">
      <c r="A288" t="s">
        <v>37</v>
      </c>
      <c r="B288" s="65">
        <v>2</v>
      </c>
      <c r="C288" t="s">
        <v>10</v>
      </c>
      <c r="D288" s="67">
        <v>170</v>
      </c>
      <c r="E288" s="67">
        <v>170</v>
      </c>
      <c r="F288" s="67">
        <v>170</v>
      </c>
      <c r="G288" s="13">
        <f t="shared" si="52"/>
        <v>0</v>
      </c>
      <c r="H288" s="13">
        <f t="shared" si="53"/>
        <v>0</v>
      </c>
      <c r="I288" s="73">
        <f t="shared" si="54"/>
        <v>0</v>
      </c>
      <c r="J288" s="73">
        <f t="shared" si="55"/>
        <v>0</v>
      </c>
      <c r="K288" s="72" t="str">
        <f t="shared" si="56"/>
        <v>CNJ2</v>
      </c>
      <c r="L288" s="72" t="str">
        <f t="shared" si="57"/>
        <v>MARCH-2-CNJ2</v>
      </c>
      <c r="M288" s="73">
        <f t="shared" si="58"/>
        <v>0</v>
      </c>
      <c r="N288" s="73">
        <f t="shared" si="59"/>
        <v>-2.5682810696923131E-3</v>
      </c>
      <c r="O288" s="13">
        <f t="shared" si="60"/>
        <v>866221</v>
      </c>
      <c r="P288" s="13">
        <f t="shared" si="61"/>
        <v>884020</v>
      </c>
      <c r="Q288" s="13">
        <f t="shared" si="62"/>
        <v>874493</v>
      </c>
      <c r="R288" s="33">
        <f t="shared" si="63"/>
        <v>9.5495260447391317E-3</v>
      </c>
      <c r="S288" s="33">
        <f t="shared" si="64"/>
        <v>-1.0776905499875533E-2</v>
      </c>
    </row>
    <row r="289" spans="1:19" x14ac:dyDescent="0.25">
      <c r="A289" t="s">
        <v>37</v>
      </c>
      <c r="B289" s="65">
        <v>2</v>
      </c>
      <c r="C289" t="s">
        <v>10</v>
      </c>
      <c r="D289" s="67">
        <v>65</v>
      </c>
      <c r="E289" s="67">
        <v>65</v>
      </c>
      <c r="F289" s="67">
        <v>65</v>
      </c>
      <c r="G289" s="13">
        <f t="shared" si="52"/>
        <v>0</v>
      </c>
      <c r="H289" s="13">
        <f t="shared" si="53"/>
        <v>0</v>
      </c>
      <c r="I289" s="73">
        <f t="shared" si="54"/>
        <v>0</v>
      </c>
      <c r="J289" s="73">
        <f t="shared" si="55"/>
        <v>0</v>
      </c>
      <c r="K289" s="72" t="str">
        <f t="shared" si="56"/>
        <v>CNJ2</v>
      </c>
      <c r="L289" s="72" t="str">
        <f t="shared" si="57"/>
        <v>MARCH-2-CNJ2</v>
      </c>
      <c r="M289" s="73">
        <f t="shared" si="58"/>
        <v>0</v>
      </c>
      <c r="N289" s="73">
        <f t="shared" si="59"/>
        <v>-2.5682810696923131E-3</v>
      </c>
      <c r="O289" s="13">
        <f t="shared" si="60"/>
        <v>866221</v>
      </c>
      <c r="P289" s="13">
        <f t="shared" si="61"/>
        <v>884020</v>
      </c>
      <c r="Q289" s="13">
        <f t="shared" si="62"/>
        <v>874493</v>
      </c>
      <c r="R289" s="33">
        <f t="shared" si="63"/>
        <v>9.5495260447391317E-3</v>
      </c>
      <c r="S289" s="33">
        <f t="shared" si="64"/>
        <v>-1.0776905499875533E-2</v>
      </c>
    </row>
    <row r="290" spans="1:19" x14ac:dyDescent="0.25">
      <c r="A290" t="s">
        <v>37</v>
      </c>
      <c r="B290" s="65">
        <v>2</v>
      </c>
      <c r="C290" t="s">
        <v>10</v>
      </c>
      <c r="D290" s="67">
        <v>2400</v>
      </c>
      <c r="E290" s="67">
        <v>2403</v>
      </c>
      <c r="F290" s="67">
        <v>2400</v>
      </c>
      <c r="G290" s="13">
        <f t="shared" si="52"/>
        <v>-3</v>
      </c>
      <c r="H290" s="13">
        <f t="shared" si="53"/>
        <v>0</v>
      </c>
      <c r="I290" s="73">
        <f t="shared" si="54"/>
        <v>0</v>
      </c>
      <c r="J290" s="73">
        <f t="shared" si="55"/>
        <v>-1.2484394506866447E-3</v>
      </c>
      <c r="K290" s="72" t="str">
        <f t="shared" si="56"/>
        <v>CNJ2</v>
      </c>
      <c r="L290" s="72" t="str">
        <f t="shared" si="57"/>
        <v>MARCH-2-CNJ2</v>
      </c>
      <c r="M290" s="73">
        <f t="shared" si="58"/>
        <v>0</v>
      </c>
      <c r="N290" s="73">
        <f t="shared" si="59"/>
        <v>-2.5682810696923131E-3</v>
      </c>
      <c r="O290" s="13">
        <f t="shared" si="60"/>
        <v>866221</v>
      </c>
      <c r="P290" s="13">
        <f t="shared" si="61"/>
        <v>884020</v>
      </c>
      <c r="Q290" s="13">
        <f t="shared" si="62"/>
        <v>874493</v>
      </c>
      <c r="R290" s="33">
        <f t="shared" si="63"/>
        <v>9.5495260447391317E-3</v>
      </c>
      <c r="S290" s="33">
        <f t="shared" si="64"/>
        <v>-1.0776905499875533E-2</v>
      </c>
    </row>
    <row r="291" spans="1:19" x14ac:dyDescent="0.25">
      <c r="A291" t="s">
        <v>37</v>
      </c>
      <c r="B291" s="65">
        <v>2</v>
      </c>
      <c r="C291" t="s">
        <v>10</v>
      </c>
      <c r="D291" s="67">
        <v>2270</v>
      </c>
      <c r="E291" s="67">
        <v>2273</v>
      </c>
      <c r="F291" s="67">
        <v>2270</v>
      </c>
      <c r="G291" s="13">
        <f t="shared" si="52"/>
        <v>-3</v>
      </c>
      <c r="H291" s="13">
        <f t="shared" si="53"/>
        <v>0</v>
      </c>
      <c r="I291" s="73">
        <f t="shared" si="54"/>
        <v>0</v>
      </c>
      <c r="J291" s="73">
        <f t="shared" si="55"/>
        <v>-1.3198416190056683E-3</v>
      </c>
      <c r="K291" s="72" t="str">
        <f t="shared" si="56"/>
        <v>CNJ2</v>
      </c>
      <c r="L291" s="72" t="str">
        <f t="shared" si="57"/>
        <v>MARCH-2-CNJ2</v>
      </c>
      <c r="M291" s="73">
        <f t="shared" si="58"/>
        <v>0</v>
      </c>
      <c r="N291" s="73">
        <f t="shared" si="59"/>
        <v>-2.5682810696923131E-3</v>
      </c>
      <c r="O291" s="13">
        <f t="shared" si="60"/>
        <v>866221</v>
      </c>
      <c r="P291" s="13">
        <f t="shared" si="61"/>
        <v>884020</v>
      </c>
      <c r="Q291" s="13">
        <f t="shared" si="62"/>
        <v>874493</v>
      </c>
      <c r="R291" s="33">
        <f t="shared" si="63"/>
        <v>9.5495260447391317E-3</v>
      </c>
      <c r="S291" s="33">
        <f t="shared" si="64"/>
        <v>-1.0776905499875533E-2</v>
      </c>
    </row>
    <row r="292" spans="1:19" x14ac:dyDescent="0.25">
      <c r="A292" t="s">
        <v>37</v>
      </c>
      <c r="B292" s="65">
        <v>2</v>
      </c>
      <c r="C292" t="s">
        <v>70</v>
      </c>
      <c r="D292" s="67">
        <v>50</v>
      </c>
      <c r="E292" s="67">
        <v>50</v>
      </c>
      <c r="F292" s="67">
        <v>50</v>
      </c>
      <c r="G292" s="13">
        <f t="shared" si="52"/>
        <v>0</v>
      </c>
      <c r="H292" s="13">
        <f t="shared" si="53"/>
        <v>0</v>
      </c>
      <c r="I292" s="73">
        <f t="shared" si="54"/>
        <v>0</v>
      </c>
      <c r="J292" s="73">
        <f t="shared" si="55"/>
        <v>0</v>
      </c>
      <c r="K292" s="72" t="str">
        <f t="shared" si="56"/>
        <v>CLN</v>
      </c>
      <c r="L292" s="72" t="str">
        <f t="shared" si="57"/>
        <v>MARCH-2-CLN</v>
      </c>
      <c r="M292" s="73">
        <f t="shared" si="58"/>
        <v>0</v>
      </c>
      <c r="N292" s="73">
        <f t="shared" si="59"/>
        <v>0</v>
      </c>
      <c r="O292" s="13">
        <f t="shared" si="60"/>
        <v>866221</v>
      </c>
      <c r="P292" s="13">
        <f t="shared" si="61"/>
        <v>884020</v>
      </c>
      <c r="Q292" s="13">
        <f t="shared" si="62"/>
        <v>874493</v>
      </c>
      <c r="R292" s="33">
        <f t="shared" si="63"/>
        <v>9.5495260447391317E-3</v>
      </c>
      <c r="S292" s="33">
        <f t="shared" si="64"/>
        <v>-1.0776905499875533E-2</v>
      </c>
    </row>
    <row r="293" spans="1:19" x14ac:dyDescent="0.25">
      <c r="A293" t="s">
        <v>37</v>
      </c>
      <c r="B293" s="65">
        <v>2</v>
      </c>
      <c r="C293" t="s">
        <v>15</v>
      </c>
      <c r="D293" s="67">
        <v>140</v>
      </c>
      <c r="E293" s="67">
        <v>140</v>
      </c>
      <c r="F293" s="67">
        <v>140</v>
      </c>
      <c r="G293" s="13">
        <f t="shared" si="52"/>
        <v>0</v>
      </c>
      <c r="H293" s="13">
        <f t="shared" si="53"/>
        <v>0</v>
      </c>
      <c r="I293" s="73">
        <f t="shared" si="54"/>
        <v>0</v>
      </c>
      <c r="J293" s="73">
        <f t="shared" si="55"/>
        <v>0</v>
      </c>
      <c r="K293" s="72" t="str">
        <f t="shared" si="56"/>
        <v>CHAWAN</v>
      </c>
      <c r="L293" s="72" t="str">
        <f t="shared" si="57"/>
        <v>MARCH-2-CHAWAN</v>
      </c>
      <c r="M293" s="73">
        <f t="shared" si="58"/>
        <v>0</v>
      </c>
      <c r="N293" s="73">
        <f t="shared" si="59"/>
        <v>0</v>
      </c>
      <c r="O293" s="13">
        <f t="shared" si="60"/>
        <v>866221</v>
      </c>
      <c r="P293" s="13">
        <f t="shared" si="61"/>
        <v>884020</v>
      </c>
      <c r="Q293" s="13">
        <f t="shared" si="62"/>
        <v>874493</v>
      </c>
      <c r="R293" s="33">
        <f t="shared" si="63"/>
        <v>9.5495260447391317E-3</v>
      </c>
      <c r="S293" s="33">
        <f t="shared" si="64"/>
        <v>-1.0776905499875533E-2</v>
      </c>
    </row>
    <row r="294" spans="1:19" x14ac:dyDescent="0.25">
      <c r="A294" t="s">
        <v>37</v>
      </c>
      <c r="B294" s="65">
        <v>2</v>
      </c>
      <c r="C294" t="s">
        <v>14</v>
      </c>
      <c r="D294" s="67">
        <v>44496</v>
      </c>
      <c r="E294" s="67">
        <v>45333</v>
      </c>
      <c r="F294" s="67">
        <v>44475</v>
      </c>
      <c r="G294" s="13">
        <f t="shared" si="52"/>
        <v>-858</v>
      </c>
      <c r="H294" s="13">
        <f t="shared" si="53"/>
        <v>-21</v>
      </c>
      <c r="I294" s="73">
        <f t="shared" si="54"/>
        <v>-4.7195253505938339E-4</v>
      </c>
      <c r="J294" s="73">
        <f t="shared" si="55"/>
        <v>-1.8926609754483459E-2</v>
      </c>
      <c r="K294" s="72" t="str">
        <f t="shared" si="56"/>
        <v>GM2</v>
      </c>
      <c r="L294" s="72" t="str">
        <f t="shared" si="57"/>
        <v>MARCH-2-GM2</v>
      </c>
      <c r="M294" s="73">
        <f t="shared" si="58"/>
        <v>-5.7396850524646048E-2</v>
      </c>
      <c r="N294" s="73">
        <f t="shared" si="59"/>
        <v>-0.24934962923312798</v>
      </c>
      <c r="O294" s="13">
        <f t="shared" si="60"/>
        <v>866221</v>
      </c>
      <c r="P294" s="13">
        <f t="shared" si="61"/>
        <v>884020</v>
      </c>
      <c r="Q294" s="13">
        <f t="shared" si="62"/>
        <v>874493</v>
      </c>
      <c r="R294" s="33">
        <f t="shared" si="63"/>
        <v>9.5495260447391317E-3</v>
      </c>
      <c r="S294" s="33">
        <f t="shared" si="64"/>
        <v>-1.0776905499875533E-2</v>
      </c>
    </row>
    <row r="295" spans="1:19" x14ac:dyDescent="0.25">
      <c r="A295" t="s">
        <v>37</v>
      </c>
      <c r="B295" s="65">
        <v>2</v>
      </c>
      <c r="C295" t="s">
        <v>14</v>
      </c>
      <c r="D295" s="67">
        <v>7560</v>
      </c>
      <c r="E295" s="67">
        <v>7792</v>
      </c>
      <c r="F295" s="67">
        <v>7719</v>
      </c>
      <c r="G295" s="13">
        <f t="shared" si="52"/>
        <v>-73</v>
      </c>
      <c r="H295" s="13">
        <f t="shared" si="53"/>
        <v>159</v>
      </c>
      <c r="I295" s="73">
        <f t="shared" si="54"/>
        <v>2.1031746031745957E-2</v>
      </c>
      <c r="J295" s="73">
        <f t="shared" si="55"/>
        <v>-9.3685831622176696E-3</v>
      </c>
      <c r="K295" s="72" t="str">
        <f t="shared" si="56"/>
        <v>GM2</v>
      </c>
      <c r="L295" s="72" t="str">
        <f t="shared" si="57"/>
        <v>MARCH-2-GM2</v>
      </c>
      <c r="M295" s="73">
        <f t="shared" si="58"/>
        <v>-5.7396850524646048E-2</v>
      </c>
      <c r="N295" s="73">
        <f t="shared" si="59"/>
        <v>-0.24934962923312798</v>
      </c>
      <c r="O295" s="13">
        <f t="shared" si="60"/>
        <v>866221</v>
      </c>
      <c r="P295" s="13">
        <f t="shared" si="61"/>
        <v>884020</v>
      </c>
      <c r="Q295" s="13">
        <f t="shared" si="62"/>
        <v>874493</v>
      </c>
      <c r="R295" s="33">
        <f t="shared" si="63"/>
        <v>9.5495260447391317E-3</v>
      </c>
      <c r="S295" s="33">
        <f t="shared" si="64"/>
        <v>-1.0776905499875533E-2</v>
      </c>
    </row>
    <row r="296" spans="1:19" x14ac:dyDescent="0.25">
      <c r="A296" t="s">
        <v>37</v>
      </c>
      <c r="B296" s="65">
        <v>2</v>
      </c>
      <c r="C296" t="s">
        <v>14</v>
      </c>
      <c r="D296" s="67">
        <v>23220</v>
      </c>
      <c r="E296" s="67">
        <v>23958</v>
      </c>
      <c r="F296" s="67">
        <v>23766</v>
      </c>
      <c r="G296" s="13">
        <f t="shared" si="52"/>
        <v>-192</v>
      </c>
      <c r="H296" s="13">
        <f t="shared" si="53"/>
        <v>546</v>
      </c>
      <c r="I296" s="73">
        <f t="shared" si="54"/>
        <v>2.3514211886304981E-2</v>
      </c>
      <c r="J296" s="73">
        <f t="shared" si="55"/>
        <v>-8.0140245429501933E-3</v>
      </c>
      <c r="K296" s="72" t="str">
        <f t="shared" si="56"/>
        <v>GM2</v>
      </c>
      <c r="L296" s="72" t="str">
        <f t="shared" si="57"/>
        <v>MARCH-2-GM2</v>
      </c>
      <c r="M296" s="73">
        <f t="shared" si="58"/>
        <v>-5.7396850524646048E-2</v>
      </c>
      <c r="N296" s="73">
        <f t="shared" si="59"/>
        <v>-0.24934962923312798</v>
      </c>
      <c r="O296" s="13">
        <f t="shared" si="60"/>
        <v>866221</v>
      </c>
      <c r="P296" s="13">
        <f t="shared" si="61"/>
        <v>884020</v>
      </c>
      <c r="Q296" s="13">
        <f t="shared" si="62"/>
        <v>874493</v>
      </c>
      <c r="R296" s="33">
        <f t="shared" si="63"/>
        <v>9.5495260447391317E-3</v>
      </c>
      <c r="S296" s="33">
        <f t="shared" si="64"/>
        <v>-1.0776905499875533E-2</v>
      </c>
    </row>
    <row r="297" spans="1:19" x14ac:dyDescent="0.25">
      <c r="A297" t="s">
        <v>37</v>
      </c>
      <c r="B297" s="65">
        <v>2</v>
      </c>
      <c r="C297" t="s">
        <v>14</v>
      </c>
      <c r="D297" s="67">
        <v>3888</v>
      </c>
      <c r="E297" s="67">
        <v>4010</v>
      </c>
      <c r="F297" s="67">
        <v>3957</v>
      </c>
      <c r="G297" s="13">
        <f t="shared" si="52"/>
        <v>-53</v>
      </c>
      <c r="H297" s="13">
        <f t="shared" si="53"/>
        <v>69</v>
      </c>
      <c r="I297" s="73">
        <f t="shared" si="54"/>
        <v>1.7746913580246826E-2</v>
      </c>
      <c r="J297" s="73">
        <f t="shared" si="55"/>
        <v>-1.3216957605985069E-2</v>
      </c>
      <c r="K297" s="72" t="str">
        <f t="shared" si="56"/>
        <v>GM2</v>
      </c>
      <c r="L297" s="72" t="str">
        <f t="shared" si="57"/>
        <v>MARCH-2-GM2</v>
      </c>
      <c r="M297" s="73">
        <f t="shared" si="58"/>
        <v>-5.7396850524646048E-2</v>
      </c>
      <c r="N297" s="73">
        <f t="shared" si="59"/>
        <v>-0.24934962923312798</v>
      </c>
      <c r="O297" s="13">
        <f t="shared" si="60"/>
        <v>866221</v>
      </c>
      <c r="P297" s="13">
        <f t="shared" si="61"/>
        <v>884020</v>
      </c>
      <c r="Q297" s="13">
        <f t="shared" si="62"/>
        <v>874493</v>
      </c>
      <c r="R297" s="33">
        <f t="shared" si="63"/>
        <v>9.5495260447391317E-3</v>
      </c>
      <c r="S297" s="33">
        <f t="shared" si="64"/>
        <v>-1.0776905499875533E-2</v>
      </c>
    </row>
    <row r="298" spans="1:19" x14ac:dyDescent="0.25">
      <c r="A298" t="s">
        <v>37</v>
      </c>
      <c r="B298" s="65">
        <v>2</v>
      </c>
      <c r="C298" t="s">
        <v>11</v>
      </c>
      <c r="D298" s="67">
        <v>33984</v>
      </c>
      <c r="E298" s="67">
        <v>34519</v>
      </c>
      <c r="F298" s="67">
        <v>34216</v>
      </c>
      <c r="G298" s="13">
        <f t="shared" si="52"/>
        <v>-303</v>
      </c>
      <c r="H298" s="13">
        <f t="shared" si="53"/>
        <v>232</v>
      </c>
      <c r="I298" s="73">
        <f t="shared" si="54"/>
        <v>6.8267419962335651E-3</v>
      </c>
      <c r="J298" s="73">
        <f t="shared" si="55"/>
        <v>-8.7777745589385781E-3</v>
      </c>
      <c r="K298" s="72" t="str">
        <f t="shared" si="56"/>
        <v>MAJA1</v>
      </c>
      <c r="L298" s="72" t="str">
        <f t="shared" si="57"/>
        <v>MARCH-2-MAJA1</v>
      </c>
      <c r="M298" s="73">
        <f t="shared" si="58"/>
        <v>3.2675223122901942E-2</v>
      </c>
      <c r="N298" s="73">
        <f t="shared" si="59"/>
        <v>-6.036770334376873E-2</v>
      </c>
      <c r="O298" s="13">
        <f t="shared" si="60"/>
        <v>866221</v>
      </c>
      <c r="P298" s="13">
        <f t="shared" si="61"/>
        <v>884020</v>
      </c>
      <c r="Q298" s="13">
        <f t="shared" si="62"/>
        <v>874493</v>
      </c>
      <c r="R298" s="33">
        <f t="shared" si="63"/>
        <v>9.5495260447391317E-3</v>
      </c>
      <c r="S298" s="33">
        <f t="shared" si="64"/>
        <v>-1.0776905499875533E-2</v>
      </c>
    </row>
    <row r="299" spans="1:19" x14ac:dyDescent="0.25">
      <c r="A299" t="s">
        <v>37</v>
      </c>
      <c r="B299" s="65">
        <v>2</v>
      </c>
      <c r="C299" t="s">
        <v>13</v>
      </c>
      <c r="D299" s="67">
        <v>44604</v>
      </c>
      <c r="E299" s="67">
        <v>45609</v>
      </c>
      <c r="F299" s="67">
        <v>45456</v>
      </c>
      <c r="G299" s="13">
        <f t="shared" si="52"/>
        <v>-153</v>
      </c>
      <c r="H299" s="13">
        <f t="shared" si="53"/>
        <v>852</v>
      </c>
      <c r="I299" s="73">
        <f t="shared" si="54"/>
        <v>1.9101425881086875E-2</v>
      </c>
      <c r="J299" s="73">
        <f t="shared" si="55"/>
        <v>-3.3546010655791658E-3</v>
      </c>
      <c r="K299" s="72" t="str">
        <f t="shared" si="56"/>
        <v>KALIBENDA</v>
      </c>
      <c r="L299" s="72" t="str">
        <f t="shared" si="57"/>
        <v>MARCH-2-KALIBENDA</v>
      </c>
      <c r="M299" s="73">
        <f t="shared" si="58"/>
        <v>7.0328502472241095E-2</v>
      </c>
      <c r="N299" s="73">
        <f t="shared" si="59"/>
        <v>-1.017306685052799E-2</v>
      </c>
      <c r="O299" s="13">
        <f t="shared" si="60"/>
        <v>866221</v>
      </c>
      <c r="P299" s="13">
        <f t="shared" si="61"/>
        <v>884020</v>
      </c>
      <c r="Q299" s="13">
        <f t="shared" si="62"/>
        <v>874493</v>
      </c>
      <c r="R299" s="33">
        <f t="shared" si="63"/>
        <v>9.5495260447391317E-3</v>
      </c>
      <c r="S299" s="33">
        <f t="shared" si="64"/>
        <v>-1.0776905499875533E-2</v>
      </c>
    </row>
    <row r="300" spans="1:19" x14ac:dyDescent="0.25">
      <c r="A300" t="s">
        <v>37</v>
      </c>
      <c r="B300" s="65">
        <v>2</v>
      </c>
      <c r="C300" t="s">
        <v>13</v>
      </c>
      <c r="D300" s="67">
        <v>44496</v>
      </c>
      <c r="E300" s="67">
        <v>45834</v>
      </c>
      <c r="F300" s="67">
        <v>45663</v>
      </c>
      <c r="G300" s="13">
        <f t="shared" si="52"/>
        <v>-171</v>
      </c>
      <c r="H300" s="13">
        <f t="shared" si="53"/>
        <v>1167</v>
      </c>
      <c r="I300" s="73">
        <f t="shared" si="54"/>
        <v>2.6227076591154308E-2</v>
      </c>
      <c r="J300" s="73">
        <f t="shared" si="55"/>
        <v>-3.7308548239298744E-3</v>
      </c>
      <c r="K300" s="72" t="str">
        <f t="shared" si="56"/>
        <v>KALIBENDA</v>
      </c>
      <c r="L300" s="72" t="str">
        <f t="shared" si="57"/>
        <v>MARCH-2-KALIBENDA</v>
      </c>
      <c r="M300" s="73">
        <f t="shared" si="58"/>
        <v>7.0328502472241095E-2</v>
      </c>
      <c r="N300" s="73">
        <f t="shared" si="59"/>
        <v>-1.017306685052799E-2</v>
      </c>
      <c r="O300" s="13">
        <f t="shared" si="60"/>
        <v>866221</v>
      </c>
      <c r="P300" s="13">
        <f t="shared" si="61"/>
        <v>884020</v>
      </c>
      <c r="Q300" s="13">
        <f t="shared" si="62"/>
        <v>874493</v>
      </c>
      <c r="R300" s="33">
        <f t="shared" si="63"/>
        <v>9.5495260447391317E-3</v>
      </c>
      <c r="S300" s="33">
        <f t="shared" si="64"/>
        <v>-1.0776905499875533E-2</v>
      </c>
    </row>
    <row r="301" spans="1:19" x14ac:dyDescent="0.25">
      <c r="A301" t="s">
        <v>37</v>
      </c>
      <c r="B301" s="65">
        <v>2</v>
      </c>
      <c r="C301" t="s">
        <v>13</v>
      </c>
      <c r="D301" s="67">
        <v>7560</v>
      </c>
      <c r="E301" s="67">
        <v>7773</v>
      </c>
      <c r="F301" s="67">
        <v>7749</v>
      </c>
      <c r="G301" s="13">
        <f t="shared" si="52"/>
        <v>-24</v>
      </c>
      <c r="H301" s="13">
        <f t="shared" si="53"/>
        <v>189</v>
      </c>
      <c r="I301" s="73">
        <f t="shared" si="54"/>
        <v>2.4999999999999911E-2</v>
      </c>
      <c r="J301" s="73">
        <f t="shared" si="55"/>
        <v>-3.0876109610189495E-3</v>
      </c>
      <c r="K301" s="72" t="str">
        <f t="shared" si="56"/>
        <v>KALIBENDA</v>
      </c>
      <c r="L301" s="72" t="str">
        <f t="shared" si="57"/>
        <v>MARCH-2-KALIBENDA</v>
      </c>
      <c r="M301" s="73">
        <f t="shared" si="58"/>
        <v>7.0328502472241095E-2</v>
      </c>
      <c r="N301" s="73">
        <f t="shared" si="59"/>
        <v>-1.017306685052799E-2</v>
      </c>
      <c r="O301" s="13">
        <f t="shared" si="60"/>
        <v>866221</v>
      </c>
      <c r="P301" s="13">
        <f t="shared" si="61"/>
        <v>884020</v>
      </c>
      <c r="Q301" s="13">
        <f t="shared" si="62"/>
        <v>874493</v>
      </c>
      <c r="R301" s="33">
        <f t="shared" si="63"/>
        <v>9.5495260447391317E-3</v>
      </c>
      <c r="S301" s="33">
        <f t="shared" si="64"/>
        <v>-1.0776905499875533E-2</v>
      </c>
    </row>
    <row r="302" spans="1:19" x14ac:dyDescent="0.25">
      <c r="A302" t="s">
        <v>37</v>
      </c>
      <c r="B302" s="65">
        <v>2</v>
      </c>
      <c r="C302" t="s">
        <v>14</v>
      </c>
      <c r="D302" s="67">
        <v>23328</v>
      </c>
      <c r="E302" s="67">
        <v>24126</v>
      </c>
      <c r="F302" s="67">
        <v>23802</v>
      </c>
      <c r="G302" s="13">
        <f t="shared" si="52"/>
        <v>-324</v>
      </c>
      <c r="H302" s="13">
        <f t="shared" si="53"/>
        <v>474</v>
      </c>
      <c r="I302" s="73">
        <f t="shared" si="54"/>
        <v>2.0318930041152372E-2</v>
      </c>
      <c r="J302" s="73">
        <f t="shared" si="55"/>
        <v>-1.3429495150460102E-2</v>
      </c>
      <c r="K302" s="72" t="str">
        <f t="shared" si="56"/>
        <v>GM2</v>
      </c>
      <c r="L302" s="72" t="str">
        <f t="shared" si="57"/>
        <v>MARCH-2-GM2</v>
      </c>
      <c r="M302" s="73">
        <f t="shared" si="58"/>
        <v>-5.7396850524646048E-2</v>
      </c>
      <c r="N302" s="73">
        <f t="shared" si="59"/>
        <v>-0.24934962923312798</v>
      </c>
      <c r="O302" s="13">
        <f t="shared" si="60"/>
        <v>866221</v>
      </c>
      <c r="P302" s="13">
        <f t="shared" si="61"/>
        <v>884020</v>
      </c>
      <c r="Q302" s="13">
        <f t="shared" si="62"/>
        <v>874493</v>
      </c>
      <c r="R302" s="33">
        <f t="shared" si="63"/>
        <v>9.5495260447391317E-3</v>
      </c>
      <c r="S302" s="33">
        <f t="shared" si="64"/>
        <v>-1.0776905499875533E-2</v>
      </c>
    </row>
    <row r="303" spans="1:19" x14ac:dyDescent="0.25">
      <c r="A303" t="s">
        <v>37</v>
      </c>
      <c r="B303" s="65">
        <v>2</v>
      </c>
      <c r="C303" t="s">
        <v>14</v>
      </c>
      <c r="D303" s="67">
        <v>3996</v>
      </c>
      <c r="E303" s="67">
        <v>3951</v>
      </c>
      <c r="F303" s="67">
        <v>3564</v>
      </c>
      <c r="G303" s="13">
        <f t="shared" si="52"/>
        <v>-387</v>
      </c>
      <c r="H303" s="13">
        <f t="shared" si="53"/>
        <v>-432</v>
      </c>
      <c r="I303" s="73">
        <f t="shared" si="54"/>
        <v>-0.10810810810810811</v>
      </c>
      <c r="J303" s="73">
        <f t="shared" si="55"/>
        <v>-9.7949886104783612E-2</v>
      </c>
      <c r="K303" s="72" t="str">
        <f t="shared" si="56"/>
        <v>GM2</v>
      </c>
      <c r="L303" s="72" t="str">
        <f t="shared" si="57"/>
        <v>MARCH-2-GM2</v>
      </c>
      <c r="M303" s="73">
        <f t="shared" si="58"/>
        <v>-5.7396850524646048E-2</v>
      </c>
      <c r="N303" s="73">
        <f t="shared" si="59"/>
        <v>-0.24934962923312798</v>
      </c>
      <c r="O303" s="13">
        <f t="shared" si="60"/>
        <v>866221</v>
      </c>
      <c r="P303" s="13">
        <f t="shared" si="61"/>
        <v>884020</v>
      </c>
      <c r="Q303" s="13">
        <f t="shared" si="62"/>
        <v>874493</v>
      </c>
      <c r="R303" s="33">
        <f t="shared" si="63"/>
        <v>9.5495260447391317E-3</v>
      </c>
      <c r="S303" s="33">
        <f t="shared" si="64"/>
        <v>-1.0776905499875533E-2</v>
      </c>
    </row>
    <row r="304" spans="1:19" x14ac:dyDescent="0.25">
      <c r="A304" t="s">
        <v>37</v>
      </c>
      <c r="B304" s="65">
        <v>2</v>
      </c>
      <c r="C304" t="s">
        <v>14</v>
      </c>
      <c r="D304" s="67">
        <v>44172</v>
      </c>
      <c r="E304" s="67">
        <v>45410</v>
      </c>
      <c r="F304" s="67">
        <v>44625</v>
      </c>
      <c r="G304" s="13">
        <f t="shared" si="52"/>
        <v>-785</v>
      </c>
      <c r="H304" s="13">
        <f t="shared" si="53"/>
        <v>453</v>
      </c>
      <c r="I304" s="73">
        <f t="shared" si="54"/>
        <v>1.0255365389839621E-2</v>
      </c>
      <c r="J304" s="73">
        <f t="shared" si="55"/>
        <v>-1.7286941202378281E-2</v>
      </c>
      <c r="K304" s="72" t="str">
        <f t="shared" si="56"/>
        <v>GM2</v>
      </c>
      <c r="L304" s="72" t="str">
        <f t="shared" si="57"/>
        <v>MARCH-2-GM2</v>
      </c>
      <c r="M304" s="73">
        <f t="shared" si="58"/>
        <v>-5.7396850524646048E-2</v>
      </c>
      <c r="N304" s="73">
        <f t="shared" si="59"/>
        <v>-0.24934962923312798</v>
      </c>
      <c r="O304" s="13">
        <f t="shared" si="60"/>
        <v>866221</v>
      </c>
      <c r="P304" s="13">
        <f t="shared" si="61"/>
        <v>884020</v>
      </c>
      <c r="Q304" s="13">
        <f t="shared" si="62"/>
        <v>874493</v>
      </c>
      <c r="R304" s="33">
        <f t="shared" si="63"/>
        <v>9.5495260447391317E-3</v>
      </c>
      <c r="S304" s="33">
        <f t="shared" si="64"/>
        <v>-1.0776905499875533E-2</v>
      </c>
    </row>
    <row r="305" spans="1:19" x14ac:dyDescent="0.25">
      <c r="A305" t="s">
        <v>37</v>
      </c>
      <c r="B305" s="65">
        <v>2</v>
      </c>
      <c r="C305" t="s">
        <v>14</v>
      </c>
      <c r="D305" s="67">
        <v>7452</v>
      </c>
      <c r="E305" s="67">
        <v>7664</v>
      </c>
      <c r="F305" s="67">
        <v>7623</v>
      </c>
      <c r="G305" s="13">
        <f t="shared" si="52"/>
        <v>-41</v>
      </c>
      <c r="H305" s="13">
        <f t="shared" si="53"/>
        <v>171</v>
      </c>
      <c r="I305" s="73">
        <f t="shared" si="54"/>
        <v>2.2946859903381744E-2</v>
      </c>
      <c r="J305" s="73">
        <f t="shared" si="55"/>
        <v>-5.3496868475991777E-3</v>
      </c>
      <c r="K305" s="72" t="str">
        <f t="shared" si="56"/>
        <v>GM2</v>
      </c>
      <c r="L305" s="72" t="str">
        <f t="shared" si="57"/>
        <v>MARCH-2-GM2</v>
      </c>
      <c r="M305" s="73">
        <f t="shared" si="58"/>
        <v>-5.7396850524646048E-2</v>
      </c>
      <c r="N305" s="73">
        <f t="shared" si="59"/>
        <v>-0.24934962923312798</v>
      </c>
      <c r="O305" s="13">
        <f t="shared" si="60"/>
        <v>866221</v>
      </c>
      <c r="P305" s="13">
        <f t="shared" si="61"/>
        <v>884020</v>
      </c>
      <c r="Q305" s="13">
        <f t="shared" si="62"/>
        <v>874493</v>
      </c>
      <c r="R305" s="33">
        <f t="shared" si="63"/>
        <v>9.5495260447391317E-3</v>
      </c>
      <c r="S305" s="33">
        <f t="shared" si="64"/>
        <v>-1.0776905499875533E-2</v>
      </c>
    </row>
    <row r="306" spans="1:19" x14ac:dyDescent="0.25">
      <c r="A306" t="s">
        <v>37</v>
      </c>
      <c r="B306" s="65">
        <v>2</v>
      </c>
      <c r="C306" t="s">
        <v>11</v>
      </c>
      <c r="D306" s="67">
        <v>9936</v>
      </c>
      <c r="E306" s="67">
        <v>10233</v>
      </c>
      <c r="F306" s="67">
        <v>10125</v>
      </c>
      <c r="G306" s="13">
        <f t="shared" si="52"/>
        <v>-108</v>
      </c>
      <c r="H306" s="13">
        <f t="shared" si="53"/>
        <v>189</v>
      </c>
      <c r="I306" s="73">
        <f t="shared" si="54"/>
        <v>1.9021739130434812E-2</v>
      </c>
      <c r="J306" s="73">
        <f t="shared" si="55"/>
        <v>-1.0554089709762571E-2</v>
      </c>
      <c r="K306" s="72" t="str">
        <f t="shared" si="56"/>
        <v>MAJA1</v>
      </c>
      <c r="L306" s="72" t="str">
        <f t="shared" si="57"/>
        <v>MARCH-2-MAJA1</v>
      </c>
      <c r="M306" s="73">
        <f t="shared" si="58"/>
        <v>3.2675223122901942E-2</v>
      </c>
      <c r="N306" s="73">
        <f t="shared" si="59"/>
        <v>-6.036770334376873E-2</v>
      </c>
      <c r="O306" s="13">
        <f t="shared" si="60"/>
        <v>866221</v>
      </c>
      <c r="P306" s="13">
        <f t="shared" si="61"/>
        <v>884020</v>
      </c>
      <c r="Q306" s="13">
        <f t="shared" si="62"/>
        <v>874493</v>
      </c>
      <c r="R306" s="33">
        <f t="shared" si="63"/>
        <v>9.5495260447391317E-3</v>
      </c>
      <c r="S306" s="33">
        <f t="shared" si="64"/>
        <v>-1.0776905499875533E-2</v>
      </c>
    </row>
    <row r="307" spans="1:19" x14ac:dyDescent="0.25">
      <c r="A307" t="s">
        <v>37</v>
      </c>
      <c r="B307" s="65">
        <v>2</v>
      </c>
      <c r="C307" t="s">
        <v>11</v>
      </c>
      <c r="D307" s="67">
        <v>1080</v>
      </c>
      <c r="E307" s="67">
        <v>1116</v>
      </c>
      <c r="F307" s="67">
        <v>1080</v>
      </c>
      <c r="G307" s="13">
        <f t="shared" si="52"/>
        <v>-36</v>
      </c>
      <c r="H307" s="13">
        <f t="shared" si="53"/>
        <v>0</v>
      </c>
      <c r="I307" s="73">
        <f t="shared" si="54"/>
        <v>0</v>
      </c>
      <c r="J307" s="73">
        <f t="shared" si="55"/>
        <v>-3.2258064516129004E-2</v>
      </c>
      <c r="K307" s="72" t="str">
        <f t="shared" si="56"/>
        <v>MAJA1</v>
      </c>
      <c r="L307" s="72" t="str">
        <f t="shared" si="57"/>
        <v>MARCH-2-MAJA1</v>
      </c>
      <c r="M307" s="73">
        <f t="shared" si="58"/>
        <v>3.2675223122901942E-2</v>
      </c>
      <c r="N307" s="73">
        <f t="shared" si="59"/>
        <v>-6.036770334376873E-2</v>
      </c>
      <c r="O307" s="13">
        <f t="shared" si="60"/>
        <v>866221</v>
      </c>
      <c r="P307" s="13">
        <f t="shared" si="61"/>
        <v>884020</v>
      </c>
      <c r="Q307" s="13">
        <f t="shared" si="62"/>
        <v>874493</v>
      </c>
      <c r="R307" s="33">
        <f t="shared" si="63"/>
        <v>9.5495260447391317E-3</v>
      </c>
      <c r="S307" s="33">
        <f t="shared" si="64"/>
        <v>-1.0776905499875533E-2</v>
      </c>
    </row>
    <row r="308" spans="1:19" x14ac:dyDescent="0.25">
      <c r="A308" t="s">
        <v>37</v>
      </c>
      <c r="B308" s="65">
        <v>2</v>
      </c>
      <c r="C308" t="s">
        <v>11</v>
      </c>
      <c r="D308" s="67">
        <v>33984</v>
      </c>
      <c r="E308" s="67">
        <v>34519</v>
      </c>
      <c r="F308" s="67">
        <v>34216</v>
      </c>
      <c r="G308" s="13">
        <f t="shared" si="52"/>
        <v>-303</v>
      </c>
      <c r="H308" s="13">
        <f t="shared" si="53"/>
        <v>232</v>
      </c>
      <c r="I308" s="73">
        <f t="shared" si="54"/>
        <v>6.8267419962335651E-3</v>
      </c>
      <c r="J308" s="73">
        <f t="shared" si="55"/>
        <v>-8.7777745589385781E-3</v>
      </c>
      <c r="K308" s="72" t="str">
        <f t="shared" si="56"/>
        <v>MAJA1</v>
      </c>
      <c r="L308" s="72" t="str">
        <f t="shared" si="57"/>
        <v>MARCH-2-MAJA1</v>
      </c>
      <c r="M308" s="73">
        <f t="shared" si="58"/>
        <v>3.2675223122901942E-2</v>
      </c>
      <c r="N308" s="73">
        <f t="shared" si="59"/>
        <v>-6.036770334376873E-2</v>
      </c>
      <c r="O308" s="13">
        <f t="shared" si="60"/>
        <v>866221</v>
      </c>
      <c r="P308" s="13">
        <f t="shared" si="61"/>
        <v>884020</v>
      </c>
      <c r="Q308" s="13">
        <f t="shared" si="62"/>
        <v>874493</v>
      </c>
      <c r="R308" s="33">
        <f t="shared" si="63"/>
        <v>9.5495260447391317E-3</v>
      </c>
      <c r="S308" s="33">
        <f t="shared" si="64"/>
        <v>-1.0776905499875533E-2</v>
      </c>
    </row>
    <row r="309" spans="1:19" x14ac:dyDescent="0.25">
      <c r="A309" t="s">
        <v>37</v>
      </c>
      <c r="B309" s="65">
        <v>2</v>
      </c>
      <c r="C309" t="s">
        <v>14</v>
      </c>
      <c r="D309" s="67">
        <v>33696</v>
      </c>
      <c r="E309" s="67">
        <v>33912</v>
      </c>
      <c r="F309" s="67">
        <v>33320</v>
      </c>
      <c r="G309" s="13">
        <f t="shared" si="52"/>
        <v>-592</v>
      </c>
      <c r="H309" s="13">
        <f t="shared" si="53"/>
        <v>-376</v>
      </c>
      <c r="I309" s="73">
        <f t="shared" si="54"/>
        <v>-1.1158594491927798E-2</v>
      </c>
      <c r="J309" s="73">
        <f t="shared" si="55"/>
        <v>-1.7456947393253097E-2</v>
      </c>
      <c r="K309" s="72" t="str">
        <f t="shared" si="56"/>
        <v>GM2</v>
      </c>
      <c r="L309" s="72" t="str">
        <f t="shared" si="57"/>
        <v>MARCH-2-GM2</v>
      </c>
      <c r="M309" s="73">
        <f t="shared" si="58"/>
        <v>-5.7396850524646048E-2</v>
      </c>
      <c r="N309" s="73">
        <f t="shared" si="59"/>
        <v>-0.24934962923312798</v>
      </c>
      <c r="O309" s="13">
        <f t="shared" si="60"/>
        <v>866221</v>
      </c>
      <c r="P309" s="13">
        <f t="shared" si="61"/>
        <v>884020</v>
      </c>
      <c r="Q309" s="13">
        <f t="shared" si="62"/>
        <v>874493</v>
      </c>
      <c r="R309" s="33">
        <f t="shared" si="63"/>
        <v>9.5495260447391317E-3</v>
      </c>
      <c r="S309" s="33">
        <f t="shared" si="64"/>
        <v>-1.0776905499875533E-2</v>
      </c>
    </row>
    <row r="310" spans="1:19" x14ac:dyDescent="0.25">
      <c r="A310" t="s">
        <v>37</v>
      </c>
      <c r="B310" s="65">
        <v>2</v>
      </c>
      <c r="C310" t="s">
        <v>14</v>
      </c>
      <c r="D310" s="67">
        <v>5760</v>
      </c>
      <c r="E310" s="67">
        <v>5729</v>
      </c>
      <c r="F310" s="67">
        <v>5452</v>
      </c>
      <c r="G310" s="13">
        <f t="shared" si="52"/>
        <v>-277</v>
      </c>
      <c r="H310" s="13">
        <f t="shared" si="53"/>
        <v>-308</v>
      </c>
      <c r="I310" s="73">
        <f t="shared" si="54"/>
        <v>-5.3472222222222254E-2</v>
      </c>
      <c r="J310" s="73">
        <f t="shared" si="55"/>
        <v>-4.8350497469017317E-2</v>
      </c>
      <c r="K310" s="72" t="str">
        <f t="shared" si="56"/>
        <v>GM2</v>
      </c>
      <c r="L310" s="72" t="str">
        <f t="shared" si="57"/>
        <v>MARCH-2-GM2</v>
      </c>
      <c r="M310" s="73">
        <f t="shared" si="58"/>
        <v>-5.7396850524646048E-2</v>
      </c>
      <c r="N310" s="73">
        <f t="shared" si="59"/>
        <v>-0.24934962923312798</v>
      </c>
      <c r="O310" s="13">
        <f t="shared" si="60"/>
        <v>866221</v>
      </c>
      <c r="P310" s="13">
        <f t="shared" si="61"/>
        <v>884020</v>
      </c>
      <c r="Q310" s="13">
        <f t="shared" si="62"/>
        <v>874493</v>
      </c>
      <c r="R310" s="33">
        <f t="shared" si="63"/>
        <v>9.5495260447391317E-3</v>
      </c>
      <c r="S310" s="33">
        <f t="shared" si="64"/>
        <v>-1.0776905499875533E-2</v>
      </c>
    </row>
    <row r="311" spans="1:19" x14ac:dyDescent="0.25">
      <c r="A311" t="s">
        <v>37</v>
      </c>
      <c r="B311" s="65">
        <v>2</v>
      </c>
      <c r="C311" t="s">
        <v>17</v>
      </c>
      <c r="D311" s="67">
        <v>10500</v>
      </c>
      <c r="E311" s="67">
        <v>10539</v>
      </c>
      <c r="F311" s="67">
        <v>10536</v>
      </c>
      <c r="G311" s="13">
        <f t="shared" si="52"/>
        <v>-3</v>
      </c>
      <c r="H311" s="13">
        <f t="shared" si="53"/>
        <v>36</v>
      </c>
      <c r="I311" s="73">
        <f t="shared" si="54"/>
        <v>3.4285714285713365E-3</v>
      </c>
      <c r="J311" s="73">
        <f t="shared" si="55"/>
        <v>-2.8465698832902397E-4</v>
      </c>
      <c r="K311" s="72" t="str">
        <f t="shared" si="56"/>
        <v>CBA</v>
      </c>
      <c r="L311" s="72" t="str">
        <f t="shared" si="57"/>
        <v>MARCH-2-CBA</v>
      </c>
      <c r="M311" s="73">
        <f t="shared" si="58"/>
        <v>7.5043693009118062E-3</v>
      </c>
      <c r="N311" s="73">
        <f t="shared" si="59"/>
        <v>-1.5054477960195989E-2</v>
      </c>
      <c r="O311" s="13">
        <f t="shared" si="60"/>
        <v>866221</v>
      </c>
      <c r="P311" s="13">
        <f t="shared" si="61"/>
        <v>884020</v>
      </c>
      <c r="Q311" s="13">
        <f t="shared" si="62"/>
        <v>874493</v>
      </c>
      <c r="R311" s="33">
        <f t="shared" si="63"/>
        <v>9.5495260447391317E-3</v>
      </c>
      <c r="S311" s="33">
        <f t="shared" si="64"/>
        <v>-1.0776905499875533E-2</v>
      </c>
    </row>
    <row r="312" spans="1:19" x14ac:dyDescent="0.25">
      <c r="A312" t="s">
        <v>37</v>
      </c>
      <c r="B312" s="65">
        <v>2</v>
      </c>
      <c r="C312" t="s">
        <v>17</v>
      </c>
      <c r="D312" s="67">
        <v>16000</v>
      </c>
      <c r="E312" s="67">
        <v>16100</v>
      </c>
      <c r="F312" s="67">
        <v>16055</v>
      </c>
      <c r="G312" s="13">
        <f t="shared" si="52"/>
        <v>-45</v>
      </c>
      <c r="H312" s="13">
        <f t="shared" si="53"/>
        <v>55</v>
      </c>
      <c r="I312" s="73">
        <f t="shared" si="54"/>
        <v>3.4374999999999822E-3</v>
      </c>
      <c r="J312" s="73">
        <f t="shared" si="55"/>
        <v>-2.7950310559006208E-3</v>
      </c>
      <c r="K312" s="72" t="str">
        <f t="shared" si="56"/>
        <v>CBA</v>
      </c>
      <c r="L312" s="72" t="str">
        <f t="shared" si="57"/>
        <v>MARCH-2-CBA</v>
      </c>
      <c r="M312" s="73">
        <f t="shared" si="58"/>
        <v>7.5043693009118062E-3</v>
      </c>
      <c r="N312" s="73">
        <f t="shared" si="59"/>
        <v>-1.5054477960195989E-2</v>
      </c>
      <c r="O312" s="13">
        <f t="shared" si="60"/>
        <v>866221</v>
      </c>
      <c r="P312" s="13">
        <f t="shared" si="61"/>
        <v>884020</v>
      </c>
      <c r="Q312" s="13">
        <f t="shared" si="62"/>
        <v>874493</v>
      </c>
      <c r="R312" s="33">
        <f t="shared" si="63"/>
        <v>9.5495260447391317E-3</v>
      </c>
      <c r="S312" s="33">
        <f t="shared" si="64"/>
        <v>-1.0776905499875533E-2</v>
      </c>
    </row>
    <row r="313" spans="1:19" x14ac:dyDescent="0.25">
      <c r="A313" t="s">
        <v>37</v>
      </c>
      <c r="B313" s="65">
        <v>2</v>
      </c>
      <c r="C313" t="s">
        <v>17</v>
      </c>
      <c r="D313" s="67">
        <v>4700</v>
      </c>
      <c r="E313" s="67">
        <v>4760</v>
      </c>
      <c r="F313" s="67">
        <v>4703</v>
      </c>
      <c r="G313" s="13">
        <f t="shared" si="52"/>
        <v>-57</v>
      </c>
      <c r="H313" s="13">
        <f t="shared" si="53"/>
        <v>3</v>
      </c>
      <c r="I313" s="73">
        <f t="shared" si="54"/>
        <v>6.3829787234048752E-4</v>
      </c>
      <c r="J313" s="73">
        <f t="shared" si="55"/>
        <v>-1.1974789915966344E-2</v>
      </c>
      <c r="K313" s="72" t="str">
        <f t="shared" si="56"/>
        <v>CBA</v>
      </c>
      <c r="L313" s="72" t="str">
        <f t="shared" si="57"/>
        <v>MARCH-2-CBA</v>
      </c>
      <c r="M313" s="73">
        <f t="shared" si="58"/>
        <v>7.5043693009118062E-3</v>
      </c>
      <c r="N313" s="73">
        <f t="shared" si="59"/>
        <v>-1.5054477960195989E-2</v>
      </c>
      <c r="O313" s="13">
        <f t="shared" si="60"/>
        <v>866221</v>
      </c>
      <c r="P313" s="13">
        <f t="shared" si="61"/>
        <v>884020</v>
      </c>
      <c r="Q313" s="13">
        <f t="shared" si="62"/>
        <v>874493</v>
      </c>
      <c r="R313" s="33">
        <f t="shared" si="63"/>
        <v>9.5495260447391317E-3</v>
      </c>
      <c r="S313" s="33">
        <f t="shared" si="64"/>
        <v>-1.0776905499875533E-2</v>
      </c>
    </row>
    <row r="314" spans="1:19" x14ac:dyDescent="0.25">
      <c r="A314" t="s">
        <v>37</v>
      </c>
      <c r="B314" s="65">
        <v>3</v>
      </c>
      <c r="C314" t="s">
        <v>11</v>
      </c>
      <c r="D314" s="67">
        <v>8064</v>
      </c>
      <c r="E314" s="67">
        <v>8127</v>
      </c>
      <c r="F314" s="67">
        <v>8064</v>
      </c>
      <c r="G314" s="13">
        <f t="shared" si="52"/>
        <v>-63</v>
      </c>
      <c r="H314" s="13">
        <f t="shared" si="53"/>
        <v>0</v>
      </c>
      <c r="I314" s="73">
        <f t="shared" si="54"/>
        <v>0</v>
      </c>
      <c r="J314" s="73">
        <f t="shared" si="55"/>
        <v>-7.7519379844961378E-3</v>
      </c>
      <c r="K314" s="72" t="str">
        <f t="shared" si="56"/>
        <v>MAJA1</v>
      </c>
      <c r="L314" s="72" t="str">
        <f t="shared" si="57"/>
        <v>MARCH-3-MAJA1</v>
      </c>
      <c r="M314" s="73">
        <f t="shared" si="58"/>
        <v>0.17958272815298937</v>
      </c>
      <c r="N314" s="73">
        <f t="shared" si="59"/>
        <v>-0.24564253954437187</v>
      </c>
      <c r="O314" s="13">
        <f t="shared" si="60"/>
        <v>866221</v>
      </c>
      <c r="P314" s="13">
        <f t="shared" si="61"/>
        <v>884020</v>
      </c>
      <c r="Q314" s="13">
        <f t="shared" si="62"/>
        <v>874493</v>
      </c>
      <c r="R314" s="33">
        <f t="shared" si="63"/>
        <v>9.5495260447391317E-3</v>
      </c>
      <c r="S314" s="33">
        <f t="shared" si="64"/>
        <v>-1.0776905499875533E-2</v>
      </c>
    </row>
    <row r="315" spans="1:19" x14ac:dyDescent="0.25">
      <c r="A315" t="s">
        <v>37</v>
      </c>
      <c r="B315" s="65">
        <v>3</v>
      </c>
      <c r="C315" t="s">
        <v>14</v>
      </c>
      <c r="D315" s="67">
        <v>6912</v>
      </c>
      <c r="E315" s="67">
        <v>7077</v>
      </c>
      <c r="F315" s="67">
        <v>7011</v>
      </c>
      <c r="G315" s="13">
        <f t="shared" si="52"/>
        <v>-66</v>
      </c>
      <c r="H315" s="13">
        <f t="shared" si="53"/>
        <v>99</v>
      </c>
      <c r="I315" s="73">
        <f t="shared" si="54"/>
        <v>1.4322916666666741E-2</v>
      </c>
      <c r="J315" s="73">
        <f t="shared" si="55"/>
        <v>-9.3259855871131725E-3</v>
      </c>
      <c r="K315" s="72" t="str">
        <f t="shared" si="56"/>
        <v>GM2</v>
      </c>
      <c r="L315" s="72" t="str">
        <f t="shared" si="57"/>
        <v>MARCH-3-GM2</v>
      </c>
      <c r="M315" s="73">
        <f t="shared" si="58"/>
        <v>0.19126240920819415</v>
      </c>
      <c r="N315" s="73">
        <f t="shared" si="59"/>
        <v>-0.43512856298155855</v>
      </c>
      <c r="O315" s="13">
        <f t="shared" si="60"/>
        <v>866221</v>
      </c>
      <c r="P315" s="13">
        <f t="shared" si="61"/>
        <v>884020</v>
      </c>
      <c r="Q315" s="13">
        <f t="shared" si="62"/>
        <v>874493</v>
      </c>
      <c r="R315" s="33">
        <f t="shared" si="63"/>
        <v>9.5495260447391317E-3</v>
      </c>
      <c r="S315" s="33">
        <f t="shared" si="64"/>
        <v>-1.0776905499875533E-2</v>
      </c>
    </row>
    <row r="316" spans="1:19" x14ac:dyDescent="0.25">
      <c r="A316" t="s">
        <v>37</v>
      </c>
      <c r="B316" s="65">
        <v>3</v>
      </c>
      <c r="C316" t="s">
        <v>14</v>
      </c>
      <c r="D316" s="67">
        <v>4428</v>
      </c>
      <c r="E316" s="67">
        <v>4531</v>
      </c>
      <c r="F316" s="67">
        <v>4443</v>
      </c>
      <c r="G316" s="13">
        <f t="shared" si="52"/>
        <v>-88</v>
      </c>
      <c r="H316" s="13">
        <f t="shared" si="53"/>
        <v>15</v>
      </c>
      <c r="I316" s="73">
        <f t="shared" si="54"/>
        <v>3.3875338753388551E-3</v>
      </c>
      <c r="J316" s="73">
        <f t="shared" si="55"/>
        <v>-1.9421761200618004E-2</v>
      </c>
      <c r="K316" s="72" t="str">
        <f t="shared" si="56"/>
        <v>GM2</v>
      </c>
      <c r="L316" s="72" t="str">
        <f t="shared" si="57"/>
        <v>MARCH-3-GM2</v>
      </c>
      <c r="M316" s="73">
        <f t="shared" si="58"/>
        <v>0.19126240920819415</v>
      </c>
      <c r="N316" s="73">
        <f t="shared" si="59"/>
        <v>-0.43512856298155855</v>
      </c>
      <c r="O316" s="13">
        <f t="shared" si="60"/>
        <v>866221</v>
      </c>
      <c r="P316" s="13">
        <f t="shared" si="61"/>
        <v>884020</v>
      </c>
      <c r="Q316" s="13">
        <f t="shared" si="62"/>
        <v>874493</v>
      </c>
      <c r="R316" s="33">
        <f t="shared" si="63"/>
        <v>9.5495260447391317E-3</v>
      </c>
      <c r="S316" s="33">
        <f t="shared" si="64"/>
        <v>-1.0776905499875533E-2</v>
      </c>
    </row>
    <row r="317" spans="1:19" x14ac:dyDescent="0.25">
      <c r="A317" t="s">
        <v>37</v>
      </c>
      <c r="B317" s="65">
        <v>3</v>
      </c>
      <c r="C317" t="s">
        <v>14</v>
      </c>
      <c r="D317" s="67">
        <v>1080</v>
      </c>
      <c r="E317" s="67">
        <v>1104</v>
      </c>
      <c r="F317" s="67">
        <v>1089</v>
      </c>
      <c r="G317" s="13">
        <f t="shared" si="52"/>
        <v>-15</v>
      </c>
      <c r="H317" s="13">
        <f t="shared" si="53"/>
        <v>9</v>
      </c>
      <c r="I317" s="73">
        <f t="shared" si="54"/>
        <v>8.3333333333333037E-3</v>
      </c>
      <c r="J317" s="73">
        <f t="shared" si="55"/>
        <v>-1.3586956521739135E-2</v>
      </c>
      <c r="K317" s="72" t="str">
        <f t="shared" si="56"/>
        <v>GM2</v>
      </c>
      <c r="L317" s="72" t="str">
        <f t="shared" si="57"/>
        <v>MARCH-3-GM2</v>
      </c>
      <c r="M317" s="73">
        <f t="shared" si="58"/>
        <v>0.19126240920819415</v>
      </c>
      <c r="N317" s="73">
        <f t="shared" si="59"/>
        <v>-0.43512856298155855</v>
      </c>
      <c r="O317" s="13">
        <f t="shared" si="60"/>
        <v>866221</v>
      </c>
      <c r="P317" s="13">
        <f t="shared" si="61"/>
        <v>884020</v>
      </c>
      <c r="Q317" s="13">
        <f t="shared" si="62"/>
        <v>874493</v>
      </c>
      <c r="R317" s="33">
        <f t="shared" si="63"/>
        <v>9.5495260447391317E-3</v>
      </c>
      <c r="S317" s="33">
        <f t="shared" si="64"/>
        <v>-1.0776905499875533E-2</v>
      </c>
    </row>
    <row r="318" spans="1:19" x14ac:dyDescent="0.25">
      <c r="A318" t="s">
        <v>37</v>
      </c>
      <c r="B318" s="65">
        <v>3</v>
      </c>
      <c r="C318" t="s">
        <v>14</v>
      </c>
      <c r="D318" s="67">
        <v>3672</v>
      </c>
      <c r="E318" s="67">
        <v>3796</v>
      </c>
      <c r="F318" s="67">
        <v>3738</v>
      </c>
      <c r="G318" s="13">
        <f t="shared" si="52"/>
        <v>-58</v>
      </c>
      <c r="H318" s="13">
        <f t="shared" si="53"/>
        <v>66</v>
      </c>
      <c r="I318" s="73">
        <f t="shared" si="54"/>
        <v>1.7973856209150263E-2</v>
      </c>
      <c r="J318" s="73">
        <f t="shared" si="55"/>
        <v>-1.5279241306638602E-2</v>
      </c>
      <c r="K318" s="72" t="str">
        <f t="shared" si="56"/>
        <v>GM2</v>
      </c>
      <c r="L318" s="72" t="str">
        <f t="shared" si="57"/>
        <v>MARCH-3-GM2</v>
      </c>
      <c r="M318" s="73">
        <f t="shared" si="58"/>
        <v>0.19126240920819415</v>
      </c>
      <c r="N318" s="73">
        <f t="shared" si="59"/>
        <v>-0.43512856298155855</v>
      </c>
      <c r="O318" s="13">
        <f t="shared" si="60"/>
        <v>866221</v>
      </c>
      <c r="P318" s="13">
        <f t="shared" si="61"/>
        <v>884020</v>
      </c>
      <c r="Q318" s="13">
        <f t="shared" si="62"/>
        <v>874493</v>
      </c>
      <c r="R318" s="33">
        <f t="shared" si="63"/>
        <v>9.5495260447391317E-3</v>
      </c>
      <c r="S318" s="33">
        <f t="shared" si="64"/>
        <v>-1.0776905499875533E-2</v>
      </c>
    </row>
    <row r="319" spans="1:19" x14ac:dyDescent="0.25">
      <c r="A319" t="s">
        <v>37</v>
      </c>
      <c r="B319" s="65">
        <v>3</v>
      </c>
      <c r="C319" t="s">
        <v>11</v>
      </c>
      <c r="D319" s="67">
        <v>5832</v>
      </c>
      <c r="E319" s="67">
        <v>6010</v>
      </c>
      <c r="F319" s="67">
        <v>5892</v>
      </c>
      <c r="G319" s="13">
        <f t="shared" si="52"/>
        <v>-118</v>
      </c>
      <c r="H319" s="13">
        <f t="shared" si="53"/>
        <v>60</v>
      </c>
      <c r="I319" s="73">
        <f t="shared" si="54"/>
        <v>1.0288065843621297E-2</v>
      </c>
      <c r="J319" s="73">
        <f t="shared" si="55"/>
        <v>-1.9633943427620593E-2</v>
      </c>
      <c r="K319" s="72" t="str">
        <f t="shared" si="56"/>
        <v>MAJA1</v>
      </c>
      <c r="L319" s="72" t="str">
        <f t="shared" si="57"/>
        <v>MARCH-3-MAJA1</v>
      </c>
      <c r="M319" s="73">
        <f t="shared" si="58"/>
        <v>0.17958272815298937</v>
      </c>
      <c r="N319" s="73">
        <f t="shared" si="59"/>
        <v>-0.24564253954437187</v>
      </c>
      <c r="O319" s="13">
        <f t="shared" si="60"/>
        <v>866221</v>
      </c>
      <c r="P319" s="13">
        <f t="shared" si="61"/>
        <v>884020</v>
      </c>
      <c r="Q319" s="13">
        <f t="shared" si="62"/>
        <v>874493</v>
      </c>
      <c r="R319" s="33">
        <f t="shared" si="63"/>
        <v>9.5495260447391317E-3</v>
      </c>
      <c r="S319" s="33">
        <f t="shared" si="64"/>
        <v>-1.0776905499875533E-2</v>
      </c>
    </row>
    <row r="320" spans="1:19" x14ac:dyDescent="0.25">
      <c r="A320" t="s">
        <v>37</v>
      </c>
      <c r="B320" s="65">
        <v>3</v>
      </c>
      <c r="C320" t="s">
        <v>11</v>
      </c>
      <c r="D320" s="67">
        <v>1080</v>
      </c>
      <c r="E320" s="67">
        <v>1114</v>
      </c>
      <c r="F320" s="67">
        <v>1101</v>
      </c>
      <c r="G320" s="13">
        <f t="shared" si="52"/>
        <v>-13</v>
      </c>
      <c r="H320" s="13">
        <f t="shared" si="53"/>
        <v>21</v>
      </c>
      <c r="I320" s="73">
        <f t="shared" si="54"/>
        <v>1.9444444444444375E-2</v>
      </c>
      <c r="J320" s="73">
        <f t="shared" si="55"/>
        <v>-1.1669658886894085E-2</v>
      </c>
      <c r="K320" s="72" t="str">
        <f t="shared" si="56"/>
        <v>MAJA1</v>
      </c>
      <c r="L320" s="72" t="str">
        <f t="shared" si="57"/>
        <v>MARCH-3-MAJA1</v>
      </c>
      <c r="M320" s="73">
        <f t="shared" si="58"/>
        <v>0.17958272815298937</v>
      </c>
      <c r="N320" s="73">
        <f t="shared" si="59"/>
        <v>-0.24564253954437187</v>
      </c>
      <c r="O320" s="13">
        <f t="shared" si="60"/>
        <v>866221</v>
      </c>
      <c r="P320" s="13">
        <f t="shared" si="61"/>
        <v>884020</v>
      </c>
      <c r="Q320" s="13">
        <f t="shared" si="62"/>
        <v>874493</v>
      </c>
      <c r="R320" s="33">
        <f t="shared" si="63"/>
        <v>9.5495260447391317E-3</v>
      </c>
      <c r="S320" s="33">
        <f t="shared" si="64"/>
        <v>-1.0776905499875533E-2</v>
      </c>
    </row>
    <row r="321" spans="1:19" x14ac:dyDescent="0.25">
      <c r="A321" t="s">
        <v>37</v>
      </c>
      <c r="B321" s="65">
        <v>3</v>
      </c>
      <c r="C321" t="s">
        <v>14</v>
      </c>
      <c r="D321" s="67">
        <v>5400</v>
      </c>
      <c r="E321" s="67">
        <v>5528</v>
      </c>
      <c r="F321" s="67">
        <v>5373</v>
      </c>
      <c r="G321" s="13">
        <f t="shared" si="52"/>
        <v>-155</v>
      </c>
      <c r="H321" s="13">
        <f t="shared" si="53"/>
        <v>-27</v>
      </c>
      <c r="I321" s="73">
        <f t="shared" si="54"/>
        <v>-5.0000000000000044E-3</v>
      </c>
      <c r="J321" s="73">
        <f t="shared" si="55"/>
        <v>-2.8039073806078174E-2</v>
      </c>
      <c r="K321" s="72" t="str">
        <f t="shared" si="56"/>
        <v>GM2</v>
      </c>
      <c r="L321" s="72" t="str">
        <f t="shared" si="57"/>
        <v>MARCH-3-GM2</v>
      </c>
      <c r="M321" s="73">
        <f t="shared" si="58"/>
        <v>0.19126240920819415</v>
      </c>
      <c r="N321" s="73">
        <f t="shared" si="59"/>
        <v>-0.43512856298155855</v>
      </c>
      <c r="O321" s="13">
        <f t="shared" si="60"/>
        <v>866221</v>
      </c>
      <c r="P321" s="13">
        <f t="shared" si="61"/>
        <v>884020</v>
      </c>
      <c r="Q321" s="13">
        <f t="shared" si="62"/>
        <v>874493</v>
      </c>
      <c r="R321" s="33">
        <f t="shared" si="63"/>
        <v>9.5495260447391317E-3</v>
      </c>
      <c r="S321" s="33">
        <f t="shared" si="64"/>
        <v>-1.0776905499875533E-2</v>
      </c>
    </row>
    <row r="322" spans="1:19" x14ac:dyDescent="0.25">
      <c r="A322" t="s">
        <v>37</v>
      </c>
      <c r="B322" s="65">
        <v>3</v>
      </c>
      <c r="C322" t="s">
        <v>14</v>
      </c>
      <c r="D322" s="67">
        <v>6912</v>
      </c>
      <c r="E322" s="67">
        <v>7140</v>
      </c>
      <c r="F322" s="67">
        <v>7050</v>
      </c>
      <c r="G322" s="13">
        <f t="shared" ref="G322:G385" si="65">F322-E322</f>
        <v>-90</v>
      </c>
      <c r="H322" s="13">
        <f t="shared" ref="H322:H385" si="66">F322-D322</f>
        <v>138</v>
      </c>
      <c r="I322" s="73">
        <f t="shared" ref="I322:I385" si="67">F322/D322-1</f>
        <v>1.9965277777777679E-2</v>
      </c>
      <c r="J322" s="73">
        <f t="shared" ref="J322:J385" si="68">F322/E322-1</f>
        <v>-1.2605042016806678E-2</v>
      </c>
      <c r="K322" s="72" t="str">
        <f t="shared" ref="K322:K385" si="69">CLEAN(SUBSTITUTE(C322," ",""))</f>
        <v>GM2</v>
      </c>
      <c r="L322" s="72" t="str">
        <f t="shared" ref="L322:L385" si="70">A322&amp;"-"&amp;B322&amp;"-"&amp;K322</f>
        <v>MARCH-3-GM2</v>
      </c>
      <c r="M322" s="73">
        <f t="shared" ref="M322:M385" si="71">SUMIF($L$2:$L$1396,L322,$I$2:$I$1396)</f>
        <v>0.19126240920819415</v>
      </c>
      <c r="N322" s="73">
        <f t="shared" ref="N322:N385" si="72">SUMIF($L$2:$L$1396,L322,$J$2:$J$1396)</f>
        <v>-0.43512856298155855</v>
      </c>
      <c r="O322" s="13">
        <f t="shared" ref="O322:O385" si="73">SUMIF($A$2:$A$1396,A322,$D$2:$D$1396)</f>
        <v>866221</v>
      </c>
      <c r="P322" s="13">
        <f t="shared" ref="P322:P385" si="74">SUMIF($A$2:$A$1396,A322,$E$2:$E$1396)</f>
        <v>884020</v>
      </c>
      <c r="Q322" s="13">
        <f t="shared" ref="Q322:Q385" si="75">SUMIF($A$2:$A$1396,A322,$F$2:$F$1396)</f>
        <v>874493</v>
      </c>
      <c r="R322" s="33">
        <f t="shared" ref="R322:R385" si="76">Q322/O322-1</f>
        <v>9.5495260447391317E-3</v>
      </c>
      <c r="S322" s="33">
        <f t="shared" ref="S322:S385" si="77">Q322/P322-1</f>
        <v>-1.0776905499875533E-2</v>
      </c>
    </row>
    <row r="323" spans="1:19" x14ac:dyDescent="0.25">
      <c r="A323" t="s">
        <v>37</v>
      </c>
      <c r="B323" s="65">
        <v>3</v>
      </c>
      <c r="C323" t="s">
        <v>14</v>
      </c>
      <c r="D323" s="67">
        <v>7488</v>
      </c>
      <c r="E323" s="67">
        <v>7736</v>
      </c>
      <c r="F323" s="67">
        <v>7524</v>
      </c>
      <c r="G323" s="13">
        <f t="shared" si="65"/>
        <v>-212</v>
      </c>
      <c r="H323" s="13">
        <f t="shared" si="66"/>
        <v>36</v>
      </c>
      <c r="I323" s="73">
        <f t="shared" si="67"/>
        <v>4.8076923076922906E-3</v>
      </c>
      <c r="J323" s="73">
        <f t="shared" si="68"/>
        <v>-2.7404343329886283E-2</v>
      </c>
      <c r="K323" s="72" t="str">
        <f t="shared" si="69"/>
        <v>GM2</v>
      </c>
      <c r="L323" s="72" t="str">
        <f t="shared" si="70"/>
        <v>MARCH-3-GM2</v>
      </c>
      <c r="M323" s="73">
        <f t="shared" si="71"/>
        <v>0.19126240920819415</v>
      </c>
      <c r="N323" s="73">
        <f t="shared" si="72"/>
        <v>-0.43512856298155855</v>
      </c>
      <c r="O323" s="13">
        <f t="shared" si="73"/>
        <v>866221</v>
      </c>
      <c r="P323" s="13">
        <f t="shared" si="74"/>
        <v>884020</v>
      </c>
      <c r="Q323" s="13">
        <f t="shared" si="75"/>
        <v>874493</v>
      </c>
      <c r="R323" s="33">
        <f t="shared" si="76"/>
        <v>9.5495260447391317E-3</v>
      </c>
      <c r="S323" s="33">
        <f t="shared" si="77"/>
        <v>-1.0776905499875533E-2</v>
      </c>
    </row>
    <row r="324" spans="1:19" x14ac:dyDescent="0.25">
      <c r="A324" t="s">
        <v>37</v>
      </c>
      <c r="B324" s="65">
        <v>3</v>
      </c>
      <c r="C324" t="s">
        <v>14</v>
      </c>
      <c r="D324" s="67">
        <v>1584</v>
      </c>
      <c r="E324" s="67">
        <v>1633</v>
      </c>
      <c r="F324" s="67">
        <v>1584</v>
      </c>
      <c r="G324" s="13">
        <f t="shared" si="65"/>
        <v>-49</v>
      </c>
      <c r="H324" s="13">
        <f t="shared" si="66"/>
        <v>0</v>
      </c>
      <c r="I324" s="73">
        <f t="shared" si="67"/>
        <v>0</v>
      </c>
      <c r="J324" s="73">
        <f t="shared" si="68"/>
        <v>-3.0006123698714027E-2</v>
      </c>
      <c r="K324" s="72" t="str">
        <f t="shared" si="69"/>
        <v>GM2</v>
      </c>
      <c r="L324" s="72" t="str">
        <f t="shared" si="70"/>
        <v>MARCH-3-GM2</v>
      </c>
      <c r="M324" s="73">
        <f t="shared" si="71"/>
        <v>0.19126240920819415</v>
      </c>
      <c r="N324" s="73">
        <f t="shared" si="72"/>
        <v>-0.43512856298155855</v>
      </c>
      <c r="O324" s="13">
        <f t="shared" si="73"/>
        <v>866221</v>
      </c>
      <c r="P324" s="13">
        <f t="shared" si="74"/>
        <v>884020</v>
      </c>
      <c r="Q324" s="13">
        <f t="shared" si="75"/>
        <v>874493</v>
      </c>
      <c r="R324" s="33">
        <f t="shared" si="76"/>
        <v>9.5495260447391317E-3</v>
      </c>
      <c r="S324" s="33">
        <f t="shared" si="77"/>
        <v>-1.0776905499875533E-2</v>
      </c>
    </row>
    <row r="325" spans="1:19" x14ac:dyDescent="0.25">
      <c r="A325" t="s">
        <v>37</v>
      </c>
      <c r="B325" s="65">
        <v>3</v>
      </c>
      <c r="C325" t="s">
        <v>14</v>
      </c>
      <c r="D325" s="67">
        <v>4320</v>
      </c>
      <c r="E325" s="67">
        <v>4457</v>
      </c>
      <c r="F325" s="67">
        <v>4248</v>
      </c>
      <c r="G325" s="13">
        <f t="shared" si="65"/>
        <v>-209</v>
      </c>
      <c r="H325" s="13">
        <f t="shared" si="66"/>
        <v>-72</v>
      </c>
      <c r="I325" s="73">
        <f t="shared" si="67"/>
        <v>-1.6666666666666718E-2</v>
      </c>
      <c r="J325" s="73">
        <f t="shared" si="68"/>
        <v>-4.6892528606686135E-2</v>
      </c>
      <c r="K325" s="72" t="str">
        <f t="shared" si="69"/>
        <v>GM2</v>
      </c>
      <c r="L325" s="72" t="str">
        <f t="shared" si="70"/>
        <v>MARCH-3-GM2</v>
      </c>
      <c r="M325" s="73">
        <f t="shared" si="71"/>
        <v>0.19126240920819415</v>
      </c>
      <c r="N325" s="73">
        <f t="shared" si="72"/>
        <v>-0.43512856298155855</v>
      </c>
      <c r="O325" s="13">
        <f t="shared" si="73"/>
        <v>866221</v>
      </c>
      <c r="P325" s="13">
        <f t="shared" si="74"/>
        <v>884020</v>
      </c>
      <c r="Q325" s="13">
        <f t="shared" si="75"/>
        <v>874493</v>
      </c>
      <c r="R325" s="33">
        <f t="shared" si="76"/>
        <v>9.5495260447391317E-3</v>
      </c>
      <c r="S325" s="33">
        <f t="shared" si="77"/>
        <v>-1.0776905499875533E-2</v>
      </c>
    </row>
    <row r="326" spans="1:19" x14ac:dyDescent="0.25">
      <c r="A326" t="s">
        <v>37</v>
      </c>
      <c r="B326" s="65">
        <v>3</v>
      </c>
      <c r="C326" t="s">
        <v>14</v>
      </c>
      <c r="D326" s="67">
        <v>5076</v>
      </c>
      <c r="E326" s="67">
        <v>5230</v>
      </c>
      <c r="F326" s="67">
        <v>5172</v>
      </c>
      <c r="G326" s="13">
        <f t="shared" si="65"/>
        <v>-58</v>
      </c>
      <c r="H326" s="13">
        <f t="shared" si="66"/>
        <v>96</v>
      </c>
      <c r="I326" s="73">
        <f t="shared" si="67"/>
        <v>1.891252955082745E-2</v>
      </c>
      <c r="J326" s="73">
        <f t="shared" si="68"/>
        <v>-1.1089866156787753E-2</v>
      </c>
      <c r="K326" s="72" t="str">
        <f t="shared" si="69"/>
        <v>GM2</v>
      </c>
      <c r="L326" s="72" t="str">
        <f t="shared" si="70"/>
        <v>MARCH-3-GM2</v>
      </c>
      <c r="M326" s="73">
        <f t="shared" si="71"/>
        <v>0.19126240920819415</v>
      </c>
      <c r="N326" s="73">
        <f t="shared" si="72"/>
        <v>-0.43512856298155855</v>
      </c>
      <c r="O326" s="13">
        <f t="shared" si="73"/>
        <v>866221</v>
      </c>
      <c r="P326" s="13">
        <f t="shared" si="74"/>
        <v>884020</v>
      </c>
      <c r="Q326" s="13">
        <f t="shared" si="75"/>
        <v>874493</v>
      </c>
      <c r="R326" s="33">
        <f t="shared" si="76"/>
        <v>9.5495260447391317E-3</v>
      </c>
      <c r="S326" s="33">
        <f t="shared" si="77"/>
        <v>-1.0776905499875533E-2</v>
      </c>
    </row>
    <row r="327" spans="1:19" x14ac:dyDescent="0.25">
      <c r="A327" t="s">
        <v>37</v>
      </c>
      <c r="B327" s="65">
        <v>3</v>
      </c>
      <c r="C327" t="s">
        <v>11</v>
      </c>
      <c r="D327" s="67">
        <v>3780</v>
      </c>
      <c r="E327" s="67">
        <v>3858</v>
      </c>
      <c r="F327" s="67">
        <v>3780</v>
      </c>
      <c r="G327" s="13">
        <f t="shared" si="65"/>
        <v>-78</v>
      </c>
      <c r="H327" s="13">
        <f t="shared" si="66"/>
        <v>0</v>
      </c>
      <c r="I327" s="73">
        <f t="shared" si="67"/>
        <v>0</v>
      </c>
      <c r="J327" s="73">
        <f t="shared" si="68"/>
        <v>-2.0217729393468109E-2</v>
      </c>
      <c r="K327" s="72" t="str">
        <f t="shared" si="69"/>
        <v>MAJA1</v>
      </c>
      <c r="L327" s="72" t="str">
        <f t="shared" si="70"/>
        <v>MARCH-3-MAJA1</v>
      </c>
      <c r="M327" s="73">
        <f t="shared" si="71"/>
        <v>0.17958272815298937</v>
      </c>
      <c r="N327" s="73">
        <f t="shared" si="72"/>
        <v>-0.24564253954437187</v>
      </c>
      <c r="O327" s="13">
        <f t="shared" si="73"/>
        <v>866221</v>
      </c>
      <c r="P327" s="13">
        <f t="shared" si="74"/>
        <v>884020</v>
      </c>
      <c r="Q327" s="13">
        <f t="shared" si="75"/>
        <v>874493</v>
      </c>
      <c r="R327" s="33">
        <f t="shared" si="76"/>
        <v>9.5495260447391317E-3</v>
      </c>
      <c r="S327" s="33">
        <f t="shared" si="77"/>
        <v>-1.0776905499875533E-2</v>
      </c>
    </row>
    <row r="328" spans="1:19" x14ac:dyDescent="0.25">
      <c r="A328" t="s">
        <v>37</v>
      </c>
      <c r="B328" s="65">
        <v>3</v>
      </c>
      <c r="C328" t="s">
        <v>14</v>
      </c>
      <c r="D328" s="67">
        <v>12960</v>
      </c>
      <c r="E328" s="67">
        <v>13353</v>
      </c>
      <c r="F328" s="67">
        <v>13287</v>
      </c>
      <c r="G328" s="13">
        <f t="shared" si="65"/>
        <v>-66</v>
      </c>
      <c r="H328" s="13">
        <f t="shared" si="66"/>
        <v>327</v>
      </c>
      <c r="I328" s="73">
        <f t="shared" si="67"/>
        <v>2.5231481481481577E-2</v>
      </c>
      <c r="J328" s="73">
        <f t="shared" si="68"/>
        <v>-4.942709503482412E-3</v>
      </c>
      <c r="K328" s="72" t="str">
        <f t="shared" si="69"/>
        <v>GM2</v>
      </c>
      <c r="L328" s="72" t="str">
        <f t="shared" si="70"/>
        <v>MARCH-3-GM2</v>
      </c>
      <c r="M328" s="73">
        <f t="shared" si="71"/>
        <v>0.19126240920819415</v>
      </c>
      <c r="N328" s="73">
        <f t="shared" si="72"/>
        <v>-0.43512856298155855</v>
      </c>
      <c r="O328" s="13">
        <f t="shared" si="73"/>
        <v>866221</v>
      </c>
      <c r="P328" s="13">
        <f t="shared" si="74"/>
        <v>884020</v>
      </c>
      <c r="Q328" s="13">
        <f t="shared" si="75"/>
        <v>874493</v>
      </c>
      <c r="R328" s="33">
        <f t="shared" si="76"/>
        <v>9.5495260447391317E-3</v>
      </c>
      <c r="S328" s="33">
        <f t="shared" si="77"/>
        <v>-1.0776905499875533E-2</v>
      </c>
    </row>
    <row r="329" spans="1:19" x14ac:dyDescent="0.25">
      <c r="A329" t="s">
        <v>37</v>
      </c>
      <c r="B329" s="65">
        <v>3</v>
      </c>
      <c r="C329" t="s">
        <v>14</v>
      </c>
      <c r="D329" s="67">
        <v>3672</v>
      </c>
      <c r="E329" s="67">
        <v>3683</v>
      </c>
      <c r="F329" s="67">
        <v>3648</v>
      </c>
      <c r="G329" s="13">
        <f t="shared" si="65"/>
        <v>-35</v>
      </c>
      <c r="H329" s="13">
        <f t="shared" si="66"/>
        <v>-24</v>
      </c>
      <c r="I329" s="73">
        <f t="shared" si="67"/>
        <v>-6.5359477124182774E-3</v>
      </c>
      <c r="J329" s="73">
        <f t="shared" si="68"/>
        <v>-9.5031224545207849E-3</v>
      </c>
      <c r="K329" s="72" t="str">
        <f t="shared" si="69"/>
        <v>GM2</v>
      </c>
      <c r="L329" s="72" t="str">
        <f t="shared" si="70"/>
        <v>MARCH-3-GM2</v>
      </c>
      <c r="M329" s="73">
        <f t="shared" si="71"/>
        <v>0.19126240920819415</v>
      </c>
      <c r="N329" s="73">
        <f t="shared" si="72"/>
        <v>-0.43512856298155855</v>
      </c>
      <c r="O329" s="13">
        <f t="shared" si="73"/>
        <v>866221</v>
      </c>
      <c r="P329" s="13">
        <f t="shared" si="74"/>
        <v>884020</v>
      </c>
      <c r="Q329" s="13">
        <f t="shared" si="75"/>
        <v>874493</v>
      </c>
      <c r="R329" s="33">
        <f t="shared" si="76"/>
        <v>9.5495260447391317E-3</v>
      </c>
      <c r="S329" s="33">
        <f t="shared" si="77"/>
        <v>-1.0776905499875533E-2</v>
      </c>
    </row>
    <row r="330" spans="1:19" x14ac:dyDescent="0.25">
      <c r="A330" t="s">
        <v>37</v>
      </c>
      <c r="B330" s="65">
        <v>3</v>
      </c>
      <c r="C330" t="s">
        <v>11</v>
      </c>
      <c r="D330" s="67">
        <v>3672</v>
      </c>
      <c r="E330" s="67">
        <v>3819</v>
      </c>
      <c r="F330" s="67">
        <v>3759</v>
      </c>
      <c r="G330" s="13">
        <f t="shared" si="65"/>
        <v>-60</v>
      </c>
      <c r="H330" s="13">
        <f t="shared" si="66"/>
        <v>87</v>
      </c>
      <c r="I330" s="73">
        <f t="shared" si="67"/>
        <v>2.3692810457516256E-2</v>
      </c>
      <c r="J330" s="73">
        <f t="shared" si="68"/>
        <v>-1.5710919088766651E-2</v>
      </c>
      <c r="K330" s="72" t="str">
        <f t="shared" si="69"/>
        <v>MAJA1</v>
      </c>
      <c r="L330" s="72" t="str">
        <f t="shared" si="70"/>
        <v>MARCH-3-MAJA1</v>
      </c>
      <c r="M330" s="73">
        <f t="shared" si="71"/>
        <v>0.17958272815298937</v>
      </c>
      <c r="N330" s="73">
        <f t="shared" si="72"/>
        <v>-0.24564253954437187</v>
      </c>
      <c r="O330" s="13">
        <f t="shared" si="73"/>
        <v>866221</v>
      </c>
      <c r="P330" s="13">
        <f t="shared" si="74"/>
        <v>884020</v>
      </c>
      <c r="Q330" s="13">
        <f t="shared" si="75"/>
        <v>874493</v>
      </c>
      <c r="R330" s="33">
        <f t="shared" si="76"/>
        <v>9.5495260447391317E-3</v>
      </c>
      <c r="S330" s="33">
        <f t="shared" si="77"/>
        <v>-1.0776905499875533E-2</v>
      </c>
    </row>
    <row r="331" spans="1:19" x14ac:dyDescent="0.25">
      <c r="A331" t="s">
        <v>37</v>
      </c>
      <c r="B331" s="65">
        <v>3</v>
      </c>
      <c r="C331" t="s">
        <v>11</v>
      </c>
      <c r="D331" s="67">
        <v>2592</v>
      </c>
      <c r="E331" s="67">
        <v>2748</v>
      </c>
      <c r="F331" s="67">
        <v>2685</v>
      </c>
      <c r="G331" s="13">
        <f t="shared" si="65"/>
        <v>-63</v>
      </c>
      <c r="H331" s="13">
        <f t="shared" si="66"/>
        <v>93</v>
      </c>
      <c r="I331" s="73">
        <f t="shared" si="67"/>
        <v>3.5879629629629539E-2</v>
      </c>
      <c r="J331" s="73">
        <f t="shared" si="68"/>
        <v>-2.2925764192139764E-2</v>
      </c>
      <c r="K331" s="72" t="str">
        <f t="shared" si="69"/>
        <v>MAJA1</v>
      </c>
      <c r="L331" s="72" t="str">
        <f t="shared" si="70"/>
        <v>MARCH-3-MAJA1</v>
      </c>
      <c r="M331" s="73">
        <f t="shared" si="71"/>
        <v>0.17958272815298937</v>
      </c>
      <c r="N331" s="73">
        <f t="shared" si="72"/>
        <v>-0.24564253954437187</v>
      </c>
      <c r="O331" s="13">
        <f t="shared" si="73"/>
        <v>866221</v>
      </c>
      <c r="P331" s="13">
        <f t="shared" si="74"/>
        <v>884020</v>
      </c>
      <c r="Q331" s="13">
        <f t="shared" si="75"/>
        <v>874493</v>
      </c>
      <c r="R331" s="33">
        <f t="shared" si="76"/>
        <v>9.5495260447391317E-3</v>
      </c>
      <c r="S331" s="33">
        <f t="shared" si="77"/>
        <v>-1.0776905499875533E-2</v>
      </c>
    </row>
    <row r="332" spans="1:19" x14ac:dyDescent="0.25">
      <c r="A332" t="s">
        <v>37</v>
      </c>
      <c r="B332" s="65">
        <v>3</v>
      </c>
      <c r="C332" t="s">
        <v>11</v>
      </c>
      <c r="D332" s="67">
        <v>1080</v>
      </c>
      <c r="E332" s="67">
        <v>1150</v>
      </c>
      <c r="F332" s="67">
        <v>1119</v>
      </c>
      <c r="G332" s="13">
        <f t="shared" si="65"/>
        <v>-31</v>
      </c>
      <c r="H332" s="13">
        <f t="shared" si="66"/>
        <v>39</v>
      </c>
      <c r="I332" s="73">
        <f t="shared" si="67"/>
        <v>3.6111111111111205E-2</v>
      </c>
      <c r="J332" s="73">
        <f t="shared" si="68"/>
        <v>-2.6956521739130435E-2</v>
      </c>
      <c r="K332" s="72" t="str">
        <f t="shared" si="69"/>
        <v>MAJA1</v>
      </c>
      <c r="L332" s="72" t="str">
        <f t="shared" si="70"/>
        <v>MARCH-3-MAJA1</v>
      </c>
      <c r="M332" s="73">
        <f t="shared" si="71"/>
        <v>0.17958272815298937</v>
      </c>
      <c r="N332" s="73">
        <f t="shared" si="72"/>
        <v>-0.24564253954437187</v>
      </c>
      <c r="O332" s="13">
        <f t="shared" si="73"/>
        <v>866221</v>
      </c>
      <c r="P332" s="13">
        <f t="shared" si="74"/>
        <v>884020</v>
      </c>
      <c r="Q332" s="13">
        <f t="shared" si="75"/>
        <v>874493</v>
      </c>
      <c r="R332" s="33">
        <f t="shared" si="76"/>
        <v>9.5495260447391317E-3</v>
      </c>
      <c r="S332" s="33">
        <f t="shared" si="77"/>
        <v>-1.0776905499875533E-2</v>
      </c>
    </row>
    <row r="333" spans="1:19" x14ac:dyDescent="0.25">
      <c r="A333" t="s">
        <v>37</v>
      </c>
      <c r="B333" s="65">
        <v>3</v>
      </c>
      <c r="C333" t="s">
        <v>11</v>
      </c>
      <c r="D333" s="67">
        <v>4752</v>
      </c>
      <c r="E333" s="67">
        <v>4947</v>
      </c>
      <c r="F333" s="67">
        <v>4851</v>
      </c>
      <c r="G333" s="13">
        <f t="shared" si="65"/>
        <v>-96</v>
      </c>
      <c r="H333" s="13">
        <f t="shared" si="66"/>
        <v>99</v>
      </c>
      <c r="I333" s="73">
        <f t="shared" si="67"/>
        <v>2.0833333333333259E-2</v>
      </c>
      <c r="J333" s="73">
        <f t="shared" si="68"/>
        <v>-1.9405700424499739E-2</v>
      </c>
      <c r="K333" s="72" t="str">
        <f t="shared" si="69"/>
        <v>MAJA1</v>
      </c>
      <c r="L333" s="72" t="str">
        <f t="shared" si="70"/>
        <v>MARCH-3-MAJA1</v>
      </c>
      <c r="M333" s="73">
        <f t="shared" si="71"/>
        <v>0.17958272815298937</v>
      </c>
      <c r="N333" s="73">
        <f t="shared" si="72"/>
        <v>-0.24564253954437187</v>
      </c>
      <c r="O333" s="13">
        <f t="shared" si="73"/>
        <v>866221</v>
      </c>
      <c r="P333" s="13">
        <f t="shared" si="74"/>
        <v>884020</v>
      </c>
      <c r="Q333" s="13">
        <f t="shared" si="75"/>
        <v>874493</v>
      </c>
      <c r="R333" s="33">
        <f t="shared" si="76"/>
        <v>9.5495260447391317E-3</v>
      </c>
      <c r="S333" s="33">
        <f t="shared" si="77"/>
        <v>-1.0776905499875533E-2</v>
      </c>
    </row>
    <row r="334" spans="1:19" x14ac:dyDescent="0.25">
      <c r="A334" t="s">
        <v>37</v>
      </c>
      <c r="B334" s="65">
        <v>3</v>
      </c>
      <c r="C334" t="s">
        <v>11</v>
      </c>
      <c r="D334" s="67">
        <v>1080</v>
      </c>
      <c r="E334" s="67">
        <v>1125</v>
      </c>
      <c r="F334" s="67">
        <v>1116</v>
      </c>
      <c r="G334" s="13">
        <f t="shared" si="65"/>
        <v>-9</v>
      </c>
      <c r="H334" s="13">
        <f t="shared" si="66"/>
        <v>36</v>
      </c>
      <c r="I334" s="73">
        <f t="shared" si="67"/>
        <v>3.3333333333333437E-2</v>
      </c>
      <c r="J334" s="73">
        <f t="shared" si="68"/>
        <v>-8.0000000000000071E-3</v>
      </c>
      <c r="K334" s="72" t="str">
        <f t="shared" si="69"/>
        <v>MAJA1</v>
      </c>
      <c r="L334" s="72" t="str">
        <f t="shared" si="70"/>
        <v>MARCH-3-MAJA1</v>
      </c>
      <c r="M334" s="73">
        <f t="shared" si="71"/>
        <v>0.17958272815298937</v>
      </c>
      <c r="N334" s="73">
        <f t="shared" si="72"/>
        <v>-0.24564253954437187</v>
      </c>
      <c r="O334" s="13">
        <f t="shared" si="73"/>
        <v>866221</v>
      </c>
      <c r="P334" s="13">
        <f t="shared" si="74"/>
        <v>884020</v>
      </c>
      <c r="Q334" s="13">
        <f t="shared" si="75"/>
        <v>874493</v>
      </c>
      <c r="R334" s="33">
        <f t="shared" si="76"/>
        <v>9.5495260447391317E-3</v>
      </c>
      <c r="S334" s="33">
        <f t="shared" si="77"/>
        <v>-1.0776905499875533E-2</v>
      </c>
    </row>
    <row r="335" spans="1:19" x14ac:dyDescent="0.25">
      <c r="A335" t="s">
        <v>37</v>
      </c>
      <c r="B335" s="65">
        <v>3</v>
      </c>
      <c r="C335" t="s">
        <v>14</v>
      </c>
      <c r="D335" s="67">
        <v>4320</v>
      </c>
      <c r="E335" s="67">
        <v>4471</v>
      </c>
      <c r="F335" s="67">
        <v>4407</v>
      </c>
      <c r="G335" s="13">
        <f t="shared" si="65"/>
        <v>-64</v>
      </c>
      <c r="H335" s="13">
        <f t="shared" si="66"/>
        <v>87</v>
      </c>
      <c r="I335" s="73">
        <f t="shared" si="67"/>
        <v>2.0138888888888928E-2</v>
      </c>
      <c r="J335" s="73">
        <f t="shared" si="68"/>
        <v>-1.4314471035562493E-2</v>
      </c>
      <c r="K335" s="72" t="str">
        <f t="shared" si="69"/>
        <v>GM2</v>
      </c>
      <c r="L335" s="72" t="str">
        <f t="shared" si="70"/>
        <v>MARCH-3-GM2</v>
      </c>
      <c r="M335" s="73">
        <f t="shared" si="71"/>
        <v>0.19126240920819415</v>
      </c>
      <c r="N335" s="73">
        <f t="shared" si="72"/>
        <v>-0.43512856298155855</v>
      </c>
      <c r="O335" s="13">
        <f t="shared" si="73"/>
        <v>866221</v>
      </c>
      <c r="P335" s="13">
        <f t="shared" si="74"/>
        <v>884020</v>
      </c>
      <c r="Q335" s="13">
        <f t="shared" si="75"/>
        <v>874493</v>
      </c>
      <c r="R335" s="33">
        <f t="shared" si="76"/>
        <v>9.5495260447391317E-3</v>
      </c>
      <c r="S335" s="33">
        <f t="shared" si="77"/>
        <v>-1.0776905499875533E-2</v>
      </c>
    </row>
    <row r="336" spans="1:19" x14ac:dyDescent="0.25">
      <c r="A336" t="s">
        <v>37</v>
      </c>
      <c r="B336" s="65">
        <v>3</v>
      </c>
      <c r="C336" t="s">
        <v>14</v>
      </c>
      <c r="D336" s="67">
        <v>1080</v>
      </c>
      <c r="E336" s="67">
        <v>1120</v>
      </c>
      <c r="F336" s="67">
        <v>1104</v>
      </c>
      <c r="G336" s="13">
        <f t="shared" si="65"/>
        <v>-16</v>
      </c>
      <c r="H336" s="13">
        <f t="shared" si="66"/>
        <v>24</v>
      </c>
      <c r="I336" s="73">
        <f t="shared" si="67"/>
        <v>2.2222222222222143E-2</v>
      </c>
      <c r="J336" s="73">
        <f t="shared" si="68"/>
        <v>-1.4285714285714235E-2</v>
      </c>
      <c r="K336" s="72" t="str">
        <f t="shared" si="69"/>
        <v>GM2</v>
      </c>
      <c r="L336" s="72" t="str">
        <f t="shared" si="70"/>
        <v>MARCH-3-GM2</v>
      </c>
      <c r="M336" s="73">
        <f t="shared" si="71"/>
        <v>0.19126240920819415</v>
      </c>
      <c r="N336" s="73">
        <f t="shared" si="72"/>
        <v>-0.43512856298155855</v>
      </c>
      <c r="O336" s="13">
        <f t="shared" si="73"/>
        <v>866221</v>
      </c>
      <c r="P336" s="13">
        <f t="shared" si="74"/>
        <v>884020</v>
      </c>
      <c r="Q336" s="13">
        <f t="shared" si="75"/>
        <v>874493</v>
      </c>
      <c r="R336" s="33">
        <f t="shared" si="76"/>
        <v>9.5495260447391317E-3</v>
      </c>
      <c r="S336" s="33">
        <f t="shared" si="77"/>
        <v>-1.0776905499875533E-2</v>
      </c>
    </row>
    <row r="337" spans="1:19" x14ac:dyDescent="0.25">
      <c r="A337" t="s">
        <v>37</v>
      </c>
      <c r="B337" s="65">
        <v>3</v>
      </c>
      <c r="C337" t="s">
        <v>14</v>
      </c>
      <c r="D337" s="67">
        <v>5184</v>
      </c>
      <c r="E337" s="67">
        <v>5386</v>
      </c>
      <c r="F337" s="67">
        <v>5168</v>
      </c>
      <c r="G337" s="13">
        <f t="shared" si="65"/>
        <v>-218</v>
      </c>
      <c r="H337" s="13">
        <f t="shared" si="66"/>
        <v>-16</v>
      </c>
      <c r="I337" s="73">
        <f t="shared" si="67"/>
        <v>-3.0864197530864335E-3</v>
      </c>
      <c r="J337" s="73">
        <f t="shared" si="68"/>
        <v>-4.0475306349795792E-2</v>
      </c>
      <c r="K337" s="72" t="str">
        <f t="shared" si="69"/>
        <v>GM2</v>
      </c>
      <c r="L337" s="72" t="str">
        <f t="shared" si="70"/>
        <v>MARCH-3-GM2</v>
      </c>
      <c r="M337" s="73">
        <f t="shared" si="71"/>
        <v>0.19126240920819415</v>
      </c>
      <c r="N337" s="73">
        <f t="shared" si="72"/>
        <v>-0.43512856298155855</v>
      </c>
      <c r="O337" s="13">
        <f t="shared" si="73"/>
        <v>866221</v>
      </c>
      <c r="P337" s="13">
        <f t="shared" si="74"/>
        <v>884020</v>
      </c>
      <c r="Q337" s="13">
        <f t="shared" si="75"/>
        <v>874493</v>
      </c>
      <c r="R337" s="33">
        <f t="shared" si="76"/>
        <v>9.5495260447391317E-3</v>
      </c>
      <c r="S337" s="33">
        <f t="shared" si="77"/>
        <v>-1.0776905499875533E-2</v>
      </c>
    </row>
    <row r="338" spans="1:19" x14ac:dyDescent="0.25">
      <c r="A338" t="s">
        <v>37</v>
      </c>
      <c r="B338" s="65">
        <v>3</v>
      </c>
      <c r="C338" t="s">
        <v>14</v>
      </c>
      <c r="D338" s="67">
        <v>1440</v>
      </c>
      <c r="E338" s="67">
        <v>1488</v>
      </c>
      <c r="F338" s="67">
        <v>1440</v>
      </c>
      <c r="G338" s="13">
        <f t="shared" si="65"/>
        <v>-48</v>
      </c>
      <c r="H338" s="13">
        <f t="shared" si="66"/>
        <v>0</v>
      </c>
      <c r="I338" s="73">
        <f t="shared" si="67"/>
        <v>0</v>
      </c>
      <c r="J338" s="73">
        <f t="shared" si="68"/>
        <v>-3.2258064516129004E-2</v>
      </c>
      <c r="K338" s="72" t="str">
        <f t="shared" si="69"/>
        <v>GM2</v>
      </c>
      <c r="L338" s="72" t="str">
        <f t="shared" si="70"/>
        <v>MARCH-3-GM2</v>
      </c>
      <c r="M338" s="73">
        <f t="shared" si="71"/>
        <v>0.19126240920819415</v>
      </c>
      <c r="N338" s="73">
        <f t="shared" si="72"/>
        <v>-0.43512856298155855</v>
      </c>
      <c r="O338" s="13">
        <f t="shared" si="73"/>
        <v>866221</v>
      </c>
      <c r="P338" s="13">
        <f t="shared" si="74"/>
        <v>884020</v>
      </c>
      <c r="Q338" s="13">
        <f t="shared" si="75"/>
        <v>874493</v>
      </c>
      <c r="R338" s="33">
        <f t="shared" si="76"/>
        <v>9.5495260447391317E-3</v>
      </c>
      <c r="S338" s="33">
        <f t="shared" si="77"/>
        <v>-1.0776905499875533E-2</v>
      </c>
    </row>
    <row r="339" spans="1:19" x14ac:dyDescent="0.25">
      <c r="A339" t="s">
        <v>37</v>
      </c>
      <c r="B339" s="65">
        <v>3</v>
      </c>
      <c r="C339" t="s">
        <v>14</v>
      </c>
      <c r="D339" s="67">
        <v>5616</v>
      </c>
      <c r="E339" s="67">
        <v>5766</v>
      </c>
      <c r="F339" s="67">
        <v>5600</v>
      </c>
      <c r="G339" s="13">
        <f t="shared" si="65"/>
        <v>-166</v>
      </c>
      <c r="H339" s="13">
        <f t="shared" si="66"/>
        <v>-16</v>
      </c>
      <c r="I339" s="73">
        <f t="shared" si="67"/>
        <v>-2.8490028490028019E-3</v>
      </c>
      <c r="J339" s="73">
        <f t="shared" si="68"/>
        <v>-2.878945542837319E-2</v>
      </c>
      <c r="K339" s="72" t="str">
        <f t="shared" si="69"/>
        <v>GM2</v>
      </c>
      <c r="L339" s="72" t="str">
        <f t="shared" si="70"/>
        <v>MARCH-3-GM2</v>
      </c>
      <c r="M339" s="73">
        <f t="shared" si="71"/>
        <v>0.19126240920819415</v>
      </c>
      <c r="N339" s="73">
        <f t="shared" si="72"/>
        <v>-0.43512856298155855</v>
      </c>
      <c r="O339" s="13">
        <f t="shared" si="73"/>
        <v>866221</v>
      </c>
      <c r="P339" s="13">
        <f t="shared" si="74"/>
        <v>884020</v>
      </c>
      <c r="Q339" s="13">
        <f t="shared" si="75"/>
        <v>874493</v>
      </c>
      <c r="R339" s="33">
        <f t="shared" si="76"/>
        <v>9.5495260447391317E-3</v>
      </c>
      <c r="S339" s="33">
        <f t="shared" si="77"/>
        <v>-1.0776905499875533E-2</v>
      </c>
    </row>
    <row r="340" spans="1:19" x14ac:dyDescent="0.25">
      <c r="A340" t="s">
        <v>37</v>
      </c>
      <c r="B340" s="65">
        <v>3</v>
      </c>
      <c r="C340" t="s">
        <v>14</v>
      </c>
      <c r="D340" s="67">
        <v>720</v>
      </c>
      <c r="E340" s="67">
        <v>755</v>
      </c>
      <c r="F340" s="67">
        <v>720</v>
      </c>
      <c r="G340" s="13">
        <f t="shared" si="65"/>
        <v>-35</v>
      </c>
      <c r="H340" s="13">
        <f t="shared" si="66"/>
        <v>0</v>
      </c>
      <c r="I340" s="73">
        <f t="shared" si="67"/>
        <v>0</v>
      </c>
      <c r="J340" s="73">
        <f t="shared" si="68"/>
        <v>-4.635761589403975E-2</v>
      </c>
      <c r="K340" s="72" t="str">
        <f t="shared" si="69"/>
        <v>GM2</v>
      </c>
      <c r="L340" s="72" t="str">
        <f t="shared" si="70"/>
        <v>MARCH-3-GM2</v>
      </c>
      <c r="M340" s="73">
        <f t="shared" si="71"/>
        <v>0.19126240920819415</v>
      </c>
      <c r="N340" s="73">
        <f t="shared" si="72"/>
        <v>-0.43512856298155855</v>
      </c>
      <c r="O340" s="13">
        <f t="shared" si="73"/>
        <v>866221</v>
      </c>
      <c r="P340" s="13">
        <f t="shared" si="74"/>
        <v>884020</v>
      </c>
      <c r="Q340" s="13">
        <f t="shared" si="75"/>
        <v>874493</v>
      </c>
      <c r="R340" s="33">
        <f t="shared" si="76"/>
        <v>9.5495260447391317E-3</v>
      </c>
      <c r="S340" s="33">
        <f t="shared" si="77"/>
        <v>-1.0776905499875533E-2</v>
      </c>
    </row>
    <row r="341" spans="1:19" x14ac:dyDescent="0.25">
      <c r="A341" t="s">
        <v>37</v>
      </c>
      <c r="B341" s="65">
        <v>3</v>
      </c>
      <c r="C341" t="s">
        <v>10</v>
      </c>
      <c r="D341" s="67">
        <v>1415</v>
      </c>
      <c r="E341" s="67">
        <v>1415</v>
      </c>
      <c r="F341" s="67">
        <v>1415</v>
      </c>
      <c r="G341" s="13">
        <f t="shared" si="65"/>
        <v>0</v>
      </c>
      <c r="H341" s="13">
        <f t="shared" si="66"/>
        <v>0</v>
      </c>
      <c r="I341" s="73">
        <f t="shared" si="67"/>
        <v>0</v>
      </c>
      <c r="J341" s="73">
        <f t="shared" si="68"/>
        <v>0</v>
      </c>
      <c r="K341" s="72" t="str">
        <f t="shared" si="69"/>
        <v>CNJ2</v>
      </c>
      <c r="L341" s="72" t="str">
        <f t="shared" si="70"/>
        <v>MARCH-3-CNJ2</v>
      </c>
      <c r="M341" s="73">
        <f t="shared" si="71"/>
        <v>0</v>
      </c>
      <c r="N341" s="73">
        <f t="shared" si="72"/>
        <v>-8.6035026722397046E-2</v>
      </c>
      <c r="O341" s="13">
        <f t="shared" si="73"/>
        <v>866221</v>
      </c>
      <c r="P341" s="13">
        <f t="shared" si="74"/>
        <v>884020</v>
      </c>
      <c r="Q341" s="13">
        <f t="shared" si="75"/>
        <v>874493</v>
      </c>
      <c r="R341" s="33">
        <f t="shared" si="76"/>
        <v>9.5495260447391317E-3</v>
      </c>
      <c r="S341" s="33">
        <f t="shared" si="77"/>
        <v>-1.0776905499875533E-2</v>
      </c>
    </row>
    <row r="342" spans="1:19" x14ac:dyDescent="0.25">
      <c r="A342" t="s">
        <v>37</v>
      </c>
      <c r="B342" s="65">
        <v>3</v>
      </c>
      <c r="C342" t="s">
        <v>10</v>
      </c>
      <c r="D342" s="67">
        <v>440</v>
      </c>
      <c r="E342" s="67">
        <v>440</v>
      </c>
      <c r="F342" s="67">
        <v>440</v>
      </c>
      <c r="G342" s="13">
        <f t="shared" si="65"/>
        <v>0</v>
      </c>
      <c r="H342" s="13">
        <f t="shared" si="66"/>
        <v>0</v>
      </c>
      <c r="I342" s="73">
        <f t="shared" si="67"/>
        <v>0</v>
      </c>
      <c r="J342" s="73">
        <f t="shared" si="68"/>
        <v>0</v>
      </c>
      <c r="K342" s="72" t="str">
        <f t="shared" si="69"/>
        <v>CNJ2</v>
      </c>
      <c r="L342" s="72" t="str">
        <f t="shared" si="70"/>
        <v>MARCH-3-CNJ2</v>
      </c>
      <c r="M342" s="73">
        <f t="shared" si="71"/>
        <v>0</v>
      </c>
      <c r="N342" s="73">
        <f t="shared" si="72"/>
        <v>-8.6035026722397046E-2</v>
      </c>
      <c r="O342" s="13">
        <f t="shared" si="73"/>
        <v>866221</v>
      </c>
      <c r="P342" s="13">
        <f t="shared" si="74"/>
        <v>884020</v>
      </c>
      <c r="Q342" s="13">
        <f t="shared" si="75"/>
        <v>874493</v>
      </c>
      <c r="R342" s="33">
        <f t="shared" si="76"/>
        <v>9.5495260447391317E-3</v>
      </c>
      <c r="S342" s="33">
        <f t="shared" si="77"/>
        <v>-1.0776905499875533E-2</v>
      </c>
    </row>
    <row r="343" spans="1:19" x14ac:dyDescent="0.25">
      <c r="A343" t="s">
        <v>37</v>
      </c>
      <c r="B343" s="65">
        <v>3</v>
      </c>
      <c r="C343" t="s">
        <v>10</v>
      </c>
      <c r="D343" s="67">
        <v>195</v>
      </c>
      <c r="E343" s="67">
        <v>195</v>
      </c>
      <c r="F343" s="67">
        <v>195</v>
      </c>
      <c r="G343" s="13">
        <f t="shared" si="65"/>
        <v>0</v>
      </c>
      <c r="H343" s="13">
        <f t="shared" si="66"/>
        <v>0</v>
      </c>
      <c r="I343" s="73">
        <f t="shared" si="67"/>
        <v>0</v>
      </c>
      <c r="J343" s="73">
        <f t="shared" si="68"/>
        <v>0</v>
      </c>
      <c r="K343" s="72" t="str">
        <f t="shared" si="69"/>
        <v>CNJ2</v>
      </c>
      <c r="L343" s="72" t="str">
        <f t="shared" si="70"/>
        <v>MARCH-3-CNJ2</v>
      </c>
      <c r="M343" s="73">
        <f t="shared" si="71"/>
        <v>0</v>
      </c>
      <c r="N343" s="73">
        <f t="shared" si="72"/>
        <v>-8.6035026722397046E-2</v>
      </c>
      <c r="O343" s="13">
        <f t="shared" si="73"/>
        <v>866221</v>
      </c>
      <c r="P343" s="13">
        <f t="shared" si="74"/>
        <v>884020</v>
      </c>
      <c r="Q343" s="13">
        <f t="shared" si="75"/>
        <v>874493</v>
      </c>
      <c r="R343" s="33">
        <f t="shared" si="76"/>
        <v>9.5495260447391317E-3</v>
      </c>
      <c r="S343" s="33">
        <f t="shared" si="77"/>
        <v>-1.0776905499875533E-2</v>
      </c>
    </row>
    <row r="344" spans="1:19" x14ac:dyDescent="0.25">
      <c r="A344" t="s">
        <v>37</v>
      </c>
      <c r="B344" s="65">
        <v>3</v>
      </c>
      <c r="C344" t="s">
        <v>10</v>
      </c>
      <c r="D344" s="67">
        <v>4220</v>
      </c>
      <c r="E344" s="67">
        <v>4230</v>
      </c>
      <c r="F344" s="67">
        <v>4220</v>
      </c>
      <c r="G344" s="13">
        <f t="shared" si="65"/>
        <v>-10</v>
      </c>
      <c r="H344" s="13">
        <f t="shared" si="66"/>
        <v>0</v>
      </c>
      <c r="I344" s="73">
        <f t="shared" si="67"/>
        <v>0</v>
      </c>
      <c r="J344" s="73">
        <f t="shared" si="68"/>
        <v>-2.3640661938534313E-3</v>
      </c>
      <c r="K344" s="72" t="str">
        <f t="shared" si="69"/>
        <v>CNJ2</v>
      </c>
      <c r="L344" s="72" t="str">
        <f t="shared" si="70"/>
        <v>MARCH-3-CNJ2</v>
      </c>
      <c r="M344" s="73">
        <f t="shared" si="71"/>
        <v>0</v>
      </c>
      <c r="N344" s="73">
        <f t="shared" si="72"/>
        <v>-8.6035026722397046E-2</v>
      </c>
      <c r="O344" s="13">
        <f t="shared" si="73"/>
        <v>866221</v>
      </c>
      <c r="P344" s="13">
        <f t="shared" si="74"/>
        <v>884020</v>
      </c>
      <c r="Q344" s="13">
        <f t="shared" si="75"/>
        <v>874493</v>
      </c>
      <c r="R344" s="33">
        <f t="shared" si="76"/>
        <v>9.5495260447391317E-3</v>
      </c>
      <c r="S344" s="33">
        <f t="shared" si="77"/>
        <v>-1.0776905499875533E-2</v>
      </c>
    </row>
    <row r="345" spans="1:19" x14ac:dyDescent="0.25">
      <c r="A345" t="s">
        <v>37</v>
      </c>
      <c r="B345" s="65">
        <v>3</v>
      </c>
      <c r="C345" t="s">
        <v>10</v>
      </c>
      <c r="D345" s="67">
        <v>3720</v>
      </c>
      <c r="E345" s="67">
        <v>3750</v>
      </c>
      <c r="F345" s="67">
        <v>3720</v>
      </c>
      <c r="G345" s="13">
        <f t="shared" si="65"/>
        <v>-30</v>
      </c>
      <c r="H345" s="13">
        <f t="shared" si="66"/>
        <v>0</v>
      </c>
      <c r="I345" s="73">
        <f t="shared" si="67"/>
        <v>0</v>
      </c>
      <c r="J345" s="73">
        <f t="shared" si="68"/>
        <v>-8.0000000000000071E-3</v>
      </c>
      <c r="K345" s="72" t="str">
        <f t="shared" si="69"/>
        <v>CNJ2</v>
      </c>
      <c r="L345" s="72" t="str">
        <f t="shared" si="70"/>
        <v>MARCH-3-CNJ2</v>
      </c>
      <c r="M345" s="73">
        <f t="shared" si="71"/>
        <v>0</v>
      </c>
      <c r="N345" s="73">
        <f t="shared" si="72"/>
        <v>-8.6035026722397046E-2</v>
      </c>
      <c r="O345" s="13">
        <f t="shared" si="73"/>
        <v>866221</v>
      </c>
      <c r="P345" s="13">
        <f t="shared" si="74"/>
        <v>884020</v>
      </c>
      <c r="Q345" s="13">
        <f t="shared" si="75"/>
        <v>874493</v>
      </c>
      <c r="R345" s="33">
        <f t="shared" si="76"/>
        <v>9.5495260447391317E-3</v>
      </c>
      <c r="S345" s="33">
        <f t="shared" si="77"/>
        <v>-1.0776905499875533E-2</v>
      </c>
    </row>
    <row r="346" spans="1:19" x14ac:dyDescent="0.25">
      <c r="A346" t="s">
        <v>37</v>
      </c>
      <c r="B346" s="65">
        <v>3</v>
      </c>
      <c r="C346" t="s">
        <v>11</v>
      </c>
      <c r="D346" s="67">
        <v>4608</v>
      </c>
      <c r="E346" s="67">
        <v>4691</v>
      </c>
      <c r="F346" s="67">
        <v>4608</v>
      </c>
      <c r="G346" s="13">
        <f t="shared" si="65"/>
        <v>-83</v>
      </c>
      <c r="H346" s="13">
        <f t="shared" si="66"/>
        <v>0</v>
      </c>
      <c r="I346" s="73">
        <f t="shared" si="67"/>
        <v>0</v>
      </c>
      <c r="J346" s="73">
        <f t="shared" si="68"/>
        <v>-1.769345555318691E-2</v>
      </c>
      <c r="K346" s="72" t="str">
        <f t="shared" si="69"/>
        <v>MAJA1</v>
      </c>
      <c r="L346" s="72" t="str">
        <f t="shared" si="70"/>
        <v>MARCH-3-MAJA1</v>
      </c>
      <c r="M346" s="73">
        <f t="shared" si="71"/>
        <v>0.17958272815298937</v>
      </c>
      <c r="N346" s="73">
        <f t="shared" si="72"/>
        <v>-0.24564253954437187</v>
      </c>
      <c r="O346" s="13">
        <f t="shared" si="73"/>
        <v>866221</v>
      </c>
      <c r="P346" s="13">
        <f t="shared" si="74"/>
        <v>884020</v>
      </c>
      <c r="Q346" s="13">
        <f t="shared" si="75"/>
        <v>874493</v>
      </c>
      <c r="R346" s="33">
        <f t="shared" si="76"/>
        <v>9.5495260447391317E-3</v>
      </c>
      <c r="S346" s="33">
        <f t="shared" si="77"/>
        <v>-1.0776905499875533E-2</v>
      </c>
    </row>
    <row r="347" spans="1:19" x14ac:dyDescent="0.25">
      <c r="A347" t="s">
        <v>37</v>
      </c>
      <c r="B347" s="65">
        <v>3</v>
      </c>
      <c r="C347" t="s">
        <v>11</v>
      </c>
      <c r="D347" s="67">
        <v>4464</v>
      </c>
      <c r="E347" s="67">
        <v>4488</v>
      </c>
      <c r="F347" s="67">
        <v>4464</v>
      </c>
      <c r="G347" s="13">
        <f t="shared" si="65"/>
        <v>-24</v>
      </c>
      <c r="H347" s="13">
        <f t="shared" si="66"/>
        <v>0</v>
      </c>
      <c r="I347" s="73">
        <f t="shared" si="67"/>
        <v>0</v>
      </c>
      <c r="J347" s="73">
        <f t="shared" si="68"/>
        <v>-5.3475935828877219E-3</v>
      </c>
      <c r="K347" s="72" t="str">
        <f t="shared" si="69"/>
        <v>MAJA1</v>
      </c>
      <c r="L347" s="72" t="str">
        <f t="shared" si="70"/>
        <v>MARCH-3-MAJA1</v>
      </c>
      <c r="M347" s="73">
        <f t="shared" si="71"/>
        <v>0.17958272815298937</v>
      </c>
      <c r="N347" s="73">
        <f t="shared" si="72"/>
        <v>-0.24564253954437187</v>
      </c>
      <c r="O347" s="13">
        <f t="shared" si="73"/>
        <v>866221</v>
      </c>
      <c r="P347" s="13">
        <f t="shared" si="74"/>
        <v>884020</v>
      </c>
      <c r="Q347" s="13">
        <f t="shared" si="75"/>
        <v>874493</v>
      </c>
      <c r="R347" s="33">
        <f t="shared" si="76"/>
        <v>9.5495260447391317E-3</v>
      </c>
      <c r="S347" s="33">
        <f t="shared" si="77"/>
        <v>-1.0776905499875533E-2</v>
      </c>
    </row>
    <row r="348" spans="1:19" x14ac:dyDescent="0.25">
      <c r="A348" t="s">
        <v>37</v>
      </c>
      <c r="B348" s="65">
        <v>3</v>
      </c>
      <c r="C348" t="s">
        <v>11</v>
      </c>
      <c r="D348" s="67">
        <v>4248</v>
      </c>
      <c r="E348" s="67">
        <v>4542</v>
      </c>
      <c r="F348" s="67">
        <v>4248</v>
      </c>
      <c r="G348" s="13">
        <f t="shared" si="65"/>
        <v>-294</v>
      </c>
      <c r="H348" s="13">
        <f t="shared" si="66"/>
        <v>0</v>
      </c>
      <c r="I348" s="73">
        <f t="shared" si="67"/>
        <v>0</v>
      </c>
      <c r="J348" s="73">
        <f t="shared" si="68"/>
        <v>-6.4729194187582606E-2</v>
      </c>
      <c r="K348" s="72" t="str">
        <f t="shared" si="69"/>
        <v>MAJA1</v>
      </c>
      <c r="L348" s="72" t="str">
        <f t="shared" si="70"/>
        <v>MARCH-3-MAJA1</v>
      </c>
      <c r="M348" s="73">
        <f t="shared" si="71"/>
        <v>0.17958272815298937</v>
      </c>
      <c r="N348" s="73">
        <f t="shared" si="72"/>
        <v>-0.24564253954437187</v>
      </c>
      <c r="O348" s="13">
        <f t="shared" si="73"/>
        <v>866221</v>
      </c>
      <c r="P348" s="13">
        <f t="shared" si="74"/>
        <v>884020</v>
      </c>
      <c r="Q348" s="13">
        <f t="shared" si="75"/>
        <v>874493</v>
      </c>
      <c r="R348" s="33">
        <f t="shared" si="76"/>
        <v>9.5495260447391317E-3</v>
      </c>
      <c r="S348" s="33">
        <f t="shared" si="77"/>
        <v>-1.0776905499875533E-2</v>
      </c>
    </row>
    <row r="349" spans="1:19" x14ac:dyDescent="0.25">
      <c r="A349" t="s">
        <v>37</v>
      </c>
      <c r="B349" s="65">
        <v>3</v>
      </c>
      <c r="C349" t="s">
        <v>13</v>
      </c>
      <c r="D349" s="67">
        <v>74736</v>
      </c>
      <c r="E349" s="67">
        <v>76232</v>
      </c>
      <c r="F349" s="67">
        <v>75960</v>
      </c>
      <c r="G349" s="13">
        <f t="shared" si="65"/>
        <v>-272</v>
      </c>
      <c r="H349" s="13">
        <f t="shared" si="66"/>
        <v>1224</v>
      </c>
      <c r="I349" s="73">
        <f t="shared" si="67"/>
        <v>1.6377649325626242E-2</v>
      </c>
      <c r="J349" s="73">
        <f t="shared" si="68"/>
        <v>-3.5680554098016515E-3</v>
      </c>
      <c r="K349" s="72" t="str">
        <f t="shared" si="69"/>
        <v>KALIBENDA</v>
      </c>
      <c r="L349" s="72" t="str">
        <f t="shared" si="70"/>
        <v>MARCH-3-KALIBENDA</v>
      </c>
      <c r="M349" s="73">
        <f t="shared" si="71"/>
        <v>1.6377649325626242E-2</v>
      </c>
      <c r="N349" s="73">
        <f t="shared" si="72"/>
        <v>-3.5680554098016515E-3</v>
      </c>
      <c r="O349" s="13">
        <f t="shared" si="73"/>
        <v>866221</v>
      </c>
      <c r="P349" s="13">
        <f t="shared" si="74"/>
        <v>884020</v>
      </c>
      <c r="Q349" s="13">
        <f t="shared" si="75"/>
        <v>874493</v>
      </c>
      <c r="R349" s="33">
        <f t="shared" si="76"/>
        <v>9.5495260447391317E-3</v>
      </c>
      <c r="S349" s="33">
        <f t="shared" si="77"/>
        <v>-1.0776905499875533E-2</v>
      </c>
    </row>
    <row r="350" spans="1:19" x14ac:dyDescent="0.25">
      <c r="A350" t="s">
        <v>37</v>
      </c>
      <c r="B350" s="65">
        <v>3</v>
      </c>
      <c r="C350" t="s">
        <v>14</v>
      </c>
      <c r="D350" s="67">
        <v>35568</v>
      </c>
      <c r="E350" s="67">
        <v>36323</v>
      </c>
      <c r="F350" s="67">
        <v>36108</v>
      </c>
      <c r="G350" s="13">
        <f t="shared" si="65"/>
        <v>-215</v>
      </c>
      <c r="H350" s="13">
        <f t="shared" si="66"/>
        <v>540</v>
      </c>
      <c r="I350" s="73">
        <f t="shared" si="67"/>
        <v>1.5182186234817818E-2</v>
      </c>
      <c r="J350" s="73">
        <f t="shared" si="68"/>
        <v>-5.9191146105773695E-3</v>
      </c>
      <c r="K350" s="72" t="str">
        <f t="shared" si="69"/>
        <v>GM2</v>
      </c>
      <c r="L350" s="72" t="str">
        <f t="shared" si="70"/>
        <v>MARCH-3-GM2</v>
      </c>
      <c r="M350" s="73">
        <f t="shared" si="71"/>
        <v>0.19126240920819415</v>
      </c>
      <c r="N350" s="73">
        <f t="shared" si="72"/>
        <v>-0.43512856298155855</v>
      </c>
      <c r="O350" s="13">
        <f t="shared" si="73"/>
        <v>866221</v>
      </c>
      <c r="P350" s="13">
        <f t="shared" si="74"/>
        <v>884020</v>
      </c>
      <c r="Q350" s="13">
        <f t="shared" si="75"/>
        <v>874493</v>
      </c>
      <c r="R350" s="33">
        <f t="shared" si="76"/>
        <v>9.5495260447391317E-3</v>
      </c>
      <c r="S350" s="33">
        <f t="shared" si="77"/>
        <v>-1.0776905499875533E-2</v>
      </c>
    </row>
    <row r="351" spans="1:19" x14ac:dyDescent="0.25">
      <c r="A351" t="s">
        <v>37</v>
      </c>
      <c r="B351" s="65">
        <v>3</v>
      </c>
      <c r="C351" t="s">
        <v>14</v>
      </c>
      <c r="D351" s="67">
        <v>19152</v>
      </c>
      <c r="E351" s="67">
        <v>19424</v>
      </c>
      <c r="F351" s="67">
        <v>19268</v>
      </c>
      <c r="G351" s="13">
        <f t="shared" si="65"/>
        <v>-156</v>
      </c>
      <c r="H351" s="13">
        <f t="shared" si="66"/>
        <v>116</v>
      </c>
      <c r="I351" s="73">
        <f t="shared" si="67"/>
        <v>6.0568086883876493E-3</v>
      </c>
      <c r="J351" s="73">
        <f t="shared" si="68"/>
        <v>-8.0313014827018137E-3</v>
      </c>
      <c r="K351" s="72" t="str">
        <f t="shared" si="69"/>
        <v>GM2</v>
      </c>
      <c r="L351" s="72" t="str">
        <f t="shared" si="70"/>
        <v>MARCH-3-GM2</v>
      </c>
      <c r="M351" s="73">
        <f t="shared" si="71"/>
        <v>0.19126240920819415</v>
      </c>
      <c r="N351" s="73">
        <f t="shared" si="72"/>
        <v>-0.43512856298155855</v>
      </c>
      <c r="O351" s="13">
        <f t="shared" si="73"/>
        <v>866221</v>
      </c>
      <c r="P351" s="13">
        <f t="shared" si="74"/>
        <v>884020</v>
      </c>
      <c r="Q351" s="13">
        <f t="shared" si="75"/>
        <v>874493</v>
      </c>
      <c r="R351" s="33">
        <f t="shared" si="76"/>
        <v>9.5495260447391317E-3</v>
      </c>
      <c r="S351" s="33">
        <f t="shared" si="77"/>
        <v>-1.0776905499875533E-2</v>
      </c>
    </row>
    <row r="352" spans="1:19" x14ac:dyDescent="0.25">
      <c r="A352" t="s">
        <v>37</v>
      </c>
      <c r="B352" s="65">
        <v>3</v>
      </c>
      <c r="C352" t="s">
        <v>14</v>
      </c>
      <c r="D352" s="67">
        <v>38592</v>
      </c>
      <c r="E352" s="67">
        <v>39471</v>
      </c>
      <c r="F352" s="67">
        <v>39100</v>
      </c>
      <c r="G352" s="13">
        <f t="shared" si="65"/>
        <v>-371</v>
      </c>
      <c r="H352" s="13">
        <f t="shared" si="66"/>
        <v>508</v>
      </c>
      <c r="I352" s="73">
        <f t="shared" si="67"/>
        <v>1.3163349917081346E-2</v>
      </c>
      <c r="J352" s="73">
        <f t="shared" si="68"/>
        <v>-9.3993058194623558E-3</v>
      </c>
      <c r="K352" s="72" t="str">
        <f t="shared" si="69"/>
        <v>GM2</v>
      </c>
      <c r="L352" s="72" t="str">
        <f t="shared" si="70"/>
        <v>MARCH-3-GM2</v>
      </c>
      <c r="M352" s="73">
        <f t="shared" si="71"/>
        <v>0.19126240920819415</v>
      </c>
      <c r="N352" s="73">
        <f t="shared" si="72"/>
        <v>-0.43512856298155855</v>
      </c>
      <c r="O352" s="13">
        <f t="shared" si="73"/>
        <v>866221</v>
      </c>
      <c r="P352" s="13">
        <f t="shared" si="74"/>
        <v>884020</v>
      </c>
      <c r="Q352" s="13">
        <f t="shared" si="75"/>
        <v>874493</v>
      </c>
      <c r="R352" s="33">
        <f t="shared" si="76"/>
        <v>9.5495260447391317E-3</v>
      </c>
      <c r="S352" s="33">
        <f t="shared" si="77"/>
        <v>-1.0776905499875533E-2</v>
      </c>
    </row>
    <row r="353" spans="1:19" x14ac:dyDescent="0.25">
      <c r="A353" t="s">
        <v>37</v>
      </c>
      <c r="B353" s="65">
        <v>3</v>
      </c>
      <c r="C353" t="s">
        <v>14</v>
      </c>
      <c r="D353" s="67">
        <v>27972</v>
      </c>
      <c r="E353" s="67">
        <v>28582</v>
      </c>
      <c r="F353" s="67">
        <v>28539</v>
      </c>
      <c r="G353" s="13">
        <f t="shared" si="65"/>
        <v>-43</v>
      </c>
      <c r="H353" s="13">
        <f t="shared" si="66"/>
        <v>567</v>
      </c>
      <c r="I353" s="73">
        <f t="shared" si="67"/>
        <v>2.0270270270270174E-2</v>
      </c>
      <c r="J353" s="73">
        <f t="shared" si="68"/>
        <v>-1.5044433559583403E-3</v>
      </c>
      <c r="K353" s="72" t="str">
        <f t="shared" si="69"/>
        <v>GM2</v>
      </c>
      <c r="L353" s="72" t="str">
        <f t="shared" si="70"/>
        <v>MARCH-3-GM2</v>
      </c>
      <c r="M353" s="73">
        <f t="shared" si="71"/>
        <v>0.19126240920819415</v>
      </c>
      <c r="N353" s="73">
        <f t="shared" si="72"/>
        <v>-0.43512856298155855</v>
      </c>
      <c r="O353" s="13">
        <f t="shared" si="73"/>
        <v>866221</v>
      </c>
      <c r="P353" s="13">
        <f t="shared" si="74"/>
        <v>884020</v>
      </c>
      <c r="Q353" s="13">
        <f t="shared" si="75"/>
        <v>874493</v>
      </c>
      <c r="R353" s="33">
        <f t="shared" si="76"/>
        <v>9.5495260447391317E-3</v>
      </c>
      <c r="S353" s="33">
        <f t="shared" si="77"/>
        <v>-1.0776905499875533E-2</v>
      </c>
    </row>
    <row r="354" spans="1:19" x14ac:dyDescent="0.25">
      <c r="A354" t="s">
        <v>37</v>
      </c>
      <c r="B354" s="65">
        <v>3</v>
      </c>
      <c r="C354" t="s">
        <v>14</v>
      </c>
      <c r="D354" s="67">
        <v>28188</v>
      </c>
      <c r="E354" s="67">
        <v>28787</v>
      </c>
      <c r="F354" s="67">
        <v>28623</v>
      </c>
      <c r="G354" s="13">
        <f t="shared" si="65"/>
        <v>-164</v>
      </c>
      <c r="H354" s="13">
        <f t="shared" si="66"/>
        <v>435</v>
      </c>
      <c r="I354" s="73">
        <f t="shared" si="67"/>
        <v>1.5432098765432167E-2</v>
      </c>
      <c r="J354" s="73">
        <f t="shared" si="68"/>
        <v>-5.6970160141730508E-3</v>
      </c>
      <c r="K354" s="72" t="str">
        <f t="shared" si="69"/>
        <v>GM2</v>
      </c>
      <c r="L354" s="72" t="str">
        <f t="shared" si="70"/>
        <v>MARCH-3-GM2</v>
      </c>
      <c r="M354" s="73">
        <f t="shared" si="71"/>
        <v>0.19126240920819415</v>
      </c>
      <c r="N354" s="73">
        <f t="shared" si="72"/>
        <v>-0.43512856298155855</v>
      </c>
      <c r="O354" s="13">
        <f t="shared" si="73"/>
        <v>866221</v>
      </c>
      <c r="P354" s="13">
        <f t="shared" si="74"/>
        <v>884020</v>
      </c>
      <c r="Q354" s="13">
        <f t="shared" si="75"/>
        <v>874493</v>
      </c>
      <c r="R354" s="33">
        <f t="shared" si="76"/>
        <v>9.5495260447391317E-3</v>
      </c>
      <c r="S354" s="33">
        <f t="shared" si="77"/>
        <v>-1.0776905499875533E-2</v>
      </c>
    </row>
    <row r="355" spans="1:19" x14ac:dyDescent="0.25">
      <c r="A355" t="s">
        <v>37</v>
      </c>
      <c r="B355" s="65">
        <v>3</v>
      </c>
      <c r="C355" t="s">
        <v>11</v>
      </c>
      <c r="D355" s="67">
        <v>39420</v>
      </c>
      <c r="E355" s="67">
        <v>39642</v>
      </c>
      <c r="F355" s="67">
        <v>39420</v>
      </c>
      <c r="G355" s="13">
        <f t="shared" si="65"/>
        <v>-222</v>
      </c>
      <c r="H355" s="13">
        <f t="shared" si="66"/>
        <v>0</v>
      </c>
      <c r="I355" s="73">
        <f t="shared" si="67"/>
        <v>0</v>
      </c>
      <c r="J355" s="73">
        <f t="shared" si="68"/>
        <v>-5.6001210836991167E-3</v>
      </c>
      <c r="K355" s="72" t="str">
        <f t="shared" si="69"/>
        <v>MAJA1</v>
      </c>
      <c r="L355" s="72" t="str">
        <f t="shared" si="70"/>
        <v>MARCH-3-MAJA1</v>
      </c>
      <c r="M355" s="73">
        <f t="shared" si="71"/>
        <v>0.17958272815298937</v>
      </c>
      <c r="N355" s="73">
        <f t="shared" si="72"/>
        <v>-0.24564253954437187</v>
      </c>
      <c r="O355" s="13">
        <f t="shared" si="73"/>
        <v>866221</v>
      </c>
      <c r="P355" s="13">
        <f t="shared" si="74"/>
        <v>884020</v>
      </c>
      <c r="Q355" s="13">
        <f t="shared" si="75"/>
        <v>874493</v>
      </c>
      <c r="R355" s="33">
        <f t="shared" si="76"/>
        <v>9.5495260447391317E-3</v>
      </c>
      <c r="S355" s="33">
        <f t="shared" si="77"/>
        <v>-1.0776905499875533E-2</v>
      </c>
    </row>
    <row r="356" spans="1:19" x14ac:dyDescent="0.25">
      <c r="A356" t="s">
        <v>37</v>
      </c>
      <c r="B356" s="65">
        <v>3</v>
      </c>
      <c r="C356" t="s">
        <v>10</v>
      </c>
      <c r="D356" s="67">
        <v>2640</v>
      </c>
      <c r="E356" s="67">
        <v>2645</v>
      </c>
      <c r="F356" s="67">
        <v>2640</v>
      </c>
      <c r="G356" s="13">
        <f t="shared" si="65"/>
        <v>-5</v>
      </c>
      <c r="H356" s="13">
        <f t="shared" si="66"/>
        <v>0</v>
      </c>
      <c r="I356" s="73">
        <f t="shared" si="67"/>
        <v>0</v>
      </c>
      <c r="J356" s="73">
        <f t="shared" si="68"/>
        <v>-1.890359168241984E-3</v>
      </c>
      <c r="K356" s="72" t="str">
        <f t="shared" si="69"/>
        <v>CNJ2</v>
      </c>
      <c r="L356" s="72" t="str">
        <f t="shared" si="70"/>
        <v>MARCH-3-CNJ2</v>
      </c>
      <c r="M356" s="73">
        <f t="shared" si="71"/>
        <v>0</v>
      </c>
      <c r="N356" s="73">
        <f t="shared" si="72"/>
        <v>-8.6035026722397046E-2</v>
      </c>
      <c r="O356" s="13">
        <f t="shared" si="73"/>
        <v>866221</v>
      </c>
      <c r="P356" s="13">
        <f t="shared" si="74"/>
        <v>884020</v>
      </c>
      <c r="Q356" s="13">
        <f t="shared" si="75"/>
        <v>874493</v>
      </c>
      <c r="R356" s="33">
        <f t="shared" si="76"/>
        <v>9.5495260447391317E-3</v>
      </c>
      <c r="S356" s="33">
        <f t="shared" si="77"/>
        <v>-1.0776905499875533E-2</v>
      </c>
    </row>
    <row r="357" spans="1:19" x14ac:dyDescent="0.25">
      <c r="A357" t="s">
        <v>37</v>
      </c>
      <c r="B357" s="65">
        <v>3</v>
      </c>
      <c r="C357" t="s">
        <v>10</v>
      </c>
      <c r="D357" s="67">
        <v>3490</v>
      </c>
      <c r="E357" s="67">
        <v>3514</v>
      </c>
      <c r="F357" s="67">
        <v>3490</v>
      </c>
      <c r="G357" s="13">
        <f t="shared" si="65"/>
        <v>-24</v>
      </c>
      <c r="H357" s="13">
        <f t="shared" si="66"/>
        <v>0</v>
      </c>
      <c r="I357" s="73">
        <f t="shared" si="67"/>
        <v>0</v>
      </c>
      <c r="J357" s="73">
        <f t="shared" si="68"/>
        <v>-6.8298235628913018E-3</v>
      </c>
      <c r="K357" s="72" t="str">
        <f t="shared" si="69"/>
        <v>CNJ2</v>
      </c>
      <c r="L357" s="72" t="str">
        <f t="shared" si="70"/>
        <v>MARCH-3-CNJ2</v>
      </c>
      <c r="M357" s="73">
        <f t="shared" si="71"/>
        <v>0</v>
      </c>
      <c r="N357" s="73">
        <f t="shared" si="72"/>
        <v>-8.6035026722397046E-2</v>
      </c>
      <c r="O357" s="13">
        <f t="shared" si="73"/>
        <v>866221</v>
      </c>
      <c r="P357" s="13">
        <f t="shared" si="74"/>
        <v>884020</v>
      </c>
      <c r="Q357" s="13">
        <f t="shared" si="75"/>
        <v>874493</v>
      </c>
      <c r="R357" s="33">
        <f t="shared" si="76"/>
        <v>9.5495260447391317E-3</v>
      </c>
      <c r="S357" s="33">
        <f t="shared" si="77"/>
        <v>-1.0776905499875533E-2</v>
      </c>
    </row>
    <row r="358" spans="1:19" x14ac:dyDescent="0.25">
      <c r="A358" t="s">
        <v>37</v>
      </c>
      <c r="B358" s="65">
        <v>3</v>
      </c>
      <c r="C358" t="s">
        <v>10</v>
      </c>
      <c r="D358" s="67">
        <v>3210</v>
      </c>
      <c r="E358" s="67">
        <v>3224</v>
      </c>
      <c r="F358" s="67">
        <v>3210</v>
      </c>
      <c r="G358" s="13">
        <f t="shared" si="65"/>
        <v>-14</v>
      </c>
      <c r="H358" s="13">
        <f t="shared" si="66"/>
        <v>0</v>
      </c>
      <c r="I358" s="73">
        <f t="shared" si="67"/>
        <v>0</v>
      </c>
      <c r="J358" s="73">
        <f t="shared" si="68"/>
        <v>-4.3424317617866137E-3</v>
      </c>
      <c r="K358" s="72" t="str">
        <f t="shared" si="69"/>
        <v>CNJ2</v>
      </c>
      <c r="L358" s="72" t="str">
        <f t="shared" si="70"/>
        <v>MARCH-3-CNJ2</v>
      </c>
      <c r="M358" s="73">
        <f t="shared" si="71"/>
        <v>0</v>
      </c>
      <c r="N358" s="73">
        <f t="shared" si="72"/>
        <v>-8.6035026722397046E-2</v>
      </c>
      <c r="O358" s="13">
        <f t="shared" si="73"/>
        <v>866221</v>
      </c>
      <c r="P358" s="13">
        <f t="shared" si="74"/>
        <v>884020</v>
      </c>
      <c r="Q358" s="13">
        <f t="shared" si="75"/>
        <v>874493</v>
      </c>
      <c r="R358" s="33">
        <f t="shared" si="76"/>
        <v>9.5495260447391317E-3</v>
      </c>
      <c r="S358" s="33">
        <f t="shared" si="77"/>
        <v>-1.0776905499875533E-2</v>
      </c>
    </row>
    <row r="359" spans="1:19" x14ac:dyDescent="0.25">
      <c r="A359" t="s">
        <v>37</v>
      </c>
      <c r="B359" s="65">
        <v>3</v>
      </c>
      <c r="C359" t="s">
        <v>10</v>
      </c>
      <c r="D359" s="67">
        <v>2630</v>
      </c>
      <c r="E359" s="67">
        <v>2646</v>
      </c>
      <c r="F359" s="67">
        <v>2630</v>
      </c>
      <c r="G359" s="13">
        <f t="shared" si="65"/>
        <v>-16</v>
      </c>
      <c r="H359" s="13">
        <f t="shared" si="66"/>
        <v>0</v>
      </c>
      <c r="I359" s="73">
        <f t="shared" si="67"/>
        <v>0</v>
      </c>
      <c r="J359" s="73">
        <f t="shared" si="68"/>
        <v>-6.046863189720364E-3</v>
      </c>
      <c r="K359" s="72" t="str">
        <f t="shared" si="69"/>
        <v>CNJ2</v>
      </c>
      <c r="L359" s="72" t="str">
        <f t="shared" si="70"/>
        <v>MARCH-3-CNJ2</v>
      </c>
      <c r="M359" s="73">
        <f t="shared" si="71"/>
        <v>0</v>
      </c>
      <c r="N359" s="73">
        <f t="shared" si="72"/>
        <v>-8.6035026722397046E-2</v>
      </c>
      <c r="O359" s="13">
        <f t="shared" si="73"/>
        <v>866221</v>
      </c>
      <c r="P359" s="13">
        <f t="shared" si="74"/>
        <v>884020</v>
      </c>
      <c r="Q359" s="13">
        <f t="shared" si="75"/>
        <v>874493</v>
      </c>
      <c r="R359" s="33">
        <f t="shared" si="76"/>
        <v>9.5495260447391317E-3</v>
      </c>
      <c r="S359" s="33">
        <f t="shared" si="77"/>
        <v>-1.0776905499875533E-2</v>
      </c>
    </row>
    <row r="360" spans="1:19" x14ac:dyDescent="0.25">
      <c r="A360" t="s">
        <v>37</v>
      </c>
      <c r="B360" s="65">
        <v>3</v>
      </c>
      <c r="C360" t="s">
        <v>10</v>
      </c>
      <c r="D360" s="67">
        <v>2650</v>
      </c>
      <c r="E360" s="67">
        <v>2700</v>
      </c>
      <c r="F360" s="67">
        <v>2650</v>
      </c>
      <c r="G360" s="13">
        <f t="shared" si="65"/>
        <v>-50</v>
      </c>
      <c r="H360" s="13">
        <f t="shared" si="66"/>
        <v>0</v>
      </c>
      <c r="I360" s="73">
        <f t="shared" si="67"/>
        <v>0</v>
      </c>
      <c r="J360" s="73">
        <f t="shared" si="68"/>
        <v>-1.851851851851849E-2</v>
      </c>
      <c r="K360" s="72" t="str">
        <f t="shared" si="69"/>
        <v>CNJ2</v>
      </c>
      <c r="L360" s="72" t="str">
        <f t="shared" si="70"/>
        <v>MARCH-3-CNJ2</v>
      </c>
      <c r="M360" s="73">
        <f t="shared" si="71"/>
        <v>0</v>
      </c>
      <c r="N360" s="73">
        <f t="shared" si="72"/>
        <v>-8.6035026722397046E-2</v>
      </c>
      <c r="O360" s="13">
        <f t="shared" si="73"/>
        <v>866221</v>
      </c>
      <c r="P360" s="13">
        <f t="shared" si="74"/>
        <v>884020</v>
      </c>
      <c r="Q360" s="13">
        <f t="shared" si="75"/>
        <v>874493</v>
      </c>
      <c r="R360" s="33">
        <f t="shared" si="76"/>
        <v>9.5495260447391317E-3</v>
      </c>
      <c r="S360" s="33">
        <f t="shared" si="77"/>
        <v>-1.0776905499875533E-2</v>
      </c>
    </row>
    <row r="361" spans="1:19" x14ac:dyDescent="0.25">
      <c r="A361" t="s">
        <v>37</v>
      </c>
      <c r="B361" s="65">
        <v>3</v>
      </c>
      <c r="C361" t="s">
        <v>10</v>
      </c>
      <c r="D361" s="67">
        <v>2710</v>
      </c>
      <c r="E361" s="67">
        <v>2786</v>
      </c>
      <c r="F361" s="67">
        <v>2710</v>
      </c>
      <c r="G361" s="13">
        <f t="shared" si="65"/>
        <v>-76</v>
      </c>
      <c r="H361" s="13">
        <f t="shared" si="66"/>
        <v>0</v>
      </c>
      <c r="I361" s="73">
        <f t="shared" si="67"/>
        <v>0</v>
      </c>
      <c r="J361" s="73">
        <f t="shared" si="68"/>
        <v>-2.7279253409906667E-2</v>
      </c>
      <c r="K361" s="72" t="str">
        <f t="shared" si="69"/>
        <v>CNJ2</v>
      </c>
      <c r="L361" s="72" t="str">
        <f t="shared" si="70"/>
        <v>MARCH-3-CNJ2</v>
      </c>
      <c r="M361" s="73">
        <f t="shared" si="71"/>
        <v>0</v>
      </c>
      <c r="N361" s="73">
        <f t="shared" si="72"/>
        <v>-8.6035026722397046E-2</v>
      </c>
      <c r="O361" s="13">
        <f t="shared" si="73"/>
        <v>866221</v>
      </c>
      <c r="P361" s="13">
        <f t="shared" si="74"/>
        <v>884020</v>
      </c>
      <c r="Q361" s="13">
        <f t="shared" si="75"/>
        <v>874493</v>
      </c>
      <c r="R361" s="33">
        <f t="shared" si="76"/>
        <v>9.5495260447391317E-3</v>
      </c>
      <c r="S361" s="33">
        <f t="shared" si="77"/>
        <v>-1.0776905499875533E-2</v>
      </c>
    </row>
    <row r="362" spans="1:19" x14ac:dyDescent="0.25">
      <c r="A362" t="s">
        <v>37</v>
      </c>
      <c r="B362" s="65">
        <v>3</v>
      </c>
      <c r="C362" t="s">
        <v>10</v>
      </c>
      <c r="D362" s="67">
        <v>1930</v>
      </c>
      <c r="E362" s="67">
        <v>1951</v>
      </c>
      <c r="F362" s="67">
        <v>1930</v>
      </c>
      <c r="G362" s="13">
        <f t="shared" si="65"/>
        <v>-21</v>
      </c>
      <c r="H362" s="13">
        <f t="shared" si="66"/>
        <v>0</v>
      </c>
      <c r="I362" s="73">
        <f t="shared" si="67"/>
        <v>0</v>
      </c>
      <c r="J362" s="73">
        <f t="shared" si="68"/>
        <v>-1.0763710917478186E-2</v>
      </c>
      <c r="K362" s="72" t="str">
        <f t="shared" si="69"/>
        <v>CNJ2</v>
      </c>
      <c r="L362" s="72" t="str">
        <f t="shared" si="70"/>
        <v>MARCH-3-CNJ2</v>
      </c>
      <c r="M362" s="73">
        <f t="shared" si="71"/>
        <v>0</v>
      </c>
      <c r="N362" s="73">
        <f t="shared" si="72"/>
        <v>-8.6035026722397046E-2</v>
      </c>
      <c r="O362" s="13">
        <f t="shared" si="73"/>
        <v>866221</v>
      </c>
      <c r="P362" s="13">
        <f t="shared" si="74"/>
        <v>884020</v>
      </c>
      <c r="Q362" s="13">
        <f t="shared" si="75"/>
        <v>874493</v>
      </c>
      <c r="R362" s="33">
        <f t="shared" si="76"/>
        <v>9.5495260447391317E-3</v>
      </c>
      <c r="S362" s="33">
        <f t="shared" si="77"/>
        <v>-1.0776905499875533E-2</v>
      </c>
    </row>
    <row r="363" spans="1:19" x14ac:dyDescent="0.25">
      <c r="A363" t="s">
        <v>37</v>
      </c>
      <c r="B363" s="65">
        <v>3</v>
      </c>
      <c r="C363" t="s">
        <v>15</v>
      </c>
      <c r="D363" s="67">
        <v>3500</v>
      </c>
      <c r="E363" s="67">
        <v>3504</v>
      </c>
      <c r="F363" s="67">
        <v>3380</v>
      </c>
      <c r="G363" s="13">
        <f t="shared" si="65"/>
        <v>-124</v>
      </c>
      <c r="H363" s="13">
        <f t="shared" si="66"/>
        <v>-120</v>
      </c>
      <c r="I363" s="73">
        <f t="shared" si="67"/>
        <v>-3.4285714285714253E-2</v>
      </c>
      <c r="J363" s="73">
        <f t="shared" si="68"/>
        <v>-3.5388127853881235E-2</v>
      </c>
      <c r="K363" s="72" t="str">
        <f t="shared" si="69"/>
        <v>CHAWAN</v>
      </c>
      <c r="L363" s="72" t="str">
        <f t="shared" si="70"/>
        <v>MARCH-3-CHAWAN</v>
      </c>
      <c r="M363" s="73">
        <f t="shared" si="71"/>
        <v>-3.4285714285714253E-2</v>
      </c>
      <c r="N363" s="73">
        <f t="shared" si="72"/>
        <v>-3.5388127853881235E-2</v>
      </c>
      <c r="O363" s="13">
        <f t="shared" si="73"/>
        <v>866221</v>
      </c>
      <c r="P363" s="13">
        <f t="shared" si="74"/>
        <v>884020</v>
      </c>
      <c r="Q363" s="13">
        <f t="shared" si="75"/>
        <v>874493</v>
      </c>
      <c r="R363" s="33">
        <f t="shared" si="76"/>
        <v>9.5495260447391317E-3</v>
      </c>
      <c r="S363" s="33">
        <f t="shared" si="77"/>
        <v>-1.0776905499875533E-2</v>
      </c>
    </row>
    <row r="364" spans="1:19" x14ac:dyDescent="0.25">
      <c r="A364" t="s">
        <v>37</v>
      </c>
      <c r="B364" s="65">
        <v>3</v>
      </c>
      <c r="C364" t="s">
        <v>16</v>
      </c>
      <c r="D364" s="67">
        <v>400</v>
      </c>
      <c r="E364" s="67">
        <v>428</v>
      </c>
      <c r="F364" s="67">
        <v>428</v>
      </c>
      <c r="G364" s="13">
        <f t="shared" si="65"/>
        <v>0</v>
      </c>
      <c r="H364" s="13">
        <f t="shared" si="66"/>
        <v>28</v>
      </c>
      <c r="I364" s="73">
        <f t="shared" si="67"/>
        <v>7.0000000000000062E-2</v>
      </c>
      <c r="J364" s="73">
        <f t="shared" si="68"/>
        <v>0</v>
      </c>
      <c r="K364" s="72" t="str">
        <f t="shared" si="69"/>
        <v>ANUGERAH</v>
      </c>
      <c r="L364" s="72" t="str">
        <f t="shared" si="70"/>
        <v>MARCH-3-ANUGERAH</v>
      </c>
      <c r="M364" s="73">
        <f t="shared" si="71"/>
        <v>8.1111111111111134E-2</v>
      </c>
      <c r="N364" s="73">
        <f t="shared" si="72"/>
        <v>-0.33685355111173731</v>
      </c>
      <c r="O364" s="13">
        <f t="shared" si="73"/>
        <v>866221</v>
      </c>
      <c r="P364" s="13">
        <f t="shared" si="74"/>
        <v>884020</v>
      </c>
      <c r="Q364" s="13">
        <f t="shared" si="75"/>
        <v>874493</v>
      </c>
      <c r="R364" s="33">
        <f t="shared" si="76"/>
        <v>9.5495260447391317E-3</v>
      </c>
      <c r="S364" s="33">
        <f t="shared" si="77"/>
        <v>-1.0776905499875533E-2</v>
      </c>
    </row>
    <row r="365" spans="1:19" x14ac:dyDescent="0.25">
      <c r="A365" t="s">
        <v>37</v>
      </c>
      <c r="B365" s="65">
        <v>3</v>
      </c>
      <c r="C365" t="s">
        <v>16</v>
      </c>
      <c r="D365" s="67">
        <v>400</v>
      </c>
      <c r="E365" s="67">
        <v>408</v>
      </c>
      <c r="F365" s="67">
        <v>405</v>
      </c>
      <c r="G365" s="13">
        <f t="shared" si="65"/>
        <v>-3</v>
      </c>
      <c r="H365" s="13">
        <f t="shared" si="66"/>
        <v>5</v>
      </c>
      <c r="I365" s="73">
        <f t="shared" si="67"/>
        <v>1.2499999999999956E-2</v>
      </c>
      <c r="J365" s="73">
        <f t="shared" si="68"/>
        <v>-7.3529411764705621E-3</v>
      </c>
      <c r="K365" s="72" t="str">
        <f t="shared" si="69"/>
        <v>ANUGERAH</v>
      </c>
      <c r="L365" s="72" t="str">
        <f t="shared" si="70"/>
        <v>MARCH-3-ANUGERAH</v>
      </c>
      <c r="M365" s="73">
        <f t="shared" si="71"/>
        <v>8.1111111111111134E-2</v>
      </c>
      <c r="N365" s="73">
        <f t="shared" si="72"/>
        <v>-0.33685355111173731</v>
      </c>
      <c r="O365" s="13">
        <f t="shared" si="73"/>
        <v>866221</v>
      </c>
      <c r="P365" s="13">
        <f t="shared" si="74"/>
        <v>884020</v>
      </c>
      <c r="Q365" s="13">
        <f t="shared" si="75"/>
        <v>874493</v>
      </c>
      <c r="R365" s="33">
        <f t="shared" si="76"/>
        <v>9.5495260447391317E-3</v>
      </c>
      <c r="S365" s="33">
        <f t="shared" si="77"/>
        <v>-1.0776905499875533E-2</v>
      </c>
    </row>
    <row r="366" spans="1:19" x14ac:dyDescent="0.25">
      <c r="A366" t="s">
        <v>37</v>
      </c>
      <c r="B366" s="65">
        <v>3</v>
      </c>
      <c r="C366" t="s">
        <v>16</v>
      </c>
      <c r="D366" s="67">
        <v>600</v>
      </c>
      <c r="E366" s="67">
        <v>636</v>
      </c>
      <c r="F366" s="67">
        <v>600</v>
      </c>
      <c r="G366" s="13">
        <f t="shared" si="65"/>
        <v>-36</v>
      </c>
      <c r="H366" s="13">
        <f t="shared" si="66"/>
        <v>0</v>
      </c>
      <c r="I366" s="73">
        <f t="shared" si="67"/>
        <v>0</v>
      </c>
      <c r="J366" s="73">
        <f t="shared" si="68"/>
        <v>-5.6603773584905648E-2</v>
      </c>
      <c r="K366" s="72" t="str">
        <f t="shared" si="69"/>
        <v>ANUGERAH</v>
      </c>
      <c r="L366" s="72" t="str">
        <f t="shared" si="70"/>
        <v>MARCH-3-ANUGERAH</v>
      </c>
      <c r="M366" s="73">
        <f t="shared" si="71"/>
        <v>8.1111111111111134E-2</v>
      </c>
      <c r="N366" s="73">
        <f t="shared" si="72"/>
        <v>-0.33685355111173731</v>
      </c>
      <c r="O366" s="13">
        <f t="shared" si="73"/>
        <v>866221</v>
      </c>
      <c r="P366" s="13">
        <f t="shared" si="74"/>
        <v>884020</v>
      </c>
      <c r="Q366" s="13">
        <f t="shared" si="75"/>
        <v>874493</v>
      </c>
      <c r="R366" s="33">
        <f t="shared" si="76"/>
        <v>9.5495260447391317E-3</v>
      </c>
      <c r="S366" s="33">
        <f t="shared" si="77"/>
        <v>-1.0776905499875533E-2</v>
      </c>
    </row>
    <row r="367" spans="1:19" x14ac:dyDescent="0.25">
      <c r="A367" t="s">
        <v>37</v>
      </c>
      <c r="B367" s="65">
        <v>3</v>
      </c>
      <c r="C367" t="s">
        <v>16</v>
      </c>
      <c r="D367" s="67">
        <v>600</v>
      </c>
      <c r="E367" s="67">
        <v>624</v>
      </c>
      <c r="F367" s="67">
        <v>594</v>
      </c>
      <c r="G367" s="13">
        <f t="shared" si="65"/>
        <v>-30</v>
      </c>
      <c r="H367" s="13">
        <f t="shared" si="66"/>
        <v>-6</v>
      </c>
      <c r="I367" s="73">
        <f t="shared" si="67"/>
        <v>-1.0000000000000009E-2</v>
      </c>
      <c r="J367" s="73">
        <f t="shared" si="68"/>
        <v>-4.8076923076923128E-2</v>
      </c>
      <c r="K367" s="72" t="str">
        <f t="shared" si="69"/>
        <v>ANUGERAH</v>
      </c>
      <c r="L367" s="72" t="str">
        <f t="shared" si="70"/>
        <v>MARCH-3-ANUGERAH</v>
      </c>
      <c r="M367" s="73">
        <f t="shared" si="71"/>
        <v>8.1111111111111134E-2</v>
      </c>
      <c r="N367" s="73">
        <f t="shared" si="72"/>
        <v>-0.33685355111173731</v>
      </c>
      <c r="O367" s="13">
        <f t="shared" si="73"/>
        <v>866221</v>
      </c>
      <c r="P367" s="13">
        <f t="shared" si="74"/>
        <v>884020</v>
      </c>
      <c r="Q367" s="13">
        <f t="shared" si="75"/>
        <v>874493</v>
      </c>
      <c r="R367" s="33">
        <f t="shared" si="76"/>
        <v>9.5495260447391317E-3</v>
      </c>
      <c r="S367" s="33">
        <f t="shared" si="77"/>
        <v>-1.0776905499875533E-2</v>
      </c>
    </row>
    <row r="368" spans="1:19" x14ac:dyDescent="0.25">
      <c r="A368" t="s">
        <v>37</v>
      </c>
      <c r="B368" s="65">
        <v>3</v>
      </c>
      <c r="C368" t="s">
        <v>16</v>
      </c>
      <c r="D368" s="67">
        <v>450</v>
      </c>
      <c r="E368" s="67">
        <v>455</v>
      </c>
      <c r="F368" s="67">
        <v>455</v>
      </c>
      <c r="G368" s="13">
        <f t="shared" si="65"/>
        <v>0</v>
      </c>
      <c r="H368" s="13">
        <f t="shared" si="66"/>
        <v>5</v>
      </c>
      <c r="I368" s="73">
        <f t="shared" si="67"/>
        <v>1.1111111111111072E-2</v>
      </c>
      <c r="J368" s="73">
        <f t="shared" si="68"/>
        <v>0</v>
      </c>
      <c r="K368" s="72" t="str">
        <f t="shared" si="69"/>
        <v>ANUGERAH</v>
      </c>
      <c r="L368" s="72" t="str">
        <f t="shared" si="70"/>
        <v>MARCH-3-ANUGERAH</v>
      </c>
      <c r="M368" s="73">
        <f t="shared" si="71"/>
        <v>8.1111111111111134E-2</v>
      </c>
      <c r="N368" s="73">
        <f t="shared" si="72"/>
        <v>-0.33685355111173731</v>
      </c>
      <c r="O368" s="13">
        <f t="shared" si="73"/>
        <v>866221</v>
      </c>
      <c r="P368" s="13">
        <f t="shared" si="74"/>
        <v>884020</v>
      </c>
      <c r="Q368" s="13">
        <f t="shared" si="75"/>
        <v>874493</v>
      </c>
      <c r="R368" s="33">
        <f t="shared" si="76"/>
        <v>9.5495260447391317E-3</v>
      </c>
      <c r="S368" s="33">
        <f t="shared" si="77"/>
        <v>-1.0776905499875533E-2</v>
      </c>
    </row>
    <row r="369" spans="1:19" x14ac:dyDescent="0.25">
      <c r="A369" t="s">
        <v>37</v>
      </c>
      <c r="B369" s="65">
        <v>3</v>
      </c>
      <c r="C369" t="s">
        <v>16</v>
      </c>
      <c r="D369" s="67">
        <v>400</v>
      </c>
      <c r="E369" s="67">
        <v>419</v>
      </c>
      <c r="F369" s="67">
        <v>419</v>
      </c>
      <c r="G369" s="13">
        <f t="shared" si="65"/>
        <v>0</v>
      </c>
      <c r="H369" s="13">
        <f t="shared" si="66"/>
        <v>19</v>
      </c>
      <c r="I369" s="73">
        <f t="shared" si="67"/>
        <v>4.7500000000000098E-2</v>
      </c>
      <c r="J369" s="73">
        <f t="shared" si="68"/>
        <v>0</v>
      </c>
      <c r="K369" s="72" t="str">
        <f t="shared" si="69"/>
        <v>ANUGERAH</v>
      </c>
      <c r="L369" s="72" t="str">
        <f t="shared" si="70"/>
        <v>MARCH-3-ANUGERAH</v>
      </c>
      <c r="M369" s="73">
        <f t="shared" si="71"/>
        <v>8.1111111111111134E-2</v>
      </c>
      <c r="N369" s="73">
        <f t="shared" si="72"/>
        <v>-0.33685355111173731</v>
      </c>
      <c r="O369" s="13">
        <f t="shared" si="73"/>
        <v>866221</v>
      </c>
      <c r="P369" s="13">
        <f t="shared" si="74"/>
        <v>884020</v>
      </c>
      <c r="Q369" s="13">
        <f t="shared" si="75"/>
        <v>874493</v>
      </c>
      <c r="R369" s="33">
        <f t="shared" si="76"/>
        <v>9.5495260447391317E-3</v>
      </c>
      <c r="S369" s="33">
        <f t="shared" si="77"/>
        <v>-1.0776905499875533E-2</v>
      </c>
    </row>
    <row r="370" spans="1:19" x14ac:dyDescent="0.25">
      <c r="A370" t="s">
        <v>37</v>
      </c>
      <c r="B370" s="65">
        <v>3</v>
      </c>
      <c r="C370" t="s">
        <v>16</v>
      </c>
      <c r="D370" s="67">
        <v>600</v>
      </c>
      <c r="E370" s="67">
        <v>636</v>
      </c>
      <c r="F370" s="67">
        <v>600</v>
      </c>
      <c r="G370" s="13">
        <f t="shared" si="65"/>
        <v>-36</v>
      </c>
      <c r="H370" s="13">
        <f t="shared" si="66"/>
        <v>0</v>
      </c>
      <c r="I370" s="73">
        <f t="shared" si="67"/>
        <v>0</v>
      </c>
      <c r="J370" s="73">
        <f t="shared" si="68"/>
        <v>-5.6603773584905648E-2</v>
      </c>
      <c r="K370" s="72" t="str">
        <f t="shared" si="69"/>
        <v>ANUGERAH</v>
      </c>
      <c r="L370" s="72" t="str">
        <f t="shared" si="70"/>
        <v>MARCH-3-ANUGERAH</v>
      </c>
      <c r="M370" s="73">
        <f t="shared" si="71"/>
        <v>8.1111111111111134E-2</v>
      </c>
      <c r="N370" s="73">
        <f t="shared" si="72"/>
        <v>-0.33685355111173731</v>
      </c>
      <c r="O370" s="13">
        <f t="shared" si="73"/>
        <v>866221</v>
      </c>
      <c r="P370" s="13">
        <f t="shared" si="74"/>
        <v>884020</v>
      </c>
      <c r="Q370" s="13">
        <f t="shared" si="75"/>
        <v>874493</v>
      </c>
      <c r="R370" s="33">
        <f t="shared" si="76"/>
        <v>9.5495260447391317E-3</v>
      </c>
      <c r="S370" s="33">
        <f t="shared" si="77"/>
        <v>-1.0776905499875533E-2</v>
      </c>
    </row>
    <row r="371" spans="1:19" x14ac:dyDescent="0.25">
      <c r="A371" t="s">
        <v>37</v>
      </c>
      <c r="B371" s="65">
        <v>3</v>
      </c>
      <c r="C371" t="s">
        <v>16</v>
      </c>
      <c r="D371" s="67">
        <v>750</v>
      </c>
      <c r="E371" s="67">
        <v>815</v>
      </c>
      <c r="F371" s="67">
        <v>750</v>
      </c>
      <c r="G371" s="13">
        <f t="shared" si="65"/>
        <v>-65</v>
      </c>
      <c r="H371" s="13">
        <f t="shared" si="66"/>
        <v>0</v>
      </c>
      <c r="I371" s="73">
        <f t="shared" si="67"/>
        <v>0</v>
      </c>
      <c r="J371" s="73">
        <f t="shared" si="68"/>
        <v>-7.9754601226993849E-2</v>
      </c>
      <c r="K371" s="72" t="str">
        <f t="shared" si="69"/>
        <v>ANUGERAH</v>
      </c>
      <c r="L371" s="72" t="str">
        <f t="shared" si="70"/>
        <v>MARCH-3-ANUGERAH</v>
      </c>
      <c r="M371" s="73">
        <f t="shared" si="71"/>
        <v>8.1111111111111134E-2</v>
      </c>
      <c r="N371" s="73">
        <f t="shared" si="72"/>
        <v>-0.33685355111173731</v>
      </c>
      <c r="O371" s="13">
        <f t="shared" si="73"/>
        <v>866221</v>
      </c>
      <c r="P371" s="13">
        <f t="shared" si="74"/>
        <v>884020</v>
      </c>
      <c r="Q371" s="13">
        <f t="shared" si="75"/>
        <v>874493</v>
      </c>
      <c r="R371" s="33">
        <f t="shared" si="76"/>
        <v>9.5495260447391317E-3</v>
      </c>
      <c r="S371" s="33">
        <f t="shared" si="77"/>
        <v>-1.0776905499875533E-2</v>
      </c>
    </row>
    <row r="372" spans="1:19" x14ac:dyDescent="0.25">
      <c r="A372" t="s">
        <v>37</v>
      </c>
      <c r="B372" s="65">
        <v>3</v>
      </c>
      <c r="C372" t="s">
        <v>16</v>
      </c>
      <c r="D372" s="67">
        <v>600</v>
      </c>
      <c r="E372" s="67">
        <v>624</v>
      </c>
      <c r="F372" s="67">
        <v>600</v>
      </c>
      <c r="G372" s="13">
        <f t="shared" si="65"/>
        <v>-24</v>
      </c>
      <c r="H372" s="13">
        <f t="shared" si="66"/>
        <v>0</v>
      </c>
      <c r="I372" s="73">
        <f t="shared" si="67"/>
        <v>0</v>
      </c>
      <c r="J372" s="73">
        <f t="shared" si="68"/>
        <v>-3.8461538461538436E-2</v>
      </c>
      <c r="K372" s="72" t="str">
        <f t="shared" si="69"/>
        <v>ANUGERAH</v>
      </c>
      <c r="L372" s="72" t="str">
        <f t="shared" si="70"/>
        <v>MARCH-3-ANUGERAH</v>
      </c>
      <c r="M372" s="73">
        <f t="shared" si="71"/>
        <v>8.1111111111111134E-2</v>
      </c>
      <c r="N372" s="73">
        <f t="shared" si="72"/>
        <v>-0.33685355111173731</v>
      </c>
      <c r="O372" s="13">
        <f t="shared" si="73"/>
        <v>866221</v>
      </c>
      <c r="P372" s="13">
        <f t="shared" si="74"/>
        <v>884020</v>
      </c>
      <c r="Q372" s="13">
        <f t="shared" si="75"/>
        <v>874493</v>
      </c>
      <c r="R372" s="33">
        <f t="shared" si="76"/>
        <v>9.5495260447391317E-3</v>
      </c>
      <c r="S372" s="33">
        <f t="shared" si="77"/>
        <v>-1.0776905499875533E-2</v>
      </c>
    </row>
    <row r="373" spans="1:19" x14ac:dyDescent="0.25">
      <c r="A373" t="s">
        <v>37</v>
      </c>
      <c r="B373" s="65">
        <v>3</v>
      </c>
      <c r="C373" t="s">
        <v>16</v>
      </c>
      <c r="D373" s="67">
        <v>400</v>
      </c>
      <c r="E373" s="67">
        <v>400</v>
      </c>
      <c r="F373" s="67">
        <v>380</v>
      </c>
      <c r="G373" s="13">
        <f t="shared" si="65"/>
        <v>-20</v>
      </c>
      <c r="H373" s="13">
        <f t="shared" si="66"/>
        <v>-20</v>
      </c>
      <c r="I373" s="73">
        <f t="shared" si="67"/>
        <v>-5.0000000000000044E-2</v>
      </c>
      <c r="J373" s="73">
        <f t="shared" si="68"/>
        <v>-5.0000000000000044E-2</v>
      </c>
      <c r="K373" s="72" t="str">
        <f t="shared" si="69"/>
        <v>ANUGERAH</v>
      </c>
      <c r="L373" s="72" t="str">
        <f t="shared" si="70"/>
        <v>MARCH-3-ANUGERAH</v>
      </c>
      <c r="M373" s="73">
        <f t="shared" si="71"/>
        <v>8.1111111111111134E-2</v>
      </c>
      <c r="N373" s="73">
        <f t="shared" si="72"/>
        <v>-0.33685355111173731</v>
      </c>
      <c r="O373" s="13">
        <f t="shared" si="73"/>
        <v>866221</v>
      </c>
      <c r="P373" s="13">
        <f t="shared" si="74"/>
        <v>884020</v>
      </c>
      <c r="Q373" s="13">
        <f t="shared" si="75"/>
        <v>874493</v>
      </c>
      <c r="R373" s="33">
        <f t="shared" si="76"/>
        <v>9.5495260447391317E-3</v>
      </c>
      <c r="S373" s="33">
        <f t="shared" si="77"/>
        <v>-1.0776905499875533E-2</v>
      </c>
    </row>
    <row r="374" spans="1:19" x14ac:dyDescent="0.25">
      <c r="A374" t="s">
        <v>37</v>
      </c>
      <c r="B374" s="65">
        <v>4</v>
      </c>
      <c r="C374" t="s">
        <v>10</v>
      </c>
      <c r="D374" s="67">
        <v>60</v>
      </c>
      <c r="E374" s="67">
        <v>60</v>
      </c>
      <c r="F374" s="67">
        <v>60</v>
      </c>
      <c r="G374" s="13">
        <f t="shared" si="65"/>
        <v>0</v>
      </c>
      <c r="H374" s="13">
        <f t="shared" si="66"/>
        <v>0</v>
      </c>
      <c r="I374" s="73">
        <f t="shared" si="67"/>
        <v>0</v>
      </c>
      <c r="J374" s="73">
        <f t="shared" si="68"/>
        <v>0</v>
      </c>
      <c r="K374" s="72" t="str">
        <f t="shared" si="69"/>
        <v>CNJ2</v>
      </c>
      <c r="L374" s="72" t="str">
        <f t="shared" si="70"/>
        <v>MARCH-4-CNJ2</v>
      </c>
      <c r="M374" s="73">
        <f t="shared" si="71"/>
        <v>0</v>
      </c>
      <c r="N374" s="73">
        <f t="shared" si="72"/>
        <v>0</v>
      </c>
      <c r="O374" s="13">
        <f t="shared" si="73"/>
        <v>866221</v>
      </c>
      <c r="P374" s="13">
        <f t="shared" si="74"/>
        <v>884020</v>
      </c>
      <c r="Q374" s="13">
        <f t="shared" si="75"/>
        <v>874493</v>
      </c>
      <c r="R374" s="33">
        <f t="shared" si="76"/>
        <v>9.5495260447391317E-3</v>
      </c>
      <c r="S374" s="33">
        <f t="shared" si="77"/>
        <v>-1.0776905499875533E-2</v>
      </c>
    </row>
    <row r="375" spans="1:19" x14ac:dyDescent="0.25">
      <c r="A375" t="s">
        <v>37</v>
      </c>
      <c r="B375" s="65">
        <v>4</v>
      </c>
      <c r="C375" t="s">
        <v>10</v>
      </c>
      <c r="D375" s="67">
        <v>50</v>
      </c>
      <c r="E375" s="67">
        <v>50</v>
      </c>
      <c r="F375" s="67">
        <v>50</v>
      </c>
      <c r="G375" s="13">
        <f t="shared" si="65"/>
        <v>0</v>
      </c>
      <c r="H375" s="13">
        <f t="shared" si="66"/>
        <v>0</v>
      </c>
      <c r="I375" s="73">
        <f t="shared" si="67"/>
        <v>0</v>
      </c>
      <c r="J375" s="73">
        <f t="shared" si="68"/>
        <v>0</v>
      </c>
      <c r="K375" s="72" t="str">
        <f t="shared" si="69"/>
        <v>CNJ2</v>
      </c>
      <c r="L375" s="72" t="str">
        <f t="shared" si="70"/>
        <v>MARCH-4-CNJ2</v>
      </c>
      <c r="M375" s="73">
        <f t="shared" si="71"/>
        <v>0</v>
      </c>
      <c r="N375" s="73">
        <f t="shared" si="72"/>
        <v>0</v>
      </c>
      <c r="O375" s="13">
        <f t="shared" si="73"/>
        <v>866221</v>
      </c>
      <c r="P375" s="13">
        <f t="shared" si="74"/>
        <v>884020</v>
      </c>
      <c r="Q375" s="13">
        <f t="shared" si="75"/>
        <v>874493</v>
      </c>
      <c r="R375" s="33">
        <f t="shared" si="76"/>
        <v>9.5495260447391317E-3</v>
      </c>
      <c r="S375" s="33">
        <f t="shared" si="77"/>
        <v>-1.0776905499875533E-2</v>
      </c>
    </row>
    <row r="376" spans="1:19" x14ac:dyDescent="0.25">
      <c r="A376" t="s">
        <v>37</v>
      </c>
      <c r="B376" s="65">
        <v>4</v>
      </c>
      <c r="C376" t="s">
        <v>10</v>
      </c>
      <c r="D376" s="67">
        <v>2795</v>
      </c>
      <c r="E376" s="67">
        <v>2795</v>
      </c>
      <c r="F376" s="67">
        <v>2795</v>
      </c>
      <c r="G376" s="13">
        <f t="shared" si="65"/>
        <v>0</v>
      </c>
      <c r="H376" s="13">
        <f t="shared" si="66"/>
        <v>0</v>
      </c>
      <c r="I376" s="73">
        <f t="shared" si="67"/>
        <v>0</v>
      </c>
      <c r="J376" s="73">
        <f t="shared" si="68"/>
        <v>0</v>
      </c>
      <c r="K376" s="72" t="str">
        <f t="shared" si="69"/>
        <v>CNJ2</v>
      </c>
      <c r="L376" s="72" t="str">
        <f t="shared" si="70"/>
        <v>MARCH-4-CNJ2</v>
      </c>
      <c r="M376" s="73">
        <f t="shared" si="71"/>
        <v>0</v>
      </c>
      <c r="N376" s="73">
        <f t="shared" si="72"/>
        <v>0</v>
      </c>
      <c r="O376" s="13">
        <f t="shared" si="73"/>
        <v>866221</v>
      </c>
      <c r="P376" s="13">
        <f t="shared" si="74"/>
        <v>884020</v>
      </c>
      <c r="Q376" s="13">
        <f t="shared" si="75"/>
        <v>874493</v>
      </c>
      <c r="R376" s="33">
        <f t="shared" si="76"/>
        <v>9.5495260447391317E-3</v>
      </c>
      <c r="S376" s="33">
        <f t="shared" si="77"/>
        <v>-1.0776905499875533E-2</v>
      </c>
    </row>
    <row r="377" spans="1:19" x14ac:dyDescent="0.25">
      <c r="A377" t="s">
        <v>37</v>
      </c>
      <c r="B377" s="65">
        <v>4</v>
      </c>
      <c r="C377" t="s">
        <v>11</v>
      </c>
      <c r="D377" s="67">
        <v>3360</v>
      </c>
      <c r="E377" s="67">
        <v>3400</v>
      </c>
      <c r="F377" s="67">
        <v>3381</v>
      </c>
      <c r="G377" s="13">
        <f t="shared" si="65"/>
        <v>-19</v>
      </c>
      <c r="H377" s="13">
        <f t="shared" si="66"/>
        <v>21</v>
      </c>
      <c r="I377" s="73">
        <f t="shared" si="67"/>
        <v>6.2500000000000888E-3</v>
      </c>
      <c r="J377" s="73">
        <f t="shared" si="68"/>
        <v>-5.5882352941176716E-3</v>
      </c>
      <c r="K377" s="72" t="str">
        <f t="shared" si="69"/>
        <v>MAJA1</v>
      </c>
      <c r="L377" s="72" t="str">
        <f t="shared" si="70"/>
        <v>MARCH-4-MAJA1</v>
      </c>
      <c r="M377" s="73">
        <f t="shared" si="71"/>
        <v>3.8020544270544354E-2</v>
      </c>
      <c r="N377" s="73">
        <f t="shared" si="72"/>
        <v>-2.0428856122061356E-2</v>
      </c>
      <c r="O377" s="13">
        <f t="shared" si="73"/>
        <v>866221</v>
      </c>
      <c r="P377" s="13">
        <f t="shared" si="74"/>
        <v>884020</v>
      </c>
      <c r="Q377" s="13">
        <f t="shared" si="75"/>
        <v>874493</v>
      </c>
      <c r="R377" s="33">
        <f t="shared" si="76"/>
        <v>9.5495260447391317E-3</v>
      </c>
      <c r="S377" s="33">
        <f t="shared" si="77"/>
        <v>-1.0776905499875533E-2</v>
      </c>
    </row>
    <row r="378" spans="1:19" x14ac:dyDescent="0.25">
      <c r="A378" t="s">
        <v>37</v>
      </c>
      <c r="B378" s="65">
        <v>4</v>
      </c>
      <c r="C378" t="s">
        <v>11</v>
      </c>
      <c r="D378" s="67">
        <v>2700</v>
      </c>
      <c r="E378" s="67">
        <v>2729</v>
      </c>
      <c r="F378" s="67">
        <v>2720</v>
      </c>
      <c r="G378" s="13">
        <f t="shared" si="65"/>
        <v>-9</v>
      </c>
      <c r="H378" s="13">
        <f t="shared" si="66"/>
        <v>20</v>
      </c>
      <c r="I378" s="73">
        <f t="shared" si="67"/>
        <v>7.4074074074073071E-3</v>
      </c>
      <c r="J378" s="73">
        <f t="shared" si="68"/>
        <v>-3.2979113228288615E-3</v>
      </c>
      <c r="K378" s="72" t="str">
        <f t="shared" si="69"/>
        <v>MAJA1</v>
      </c>
      <c r="L378" s="72" t="str">
        <f t="shared" si="70"/>
        <v>MARCH-4-MAJA1</v>
      </c>
      <c r="M378" s="73">
        <f t="shared" si="71"/>
        <v>3.8020544270544354E-2</v>
      </c>
      <c r="N378" s="73">
        <f t="shared" si="72"/>
        <v>-2.0428856122061356E-2</v>
      </c>
      <c r="O378" s="13">
        <f t="shared" si="73"/>
        <v>866221</v>
      </c>
      <c r="P378" s="13">
        <f t="shared" si="74"/>
        <v>884020</v>
      </c>
      <c r="Q378" s="13">
        <f t="shared" si="75"/>
        <v>874493</v>
      </c>
      <c r="R378" s="33">
        <f t="shared" si="76"/>
        <v>9.5495260447391317E-3</v>
      </c>
      <c r="S378" s="33">
        <f t="shared" si="77"/>
        <v>-1.0776905499875533E-2</v>
      </c>
    </row>
    <row r="379" spans="1:19" x14ac:dyDescent="0.25">
      <c r="A379" t="s">
        <v>37</v>
      </c>
      <c r="B379" s="65">
        <v>4</v>
      </c>
      <c r="C379" t="s">
        <v>11</v>
      </c>
      <c r="D379" s="67">
        <v>1100</v>
      </c>
      <c r="E379" s="67">
        <v>1114</v>
      </c>
      <c r="F379" s="67">
        <v>1104</v>
      </c>
      <c r="G379" s="13">
        <f t="shared" si="65"/>
        <v>-10</v>
      </c>
      <c r="H379" s="13">
        <f t="shared" si="66"/>
        <v>4</v>
      </c>
      <c r="I379" s="73">
        <f t="shared" si="67"/>
        <v>3.6363636363636598E-3</v>
      </c>
      <c r="J379" s="73">
        <f t="shared" si="68"/>
        <v>-8.9766606822262451E-3</v>
      </c>
      <c r="K379" s="72" t="str">
        <f t="shared" si="69"/>
        <v>MAJA1</v>
      </c>
      <c r="L379" s="72" t="str">
        <f t="shared" si="70"/>
        <v>MARCH-4-MAJA1</v>
      </c>
      <c r="M379" s="73">
        <f t="shared" si="71"/>
        <v>3.8020544270544354E-2</v>
      </c>
      <c r="N379" s="73">
        <f t="shared" si="72"/>
        <v>-2.0428856122061356E-2</v>
      </c>
      <c r="O379" s="13">
        <f t="shared" si="73"/>
        <v>866221</v>
      </c>
      <c r="P379" s="13">
        <f t="shared" si="74"/>
        <v>884020</v>
      </c>
      <c r="Q379" s="13">
        <f t="shared" si="75"/>
        <v>874493</v>
      </c>
      <c r="R379" s="33">
        <f t="shared" si="76"/>
        <v>9.5495260447391317E-3</v>
      </c>
      <c r="S379" s="33">
        <f t="shared" si="77"/>
        <v>-1.0776905499875533E-2</v>
      </c>
    </row>
    <row r="380" spans="1:19" x14ac:dyDescent="0.25">
      <c r="A380" t="s">
        <v>37</v>
      </c>
      <c r="B380" s="65">
        <v>4</v>
      </c>
      <c r="C380" t="s">
        <v>11</v>
      </c>
      <c r="D380" s="67">
        <v>2800</v>
      </c>
      <c r="E380" s="67">
        <v>2833</v>
      </c>
      <c r="F380" s="67">
        <v>2813</v>
      </c>
      <c r="G380" s="13">
        <f t="shared" si="65"/>
        <v>-20</v>
      </c>
      <c r="H380" s="13">
        <f t="shared" si="66"/>
        <v>13</v>
      </c>
      <c r="I380" s="73">
        <f t="shared" si="67"/>
        <v>4.6428571428571708E-3</v>
      </c>
      <c r="J380" s="73">
        <f t="shared" si="68"/>
        <v>-7.0596540769501948E-3</v>
      </c>
      <c r="K380" s="72" t="str">
        <f t="shared" si="69"/>
        <v>MAJA1</v>
      </c>
      <c r="L380" s="72" t="str">
        <f t="shared" si="70"/>
        <v>MARCH-4-MAJA1</v>
      </c>
      <c r="M380" s="73">
        <f t="shared" si="71"/>
        <v>3.8020544270544354E-2</v>
      </c>
      <c r="N380" s="73">
        <f t="shared" si="72"/>
        <v>-2.0428856122061356E-2</v>
      </c>
      <c r="O380" s="13">
        <f t="shared" si="73"/>
        <v>866221</v>
      </c>
      <c r="P380" s="13">
        <f t="shared" si="74"/>
        <v>884020</v>
      </c>
      <c r="Q380" s="13">
        <f t="shared" si="75"/>
        <v>874493</v>
      </c>
      <c r="R380" s="33">
        <f t="shared" si="76"/>
        <v>9.5495260447391317E-3</v>
      </c>
      <c r="S380" s="33">
        <f t="shared" si="77"/>
        <v>-1.0776905499875533E-2</v>
      </c>
    </row>
    <row r="381" spans="1:19" x14ac:dyDescent="0.25">
      <c r="A381" t="s">
        <v>37</v>
      </c>
      <c r="B381" s="65">
        <v>4</v>
      </c>
      <c r="C381" t="s">
        <v>11</v>
      </c>
      <c r="D381" s="67">
        <v>2860</v>
      </c>
      <c r="E381" s="67">
        <v>2893</v>
      </c>
      <c r="F381" s="67">
        <v>2906</v>
      </c>
      <c r="G381" s="13">
        <f t="shared" si="65"/>
        <v>13</v>
      </c>
      <c r="H381" s="13">
        <f t="shared" si="66"/>
        <v>46</v>
      </c>
      <c r="I381" s="73">
        <f t="shared" si="67"/>
        <v>1.6083916083916128E-2</v>
      </c>
      <c r="J381" s="73">
        <f t="shared" si="68"/>
        <v>4.4936052540616167E-3</v>
      </c>
      <c r="K381" s="72" t="str">
        <f t="shared" si="69"/>
        <v>MAJA1</v>
      </c>
      <c r="L381" s="72" t="str">
        <f t="shared" si="70"/>
        <v>MARCH-4-MAJA1</v>
      </c>
      <c r="M381" s="73">
        <f t="shared" si="71"/>
        <v>3.8020544270544354E-2</v>
      </c>
      <c r="N381" s="73">
        <f t="shared" si="72"/>
        <v>-2.0428856122061356E-2</v>
      </c>
      <c r="O381" s="13">
        <f t="shared" si="73"/>
        <v>866221</v>
      </c>
      <c r="P381" s="13">
        <f t="shared" si="74"/>
        <v>884020</v>
      </c>
      <c r="Q381" s="13">
        <f t="shared" si="75"/>
        <v>874493</v>
      </c>
      <c r="R381" s="33">
        <f t="shared" si="76"/>
        <v>9.5495260447391317E-3</v>
      </c>
      <c r="S381" s="33">
        <f t="shared" si="77"/>
        <v>-1.0776905499875533E-2</v>
      </c>
    </row>
    <row r="382" spans="1:19" x14ac:dyDescent="0.25">
      <c r="A382" t="s">
        <v>38</v>
      </c>
      <c r="B382" s="65">
        <v>1</v>
      </c>
      <c r="C382" t="s">
        <v>10</v>
      </c>
      <c r="D382" s="68">
        <v>3000</v>
      </c>
      <c r="E382" s="69">
        <v>3069</v>
      </c>
      <c r="F382" s="68">
        <v>3000</v>
      </c>
      <c r="G382" s="13">
        <f t="shared" si="65"/>
        <v>-69</v>
      </c>
      <c r="H382" s="13">
        <f t="shared" si="66"/>
        <v>0</v>
      </c>
      <c r="I382" s="73">
        <f t="shared" si="67"/>
        <v>0</v>
      </c>
      <c r="J382" s="73">
        <f t="shared" si="68"/>
        <v>-2.2482893450635366E-2</v>
      </c>
      <c r="K382" s="72" t="str">
        <f t="shared" si="69"/>
        <v>CNJ2</v>
      </c>
      <c r="L382" s="72" t="str">
        <f t="shared" si="70"/>
        <v>APRIL-1-CNJ2</v>
      </c>
      <c r="M382" s="73">
        <f t="shared" si="71"/>
        <v>-7.8988941548230329E-5</v>
      </c>
      <c r="N382" s="73">
        <f t="shared" si="72"/>
        <v>-2.2561882392183596E-2</v>
      </c>
      <c r="O382" s="13">
        <f t="shared" si="73"/>
        <v>874798</v>
      </c>
      <c r="P382" s="13">
        <f t="shared" si="74"/>
        <v>888509</v>
      </c>
      <c r="Q382" s="13">
        <f t="shared" si="75"/>
        <v>882586</v>
      </c>
      <c r="R382" s="33">
        <f t="shared" si="76"/>
        <v>8.9026266635268136E-3</v>
      </c>
      <c r="S382" s="33">
        <f t="shared" si="77"/>
        <v>-6.6662239774724075E-3</v>
      </c>
    </row>
    <row r="383" spans="1:19" x14ac:dyDescent="0.25">
      <c r="A383" t="s">
        <v>38</v>
      </c>
      <c r="B383" s="65">
        <v>1</v>
      </c>
      <c r="C383" t="s">
        <v>11</v>
      </c>
      <c r="D383" s="68">
        <v>160</v>
      </c>
      <c r="E383" s="69">
        <v>162</v>
      </c>
      <c r="F383" s="68">
        <v>160</v>
      </c>
      <c r="G383" s="13">
        <f t="shared" si="65"/>
        <v>-2</v>
      </c>
      <c r="H383" s="13">
        <f t="shared" si="66"/>
        <v>0</v>
      </c>
      <c r="I383" s="73">
        <f t="shared" si="67"/>
        <v>0</v>
      </c>
      <c r="J383" s="73">
        <f t="shared" si="68"/>
        <v>-1.2345679012345734E-2</v>
      </c>
      <c r="K383" s="72" t="str">
        <f t="shared" si="69"/>
        <v>MAJA1</v>
      </c>
      <c r="L383" s="72" t="str">
        <f t="shared" si="70"/>
        <v>APRIL-1-MAJA1</v>
      </c>
      <c r="M383" s="73">
        <f t="shared" si="71"/>
        <v>5.7323408126441766E-4</v>
      </c>
      <c r="N383" s="73">
        <f t="shared" si="72"/>
        <v>-0.25477806202107722</v>
      </c>
      <c r="O383" s="13">
        <f t="shared" si="73"/>
        <v>874798</v>
      </c>
      <c r="P383" s="13">
        <f t="shared" si="74"/>
        <v>888509</v>
      </c>
      <c r="Q383" s="13">
        <f t="shared" si="75"/>
        <v>882586</v>
      </c>
      <c r="R383" s="33">
        <f t="shared" si="76"/>
        <v>8.9026266635268136E-3</v>
      </c>
      <c r="S383" s="33">
        <f t="shared" si="77"/>
        <v>-6.6662239774724075E-3</v>
      </c>
    </row>
    <row r="384" spans="1:19" x14ac:dyDescent="0.25">
      <c r="A384" t="s">
        <v>38</v>
      </c>
      <c r="B384" s="65">
        <v>1</v>
      </c>
      <c r="C384" t="s">
        <v>11</v>
      </c>
      <c r="D384" s="68">
        <v>40</v>
      </c>
      <c r="E384" s="69">
        <v>40</v>
      </c>
      <c r="F384" s="68">
        <v>40</v>
      </c>
      <c r="G384" s="13">
        <f t="shared" si="65"/>
        <v>0</v>
      </c>
      <c r="H384" s="13">
        <f t="shared" si="66"/>
        <v>0</v>
      </c>
      <c r="I384" s="73">
        <f t="shared" si="67"/>
        <v>0</v>
      </c>
      <c r="J384" s="73">
        <f t="shared" si="68"/>
        <v>0</v>
      </c>
      <c r="K384" s="72" t="str">
        <f t="shared" si="69"/>
        <v>MAJA1</v>
      </c>
      <c r="L384" s="72" t="str">
        <f t="shared" si="70"/>
        <v>APRIL-1-MAJA1</v>
      </c>
      <c r="M384" s="73">
        <f t="shared" si="71"/>
        <v>5.7323408126441766E-4</v>
      </c>
      <c r="N384" s="73">
        <f t="shared" si="72"/>
        <v>-0.25477806202107722</v>
      </c>
      <c r="O384" s="13">
        <f t="shared" si="73"/>
        <v>874798</v>
      </c>
      <c r="P384" s="13">
        <f t="shared" si="74"/>
        <v>888509</v>
      </c>
      <c r="Q384" s="13">
        <f t="shared" si="75"/>
        <v>882586</v>
      </c>
      <c r="R384" s="33">
        <f t="shared" si="76"/>
        <v>8.9026266635268136E-3</v>
      </c>
      <c r="S384" s="33">
        <f t="shared" si="77"/>
        <v>-6.6662239774724075E-3</v>
      </c>
    </row>
    <row r="385" spans="1:19" x14ac:dyDescent="0.25">
      <c r="A385" t="s">
        <v>38</v>
      </c>
      <c r="B385" s="65">
        <v>1</v>
      </c>
      <c r="C385" t="s">
        <v>11</v>
      </c>
      <c r="D385">
        <v>550</v>
      </c>
      <c r="E385" s="69">
        <v>554</v>
      </c>
      <c r="F385">
        <v>550</v>
      </c>
      <c r="G385" s="13">
        <f t="shared" si="65"/>
        <v>-4</v>
      </c>
      <c r="H385" s="13">
        <f t="shared" si="66"/>
        <v>0</v>
      </c>
      <c r="I385" s="73">
        <f t="shared" si="67"/>
        <v>0</v>
      </c>
      <c r="J385" s="73">
        <f t="shared" si="68"/>
        <v>-7.2202166064981865E-3</v>
      </c>
      <c r="K385" s="72" t="str">
        <f t="shared" si="69"/>
        <v>MAJA1</v>
      </c>
      <c r="L385" s="72" t="str">
        <f t="shared" si="70"/>
        <v>APRIL-1-MAJA1</v>
      </c>
      <c r="M385" s="73">
        <f t="shared" si="71"/>
        <v>5.7323408126441766E-4</v>
      </c>
      <c r="N385" s="73">
        <f t="shared" si="72"/>
        <v>-0.25477806202107722</v>
      </c>
      <c r="O385" s="13">
        <f t="shared" si="73"/>
        <v>874798</v>
      </c>
      <c r="P385" s="13">
        <f t="shared" si="74"/>
        <v>888509</v>
      </c>
      <c r="Q385" s="13">
        <f t="shared" si="75"/>
        <v>882586</v>
      </c>
      <c r="R385" s="33">
        <f t="shared" si="76"/>
        <v>8.9026266635268136E-3</v>
      </c>
      <c r="S385" s="33">
        <f t="shared" si="77"/>
        <v>-6.6662239774724075E-3</v>
      </c>
    </row>
    <row r="386" spans="1:19" x14ac:dyDescent="0.25">
      <c r="A386" t="s">
        <v>38</v>
      </c>
      <c r="B386" s="65">
        <v>1</v>
      </c>
      <c r="C386" t="s">
        <v>11</v>
      </c>
      <c r="D386" s="67">
        <v>340</v>
      </c>
      <c r="E386" s="69">
        <v>342</v>
      </c>
      <c r="F386" s="67">
        <v>340</v>
      </c>
      <c r="G386" s="13">
        <f t="shared" ref="G386:G449" si="78">F386-E386</f>
        <v>-2</v>
      </c>
      <c r="H386" s="13">
        <f t="shared" ref="H386:H449" si="79">F386-D386</f>
        <v>0</v>
      </c>
      <c r="I386" s="73">
        <f t="shared" ref="I386:I449" si="80">F386/D386-1</f>
        <v>0</v>
      </c>
      <c r="J386" s="73">
        <f t="shared" ref="J386:J449" si="81">F386/E386-1</f>
        <v>-5.8479532163743242E-3</v>
      </c>
      <c r="K386" s="72" t="str">
        <f t="shared" ref="K386:K449" si="82">CLEAN(SUBSTITUTE(C386," ",""))</f>
        <v>MAJA1</v>
      </c>
      <c r="L386" s="72" t="str">
        <f t="shared" ref="L386:L449" si="83">A386&amp;"-"&amp;B386&amp;"-"&amp;K386</f>
        <v>APRIL-1-MAJA1</v>
      </c>
      <c r="M386" s="73">
        <f t="shared" ref="M386:M449" si="84">SUMIF($L$2:$L$1396,L386,$I$2:$I$1396)</f>
        <v>5.7323408126441766E-4</v>
      </c>
      <c r="N386" s="73">
        <f t="shared" ref="N386:N449" si="85">SUMIF($L$2:$L$1396,L386,$J$2:$J$1396)</f>
        <v>-0.25477806202107722</v>
      </c>
      <c r="O386" s="13">
        <f t="shared" ref="O386:O449" si="86">SUMIF($A$2:$A$1396,A386,$D$2:$D$1396)</f>
        <v>874798</v>
      </c>
      <c r="P386" s="13">
        <f t="shared" ref="P386:P449" si="87">SUMIF($A$2:$A$1396,A386,$E$2:$E$1396)</f>
        <v>888509</v>
      </c>
      <c r="Q386" s="13">
        <f t="shared" ref="Q386:Q449" si="88">SUMIF($A$2:$A$1396,A386,$F$2:$F$1396)</f>
        <v>882586</v>
      </c>
      <c r="R386" s="33">
        <f t="shared" ref="R386:R449" si="89">Q386/O386-1</f>
        <v>8.9026266635268136E-3</v>
      </c>
      <c r="S386" s="33">
        <f t="shared" ref="S386:S449" si="90">Q386/P386-1</f>
        <v>-6.6662239774724075E-3</v>
      </c>
    </row>
    <row r="387" spans="1:19" x14ac:dyDescent="0.25">
      <c r="A387" t="s">
        <v>38</v>
      </c>
      <c r="B387" s="65">
        <v>1</v>
      </c>
      <c r="C387" t="s">
        <v>11</v>
      </c>
      <c r="D387" s="67">
        <v>160</v>
      </c>
      <c r="E387" s="69">
        <v>162</v>
      </c>
      <c r="F387" s="67">
        <v>160</v>
      </c>
      <c r="G387" s="13">
        <f t="shared" si="78"/>
        <v>-2</v>
      </c>
      <c r="H387" s="13">
        <f t="shared" si="79"/>
        <v>0</v>
      </c>
      <c r="I387" s="73">
        <f t="shared" si="80"/>
        <v>0</v>
      </c>
      <c r="J387" s="73">
        <f t="shared" si="81"/>
        <v>-1.2345679012345734E-2</v>
      </c>
      <c r="K387" s="72" t="str">
        <f t="shared" si="82"/>
        <v>MAJA1</v>
      </c>
      <c r="L387" s="72" t="str">
        <f t="shared" si="83"/>
        <v>APRIL-1-MAJA1</v>
      </c>
      <c r="M387" s="73">
        <f t="shared" si="84"/>
        <v>5.7323408126441766E-4</v>
      </c>
      <c r="N387" s="73">
        <f t="shared" si="85"/>
        <v>-0.25477806202107722</v>
      </c>
      <c r="O387" s="13">
        <f t="shared" si="86"/>
        <v>874798</v>
      </c>
      <c r="P387" s="13">
        <f t="shared" si="87"/>
        <v>888509</v>
      </c>
      <c r="Q387" s="13">
        <f t="shared" si="88"/>
        <v>882586</v>
      </c>
      <c r="R387" s="33">
        <f t="shared" si="89"/>
        <v>8.9026266635268136E-3</v>
      </c>
      <c r="S387" s="33">
        <f t="shared" si="90"/>
        <v>-6.6662239774724075E-3</v>
      </c>
    </row>
    <row r="388" spans="1:19" x14ac:dyDescent="0.25">
      <c r="A388" t="s">
        <v>38</v>
      </c>
      <c r="B388" s="65">
        <v>1</v>
      </c>
      <c r="C388" t="s">
        <v>11</v>
      </c>
      <c r="D388" s="67">
        <v>200</v>
      </c>
      <c r="E388" s="69">
        <v>201</v>
      </c>
      <c r="F388" s="67">
        <v>200</v>
      </c>
      <c r="G388" s="13">
        <f t="shared" si="78"/>
        <v>-1</v>
      </c>
      <c r="H388" s="13">
        <f t="shared" si="79"/>
        <v>0</v>
      </c>
      <c r="I388" s="73">
        <f t="shared" si="80"/>
        <v>0</v>
      </c>
      <c r="J388" s="73">
        <f t="shared" si="81"/>
        <v>-4.9751243781094301E-3</v>
      </c>
      <c r="K388" s="72" t="str">
        <f t="shared" si="82"/>
        <v>MAJA1</v>
      </c>
      <c r="L388" s="72" t="str">
        <f t="shared" si="83"/>
        <v>APRIL-1-MAJA1</v>
      </c>
      <c r="M388" s="73">
        <f t="shared" si="84"/>
        <v>5.7323408126441766E-4</v>
      </c>
      <c r="N388" s="73">
        <f t="shared" si="85"/>
        <v>-0.25477806202107722</v>
      </c>
      <c r="O388" s="13">
        <f t="shared" si="86"/>
        <v>874798</v>
      </c>
      <c r="P388" s="13">
        <f t="shared" si="87"/>
        <v>888509</v>
      </c>
      <c r="Q388" s="13">
        <f t="shared" si="88"/>
        <v>882586</v>
      </c>
      <c r="R388" s="33">
        <f t="shared" si="89"/>
        <v>8.9026266635268136E-3</v>
      </c>
      <c r="S388" s="33">
        <f t="shared" si="90"/>
        <v>-6.6662239774724075E-3</v>
      </c>
    </row>
    <row r="389" spans="1:19" x14ac:dyDescent="0.25">
      <c r="A389" t="s">
        <v>38</v>
      </c>
      <c r="B389" s="65">
        <v>1</v>
      </c>
      <c r="C389" t="s">
        <v>11</v>
      </c>
      <c r="D389" s="67">
        <v>120</v>
      </c>
      <c r="E389" s="69">
        <v>122</v>
      </c>
      <c r="F389" s="67">
        <v>120</v>
      </c>
      <c r="G389" s="13">
        <f t="shared" si="78"/>
        <v>-2</v>
      </c>
      <c r="H389" s="13">
        <f t="shared" si="79"/>
        <v>0</v>
      </c>
      <c r="I389" s="73">
        <f t="shared" si="80"/>
        <v>0</v>
      </c>
      <c r="J389" s="73">
        <f t="shared" si="81"/>
        <v>-1.6393442622950838E-2</v>
      </c>
      <c r="K389" s="72" t="str">
        <f t="shared" si="82"/>
        <v>MAJA1</v>
      </c>
      <c r="L389" s="72" t="str">
        <f t="shared" si="83"/>
        <v>APRIL-1-MAJA1</v>
      </c>
      <c r="M389" s="73">
        <f t="shared" si="84"/>
        <v>5.7323408126441766E-4</v>
      </c>
      <c r="N389" s="73">
        <f t="shared" si="85"/>
        <v>-0.25477806202107722</v>
      </c>
      <c r="O389" s="13">
        <f t="shared" si="86"/>
        <v>874798</v>
      </c>
      <c r="P389" s="13">
        <f t="shared" si="87"/>
        <v>888509</v>
      </c>
      <c r="Q389" s="13">
        <f t="shared" si="88"/>
        <v>882586</v>
      </c>
      <c r="R389" s="33">
        <f t="shared" si="89"/>
        <v>8.9026266635268136E-3</v>
      </c>
      <c r="S389" s="33">
        <f t="shared" si="90"/>
        <v>-6.6662239774724075E-3</v>
      </c>
    </row>
    <row r="390" spans="1:19" x14ac:dyDescent="0.25">
      <c r="A390" t="s">
        <v>38</v>
      </c>
      <c r="B390" s="65">
        <v>1</v>
      </c>
      <c r="C390" t="s">
        <v>11</v>
      </c>
      <c r="D390" s="67">
        <v>300</v>
      </c>
      <c r="E390" s="69">
        <v>302</v>
      </c>
      <c r="F390" s="67">
        <v>300</v>
      </c>
      <c r="G390" s="13">
        <f t="shared" si="78"/>
        <v>-2</v>
      </c>
      <c r="H390" s="13">
        <f t="shared" si="79"/>
        <v>0</v>
      </c>
      <c r="I390" s="73">
        <f t="shared" si="80"/>
        <v>0</v>
      </c>
      <c r="J390" s="73">
        <f t="shared" si="81"/>
        <v>-6.6225165562914245E-3</v>
      </c>
      <c r="K390" s="72" t="str">
        <f t="shared" si="82"/>
        <v>MAJA1</v>
      </c>
      <c r="L390" s="72" t="str">
        <f t="shared" si="83"/>
        <v>APRIL-1-MAJA1</v>
      </c>
      <c r="M390" s="73">
        <f t="shared" si="84"/>
        <v>5.7323408126441766E-4</v>
      </c>
      <c r="N390" s="73">
        <f t="shared" si="85"/>
        <v>-0.25477806202107722</v>
      </c>
      <c r="O390" s="13">
        <f t="shared" si="86"/>
        <v>874798</v>
      </c>
      <c r="P390" s="13">
        <f t="shared" si="87"/>
        <v>888509</v>
      </c>
      <c r="Q390" s="13">
        <f t="shared" si="88"/>
        <v>882586</v>
      </c>
      <c r="R390" s="33">
        <f t="shared" si="89"/>
        <v>8.9026266635268136E-3</v>
      </c>
      <c r="S390" s="33">
        <f t="shared" si="90"/>
        <v>-6.6662239774724075E-3</v>
      </c>
    </row>
    <row r="391" spans="1:19" x14ac:dyDescent="0.25">
      <c r="A391" t="s">
        <v>38</v>
      </c>
      <c r="B391" s="65">
        <v>1</v>
      </c>
      <c r="C391" t="s">
        <v>11</v>
      </c>
      <c r="D391" s="67">
        <v>90</v>
      </c>
      <c r="E391" s="69">
        <v>90</v>
      </c>
      <c r="F391" s="67">
        <v>90</v>
      </c>
      <c r="G391" s="13">
        <f t="shared" si="78"/>
        <v>0</v>
      </c>
      <c r="H391" s="13">
        <f t="shared" si="79"/>
        <v>0</v>
      </c>
      <c r="I391" s="73">
        <f t="shared" si="80"/>
        <v>0</v>
      </c>
      <c r="J391" s="73">
        <f t="shared" si="81"/>
        <v>0</v>
      </c>
      <c r="K391" s="72" t="str">
        <f t="shared" si="82"/>
        <v>MAJA1</v>
      </c>
      <c r="L391" s="72" t="str">
        <f t="shared" si="83"/>
        <v>APRIL-1-MAJA1</v>
      </c>
      <c r="M391" s="73">
        <f t="shared" si="84"/>
        <v>5.7323408126441766E-4</v>
      </c>
      <c r="N391" s="73">
        <f t="shared" si="85"/>
        <v>-0.25477806202107722</v>
      </c>
      <c r="O391" s="13">
        <f t="shared" si="86"/>
        <v>874798</v>
      </c>
      <c r="P391" s="13">
        <f t="shared" si="87"/>
        <v>888509</v>
      </c>
      <c r="Q391" s="13">
        <f t="shared" si="88"/>
        <v>882586</v>
      </c>
      <c r="R391" s="33">
        <f t="shared" si="89"/>
        <v>8.9026266635268136E-3</v>
      </c>
      <c r="S391" s="33">
        <f t="shared" si="90"/>
        <v>-6.6662239774724075E-3</v>
      </c>
    </row>
    <row r="392" spans="1:19" x14ac:dyDescent="0.25">
      <c r="A392" t="s">
        <v>38</v>
      </c>
      <c r="B392" s="65">
        <v>1</v>
      </c>
      <c r="C392" t="s">
        <v>11</v>
      </c>
      <c r="D392" s="67">
        <v>10</v>
      </c>
      <c r="E392" s="69">
        <v>10</v>
      </c>
      <c r="F392" s="67">
        <v>10</v>
      </c>
      <c r="G392" s="13">
        <f t="shared" si="78"/>
        <v>0</v>
      </c>
      <c r="H392" s="13">
        <f t="shared" si="79"/>
        <v>0</v>
      </c>
      <c r="I392" s="73">
        <f t="shared" si="80"/>
        <v>0</v>
      </c>
      <c r="J392" s="73">
        <f t="shared" si="81"/>
        <v>0</v>
      </c>
      <c r="K392" s="72" t="str">
        <f t="shared" si="82"/>
        <v>MAJA1</v>
      </c>
      <c r="L392" s="72" t="str">
        <f t="shared" si="83"/>
        <v>APRIL-1-MAJA1</v>
      </c>
      <c r="M392" s="73">
        <f t="shared" si="84"/>
        <v>5.7323408126441766E-4</v>
      </c>
      <c r="N392" s="73">
        <f t="shared" si="85"/>
        <v>-0.25477806202107722</v>
      </c>
      <c r="O392" s="13">
        <f t="shared" si="86"/>
        <v>874798</v>
      </c>
      <c r="P392" s="13">
        <f t="shared" si="87"/>
        <v>888509</v>
      </c>
      <c r="Q392" s="13">
        <f t="shared" si="88"/>
        <v>882586</v>
      </c>
      <c r="R392" s="33">
        <f t="shared" si="89"/>
        <v>8.9026266635268136E-3</v>
      </c>
      <c r="S392" s="33">
        <f t="shared" si="90"/>
        <v>-6.6662239774724075E-3</v>
      </c>
    </row>
    <row r="393" spans="1:19" x14ac:dyDescent="0.25">
      <c r="A393" t="s">
        <v>38</v>
      </c>
      <c r="B393" s="65">
        <v>1</v>
      </c>
      <c r="C393" t="s">
        <v>13</v>
      </c>
      <c r="D393" s="68">
        <v>6696</v>
      </c>
      <c r="E393" s="69">
        <v>6900</v>
      </c>
      <c r="F393" s="68">
        <v>6873</v>
      </c>
      <c r="G393" s="13">
        <f t="shared" si="78"/>
        <v>-27</v>
      </c>
      <c r="H393" s="13">
        <f t="shared" si="79"/>
        <v>177</v>
      </c>
      <c r="I393" s="73">
        <f t="shared" si="80"/>
        <v>2.6433691756272415E-2</v>
      </c>
      <c r="J393" s="73">
        <f t="shared" si="81"/>
        <v>-3.9130434782608248E-3</v>
      </c>
      <c r="K393" s="72" t="str">
        <f t="shared" si="82"/>
        <v>KALIBENDA</v>
      </c>
      <c r="L393" s="72" t="str">
        <f t="shared" si="83"/>
        <v>APRIL-1-KALIBENDA</v>
      </c>
      <c r="M393" s="73">
        <f t="shared" si="84"/>
        <v>2.3794767576752363E-2</v>
      </c>
      <c r="N393" s="73">
        <f t="shared" si="85"/>
        <v>-2.1270148692208446E-2</v>
      </c>
      <c r="O393" s="13">
        <f t="shared" si="86"/>
        <v>874798</v>
      </c>
      <c r="P393" s="13">
        <f t="shared" si="87"/>
        <v>888509</v>
      </c>
      <c r="Q393" s="13">
        <f t="shared" si="88"/>
        <v>882586</v>
      </c>
      <c r="R393" s="33">
        <f t="shared" si="89"/>
        <v>8.9026266635268136E-3</v>
      </c>
      <c r="S393" s="33">
        <f t="shared" si="90"/>
        <v>-6.6662239774724075E-3</v>
      </c>
    </row>
    <row r="394" spans="1:19" x14ac:dyDescent="0.25">
      <c r="A394" t="s">
        <v>38</v>
      </c>
      <c r="B394" s="65">
        <v>1</v>
      </c>
      <c r="C394" t="s">
        <v>13</v>
      </c>
      <c r="D394" s="68">
        <v>18468</v>
      </c>
      <c r="E394" s="69">
        <v>19023</v>
      </c>
      <c r="F394" s="68">
        <v>18948</v>
      </c>
      <c r="G394" s="13">
        <f t="shared" si="78"/>
        <v>-75</v>
      </c>
      <c r="H394" s="13">
        <f t="shared" si="79"/>
        <v>480</v>
      </c>
      <c r="I394" s="73">
        <f t="shared" si="80"/>
        <v>2.5990903183885639E-2</v>
      </c>
      <c r="J394" s="73">
        <f t="shared" si="81"/>
        <v>-3.942595805078053E-3</v>
      </c>
      <c r="K394" s="72" t="str">
        <f t="shared" si="82"/>
        <v>KALIBENDA</v>
      </c>
      <c r="L394" s="72" t="str">
        <f t="shared" si="83"/>
        <v>APRIL-1-KALIBENDA</v>
      </c>
      <c r="M394" s="73">
        <f t="shared" si="84"/>
        <v>2.3794767576752363E-2</v>
      </c>
      <c r="N394" s="73">
        <f t="shared" si="85"/>
        <v>-2.1270148692208446E-2</v>
      </c>
      <c r="O394" s="13">
        <f t="shared" si="86"/>
        <v>874798</v>
      </c>
      <c r="P394" s="13">
        <f t="shared" si="87"/>
        <v>888509</v>
      </c>
      <c r="Q394" s="13">
        <f t="shared" si="88"/>
        <v>882586</v>
      </c>
      <c r="R394" s="33">
        <f t="shared" si="89"/>
        <v>8.9026266635268136E-3</v>
      </c>
      <c r="S394" s="33">
        <f t="shared" si="90"/>
        <v>-6.6662239774724075E-3</v>
      </c>
    </row>
    <row r="395" spans="1:19" x14ac:dyDescent="0.25">
      <c r="A395" t="s">
        <v>38</v>
      </c>
      <c r="B395" s="65">
        <v>1</v>
      </c>
      <c r="C395" t="s">
        <v>11</v>
      </c>
      <c r="D395" s="68">
        <v>14472</v>
      </c>
      <c r="E395" s="69">
        <v>14767</v>
      </c>
      <c r="F395" s="67">
        <v>14646</v>
      </c>
      <c r="G395" s="13">
        <f t="shared" si="78"/>
        <v>-121</v>
      </c>
      <c r="H395" s="13">
        <f t="shared" si="79"/>
        <v>174</v>
      </c>
      <c r="I395" s="73">
        <f t="shared" si="80"/>
        <v>1.2023217247097762E-2</v>
      </c>
      <c r="J395" s="73">
        <f t="shared" si="81"/>
        <v>-8.1939459605877563E-3</v>
      </c>
      <c r="K395" s="72" t="str">
        <f t="shared" si="82"/>
        <v>MAJA1</v>
      </c>
      <c r="L395" s="72" t="str">
        <f t="shared" si="83"/>
        <v>APRIL-1-MAJA1</v>
      </c>
      <c r="M395" s="73">
        <f t="shared" si="84"/>
        <v>5.7323408126441766E-4</v>
      </c>
      <c r="N395" s="73">
        <f t="shared" si="85"/>
        <v>-0.25477806202107722</v>
      </c>
      <c r="O395" s="13">
        <f t="shared" si="86"/>
        <v>874798</v>
      </c>
      <c r="P395" s="13">
        <f t="shared" si="87"/>
        <v>888509</v>
      </c>
      <c r="Q395" s="13">
        <f t="shared" si="88"/>
        <v>882586</v>
      </c>
      <c r="R395" s="33">
        <f t="shared" si="89"/>
        <v>8.9026266635268136E-3</v>
      </c>
      <c r="S395" s="33">
        <f t="shared" si="90"/>
        <v>-6.6662239774724075E-3</v>
      </c>
    </row>
    <row r="396" spans="1:19" x14ac:dyDescent="0.25">
      <c r="A396" t="s">
        <v>38</v>
      </c>
      <c r="B396" s="65">
        <v>1</v>
      </c>
      <c r="C396" t="s">
        <v>14</v>
      </c>
      <c r="D396" s="68">
        <v>38016</v>
      </c>
      <c r="E396" s="69">
        <v>38790</v>
      </c>
      <c r="F396" s="68">
        <v>38622</v>
      </c>
      <c r="G396" s="13">
        <f t="shared" si="78"/>
        <v>-168</v>
      </c>
      <c r="H396" s="13">
        <f t="shared" si="79"/>
        <v>606</v>
      </c>
      <c r="I396" s="73">
        <f t="shared" si="80"/>
        <v>1.5940656565656575E-2</v>
      </c>
      <c r="J396" s="73">
        <f t="shared" si="81"/>
        <v>-4.3310131477184433E-3</v>
      </c>
      <c r="K396" s="72" t="str">
        <f t="shared" si="82"/>
        <v>GM2</v>
      </c>
      <c r="L396" s="72" t="str">
        <f t="shared" si="83"/>
        <v>APRIL-1-GM2</v>
      </c>
      <c r="M396" s="73">
        <f t="shared" si="84"/>
        <v>0.18219947353420785</v>
      </c>
      <c r="N396" s="73">
        <f t="shared" si="85"/>
        <v>-8.611411523119672E-2</v>
      </c>
      <c r="O396" s="13">
        <f t="shared" si="86"/>
        <v>874798</v>
      </c>
      <c r="P396" s="13">
        <f t="shared" si="87"/>
        <v>888509</v>
      </c>
      <c r="Q396" s="13">
        <f t="shared" si="88"/>
        <v>882586</v>
      </c>
      <c r="R396" s="33">
        <f t="shared" si="89"/>
        <v>8.9026266635268136E-3</v>
      </c>
      <c r="S396" s="33">
        <f t="shared" si="90"/>
        <v>-6.6662239774724075E-3</v>
      </c>
    </row>
    <row r="397" spans="1:19" x14ac:dyDescent="0.25">
      <c r="A397" t="s">
        <v>38</v>
      </c>
      <c r="B397" s="65">
        <v>1</v>
      </c>
      <c r="C397" t="s">
        <v>14</v>
      </c>
      <c r="D397" s="68">
        <v>1404</v>
      </c>
      <c r="E397" s="69">
        <v>1438</v>
      </c>
      <c r="F397" s="68">
        <v>1425</v>
      </c>
      <c r="G397" s="13">
        <f t="shared" si="78"/>
        <v>-13</v>
      </c>
      <c r="H397" s="13">
        <f t="shared" si="79"/>
        <v>21</v>
      </c>
      <c r="I397" s="73">
        <f t="shared" si="80"/>
        <v>1.4957264957264904E-2</v>
      </c>
      <c r="J397" s="73">
        <f t="shared" si="81"/>
        <v>-9.0403337969402475E-3</v>
      </c>
      <c r="K397" s="72" t="str">
        <f t="shared" si="82"/>
        <v>GM2</v>
      </c>
      <c r="L397" s="72" t="str">
        <f t="shared" si="83"/>
        <v>APRIL-1-GM2</v>
      </c>
      <c r="M397" s="73">
        <f t="shared" si="84"/>
        <v>0.18219947353420785</v>
      </c>
      <c r="N397" s="73">
        <f t="shared" si="85"/>
        <v>-8.611411523119672E-2</v>
      </c>
      <c r="O397" s="13">
        <f t="shared" si="86"/>
        <v>874798</v>
      </c>
      <c r="P397" s="13">
        <f t="shared" si="87"/>
        <v>888509</v>
      </c>
      <c r="Q397" s="13">
        <f t="shared" si="88"/>
        <v>882586</v>
      </c>
      <c r="R397" s="33">
        <f t="shared" si="89"/>
        <v>8.9026266635268136E-3</v>
      </c>
      <c r="S397" s="33">
        <f t="shared" si="90"/>
        <v>-6.6662239774724075E-3</v>
      </c>
    </row>
    <row r="398" spans="1:19" x14ac:dyDescent="0.25">
      <c r="A398" t="s">
        <v>38</v>
      </c>
      <c r="B398" s="65">
        <v>1</v>
      </c>
      <c r="C398" t="s">
        <v>11</v>
      </c>
      <c r="D398" s="68">
        <v>15552</v>
      </c>
      <c r="E398" s="69">
        <v>15864</v>
      </c>
      <c r="F398" s="67">
        <v>15684</v>
      </c>
      <c r="G398" s="13">
        <f t="shared" si="78"/>
        <v>-180</v>
      </c>
      <c r="H398" s="13">
        <f t="shared" si="79"/>
        <v>132</v>
      </c>
      <c r="I398" s="73">
        <f t="shared" si="80"/>
        <v>8.4876543209877475E-3</v>
      </c>
      <c r="J398" s="73">
        <f t="shared" si="81"/>
        <v>-1.1346444780635401E-2</v>
      </c>
      <c r="K398" s="72" t="str">
        <f t="shared" si="82"/>
        <v>MAJA1</v>
      </c>
      <c r="L398" s="72" t="str">
        <f t="shared" si="83"/>
        <v>APRIL-1-MAJA1</v>
      </c>
      <c r="M398" s="73">
        <f t="shared" si="84"/>
        <v>5.7323408126441766E-4</v>
      </c>
      <c r="N398" s="73">
        <f t="shared" si="85"/>
        <v>-0.25477806202107722</v>
      </c>
      <c r="O398" s="13">
        <f t="shared" si="86"/>
        <v>874798</v>
      </c>
      <c r="P398" s="13">
        <f t="shared" si="87"/>
        <v>888509</v>
      </c>
      <c r="Q398" s="13">
        <f t="shared" si="88"/>
        <v>882586</v>
      </c>
      <c r="R398" s="33">
        <f t="shared" si="89"/>
        <v>8.9026266635268136E-3</v>
      </c>
      <c r="S398" s="33">
        <f t="shared" si="90"/>
        <v>-6.6662239774724075E-3</v>
      </c>
    </row>
    <row r="399" spans="1:19" x14ac:dyDescent="0.25">
      <c r="A399" t="s">
        <v>38</v>
      </c>
      <c r="B399" s="65">
        <v>1</v>
      </c>
      <c r="C399" t="s">
        <v>11</v>
      </c>
      <c r="D399" s="68">
        <v>1296</v>
      </c>
      <c r="E399" s="69">
        <v>1323</v>
      </c>
      <c r="F399" s="67">
        <v>1314</v>
      </c>
      <c r="G399" s="13">
        <f t="shared" si="78"/>
        <v>-9</v>
      </c>
      <c r="H399" s="13">
        <f t="shared" si="79"/>
        <v>18</v>
      </c>
      <c r="I399" s="73">
        <f t="shared" si="80"/>
        <v>1.388888888888884E-2</v>
      </c>
      <c r="J399" s="73">
        <f t="shared" si="81"/>
        <v>-6.8027210884353817E-3</v>
      </c>
      <c r="K399" s="72" t="str">
        <f t="shared" si="82"/>
        <v>MAJA1</v>
      </c>
      <c r="L399" s="72" t="str">
        <f t="shared" si="83"/>
        <v>APRIL-1-MAJA1</v>
      </c>
      <c r="M399" s="73">
        <f t="shared" si="84"/>
        <v>5.7323408126441766E-4</v>
      </c>
      <c r="N399" s="73">
        <f t="shared" si="85"/>
        <v>-0.25477806202107722</v>
      </c>
      <c r="O399" s="13">
        <f t="shared" si="86"/>
        <v>874798</v>
      </c>
      <c r="P399" s="13">
        <f t="shared" si="87"/>
        <v>888509</v>
      </c>
      <c r="Q399" s="13">
        <f t="shared" si="88"/>
        <v>882586</v>
      </c>
      <c r="R399" s="33">
        <f t="shared" si="89"/>
        <v>8.9026266635268136E-3</v>
      </c>
      <c r="S399" s="33">
        <f t="shared" si="90"/>
        <v>-6.6662239774724075E-3</v>
      </c>
    </row>
    <row r="400" spans="1:19" x14ac:dyDescent="0.25">
      <c r="A400" t="s">
        <v>38</v>
      </c>
      <c r="B400" s="65">
        <v>1</v>
      </c>
      <c r="C400" t="s">
        <v>14</v>
      </c>
      <c r="D400" s="68">
        <v>35964</v>
      </c>
      <c r="E400" s="69">
        <v>36710</v>
      </c>
      <c r="F400" s="68">
        <v>36477</v>
      </c>
      <c r="G400" s="13">
        <f t="shared" si="78"/>
        <v>-233</v>
      </c>
      <c r="H400" s="13">
        <f t="shared" si="79"/>
        <v>513</v>
      </c>
      <c r="I400" s="73">
        <f t="shared" si="80"/>
        <v>1.4264264264264304E-2</v>
      </c>
      <c r="J400" s="73">
        <f t="shared" si="81"/>
        <v>-6.3470444020702343E-3</v>
      </c>
      <c r="K400" s="72" t="str">
        <f t="shared" si="82"/>
        <v>GM2</v>
      </c>
      <c r="L400" s="72" t="str">
        <f t="shared" si="83"/>
        <v>APRIL-1-GM2</v>
      </c>
      <c r="M400" s="73">
        <f t="shared" si="84"/>
        <v>0.18219947353420785</v>
      </c>
      <c r="N400" s="73">
        <f t="shared" si="85"/>
        <v>-8.611411523119672E-2</v>
      </c>
      <c r="O400" s="13">
        <f t="shared" si="86"/>
        <v>874798</v>
      </c>
      <c r="P400" s="13">
        <f t="shared" si="87"/>
        <v>888509</v>
      </c>
      <c r="Q400" s="13">
        <f t="shared" si="88"/>
        <v>882586</v>
      </c>
      <c r="R400" s="33">
        <f t="shared" si="89"/>
        <v>8.9026266635268136E-3</v>
      </c>
      <c r="S400" s="33">
        <f t="shared" si="90"/>
        <v>-6.6662239774724075E-3</v>
      </c>
    </row>
    <row r="401" spans="1:19" x14ac:dyDescent="0.25">
      <c r="A401" t="s">
        <v>38</v>
      </c>
      <c r="B401" s="65">
        <v>1</v>
      </c>
      <c r="C401" t="s">
        <v>14</v>
      </c>
      <c r="D401" s="68">
        <v>2592</v>
      </c>
      <c r="E401" s="69">
        <v>2664</v>
      </c>
      <c r="F401" s="68">
        <v>2646</v>
      </c>
      <c r="G401" s="13">
        <f t="shared" si="78"/>
        <v>-18</v>
      </c>
      <c r="H401" s="13">
        <f t="shared" si="79"/>
        <v>54</v>
      </c>
      <c r="I401" s="73">
        <f t="shared" si="80"/>
        <v>2.0833333333333259E-2</v>
      </c>
      <c r="J401" s="73">
        <f t="shared" si="81"/>
        <v>-6.7567567567567988E-3</v>
      </c>
      <c r="K401" s="72" t="str">
        <f t="shared" si="82"/>
        <v>GM2</v>
      </c>
      <c r="L401" s="72" t="str">
        <f t="shared" si="83"/>
        <v>APRIL-1-GM2</v>
      </c>
      <c r="M401" s="73">
        <f t="shared" si="84"/>
        <v>0.18219947353420785</v>
      </c>
      <c r="N401" s="73">
        <f t="shared" si="85"/>
        <v>-8.611411523119672E-2</v>
      </c>
      <c r="O401" s="13">
        <f t="shared" si="86"/>
        <v>874798</v>
      </c>
      <c r="P401" s="13">
        <f t="shared" si="87"/>
        <v>888509</v>
      </c>
      <c r="Q401" s="13">
        <f t="shared" si="88"/>
        <v>882586</v>
      </c>
      <c r="R401" s="33">
        <f t="shared" si="89"/>
        <v>8.9026266635268136E-3</v>
      </c>
      <c r="S401" s="33">
        <f t="shared" si="90"/>
        <v>-6.6662239774724075E-3</v>
      </c>
    </row>
    <row r="402" spans="1:19" x14ac:dyDescent="0.25">
      <c r="A402" t="s">
        <v>38</v>
      </c>
      <c r="B402" s="65">
        <v>1</v>
      </c>
      <c r="C402" t="s">
        <v>14</v>
      </c>
      <c r="D402" s="68">
        <v>7128</v>
      </c>
      <c r="E402" s="69">
        <v>7309</v>
      </c>
      <c r="F402" s="68">
        <v>7242</v>
      </c>
      <c r="G402" s="13">
        <f t="shared" si="78"/>
        <v>-67</v>
      </c>
      <c r="H402" s="13">
        <f t="shared" si="79"/>
        <v>114</v>
      </c>
      <c r="I402" s="73">
        <f t="shared" si="80"/>
        <v>1.5993265993266004E-2</v>
      </c>
      <c r="J402" s="73">
        <f t="shared" si="81"/>
        <v>-9.1667806813517938E-3</v>
      </c>
      <c r="K402" s="72" t="str">
        <f t="shared" si="82"/>
        <v>GM2</v>
      </c>
      <c r="L402" s="72" t="str">
        <f t="shared" si="83"/>
        <v>APRIL-1-GM2</v>
      </c>
      <c r="M402" s="73">
        <f t="shared" si="84"/>
        <v>0.18219947353420785</v>
      </c>
      <c r="N402" s="73">
        <f t="shared" si="85"/>
        <v>-8.611411523119672E-2</v>
      </c>
      <c r="O402" s="13">
        <f t="shared" si="86"/>
        <v>874798</v>
      </c>
      <c r="P402" s="13">
        <f t="shared" si="87"/>
        <v>888509</v>
      </c>
      <c r="Q402" s="13">
        <f t="shared" si="88"/>
        <v>882586</v>
      </c>
      <c r="R402" s="33">
        <f t="shared" si="89"/>
        <v>8.9026266635268136E-3</v>
      </c>
      <c r="S402" s="33">
        <f t="shared" si="90"/>
        <v>-6.6662239774724075E-3</v>
      </c>
    </row>
    <row r="403" spans="1:19" x14ac:dyDescent="0.25">
      <c r="A403" t="s">
        <v>38</v>
      </c>
      <c r="B403" s="65">
        <v>1</v>
      </c>
      <c r="C403" t="s">
        <v>14</v>
      </c>
      <c r="D403" s="68">
        <v>2052</v>
      </c>
      <c r="E403" s="69">
        <v>2094</v>
      </c>
      <c r="F403" s="68">
        <v>2082</v>
      </c>
      <c r="G403" s="13">
        <f t="shared" si="78"/>
        <v>-12</v>
      </c>
      <c r="H403" s="13">
        <f t="shared" si="79"/>
        <v>30</v>
      </c>
      <c r="I403" s="73">
        <f t="shared" si="80"/>
        <v>1.4619883040935644E-2</v>
      </c>
      <c r="J403" s="73">
        <f t="shared" si="81"/>
        <v>-5.7306590257879542E-3</v>
      </c>
      <c r="K403" s="72" t="str">
        <f t="shared" si="82"/>
        <v>GM2</v>
      </c>
      <c r="L403" s="72" t="str">
        <f t="shared" si="83"/>
        <v>APRIL-1-GM2</v>
      </c>
      <c r="M403" s="73">
        <f t="shared" si="84"/>
        <v>0.18219947353420785</v>
      </c>
      <c r="N403" s="73">
        <f t="shared" si="85"/>
        <v>-8.611411523119672E-2</v>
      </c>
      <c r="O403" s="13">
        <f t="shared" si="86"/>
        <v>874798</v>
      </c>
      <c r="P403" s="13">
        <f t="shared" si="87"/>
        <v>888509</v>
      </c>
      <c r="Q403" s="13">
        <f t="shared" si="88"/>
        <v>882586</v>
      </c>
      <c r="R403" s="33">
        <f t="shared" si="89"/>
        <v>8.9026266635268136E-3</v>
      </c>
      <c r="S403" s="33">
        <f t="shared" si="90"/>
        <v>-6.6662239774724075E-3</v>
      </c>
    </row>
    <row r="404" spans="1:19" x14ac:dyDescent="0.25">
      <c r="A404" t="s">
        <v>38</v>
      </c>
      <c r="B404" s="65">
        <v>1</v>
      </c>
      <c r="C404" t="s">
        <v>11</v>
      </c>
      <c r="D404" s="68">
        <v>9180</v>
      </c>
      <c r="E404" s="69">
        <v>9364</v>
      </c>
      <c r="F404" s="67">
        <v>9213</v>
      </c>
      <c r="G404" s="13">
        <f t="shared" si="78"/>
        <v>-151</v>
      </c>
      <c r="H404" s="13">
        <f t="shared" si="79"/>
        <v>33</v>
      </c>
      <c r="I404" s="73">
        <f t="shared" si="80"/>
        <v>3.5947712418300526E-3</v>
      </c>
      <c r="J404" s="73">
        <f t="shared" si="81"/>
        <v>-1.6125587355830806E-2</v>
      </c>
      <c r="K404" s="72" t="str">
        <f t="shared" si="82"/>
        <v>MAJA1</v>
      </c>
      <c r="L404" s="72" t="str">
        <f t="shared" si="83"/>
        <v>APRIL-1-MAJA1</v>
      </c>
      <c r="M404" s="73">
        <f t="shared" si="84"/>
        <v>5.7323408126441766E-4</v>
      </c>
      <c r="N404" s="73">
        <f t="shared" si="85"/>
        <v>-0.25477806202107722</v>
      </c>
      <c r="O404" s="13">
        <f t="shared" si="86"/>
        <v>874798</v>
      </c>
      <c r="P404" s="13">
        <f t="shared" si="87"/>
        <v>888509</v>
      </c>
      <c r="Q404" s="13">
        <f t="shared" si="88"/>
        <v>882586</v>
      </c>
      <c r="R404" s="33">
        <f t="shared" si="89"/>
        <v>8.9026266635268136E-3</v>
      </c>
      <c r="S404" s="33">
        <f t="shared" si="90"/>
        <v>-6.6662239774724075E-3</v>
      </c>
    </row>
    <row r="405" spans="1:19" x14ac:dyDescent="0.25">
      <c r="A405" t="s">
        <v>38</v>
      </c>
      <c r="B405" s="65">
        <v>1</v>
      </c>
      <c r="C405" t="s">
        <v>11</v>
      </c>
      <c r="D405" s="68">
        <v>1944</v>
      </c>
      <c r="E405" s="69">
        <v>1983</v>
      </c>
      <c r="F405" s="67">
        <v>1968</v>
      </c>
      <c r="G405" s="13">
        <f t="shared" si="78"/>
        <v>-15</v>
      </c>
      <c r="H405" s="13">
        <f t="shared" si="79"/>
        <v>24</v>
      </c>
      <c r="I405" s="73">
        <f t="shared" si="80"/>
        <v>1.2345679012345734E-2</v>
      </c>
      <c r="J405" s="73">
        <f t="shared" si="81"/>
        <v>-7.5642965204235635E-3</v>
      </c>
      <c r="K405" s="72" t="str">
        <f t="shared" si="82"/>
        <v>MAJA1</v>
      </c>
      <c r="L405" s="72" t="str">
        <f t="shared" si="83"/>
        <v>APRIL-1-MAJA1</v>
      </c>
      <c r="M405" s="73">
        <f t="shared" si="84"/>
        <v>5.7323408126441766E-4</v>
      </c>
      <c r="N405" s="73">
        <f t="shared" si="85"/>
        <v>-0.25477806202107722</v>
      </c>
      <c r="O405" s="13">
        <f t="shared" si="86"/>
        <v>874798</v>
      </c>
      <c r="P405" s="13">
        <f t="shared" si="87"/>
        <v>888509</v>
      </c>
      <c r="Q405" s="13">
        <f t="shared" si="88"/>
        <v>882586</v>
      </c>
      <c r="R405" s="33">
        <f t="shared" si="89"/>
        <v>8.9026266635268136E-3</v>
      </c>
      <c r="S405" s="33">
        <f t="shared" si="90"/>
        <v>-6.6662239774724075E-3</v>
      </c>
    </row>
    <row r="406" spans="1:19" x14ac:dyDescent="0.25">
      <c r="A406" t="s">
        <v>38</v>
      </c>
      <c r="B406" s="65">
        <v>1</v>
      </c>
      <c r="C406" t="s">
        <v>11</v>
      </c>
      <c r="D406" s="68">
        <v>22752</v>
      </c>
      <c r="E406" s="69">
        <v>23439</v>
      </c>
      <c r="F406" s="67">
        <v>23140</v>
      </c>
      <c r="G406" s="13">
        <f t="shared" si="78"/>
        <v>-299</v>
      </c>
      <c r="H406" s="13">
        <f t="shared" si="79"/>
        <v>388</v>
      </c>
      <c r="I406" s="73">
        <f t="shared" si="80"/>
        <v>1.7053445850914173E-2</v>
      </c>
      <c r="J406" s="73">
        <f t="shared" si="81"/>
        <v>-1.2756516916250682E-2</v>
      </c>
      <c r="K406" s="72" t="str">
        <f t="shared" si="82"/>
        <v>MAJA1</v>
      </c>
      <c r="L406" s="72" t="str">
        <f t="shared" si="83"/>
        <v>APRIL-1-MAJA1</v>
      </c>
      <c r="M406" s="73">
        <f t="shared" si="84"/>
        <v>5.7323408126441766E-4</v>
      </c>
      <c r="N406" s="73">
        <f t="shared" si="85"/>
        <v>-0.25477806202107722</v>
      </c>
      <c r="O406" s="13">
        <f t="shared" si="86"/>
        <v>874798</v>
      </c>
      <c r="P406" s="13">
        <f t="shared" si="87"/>
        <v>888509</v>
      </c>
      <c r="Q406" s="13">
        <f t="shared" si="88"/>
        <v>882586</v>
      </c>
      <c r="R406" s="33">
        <f t="shared" si="89"/>
        <v>8.9026266635268136E-3</v>
      </c>
      <c r="S406" s="33">
        <f t="shared" si="90"/>
        <v>-6.6662239774724075E-3</v>
      </c>
    </row>
    <row r="407" spans="1:19" x14ac:dyDescent="0.25">
      <c r="A407" t="s">
        <v>38</v>
      </c>
      <c r="B407" s="65">
        <v>1</v>
      </c>
      <c r="C407" t="s">
        <v>11</v>
      </c>
      <c r="D407" s="68">
        <v>1440</v>
      </c>
      <c r="E407" s="69">
        <v>1488</v>
      </c>
      <c r="F407" s="67">
        <v>1448</v>
      </c>
      <c r="G407" s="13">
        <f t="shared" si="78"/>
        <v>-40</v>
      </c>
      <c r="H407" s="13">
        <f t="shared" si="79"/>
        <v>8</v>
      </c>
      <c r="I407" s="73">
        <f t="shared" si="80"/>
        <v>5.5555555555555358E-3</v>
      </c>
      <c r="J407" s="73">
        <f t="shared" si="81"/>
        <v>-2.6881720430107503E-2</v>
      </c>
      <c r="K407" s="72" t="str">
        <f t="shared" si="82"/>
        <v>MAJA1</v>
      </c>
      <c r="L407" s="72" t="str">
        <f t="shared" si="83"/>
        <v>APRIL-1-MAJA1</v>
      </c>
      <c r="M407" s="73">
        <f t="shared" si="84"/>
        <v>5.7323408126441766E-4</v>
      </c>
      <c r="N407" s="73">
        <f t="shared" si="85"/>
        <v>-0.25477806202107722</v>
      </c>
      <c r="O407" s="13">
        <f t="shared" si="86"/>
        <v>874798</v>
      </c>
      <c r="P407" s="13">
        <f t="shared" si="87"/>
        <v>888509</v>
      </c>
      <c r="Q407" s="13">
        <f t="shared" si="88"/>
        <v>882586</v>
      </c>
      <c r="R407" s="33">
        <f t="shared" si="89"/>
        <v>8.9026266635268136E-3</v>
      </c>
      <c r="S407" s="33">
        <f t="shared" si="90"/>
        <v>-6.6662239774724075E-3</v>
      </c>
    </row>
    <row r="408" spans="1:19" x14ac:dyDescent="0.25">
      <c r="A408" t="s">
        <v>38</v>
      </c>
      <c r="B408" s="65">
        <v>1</v>
      </c>
      <c r="C408" t="s">
        <v>11</v>
      </c>
      <c r="D408" s="68">
        <v>11088</v>
      </c>
      <c r="E408" s="69">
        <v>11005</v>
      </c>
      <c r="F408" s="67">
        <v>10836</v>
      </c>
      <c r="G408" s="13">
        <f t="shared" si="78"/>
        <v>-169</v>
      </c>
      <c r="H408" s="13">
        <f t="shared" si="79"/>
        <v>-252</v>
      </c>
      <c r="I408" s="73">
        <f t="shared" si="80"/>
        <v>-2.2727272727272707E-2</v>
      </c>
      <c r="J408" s="73">
        <f t="shared" si="81"/>
        <v>-1.5356656065424801E-2</v>
      </c>
      <c r="K408" s="72" t="str">
        <f t="shared" si="82"/>
        <v>MAJA1</v>
      </c>
      <c r="L408" s="72" t="str">
        <f t="shared" si="83"/>
        <v>APRIL-1-MAJA1</v>
      </c>
      <c r="M408" s="73">
        <f t="shared" si="84"/>
        <v>5.7323408126441766E-4</v>
      </c>
      <c r="N408" s="73">
        <f t="shared" si="85"/>
        <v>-0.25477806202107722</v>
      </c>
      <c r="O408" s="13">
        <f t="shared" si="86"/>
        <v>874798</v>
      </c>
      <c r="P408" s="13">
        <f t="shared" si="87"/>
        <v>888509</v>
      </c>
      <c r="Q408" s="13">
        <f t="shared" si="88"/>
        <v>882586</v>
      </c>
      <c r="R408" s="33">
        <f t="shared" si="89"/>
        <v>8.9026266635268136E-3</v>
      </c>
      <c r="S408" s="33">
        <f t="shared" si="90"/>
        <v>-6.6662239774724075E-3</v>
      </c>
    </row>
    <row r="409" spans="1:19" x14ac:dyDescent="0.25">
      <c r="A409" t="s">
        <v>38</v>
      </c>
      <c r="B409" s="65">
        <v>1</v>
      </c>
      <c r="C409" t="s">
        <v>13</v>
      </c>
      <c r="D409" s="68">
        <v>30024</v>
      </c>
      <c r="E409" s="69">
        <v>30324</v>
      </c>
      <c r="F409" s="68">
        <v>30213</v>
      </c>
      <c r="G409" s="13">
        <f t="shared" si="78"/>
        <v>-111</v>
      </c>
      <c r="H409" s="13">
        <f t="shared" si="79"/>
        <v>189</v>
      </c>
      <c r="I409" s="73">
        <f t="shared" si="80"/>
        <v>6.2949640287770503E-3</v>
      </c>
      <c r="J409" s="73">
        <f t="shared" si="81"/>
        <v>-3.6604669568658377E-3</v>
      </c>
      <c r="K409" s="72" t="str">
        <f t="shared" si="82"/>
        <v>KALIBENDA</v>
      </c>
      <c r="L409" s="72" t="str">
        <f t="shared" si="83"/>
        <v>APRIL-1-KALIBENDA</v>
      </c>
      <c r="M409" s="73">
        <f t="shared" si="84"/>
        <v>2.3794767576752363E-2</v>
      </c>
      <c r="N409" s="73">
        <f t="shared" si="85"/>
        <v>-2.1270148692208446E-2</v>
      </c>
      <c r="O409" s="13">
        <f t="shared" si="86"/>
        <v>874798</v>
      </c>
      <c r="P409" s="13">
        <f t="shared" si="87"/>
        <v>888509</v>
      </c>
      <c r="Q409" s="13">
        <f t="shared" si="88"/>
        <v>882586</v>
      </c>
      <c r="R409" s="33">
        <f t="shared" si="89"/>
        <v>8.9026266635268136E-3</v>
      </c>
      <c r="S409" s="33">
        <f t="shared" si="90"/>
        <v>-6.6662239774724075E-3</v>
      </c>
    </row>
    <row r="410" spans="1:19" x14ac:dyDescent="0.25">
      <c r="A410" t="s">
        <v>38</v>
      </c>
      <c r="B410" s="65">
        <v>1</v>
      </c>
      <c r="C410" t="s">
        <v>13</v>
      </c>
      <c r="D410" s="68">
        <v>62100</v>
      </c>
      <c r="E410" s="69">
        <v>62100</v>
      </c>
      <c r="F410" s="68">
        <v>61911</v>
      </c>
      <c r="G410" s="13">
        <f t="shared" si="78"/>
        <v>-189</v>
      </c>
      <c r="H410" s="13">
        <f t="shared" si="79"/>
        <v>-189</v>
      </c>
      <c r="I410" s="73">
        <f t="shared" si="80"/>
        <v>-3.0434782608695921E-3</v>
      </c>
      <c r="J410" s="73">
        <f t="shared" si="81"/>
        <v>-3.0434782608695921E-3</v>
      </c>
      <c r="K410" s="72" t="str">
        <f t="shared" si="82"/>
        <v>KALIBENDA</v>
      </c>
      <c r="L410" s="72" t="str">
        <f t="shared" si="83"/>
        <v>APRIL-1-KALIBENDA</v>
      </c>
      <c r="M410" s="73">
        <f t="shared" si="84"/>
        <v>2.3794767576752363E-2</v>
      </c>
      <c r="N410" s="73">
        <f t="shared" si="85"/>
        <v>-2.1270148692208446E-2</v>
      </c>
      <c r="O410" s="13">
        <f t="shared" si="86"/>
        <v>874798</v>
      </c>
      <c r="P410" s="13">
        <f t="shared" si="87"/>
        <v>888509</v>
      </c>
      <c r="Q410" s="13">
        <f t="shared" si="88"/>
        <v>882586</v>
      </c>
      <c r="R410" s="33">
        <f t="shared" si="89"/>
        <v>8.9026266635268136E-3</v>
      </c>
      <c r="S410" s="33">
        <f t="shared" si="90"/>
        <v>-6.6662239774724075E-3</v>
      </c>
    </row>
    <row r="411" spans="1:19" x14ac:dyDescent="0.25">
      <c r="A411" t="s">
        <v>38</v>
      </c>
      <c r="B411" s="65">
        <v>1</v>
      </c>
      <c r="C411" t="s">
        <v>13</v>
      </c>
      <c r="D411" s="68">
        <v>2592</v>
      </c>
      <c r="E411" s="69">
        <v>2592</v>
      </c>
      <c r="F411" s="68">
        <v>2583</v>
      </c>
      <c r="G411" s="13">
        <f t="shared" si="78"/>
        <v>-9</v>
      </c>
      <c r="H411" s="13">
        <f t="shared" si="79"/>
        <v>-9</v>
      </c>
      <c r="I411" s="73">
        <f t="shared" si="80"/>
        <v>-3.4722222222222099E-3</v>
      </c>
      <c r="J411" s="73">
        <f t="shared" si="81"/>
        <v>-3.4722222222222099E-3</v>
      </c>
      <c r="K411" s="72" t="str">
        <f t="shared" si="82"/>
        <v>KALIBENDA</v>
      </c>
      <c r="L411" s="72" t="str">
        <f t="shared" si="83"/>
        <v>APRIL-1-KALIBENDA</v>
      </c>
      <c r="M411" s="73">
        <f t="shared" si="84"/>
        <v>2.3794767576752363E-2</v>
      </c>
      <c r="N411" s="73">
        <f t="shared" si="85"/>
        <v>-2.1270148692208446E-2</v>
      </c>
      <c r="O411" s="13">
        <f t="shared" si="86"/>
        <v>874798</v>
      </c>
      <c r="P411" s="13">
        <f t="shared" si="87"/>
        <v>888509</v>
      </c>
      <c r="Q411" s="13">
        <f t="shared" si="88"/>
        <v>882586</v>
      </c>
      <c r="R411" s="33">
        <f t="shared" si="89"/>
        <v>8.9026266635268136E-3</v>
      </c>
      <c r="S411" s="33">
        <f t="shared" si="90"/>
        <v>-6.6662239774724075E-3</v>
      </c>
    </row>
    <row r="412" spans="1:19" x14ac:dyDescent="0.25">
      <c r="A412" t="s">
        <v>38</v>
      </c>
      <c r="B412" s="65">
        <v>1</v>
      </c>
      <c r="C412" t="s">
        <v>11</v>
      </c>
      <c r="D412" s="68">
        <v>2952</v>
      </c>
      <c r="E412" s="69">
        <v>2953</v>
      </c>
      <c r="F412" s="67">
        <v>2952</v>
      </c>
      <c r="G412" s="13">
        <f t="shared" si="78"/>
        <v>-1</v>
      </c>
      <c r="H412" s="13">
        <f t="shared" si="79"/>
        <v>0</v>
      </c>
      <c r="I412" s="73">
        <f t="shared" si="80"/>
        <v>0</v>
      </c>
      <c r="J412" s="73">
        <f t="shared" si="81"/>
        <v>-3.3863867253636215E-4</v>
      </c>
      <c r="K412" s="72" t="str">
        <f t="shared" si="82"/>
        <v>MAJA1</v>
      </c>
      <c r="L412" s="72" t="str">
        <f t="shared" si="83"/>
        <v>APRIL-1-MAJA1</v>
      </c>
      <c r="M412" s="73">
        <f t="shared" si="84"/>
        <v>5.7323408126441766E-4</v>
      </c>
      <c r="N412" s="73">
        <f t="shared" si="85"/>
        <v>-0.25477806202107722</v>
      </c>
      <c r="O412" s="13">
        <f t="shared" si="86"/>
        <v>874798</v>
      </c>
      <c r="P412" s="13">
        <f t="shared" si="87"/>
        <v>888509</v>
      </c>
      <c r="Q412" s="13">
        <f t="shared" si="88"/>
        <v>882586</v>
      </c>
      <c r="R412" s="33">
        <f t="shared" si="89"/>
        <v>8.9026266635268136E-3</v>
      </c>
      <c r="S412" s="33">
        <f t="shared" si="90"/>
        <v>-6.6662239774724075E-3</v>
      </c>
    </row>
    <row r="413" spans="1:19" x14ac:dyDescent="0.25">
      <c r="A413" t="s">
        <v>38</v>
      </c>
      <c r="B413" s="65">
        <v>1</v>
      </c>
      <c r="C413" t="s">
        <v>11</v>
      </c>
      <c r="D413" s="68">
        <v>6624</v>
      </c>
      <c r="E413" s="69">
        <v>6627</v>
      </c>
      <c r="F413" s="67">
        <v>6624</v>
      </c>
      <c r="G413" s="13">
        <f t="shared" si="78"/>
        <v>-3</v>
      </c>
      <c r="H413" s="13">
        <f t="shared" si="79"/>
        <v>0</v>
      </c>
      <c r="I413" s="73">
        <f t="shared" si="80"/>
        <v>0</v>
      </c>
      <c r="J413" s="73">
        <f t="shared" si="81"/>
        <v>-4.5269352648258376E-4</v>
      </c>
      <c r="K413" s="72" t="str">
        <f t="shared" si="82"/>
        <v>MAJA1</v>
      </c>
      <c r="L413" s="72" t="str">
        <f t="shared" si="83"/>
        <v>APRIL-1-MAJA1</v>
      </c>
      <c r="M413" s="73">
        <f t="shared" si="84"/>
        <v>5.7323408126441766E-4</v>
      </c>
      <c r="N413" s="73">
        <f t="shared" si="85"/>
        <v>-0.25477806202107722</v>
      </c>
      <c r="O413" s="13">
        <f t="shared" si="86"/>
        <v>874798</v>
      </c>
      <c r="P413" s="13">
        <f t="shared" si="87"/>
        <v>888509</v>
      </c>
      <c r="Q413" s="13">
        <f t="shared" si="88"/>
        <v>882586</v>
      </c>
      <c r="R413" s="33">
        <f t="shared" si="89"/>
        <v>8.9026266635268136E-3</v>
      </c>
      <c r="S413" s="33">
        <f t="shared" si="90"/>
        <v>-6.6662239774724075E-3</v>
      </c>
    </row>
    <row r="414" spans="1:19" x14ac:dyDescent="0.25">
      <c r="A414" t="s">
        <v>38</v>
      </c>
      <c r="B414" s="65">
        <v>1</v>
      </c>
      <c r="C414" t="s">
        <v>11</v>
      </c>
      <c r="D414" s="68">
        <v>11448</v>
      </c>
      <c r="E414" s="69">
        <v>11721</v>
      </c>
      <c r="F414" s="67">
        <v>11550</v>
      </c>
      <c r="G414" s="13">
        <f t="shared" si="78"/>
        <v>-171</v>
      </c>
      <c r="H414" s="13">
        <f t="shared" si="79"/>
        <v>102</v>
      </c>
      <c r="I414" s="73">
        <f t="shared" si="80"/>
        <v>8.9098532494757965E-3</v>
      </c>
      <c r="J414" s="73">
        <f t="shared" si="81"/>
        <v>-1.4589198873816267E-2</v>
      </c>
      <c r="K414" s="72" t="str">
        <f t="shared" si="82"/>
        <v>MAJA1</v>
      </c>
      <c r="L414" s="72" t="str">
        <f t="shared" si="83"/>
        <v>APRIL-1-MAJA1</v>
      </c>
      <c r="M414" s="73">
        <f t="shared" si="84"/>
        <v>5.7323408126441766E-4</v>
      </c>
      <c r="N414" s="73">
        <f t="shared" si="85"/>
        <v>-0.25477806202107722</v>
      </c>
      <c r="O414" s="13">
        <f t="shared" si="86"/>
        <v>874798</v>
      </c>
      <c r="P414" s="13">
        <f t="shared" si="87"/>
        <v>888509</v>
      </c>
      <c r="Q414" s="13">
        <f t="shared" si="88"/>
        <v>882586</v>
      </c>
      <c r="R414" s="33">
        <f t="shared" si="89"/>
        <v>8.9026266635268136E-3</v>
      </c>
      <c r="S414" s="33">
        <f t="shared" si="90"/>
        <v>-6.6662239774724075E-3</v>
      </c>
    </row>
    <row r="415" spans="1:19" x14ac:dyDescent="0.25">
      <c r="A415" t="s">
        <v>38</v>
      </c>
      <c r="B415" s="65">
        <v>1</v>
      </c>
      <c r="C415" t="s">
        <v>13</v>
      </c>
      <c r="D415" s="68">
        <v>4752</v>
      </c>
      <c r="E415" s="69">
        <v>4632</v>
      </c>
      <c r="F415" s="68">
        <v>4617</v>
      </c>
      <c r="G415" s="13">
        <f t="shared" si="78"/>
        <v>-15</v>
      </c>
      <c r="H415" s="13">
        <f t="shared" si="79"/>
        <v>-135</v>
      </c>
      <c r="I415" s="73">
        <f t="shared" si="80"/>
        <v>-2.8409090909090939E-2</v>
      </c>
      <c r="J415" s="73">
        <f t="shared" si="81"/>
        <v>-3.2383419689119286E-3</v>
      </c>
      <c r="K415" s="72" t="str">
        <f t="shared" si="82"/>
        <v>KALIBENDA</v>
      </c>
      <c r="L415" s="72" t="str">
        <f t="shared" si="83"/>
        <v>APRIL-1-KALIBENDA</v>
      </c>
      <c r="M415" s="73">
        <f t="shared" si="84"/>
        <v>2.3794767576752363E-2</v>
      </c>
      <c r="N415" s="73">
        <f t="shared" si="85"/>
        <v>-2.1270148692208446E-2</v>
      </c>
      <c r="O415" s="13">
        <f t="shared" si="86"/>
        <v>874798</v>
      </c>
      <c r="P415" s="13">
        <f t="shared" si="87"/>
        <v>888509</v>
      </c>
      <c r="Q415" s="13">
        <f t="shared" si="88"/>
        <v>882586</v>
      </c>
      <c r="R415" s="33">
        <f t="shared" si="89"/>
        <v>8.9026266635268136E-3</v>
      </c>
      <c r="S415" s="33">
        <f t="shared" si="90"/>
        <v>-6.6662239774724075E-3</v>
      </c>
    </row>
    <row r="416" spans="1:19" x14ac:dyDescent="0.25">
      <c r="A416" t="s">
        <v>38</v>
      </c>
      <c r="B416" s="65">
        <v>1</v>
      </c>
      <c r="C416" t="s">
        <v>11</v>
      </c>
      <c r="D416" s="68">
        <v>3024</v>
      </c>
      <c r="E416" s="69">
        <v>3048</v>
      </c>
      <c r="F416" s="67">
        <v>3024</v>
      </c>
      <c r="G416" s="13">
        <f t="shared" si="78"/>
        <v>-24</v>
      </c>
      <c r="H416" s="13">
        <f t="shared" si="79"/>
        <v>0</v>
      </c>
      <c r="I416" s="73">
        <f t="shared" si="80"/>
        <v>0</v>
      </c>
      <c r="J416" s="73">
        <f t="shared" si="81"/>
        <v>-7.8740157480314821E-3</v>
      </c>
      <c r="K416" s="72" t="str">
        <f t="shared" si="82"/>
        <v>MAJA1</v>
      </c>
      <c r="L416" s="72" t="str">
        <f t="shared" si="83"/>
        <v>APRIL-1-MAJA1</v>
      </c>
      <c r="M416" s="73">
        <f t="shared" si="84"/>
        <v>5.7323408126441766E-4</v>
      </c>
      <c r="N416" s="73">
        <f t="shared" si="85"/>
        <v>-0.25477806202107722</v>
      </c>
      <c r="O416" s="13">
        <f t="shared" si="86"/>
        <v>874798</v>
      </c>
      <c r="P416" s="13">
        <f t="shared" si="87"/>
        <v>888509</v>
      </c>
      <c r="Q416" s="13">
        <f t="shared" si="88"/>
        <v>882586</v>
      </c>
      <c r="R416" s="33">
        <f t="shared" si="89"/>
        <v>8.9026266635268136E-3</v>
      </c>
      <c r="S416" s="33">
        <f t="shared" si="90"/>
        <v>-6.6662239774724075E-3</v>
      </c>
    </row>
    <row r="417" spans="1:19" x14ac:dyDescent="0.25">
      <c r="A417" t="s">
        <v>38</v>
      </c>
      <c r="B417" s="65">
        <v>1</v>
      </c>
      <c r="C417" t="s">
        <v>14</v>
      </c>
      <c r="D417" s="68">
        <v>37692</v>
      </c>
      <c r="E417" s="69">
        <v>39079</v>
      </c>
      <c r="F417" s="68">
        <v>38625</v>
      </c>
      <c r="G417" s="13">
        <f t="shared" si="78"/>
        <v>-454</v>
      </c>
      <c r="H417" s="13">
        <f t="shared" si="79"/>
        <v>933</v>
      </c>
      <c r="I417" s="73">
        <f t="shared" si="80"/>
        <v>2.475326329194516E-2</v>
      </c>
      <c r="J417" s="73">
        <f t="shared" si="81"/>
        <v>-1.1617492771053506E-2</v>
      </c>
      <c r="K417" s="72" t="str">
        <f t="shared" si="82"/>
        <v>GM2</v>
      </c>
      <c r="L417" s="72" t="str">
        <f t="shared" si="83"/>
        <v>APRIL-1-GM2</v>
      </c>
      <c r="M417" s="73">
        <f t="shared" si="84"/>
        <v>0.18219947353420785</v>
      </c>
      <c r="N417" s="73">
        <f t="shared" si="85"/>
        <v>-8.611411523119672E-2</v>
      </c>
      <c r="O417" s="13">
        <f t="shared" si="86"/>
        <v>874798</v>
      </c>
      <c r="P417" s="13">
        <f t="shared" si="87"/>
        <v>888509</v>
      </c>
      <c r="Q417" s="13">
        <f t="shared" si="88"/>
        <v>882586</v>
      </c>
      <c r="R417" s="33">
        <f t="shared" si="89"/>
        <v>8.9026266635268136E-3</v>
      </c>
      <c r="S417" s="33">
        <f t="shared" si="90"/>
        <v>-6.6662239774724075E-3</v>
      </c>
    </row>
    <row r="418" spans="1:19" x14ac:dyDescent="0.25">
      <c r="A418" t="s">
        <v>38</v>
      </c>
      <c r="B418" s="65">
        <v>1</v>
      </c>
      <c r="C418" t="s">
        <v>14</v>
      </c>
      <c r="D418" s="68">
        <v>1620</v>
      </c>
      <c r="E418" s="69">
        <v>1668</v>
      </c>
      <c r="F418" s="68">
        <v>1656</v>
      </c>
      <c r="G418" s="13">
        <f t="shared" si="78"/>
        <v>-12</v>
      </c>
      <c r="H418" s="13">
        <f t="shared" si="79"/>
        <v>36</v>
      </c>
      <c r="I418" s="73">
        <f t="shared" si="80"/>
        <v>2.2222222222222143E-2</v>
      </c>
      <c r="J418" s="73">
        <f t="shared" si="81"/>
        <v>-7.194244604316502E-3</v>
      </c>
      <c r="K418" s="72" t="str">
        <f t="shared" si="82"/>
        <v>GM2</v>
      </c>
      <c r="L418" s="72" t="str">
        <f t="shared" si="83"/>
        <v>APRIL-1-GM2</v>
      </c>
      <c r="M418" s="73">
        <f t="shared" si="84"/>
        <v>0.18219947353420785</v>
      </c>
      <c r="N418" s="73">
        <f t="shared" si="85"/>
        <v>-8.611411523119672E-2</v>
      </c>
      <c r="O418" s="13">
        <f t="shared" si="86"/>
        <v>874798</v>
      </c>
      <c r="P418" s="13">
        <f t="shared" si="87"/>
        <v>888509</v>
      </c>
      <c r="Q418" s="13">
        <f t="shared" si="88"/>
        <v>882586</v>
      </c>
      <c r="R418" s="33">
        <f t="shared" si="89"/>
        <v>8.9026266635268136E-3</v>
      </c>
      <c r="S418" s="33">
        <f t="shared" si="90"/>
        <v>-6.6662239774724075E-3</v>
      </c>
    </row>
    <row r="419" spans="1:19" x14ac:dyDescent="0.25">
      <c r="A419" t="s">
        <v>38</v>
      </c>
      <c r="B419" s="65">
        <v>1</v>
      </c>
      <c r="C419" t="s">
        <v>14</v>
      </c>
      <c r="D419" s="68">
        <v>7128</v>
      </c>
      <c r="E419" s="69">
        <v>7379</v>
      </c>
      <c r="F419" s="68">
        <v>7257</v>
      </c>
      <c r="G419" s="13">
        <f t="shared" si="78"/>
        <v>-122</v>
      </c>
      <c r="H419" s="13">
        <f t="shared" si="79"/>
        <v>129</v>
      </c>
      <c r="I419" s="73">
        <f t="shared" si="80"/>
        <v>1.8097643097643168E-2</v>
      </c>
      <c r="J419" s="73">
        <f t="shared" si="81"/>
        <v>-1.6533405610516305E-2</v>
      </c>
      <c r="K419" s="72" t="str">
        <f t="shared" si="82"/>
        <v>GM2</v>
      </c>
      <c r="L419" s="72" t="str">
        <f t="shared" si="83"/>
        <v>APRIL-1-GM2</v>
      </c>
      <c r="M419" s="73">
        <f t="shared" si="84"/>
        <v>0.18219947353420785</v>
      </c>
      <c r="N419" s="73">
        <f t="shared" si="85"/>
        <v>-8.611411523119672E-2</v>
      </c>
      <c r="O419" s="13">
        <f t="shared" si="86"/>
        <v>874798</v>
      </c>
      <c r="P419" s="13">
        <f t="shared" si="87"/>
        <v>888509</v>
      </c>
      <c r="Q419" s="13">
        <f t="shared" si="88"/>
        <v>882586</v>
      </c>
      <c r="R419" s="33">
        <f t="shared" si="89"/>
        <v>8.9026266635268136E-3</v>
      </c>
      <c r="S419" s="33">
        <f t="shared" si="90"/>
        <v>-6.6662239774724075E-3</v>
      </c>
    </row>
    <row r="420" spans="1:19" x14ac:dyDescent="0.25">
      <c r="A420" t="s">
        <v>38</v>
      </c>
      <c r="B420" s="65">
        <v>1</v>
      </c>
      <c r="C420" t="s">
        <v>14</v>
      </c>
      <c r="D420" s="68">
        <v>9504</v>
      </c>
      <c r="E420" s="69">
        <v>9791</v>
      </c>
      <c r="F420" s="68">
        <v>9699</v>
      </c>
      <c r="G420" s="13">
        <f t="shared" si="78"/>
        <v>-92</v>
      </c>
      <c r="H420" s="13">
        <f t="shared" si="79"/>
        <v>195</v>
      </c>
      <c r="I420" s="73">
        <f t="shared" si="80"/>
        <v>2.0517676767676685E-2</v>
      </c>
      <c r="J420" s="73">
        <f t="shared" si="81"/>
        <v>-9.3963844346849346E-3</v>
      </c>
      <c r="K420" s="72" t="str">
        <f t="shared" si="82"/>
        <v>GM2</v>
      </c>
      <c r="L420" s="72" t="str">
        <f t="shared" si="83"/>
        <v>APRIL-1-GM2</v>
      </c>
      <c r="M420" s="73">
        <f t="shared" si="84"/>
        <v>0.18219947353420785</v>
      </c>
      <c r="N420" s="73">
        <f t="shared" si="85"/>
        <v>-8.611411523119672E-2</v>
      </c>
      <c r="O420" s="13">
        <f t="shared" si="86"/>
        <v>874798</v>
      </c>
      <c r="P420" s="13">
        <f t="shared" si="87"/>
        <v>888509</v>
      </c>
      <c r="Q420" s="13">
        <f t="shared" si="88"/>
        <v>882586</v>
      </c>
      <c r="R420" s="33">
        <f t="shared" si="89"/>
        <v>8.9026266635268136E-3</v>
      </c>
      <c r="S420" s="33">
        <f t="shared" si="90"/>
        <v>-6.6662239774724075E-3</v>
      </c>
    </row>
    <row r="421" spans="1:19" x14ac:dyDescent="0.25">
      <c r="A421" t="s">
        <v>38</v>
      </c>
      <c r="B421" s="65">
        <v>1</v>
      </c>
      <c r="C421" t="s">
        <v>10</v>
      </c>
      <c r="D421" s="69">
        <v>290</v>
      </c>
      <c r="E421" s="69">
        <v>290</v>
      </c>
      <c r="F421" s="68">
        <v>290</v>
      </c>
      <c r="G421" s="13">
        <f t="shared" si="78"/>
        <v>0</v>
      </c>
      <c r="H421" s="13">
        <f t="shared" si="79"/>
        <v>0</v>
      </c>
      <c r="I421" s="73">
        <f t="shared" si="80"/>
        <v>0</v>
      </c>
      <c r="J421" s="73">
        <f t="shared" si="81"/>
        <v>0</v>
      </c>
      <c r="K421" s="72" t="str">
        <f t="shared" si="82"/>
        <v>CNJ2</v>
      </c>
      <c r="L421" s="72" t="str">
        <f t="shared" si="83"/>
        <v>APRIL-1-CNJ2</v>
      </c>
      <c r="M421" s="73">
        <f t="shared" si="84"/>
        <v>-7.8988941548230329E-5</v>
      </c>
      <c r="N421" s="73">
        <f t="shared" si="85"/>
        <v>-2.2561882392183596E-2</v>
      </c>
      <c r="O421" s="13">
        <f t="shared" si="86"/>
        <v>874798</v>
      </c>
      <c r="P421" s="13">
        <f t="shared" si="87"/>
        <v>888509</v>
      </c>
      <c r="Q421" s="13">
        <f t="shared" si="88"/>
        <v>882586</v>
      </c>
      <c r="R421" s="33">
        <f t="shared" si="89"/>
        <v>8.9026266635268136E-3</v>
      </c>
      <c r="S421" s="33">
        <f t="shared" si="90"/>
        <v>-6.6662239774724075E-3</v>
      </c>
    </row>
    <row r="422" spans="1:19" x14ac:dyDescent="0.25">
      <c r="A422" t="s">
        <v>38</v>
      </c>
      <c r="B422" s="65">
        <v>1</v>
      </c>
      <c r="C422" t="s">
        <v>10</v>
      </c>
      <c r="D422" s="69">
        <v>1050</v>
      </c>
      <c r="E422" s="69">
        <v>1050</v>
      </c>
      <c r="F422" s="68">
        <v>1050</v>
      </c>
      <c r="G422" s="13">
        <f t="shared" si="78"/>
        <v>0</v>
      </c>
      <c r="H422" s="13">
        <f t="shared" si="79"/>
        <v>0</v>
      </c>
      <c r="I422" s="73">
        <f t="shared" si="80"/>
        <v>0</v>
      </c>
      <c r="J422" s="73">
        <f t="shared" si="81"/>
        <v>0</v>
      </c>
      <c r="K422" s="72" t="str">
        <f t="shared" si="82"/>
        <v>CNJ2</v>
      </c>
      <c r="L422" s="72" t="str">
        <f t="shared" si="83"/>
        <v>APRIL-1-CNJ2</v>
      </c>
      <c r="M422" s="73">
        <f t="shared" si="84"/>
        <v>-7.8988941548230329E-5</v>
      </c>
      <c r="N422" s="73">
        <f t="shared" si="85"/>
        <v>-2.2561882392183596E-2</v>
      </c>
      <c r="O422" s="13">
        <f t="shared" si="86"/>
        <v>874798</v>
      </c>
      <c r="P422" s="13">
        <f t="shared" si="87"/>
        <v>888509</v>
      </c>
      <c r="Q422" s="13">
        <f t="shared" si="88"/>
        <v>882586</v>
      </c>
      <c r="R422" s="33">
        <f t="shared" si="89"/>
        <v>8.9026266635268136E-3</v>
      </c>
      <c r="S422" s="33">
        <f t="shared" si="90"/>
        <v>-6.6662239774724075E-3</v>
      </c>
    </row>
    <row r="423" spans="1:19" x14ac:dyDescent="0.25">
      <c r="A423" t="s">
        <v>38</v>
      </c>
      <c r="B423" s="65">
        <v>1</v>
      </c>
      <c r="C423" t="s">
        <v>10</v>
      </c>
      <c r="D423">
        <v>945</v>
      </c>
      <c r="E423" s="69">
        <v>945</v>
      </c>
      <c r="F423" s="68">
        <v>945</v>
      </c>
      <c r="G423" s="13">
        <f t="shared" si="78"/>
        <v>0</v>
      </c>
      <c r="H423" s="13">
        <f t="shared" si="79"/>
        <v>0</v>
      </c>
      <c r="I423" s="73">
        <f t="shared" si="80"/>
        <v>0</v>
      </c>
      <c r="J423" s="73">
        <f t="shared" si="81"/>
        <v>0</v>
      </c>
      <c r="K423" s="72" t="str">
        <f t="shared" si="82"/>
        <v>CNJ2</v>
      </c>
      <c r="L423" s="72" t="str">
        <f t="shared" si="83"/>
        <v>APRIL-1-CNJ2</v>
      </c>
      <c r="M423" s="73">
        <f t="shared" si="84"/>
        <v>-7.8988941548230329E-5</v>
      </c>
      <c r="N423" s="73">
        <f t="shared" si="85"/>
        <v>-2.2561882392183596E-2</v>
      </c>
      <c r="O423" s="13">
        <f t="shared" si="86"/>
        <v>874798</v>
      </c>
      <c r="P423" s="13">
        <f t="shared" si="87"/>
        <v>888509</v>
      </c>
      <c r="Q423" s="13">
        <f t="shared" si="88"/>
        <v>882586</v>
      </c>
      <c r="R423" s="33">
        <f t="shared" si="89"/>
        <v>8.9026266635268136E-3</v>
      </c>
      <c r="S423" s="33">
        <f t="shared" si="90"/>
        <v>-6.6662239774724075E-3</v>
      </c>
    </row>
    <row r="424" spans="1:19" x14ac:dyDescent="0.25">
      <c r="A424" t="s">
        <v>38</v>
      </c>
      <c r="B424" s="65">
        <v>1</v>
      </c>
      <c r="C424" t="s">
        <v>10</v>
      </c>
      <c r="D424">
        <v>1755</v>
      </c>
      <c r="E424" s="69">
        <v>1755</v>
      </c>
      <c r="F424" s="68">
        <v>1755</v>
      </c>
      <c r="G424" s="13">
        <f t="shared" si="78"/>
        <v>0</v>
      </c>
      <c r="H424" s="13">
        <f t="shared" si="79"/>
        <v>0</v>
      </c>
      <c r="I424" s="73">
        <f t="shared" si="80"/>
        <v>0</v>
      </c>
      <c r="J424" s="73">
        <f t="shared" si="81"/>
        <v>0</v>
      </c>
      <c r="K424" s="72" t="str">
        <f t="shared" si="82"/>
        <v>CNJ2</v>
      </c>
      <c r="L424" s="72" t="str">
        <f t="shared" si="83"/>
        <v>APRIL-1-CNJ2</v>
      </c>
      <c r="M424" s="73">
        <f t="shared" si="84"/>
        <v>-7.8988941548230329E-5</v>
      </c>
      <c r="N424" s="73">
        <f t="shared" si="85"/>
        <v>-2.2561882392183596E-2</v>
      </c>
      <c r="O424" s="13">
        <f t="shared" si="86"/>
        <v>874798</v>
      </c>
      <c r="P424" s="13">
        <f t="shared" si="87"/>
        <v>888509</v>
      </c>
      <c r="Q424" s="13">
        <f t="shared" si="88"/>
        <v>882586</v>
      </c>
      <c r="R424" s="33">
        <f t="shared" si="89"/>
        <v>8.9026266635268136E-3</v>
      </c>
      <c r="S424" s="33">
        <f t="shared" si="90"/>
        <v>-6.6662239774724075E-3</v>
      </c>
    </row>
    <row r="425" spans="1:19" x14ac:dyDescent="0.25">
      <c r="A425" t="s">
        <v>38</v>
      </c>
      <c r="B425" s="65">
        <v>1</v>
      </c>
      <c r="C425" t="s">
        <v>11</v>
      </c>
      <c r="D425">
        <v>888</v>
      </c>
      <c r="E425" s="69">
        <v>888</v>
      </c>
      <c r="F425" s="65">
        <v>860</v>
      </c>
      <c r="G425" s="13">
        <f t="shared" si="78"/>
        <v>-28</v>
      </c>
      <c r="H425" s="13">
        <f t="shared" si="79"/>
        <v>-28</v>
      </c>
      <c r="I425" s="73">
        <f t="shared" si="80"/>
        <v>-3.1531531531531543E-2</v>
      </c>
      <c r="J425" s="73">
        <f t="shared" si="81"/>
        <v>-3.1531531531531543E-2</v>
      </c>
      <c r="K425" s="72" t="str">
        <f t="shared" si="82"/>
        <v>MAJA1</v>
      </c>
      <c r="L425" s="72" t="str">
        <f t="shared" si="83"/>
        <v>APRIL-1-MAJA1</v>
      </c>
      <c r="M425" s="73">
        <f t="shared" si="84"/>
        <v>5.7323408126441766E-4</v>
      </c>
      <c r="N425" s="73">
        <f t="shared" si="85"/>
        <v>-0.25477806202107722</v>
      </c>
      <c r="O425" s="13">
        <f t="shared" si="86"/>
        <v>874798</v>
      </c>
      <c r="P425" s="13">
        <f t="shared" si="87"/>
        <v>888509</v>
      </c>
      <c r="Q425" s="13">
        <f t="shared" si="88"/>
        <v>882586</v>
      </c>
      <c r="R425" s="33">
        <f t="shared" si="89"/>
        <v>8.9026266635268136E-3</v>
      </c>
      <c r="S425" s="33">
        <f t="shared" si="90"/>
        <v>-6.6662239774724075E-3</v>
      </c>
    </row>
    <row r="426" spans="1:19" x14ac:dyDescent="0.25">
      <c r="A426" t="s">
        <v>38</v>
      </c>
      <c r="B426" s="65">
        <v>1</v>
      </c>
      <c r="C426" t="s">
        <v>11</v>
      </c>
      <c r="D426">
        <v>888</v>
      </c>
      <c r="E426" s="69">
        <v>890</v>
      </c>
      <c r="F426">
        <v>864</v>
      </c>
      <c r="G426" s="13">
        <f t="shared" si="78"/>
        <v>-26</v>
      </c>
      <c r="H426" s="13">
        <f t="shared" si="79"/>
        <v>-24</v>
      </c>
      <c r="I426" s="73">
        <f t="shared" si="80"/>
        <v>-2.7027027027026973E-2</v>
      </c>
      <c r="J426" s="73">
        <f t="shared" si="81"/>
        <v>-2.921348314606742E-2</v>
      </c>
      <c r="K426" s="72" t="str">
        <f t="shared" si="82"/>
        <v>MAJA1</v>
      </c>
      <c r="L426" s="72" t="str">
        <f t="shared" si="83"/>
        <v>APRIL-1-MAJA1</v>
      </c>
      <c r="M426" s="73">
        <f t="shared" si="84"/>
        <v>5.7323408126441766E-4</v>
      </c>
      <c r="N426" s="73">
        <f t="shared" si="85"/>
        <v>-0.25477806202107722</v>
      </c>
      <c r="O426" s="13">
        <f t="shared" si="86"/>
        <v>874798</v>
      </c>
      <c r="P426" s="13">
        <f t="shared" si="87"/>
        <v>888509</v>
      </c>
      <c r="Q426" s="13">
        <f t="shared" si="88"/>
        <v>882586</v>
      </c>
      <c r="R426" s="33">
        <f t="shared" si="89"/>
        <v>8.9026266635268136E-3</v>
      </c>
      <c r="S426" s="33">
        <f t="shared" si="90"/>
        <v>-6.6662239774724075E-3</v>
      </c>
    </row>
    <row r="427" spans="1:19" x14ac:dyDescent="0.25">
      <c r="A427" t="s">
        <v>38</v>
      </c>
      <c r="B427" s="65">
        <v>1</v>
      </c>
      <c r="C427" t="s">
        <v>16</v>
      </c>
      <c r="D427" s="69">
        <v>116000</v>
      </c>
      <c r="E427" s="69">
        <v>114736</v>
      </c>
      <c r="F427" s="68">
        <v>113923</v>
      </c>
      <c r="G427" s="13">
        <f t="shared" si="78"/>
        <v>-813</v>
      </c>
      <c r="H427" s="13">
        <f t="shared" si="79"/>
        <v>-2077</v>
      </c>
      <c r="I427" s="73">
        <f t="shared" si="80"/>
        <v>-1.790517241379308E-2</v>
      </c>
      <c r="J427" s="73">
        <f t="shared" si="81"/>
        <v>-7.0858318226189043E-3</v>
      </c>
      <c r="K427" s="72" t="str">
        <f t="shared" si="82"/>
        <v>ANUGERAH</v>
      </c>
      <c r="L427" s="72" t="str">
        <f t="shared" si="83"/>
        <v>APRIL-1-ANUGERAH</v>
      </c>
      <c r="M427" s="73">
        <f t="shared" si="84"/>
        <v>-1.790517241379308E-2</v>
      </c>
      <c r="N427" s="73">
        <f t="shared" si="85"/>
        <v>-7.0858318226189043E-3</v>
      </c>
      <c r="O427" s="13">
        <f t="shared" si="86"/>
        <v>874798</v>
      </c>
      <c r="P427" s="13">
        <f t="shared" si="87"/>
        <v>888509</v>
      </c>
      <c r="Q427" s="13">
        <f t="shared" si="88"/>
        <v>882586</v>
      </c>
      <c r="R427" s="33">
        <f t="shared" si="89"/>
        <v>8.9026266635268136E-3</v>
      </c>
      <c r="S427" s="33">
        <f t="shared" si="90"/>
        <v>-6.6662239774724075E-3</v>
      </c>
    </row>
    <row r="428" spans="1:19" x14ac:dyDescent="0.25">
      <c r="A428" t="s">
        <v>38</v>
      </c>
      <c r="B428" s="65">
        <v>1</v>
      </c>
      <c r="C428" t="s">
        <v>10</v>
      </c>
      <c r="D428" s="68">
        <v>12660</v>
      </c>
      <c r="E428" s="69">
        <v>12660</v>
      </c>
      <c r="F428" s="68">
        <v>12659</v>
      </c>
      <c r="G428" s="13">
        <f t="shared" si="78"/>
        <v>-1</v>
      </c>
      <c r="H428" s="13">
        <f t="shared" si="79"/>
        <v>-1</v>
      </c>
      <c r="I428" s="73">
        <f t="shared" si="80"/>
        <v>-7.8988941548230329E-5</v>
      </c>
      <c r="J428" s="73">
        <f t="shared" si="81"/>
        <v>-7.8988941548230329E-5</v>
      </c>
      <c r="K428" s="72" t="str">
        <f t="shared" si="82"/>
        <v>CNJ2</v>
      </c>
      <c r="L428" s="72" t="str">
        <f t="shared" si="83"/>
        <v>APRIL-1-CNJ2</v>
      </c>
      <c r="M428" s="73">
        <f t="shared" si="84"/>
        <v>-7.8988941548230329E-5</v>
      </c>
      <c r="N428" s="73">
        <f t="shared" si="85"/>
        <v>-2.2561882392183596E-2</v>
      </c>
      <c r="O428" s="13">
        <f t="shared" si="86"/>
        <v>874798</v>
      </c>
      <c r="P428" s="13">
        <f t="shared" si="87"/>
        <v>888509</v>
      </c>
      <c r="Q428" s="13">
        <f t="shared" si="88"/>
        <v>882586</v>
      </c>
      <c r="R428" s="33">
        <f t="shared" si="89"/>
        <v>8.9026266635268136E-3</v>
      </c>
      <c r="S428" s="33">
        <f t="shared" si="90"/>
        <v>-6.6662239774724075E-3</v>
      </c>
    </row>
    <row r="429" spans="1:19" x14ac:dyDescent="0.25">
      <c r="A429" t="s">
        <v>38</v>
      </c>
      <c r="B429" s="65">
        <v>3</v>
      </c>
      <c r="C429" t="s">
        <v>70</v>
      </c>
      <c r="D429">
        <v>32</v>
      </c>
      <c r="E429" s="68">
        <v>32</v>
      </c>
      <c r="F429" s="68">
        <v>32</v>
      </c>
      <c r="G429" s="13">
        <f t="shared" si="78"/>
        <v>0</v>
      </c>
      <c r="H429" s="13">
        <f t="shared" si="79"/>
        <v>0</v>
      </c>
      <c r="I429" s="73">
        <f t="shared" si="80"/>
        <v>0</v>
      </c>
      <c r="J429" s="73">
        <f t="shared" si="81"/>
        <v>0</v>
      </c>
      <c r="K429" s="72" t="str">
        <f t="shared" si="82"/>
        <v>CLN</v>
      </c>
      <c r="L429" s="72" t="str">
        <f t="shared" si="83"/>
        <v>APRIL-3-CLN</v>
      </c>
      <c r="M429" s="73">
        <f t="shared" si="84"/>
        <v>0</v>
      </c>
      <c r="N429" s="73">
        <f t="shared" si="85"/>
        <v>0</v>
      </c>
      <c r="O429" s="13">
        <f t="shared" si="86"/>
        <v>874798</v>
      </c>
      <c r="P429" s="13">
        <f t="shared" si="87"/>
        <v>888509</v>
      </c>
      <c r="Q429" s="13">
        <f t="shared" si="88"/>
        <v>882586</v>
      </c>
      <c r="R429" s="33">
        <f t="shared" si="89"/>
        <v>8.9026266635268136E-3</v>
      </c>
      <c r="S429" s="33">
        <f t="shared" si="90"/>
        <v>-6.6662239774724075E-3</v>
      </c>
    </row>
    <row r="430" spans="1:19" x14ac:dyDescent="0.25">
      <c r="A430" t="s">
        <v>38</v>
      </c>
      <c r="B430" s="65">
        <v>3</v>
      </c>
      <c r="C430" t="s">
        <v>70</v>
      </c>
      <c r="D430">
        <v>32</v>
      </c>
      <c r="E430" s="68">
        <v>32</v>
      </c>
      <c r="F430" s="68">
        <v>32</v>
      </c>
      <c r="G430" s="13">
        <f t="shared" si="78"/>
        <v>0</v>
      </c>
      <c r="H430" s="13">
        <f t="shared" si="79"/>
        <v>0</v>
      </c>
      <c r="I430" s="73">
        <f t="shared" si="80"/>
        <v>0</v>
      </c>
      <c r="J430" s="73">
        <f t="shared" si="81"/>
        <v>0</v>
      </c>
      <c r="K430" s="72" t="str">
        <f t="shared" si="82"/>
        <v>CLN</v>
      </c>
      <c r="L430" s="72" t="str">
        <f t="shared" si="83"/>
        <v>APRIL-3-CLN</v>
      </c>
      <c r="M430" s="73">
        <f t="shared" si="84"/>
        <v>0</v>
      </c>
      <c r="N430" s="73">
        <f t="shared" si="85"/>
        <v>0</v>
      </c>
      <c r="O430" s="13">
        <f t="shared" si="86"/>
        <v>874798</v>
      </c>
      <c r="P430" s="13">
        <f t="shared" si="87"/>
        <v>888509</v>
      </c>
      <c r="Q430" s="13">
        <f t="shared" si="88"/>
        <v>882586</v>
      </c>
      <c r="R430" s="33">
        <f t="shared" si="89"/>
        <v>8.9026266635268136E-3</v>
      </c>
      <c r="S430" s="33">
        <f t="shared" si="90"/>
        <v>-6.6662239774724075E-3</v>
      </c>
    </row>
    <row r="431" spans="1:19" x14ac:dyDescent="0.25">
      <c r="A431" t="s">
        <v>38</v>
      </c>
      <c r="B431" s="65">
        <v>3</v>
      </c>
      <c r="C431" t="s">
        <v>16</v>
      </c>
      <c r="D431">
        <v>600</v>
      </c>
      <c r="E431" s="68">
        <v>608</v>
      </c>
      <c r="F431" s="68">
        <v>600</v>
      </c>
      <c r="G431" s="13">
        <f t="shared" si="78"/>
        <v>-8</v>
      </c>
      <c r="H431" s="13">
        <f t="shared" si="79"/>
        <v>0</v>
      </c>
      <c r="I431" s="73">
        <f t="shared" si="80"/>
        <v>0</v>
      </c>
      <c r="J431" s="73">
        <f t="shared" si="81"/>
        <v>-1.3157894736842146E-2</v>
      </c>
      <c r="K431" s="72" t="str">
        <f t="shared" si="82"/>
        <v>ANUGERAH</v>
      </c>
      <c r="L431" s="72" t="str">
        <f t="shared" si="83"/>
        <v>APRIL-3-ANUGERAH</v>
      </c>
      <c r="M431" s="73">
        <f t="shared" si="84"/>
        <v>4.4999999999999929E-2</v>
      </c>
      <c r="N431" s="73">
        <f t="shared" si="85"/>
        <v>-0.18368749919827676</v>
      </c>
      <c r="O431" s="13">
        <f t="shared" si="86"/>
        <v>874798</v>
      </c>
      <c r="P431" s="13">
        <f t="shared" si="87"/>
        <v>888509</v>
      </c>
      <c r="Q431" s="13">
        <f t="shared" si="88"/>
        <v>882586</v>
      </c>
      <c r="R431" s="33">
        <f t="shared" si="89"/>
        <v>8.9026266635268136E-3</v>
      </c>
      <c r="S431" s="33">
        <f t="shared" si="90"/>
        <v>-6.6662239774724075E-3</v>
      </c>
    </row>
    <row r="432" spans="1:19" x14ac:dyDescent="0.25">
      <c r="A432" t="s">
        <v>38</v>
      </c>
      <c r="B432" s="65">
        <v>3</v>
      </c>
      <c r="C432" t="s">
        <v>16</v>
      </c>
      <c r="D432">
        <v>400</v>
      </c>
      <c r="E432" s="68">
        <v>437</v>
      </c>
      <c r="F432" s="68">
        <v>418</v>
      </c>
      <c r="G432" s="13">
        <f t="shared" si="78"/>
        <v>-19</v>
      </c>
      <c r="H432" s="13">
        <f t="shared" si="79"/>
        <v>18</v>
      </c>
      <c r="I432" s="73">
        <f t="shared" si="80"/>
        <v>4.4999999999999929E-2</v>
      </c>
      <c r="J432" s="73">
        <f t="shared" si="81"/>
        <v>-4.3478260869565188E-2</v>
      </c>
      <c r="K432" s="72" t="str">
        <f t="shared" si="82"/>
        <v>ANUGERAH</v>
      </c>
      <c r="L432" s="72" t="str">
        <f t="shared" si="83"/>
        <v>APRIL-3-ANUGERAH</v>
      </c>
      <c r="M432" s="73">
        <f t="shared" si="84"/>
        <v>4.4999999999999929E-2</v>
      </c>
      <c r="N432" s="73">
        <f t="shared" si="85"/>
        <v>-0.18368749919827676</v>
      </c>
      <c r="O432" s="13">
        <f t="shared" si="86"/>
        <v>874798</v>
      </c>
      <c r="P432" s="13">
        <f t="shared" si="87"/>
        <v>888509</v>
      </c>
      <c r="Q432" s="13">
        <f t="shared" si="88"/>
        <v>882586</v>
      </c>
      <c r="R432" s="33">
        <f t="shared" si="89"/>
        <v>8.9026266635268136E-3</v>
      </c>
      <c r="S432" s="33">
        <f t="shared" si="90"/>
        <v>-6.6662239774724075E-3</v>
      </c>
    </row>
    <row r="433" spans="1:19" x14ac:dyDescent="0.25">
      <c r="A433" t="s">
        <v>38</v>
      </c>
      <c r="B433" s="65">
        <v>3</v>
      </c>
      <c r="C433" t="s">
        <v>16</v>
      </c>
      <c r="D433">
        <v>600</v>
      </c>
      <c r="E433" s="68">
        <v>605</v>
      </c>
      <c r="F433" s="68">
        <v>600</v>
      </c>
      <c r="G433" s="13">
        <f t="shared" si="78"/>
        <v>-5</v>
      </c>
      <c r="H433" s="13">
        <f t="shared" si="79"/>
        <v>0</v>
      </c>
      <c r="I433" s="73">
        <f t="shared" si="80"/>
        <v>0</v>
      </c>
      <c r="J433" s="73">
        <f t="shared" si="81"/>
        <v>-8.2644628099173278E-3</v>
      </c>
      <c r="K433" s="72" t="str">
        <f t="shared" si="82"/>
        <v>ANUGERAH</v>
      </c>
      <c r="L433" s="72" t="str">
        <f t="shared" si="83"/>
        <v>APRIL-3-ANUGERAH</v>
      </c>
      <c r="M433" s="73">
        <f t="shared" si="84"/>
        <v>4.4999999999999929E-2</v>
      </c>
      <c r="N433" s="73">
        <f t="shared" si="85"/>
        <v>-0.18368749919827676</v>
      </c>
      <c r="O433" s="13">
        <f t="shared" si="86"/>
        <v>874798</v>
      </c>
      <c r="P433" s="13">
        <f t="shared" si="87"/>
        <v>888509</v>
      </c>
      <c r="Q433" s="13">
        <f t="shared" si="88"/>
        <v>882586</v>
      </c>
      <c r="R433" s="33">
        <f t="shared" si="89"/>
        <v>8.9026266635268136E-3</v>
      </c>
      <c r="S433" s="33">
        <f t="shared" si="90"/>
        <v>-6.6662239774724075E-3</v>
      </c>
    </row>
    <row r="434" spans="1:19" x14ac:dyDescent="0.25">
      <c r="A434" t="s">
        <v>38</v>
      </c>
      <c r="B434" s="65">
        <v>3</v>
      </c>
      <c r="C434" t="s">
        <v>16</v>
      </c>
      <c r="D434">
        <v>400</v>
      </c>
      <c r="E434" s="68">
        <v>435</v>
      </c>
      <c r="F434" s="68">
        <v>420</v>
      </c>
      <c r="G434" s="13">
        <f t="shared" si="78"/>
        <v>-15</v>
      </c>
      <c r="H434" s="13">
        <f t="shared" si="79"/>
        <v>20</v>
      </c>
      <c r="I434" s="73">
        <f t="shared" si="80"/>
        <v>5.0000000000000044E-2</v>
      </c>
      <c r="J434" s="73">
        <f t="shared" si="81"/>
        <v>-3.4482758620689613E-2</v>
      </c>
      <c r="K434" s="72" t="str">
        <f t="shared" si="82"/>
        <v>ANUGERAH</v>
      </c>
      <c r="L434" s="72" t="str">
        <f t="shared" si="83"/>
        <v>APRIL-3-ANUGERAH</v>
      </c>
      <c r="M434" s="73">
        <f t="shared" si="84"/>
        <v>4.4999999999999929E-2</v>
      </c>
      <c r="N434" s="73">
        <f t="shared" si="85"/>
        <v>-0.18368749919827676</v>
      </c>
      <c r="O434" s="13">
        <f t="shared" si="86"/>
        <v>874798</v>
      </c>
      <c r="P434" s="13">
        <f t="shared" si="87"/>
        <v>888509</v>
      </c>
      <c r="Q434" s="13">
        <f t="shared" si="88"/>
        <v>882586</v>
      </c>
      <c r="R434" s="33">
        <f t="shared" si="89"/>
        <v>8.9026266635268136E-3</v>
      </c>
      <c r="S434" s="33">
        <f t="shared" si="90"/>
        <v>-6.6662239774724075E-3</v>
      </c>
    </row>
    <row r="435" spans="1:19" x14ac:dyDescent="0.25">
      <c r="A435" t="s">
        <v>38</v>
      </c>
      <c r="B435" s="65">
        <v>3</v>
      </c>
      <c r="C435" t="s">
        <v>16</v>
      </c>
      <c r="D435">
        <v>600</v>
      </c>
      <c r="E435" s="68">
        <v>609</v>
      </c>
      <c r="F435" s="68">
        <v>600</v>
      </c>
      <c r="G435" s="13">
        <f t="shared" si="78"/>
        <v>-9</v>
      </c>
      <c r="H435" s="13">
        <f t="shared" si="79"/>
        <v>0</v>
      </c>
      <c r="I435" s="73">
        <f t="shared" si="80"/>
        <v>0</v>
      </c>
      <c r="J435" s="73">
        <f t="shared" si="81"/>
        <v>-1.4778325123152691E-2</v>
      </c>
      <c r="K435" s="72" t="str">
        <f t="shared" si="82"/>
        <v>ANUGERAH</v>
      </c>
      <c r="L435" s="72" t="str">
        <f t="shared" si="83"/>
        <v>APRIL-3-ANUGERAH</v>
      </c>
      <c r="M435" s="73">
        <f t="shared" si="84"/>
        <v>4.4999999999999929E-2</v>
      </c>
      <c r="N435" s="73">
        <f t="shared" si="85"/>
        <v>-0.18368749919827676</v>
      </c>
      <c r="O435" s="13">
        <f t="shared" si="86"/>
        <v>874798</v>
      </c>
      <c r="P435" s="13">
        <f t="shared" si="87"/>
        <v>888509</v>
      </c>
      <c r="Q435" s="13">
        <f t="shared" si="88"/>
        <v>882586</v>
      </c>
      <c r="R435" s="33">
        <f t="shared" si="89"/>
        <v>8.9026266635268136E-3</v>
      </c>
      <c r="S435" s="33">
        <f t="shared" si="90"/>
        <v>-6.6662239774724075E-3</v>
      </c>
    </row>
    <row r="436" spans="1:19" x14ac:dyDescent="0.25">
      <c r="A436" t="s">
        <v>38</v>
      </c>
      <c r="B436" s="65">
        <v>3</v>
      </c>
      <c r="C436" t="s">
        <v>16</v>
      </c>
      <c r="D436">
        <v>400</v>
      </c>
      <c r="E436" s="68">
        <v>376</v>
      </c>
      <c r="F436" s="68">
        <v>363</v>
      </c>
      <c r="G436" s="13">
        <f t="shared" si="78"/>
        <v>-13</v>
      </c>
      <c r="H436" s="13">
        <f t="shared" si="79"/>
        <v>-37</v>
      </c>
      <c r="I436" s="73">
        <f t="shared" si="80"/>
        <v>-9.2500000000000027E-2</v>
      </c>
      <c r="J436" s="73">
        <f t="shared" si="81"/>
        <v>-3.4574468085106336E-2</v>
      </c>
      <c r="K436" s="72" t="str">
        <f t="shared" si="82"/>
        <v>ANUGERAH</v>
      </c>
      <c r="L436" s="72" t="str">
        <f t="shared" si="83"/>
        <v>APRIL-3-ANUGERAH</v>
      </c>
      <c r="M436" s="73">
        <f t="shared" si="84"/>
        <v>4.4999999999999929E-2</v>
      </c>
      <c r="N436" s="73">
        <f t="shared" si="85"/>
        <v>-0.18368749919827676</v>
      </c>
      <c r="O436" s="13">
        <f t="shared" si="86"/>
        <v>874798</v>
      </c>
      <c r="P436" s="13">
        <f t="shared" si="87"/>
        <v>888509</v>
      </c>
      <c r="Q436" s="13">
        <f t="shared" si="88"/>
        <v>882586</v>
      </c>
      <c r="R436" s="33">
        <f t="shared" si="89"/>
        <v>8.9026266635268136E-3</v>
      </c>
      <c r="S436" s="33">
        <f t="shared" si="90"/>
        <v>-6.6662239774724075E-3</v>
      </c>
    </row>
    <row r="437" spans="1:19" x14ac:dyDescent="0.25">
      <c r="A437" t="s">
        <v>38</v>
      </c>
      <c r="B437" s="65">
        <v>3</v>
      </c>
      <c r="C437" t="s">
        <v>16</v>
      </c>
      <c r="D437">
        <v>600</v>
      </c>
      <c r="E437" s="68">
        <v>607</v>
      </c>
      <c r="F437" s="68">
        <v>600</v>
      </c>
      <c r="G437" s="13">
        <f t="shared" si="78"/>
        <v>-7</v>
      </c>
      <c r="H437" s="13">
        <f t="shared" si="79"/>
        <v>0</v>
      </c>
      <c r="I437" s="73">
        <f t="shared" si="80"/>
        <v>0</v>
      </c>
      <c r="J437" s="73">
        <f t="shared" si="81"/>
        <v>-1.1532125205930832E-2</v>
      </c>
      <c r="K437" s="72" t="str">
        <f t="shared" si="82"/>
        <v>ANUGERAH</v>
      </c>
      <c r="L437" s="72" t="str">
        <f t="shared" si="83"/>
        <v>APRIL-3-ANUGERAH</v>
      </c>
      <c r="M437" s="73">
        <f t="shared" si="84"/>
        <v>4.4999999999999929E-2</v>
      </c>
      <c r="N437" s="73">
        <f t="shared" si="85"/>
        <v>-0.18368749919827676</v>
      </c>
      <c r="O437" s="13">
        <f t="shared" si="86"/>
        <v>874798</v>
      </c>
      <c r="P437" s="13">
        <f t="shared" si="87"/>
        <v>888509</v>
      </c>
      <c r="Q437" s="13">
        <f t="shared" si="88"/>
        <v>882586</v>
      </c>
      <c r="R437" s="33">
        <f t="shared" si="89"/>
        <v>8.9026266635268136E-3</v>
      </c>
      <c r="S437" s="33">
        <f t="shared" si="90"/>
        <v>-6.6662239774724075E-3</v>
      </c>
    </row>
    <row r="438" spans="1:19" x14ac:dyDescent="0.25">
      <c r="A438" t="s">
        <v>38</v>
      </c>
      <c r="B438" s="65">
        <v>3</v>
      </c>
      <c r="C438" t="s">
        <v>16</v>
      </c>
      <c r="D438">
        <v>400</v>
      </c>
      <c r="E438" s="68">
        <v>427</v>
      </c>
      <c r="F438" s="68">
        <v>417</v>
      </c>
      <c r="G438" s="13">
        <f t="shared" si="78"/>
        <v>-10</v>
      </c>
      <c r="H438" s="13">
        <f t="shared" si="79"/>
        <v>17</v>
      </c>
      <c r="I438" s="73">
        <f t="shared" si="80"/>
        <v>4.2499999999999982E-2</v>
      </c>
      <c r="J438" s="73">
        <f t="shared" si="81"/>
        <v>-2.3419203747072626E-2</v>
      </c>
      <c r="K438" s="72" t="str">
        <f t="shared" si="82"/>
        <v>ANUGERAH</v>
      </c>
      <c r="L438" s="72" t="str">
        <f t="shared" si="83"/>
        <v>APRIL-3-ANUGERAH</v>
      </c>
      <c r="M438" s="73">
        <f t="shared" si="84"/>
        <v>4.4999999999999929E-2</v>
      </c>
      <c r="N438" s="73">
        <f t="shared" si="85"/>
        <v>-0.18368749919827676</v>
      </c>
      <c r="O438" s="13">
        <f t="shared" si="86"/>
        <v>874798</v>
      </c>
      <c r="P438" s="13">
        <f t="shared" si="87"/>
        <v>888509</v>
      </c>
      <c r="Q438" s="13">
        <f t="shared" si="88"/>
        <v>882586</v>
      </c>
      <c r="R438" s="33">
        <f t="shared" si="89"/>
        <v>8.9026266635268136E-3</v>
      </c>
      <c r="S438" s="33">
        <f t="shared" si="90"/>
        <v>-6.6662239774724075E-3</v>
      </c>
    </row>
    <row r="439" spans="1:19" x14ac:dyDescent="0.25">
      <c r="A439" t="s">
        <v>38</v>
      </c>
      <c r="B439" s="65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78"/>
        <v>-2</v>
      </c>
      <c r="H439" s="13">
        <f t="shared" si="79"/>
        <v>0</v>
      </c>
      <c r="I439" s="73">
        <f t="shared" si="80"/>
        <v>0</v>
      </c>
      <c r="J439" s="73">
        <f t="shared" si="81"/>
        <v>-9.9009900990099098E-3</v>
      </c>
      <c r="K439" s="72" t="str">
        <f t="shared" si="82"/>
        <v>MAJA1</v>
      </c>
      <c r="L439" s="72" t="str">
        <f t="shared" si="83"/>
        <v>APRIL-3-MAJA1</v>
      </c>
      <c r="M439" s="73">
        <f t="shared" si="84"/>
        <v>-6.7708333333333259E-2</v>
      </c>
      <c r="N439" s="73">
        <f t="shared" si="85"/>
        <v>-9.520287702745367E-2</v>
      </c>
      <c r="O439" s="13">
        <f t="shared" si="86"/>
        <v>874798</v>
      </c>
      <c r="P439" s="13">
        <f t="shared" si="87"/>
        <v>888509</v>
      </c>
      <c r="Q439" s="13">
        <f t="shared" si="88"/>
        <v>882586</v>
      </c>
      <c r="R439" s="33">
        <f t="shared" si="89"/>
        <v>8.9026266635268136E-3</v>
      </c>
      <c r="S439" s="33">
        <f t="shared" si="90"/>
        <v>-6.6662239774724075E-3</v>
      </c>
    </row>
    <row r="440" spans="1:19" x14ac:dyDescent="0.25">
      <c r="A440" t="s">
        <v>38</v>
      </c>
      <c r="B440" s="65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78"/>
        <v>0</v>
      </c>
      <c r="H440" s="13">
        <f t="shared" si="79"/>
        <v>0</v>
      </c>
      <c r="I440" s="73">
        <f t="shared" si="80"/>
        <v>0</v>
      </c>
      <c r="J440" s="73">
        <f t="shared" si="81"/>
        <v>0</v>
      </c>
      <c r="K440" s="72" t="str">
        <f t="shared" si="82"/>
        <v>MAJA1</v>
      </c>
      <c r="L440" s="72" t="str">
        <f t="shared" si="83"/>
        <v>APRIL-3-MAJA1</v>
      </c>
      <c r="M440" s="73">
        <f t="shared" si="84"/>
        <v>-6.7708333333333259E-2</v>
      </c>
      <c r="N440" s="73">
        <f t="shared" si="85"/>
        <v>-9.520287702745367E-2</v>
      </c>
      <c r="O440" s="13">
        <f t="shared" si="86"/>
        <v>874798</v>
      </c>
      <c r="P440" s="13">
        <f t="shared" si="87"/>
        <v>888509</v>
      </c>
      <c r="Q440" s="13">
        <f t="shared" si="88"/>
        <v>882586</v>
      </c>
      <c r="R440" s="33">
        <f t="shared" si="89"/>
        <v>8.9026266635268136E-3</v>
      </c>
      <c r="S440" s="33">
        <f t="shared" si="90"/>
        <v>-6.6662239774724075E-3</v>
      </c>
    </row>
    <row r="441" spans="1:19" x14ac:dyDescent="0.25">
      <c r="A441" t="s">
        <v>38</v>
      </c>
      <c r="B441" s="65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78"/>
        <v>-2</v>
      </c>
      <c r="H441" s="13">
        <f t="shared" si="79"/>
        <v>0</v>
      </c>
      <c r="I441" s="73">
        <f t="shared" si="80"/>
        <v>0</v>
      </c>
      <c r="J441" s="73">
        <f t="shared" si="81"/>
        <v>-7.0921985815602939E-3</v>
      </c>
      <c r="K441" s="72" t="str">
        <f t="shared" si="82"/>
        <v>MAJA1</v>
      </c>
      <c r="L441" s="72" t="str">
        <f t="shared" si="83"/>
        <v>APRIL-3-MAJA1</v>
      </c>
      <c r="M441" s="73">
        <f t="shared" si="84"/>
        <v>-6.7708333333333259E-2</v>
      </c>
      <c r="N441" s="73">
        <f t="shared" si="85"/>
        <v>-9.520287702745367E-2</v>
      </c>
      <c r="O441" s="13">
        <f t="shared" si="86"/>
        <v>874798</v>
      </c>
      <c r="P441" s="13">
        <f t="shared" si="87"/>
        <v>888509</v>
      </c>
      <c r="Q441" s="13">
        <f t="shared" si="88"/>
        <v>882586</v>
      </c>
      <c r="R441" s="33">
        <f t="shared" si="89"/>
        <v>8.9026266635268136E-3</v>
      </c>
      <c r="S441" s="33">
        <f t="shared" si="90"/>
        <v>-6.6662239774724075E-3</v>
      </c>
    </row>
    <row r="442" spans="1:19" x14ac:dyDescent="0.25">
      <c r="A442" t="s">
        <v>38</v>
      </c>
      <c r="B442" s="65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78"/>
        <v>-1</v>
      </c>
      <c r="H442" s="13">
        <f t="shared" si="79"/>
        <v>0</v>
      </c>
      <c r="I442" s="73">
        <f t="shared" si="80"/>
        <v>0</v>
      </c>
      <c r="J442" s="73">
        <f t="shared" si="81"/>
        <v>-2.777777777777779E-2</v>
      </c>
      <c r="K442" s="72" t="str">
        <f t="shared" si="82"/>
        <v>MAJA1</v>
      </c>
      <c r="L442" s="72" t="str">
        <f t="shared" si="83"/>
        <v>APRIL-3-MAJA1</v>
      </c>
      <c r="M442" s="73">
        <f t="shared" si="84"/>
        <v>-6.7708333333333259E-2</v>
      </c>
      <c r="N442" s="73">
        <f t="shared" si="85"/>
        <v>-9.520287702745367E-2</v>
      </c>
      <c r="O442" s="13">
        <f t="shared" si="86"/>
        <v>874798</v>
      </c>
      <c r="P442" s="13">
        <f t="shared" si="87"/>
        <v>888509</v>
      </c>
      <c r="Q442" s="13">
        <f t="shared" si="88"/>
        <v>882586</v>
      </c>
      <c r="R442" s="33">
        <f t="shared" si="89"/>
        <v>8.9026266635268136E-3</v>
      </c>
      <c r="S442" s="33">
        <f t="shared" si="90"/>
        <v>-6.6662239774724075E-3</v>
      </c>
    </row>
    <row r="443" spans="1:19" x14ac:dyDescent="0.25">
      <c r="A443" t="s">
        <v>38</v>
      </c>
      <c r="B443" s="65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78"/>
        <v>-25</v>
      </c>
      <c r="H443" s="13">
        <f t="shared" si="79"/>
        <v>-25</v>
      </c>
      <c r="I443" s="73">
        <f t="shared" si="80"/>
        <v>-2.604166666666663E-2</v>
      </c>
      <c r="J443" s="73">
        <f t="shared" si="81"/>
        <v>-2.604166666666663E-2</v>
      </c>
      <c r="K443" s="72" t="str">
        <f t="shared" si="82"/>
        <v>MAJA1</v>
      </c>
      <c r="L443" s="72" t="str">
        <f t="shared" si="83"/>
        <v>APRIL-3-MAJA1</v>
      </c>
      <c r="M443" s="73">
        <f t="shared" si="84"/>
        <v>-6.7708333333333259E-2</v>
      </c>
      <c r="N443" s="73">
        <f t="shared" si="85"/>
        <v>-9.520287702745367E-2</v>
      </c>
      <c r="O443" s="13">
        <f t="shared" si="86"/>
        <v>874798</v>
      </c>
      <c r="P443" s="13">
        <f t="shared" si="87"/>
        <v>888509</v>
      </c>
      <c r="Q443" s="13">
        <f t="shared" si="88"/>
        <v>882586</v>
      </c>
      <c r="R443" s="33">
        <f t="shared" si="89"/>
        <v>8.9026266635268136E-3</v>
      </c>
      <c r="S443" s="33">
        <f t="shared" si="90"/>
        <v>-6.6662239774724075E-3</v>
      </c>
    </row>
    <row r="444" spans="1:19" x14ac:dyDescent="0.25">
      <c r="A444" t="s">
        <v>38</v>
      </c>
      <c r="B444" s="65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78"/>
        <v>-23</v>
      </c>
      <c r="H444" s="13">
        <f t="shared" si="79"/>
        <v>-40</v>
      </c>
      <c r="I444" s="73">
        <f t="shared" si="80"/>
        <v>-4.166666666666663E-2</v>
      </c>
      <c r="J444" s="73">
        <f t="shared" si="81"/>
        <v>-2.4390243902439046E-2</v>
      </c>
      <c r="K444" s="72" t="str">
        <f t="shared" si="82"/>
        <v>MAJA1</v>
      </c>
      <c r="L444" s="72" t="str">
        <f t="shared" si="83"/>
        <v>APRIL-3-MAJA1</v>
      </c>
      <c r="M444" s="73">
        <f t="shared" si="84"/>
        <v>-6.7708333333333259E-2</v>
      </c>
      <c r="N444" s="73">
        <f t="shared" si="85"/>
        <v>-9.520287702745367E-2</v>
      </c>
      <c r="O444" s="13">
        <f t="shared" si="86"/>
        <v>874798</v>
      </c>
      <c r="P444" s="13">
        <f t="shared" si="87"/>
        <v>888509</v>
      </c>
      <c r="Q444" s="13">
        <f t="shared" si="88"/>
        <v>882586</v>
      </c>
      <c r="R444" s="33">
        <f t="shared" si="89"/>
        <v>8.9026266635268136E-3</v>
      </c>
      <c r="S444" s="33">
        <f t="shared" si="90"/>
        <v>-6.6662239774724075E-3</v>
      </c>
    </row>
    <row r="445" spans="1:19" x14ac:dyDescent="0.25">
      <c r="A445" t="s">
        <v>38</v>
      </c>
      <c r="B445" s="65">
        <v>4</v>
      </c>
      <c r="C445" t="s">
        <v>15</v>
      </c>
      <c r="D445" s="69">
        <v>531</v>
      </c>
      <c r="E445" s="68">
        <v>489</v>
      </c>
      <c r="F445" s="68">
        <v>462</v>
      </c>
      <c r="G445" s="13">
        <f t="shared" si="78"/>
        <v>-27</v>
      </c>
      <c r="H445" s="13">
        <f t="shared" si="79"/>
        <v>-69</v>
      </c>
      <c r="I445" s="73">
        <f t="shared" si="80"/>
        <v>-0.12994350282485878</v>
      </c>
      <c r="J445" s="73">
        <f t="shared" si="81"/>
        <v>-5.5214723926380382E-2</v>
      </c>
      <c r="K445" s="72" t="str">
        <f t="shared" si="82"/>
        <v>CHAWAN</v>
      </c>
      <c r="L445" s="72" t="str">
        <f t="shared" si="83"/>
        <v>APRIL-4-CHAWAN</v>
      </c>
      <c r="M445" s="73">
        <f t="shared" si="84"/>
        <v>-0.3277355740222696</v>
      </c>
      <c r="N445" s="73">
        <f t="shared" si="85"/>
        <v>-0.12081860138900591</v>
      </c>
      <c r="O445" s="13">
        <f t="shared" si="86"/>
        <v>874798</v>
      </c>
      <c r="P445" s="13">
        <f t="shared" si="87"/>
        <v>888509</v>
      </c>
      <c r="Q445" s="13">
        <f t="shared" si="88"/>
        <v>882586</v>
      </c>
      <c r="R445" s="33">
        <f t="shared" si="89"/>
        <v>8.9026266635268136E-3</v>
      </c>
      <c r="S445" s="33">
        <f t="shared" si="90"/>
        <v>-6.6662239774724075E-3</v>
      </c>
    </row>
    <row r="446" spans="1:19" x14ac:dyDescent="0.25">
      <c r="A446" t="s">
        <v>38</v>
      </c>
      <c r="B446" s="65">
        <v>4</v>
      </c>
      <c r="C446" t="s">
        <v>15</v>
      </c>
      <c r="D446" s="69">
        <v>1000</v>
      </c>
      <c r="E446" s="68">
        <v>815</v>
      </c>
      <c r="F446" s="68">
        <v>801</v>
      </c>
      <c r="G446" s="13">
        <f t="shared" si="78"/>
        <v>-14</v>
      </c>
      <c r="H446" s="13">
        <f t="shared" si="79"/>
        <v>-199</v>
      </c>
      <c r="I446" s="73">
        <f t="shared" si="80"/>
        <v>-0.19899999999999995</v>
      </c>
      <c r="J446" s="73">
        <f t="shared" si="81"/>
        <v>-1.717791411042946E-2</v>
      </c>
      <c r="K446" s="72" t="str">
        <f t="shared" si="82"/>
        <v>CHAWAN</v>
      </c>
      <c r="L446" s="72" t="str">
        <f t="shared" si="83"/>
        <v>APRIL-4-CHAWAN</v>
      </c>
      <c r="M446" s="73">
        <f t="shared" si="84"/>
        <v>-0.3277355740222696</v>
      </c>
      <c r="N446" s="73">
        <f t="shared" si="85"/>
        <v>-0.12081860138900591</v>
      </c>
      <c r="O446" s="13">
        <f t="shared" si="86"/>
        <v>874798</v>
      </c>
      <c r="P446" s="13">
        <f t="shared" si="87"/>
        <v>888509</v>
      </c>
      <c r="Q446" s="13">
        <f t="shared" si="88"/>
        <v>882586</v>
      </c>
      <c r="R446" s="33">
        <f t="shared" si="89"/>
        <v>8.9026266635268136E-3</v>
      </c>
      <c r="S446" s="33">
        <f t="shared" si="90"/>
        <v>-6.6662239774724075E-3</v>
      </c>
    </row>
    <row r="447" spans="1:19" x14ac:dyDescent="0.25">
      <c r="A447" t="s">
        <v>38</v>
      </c>
      <c r="B447" s="65">
        <v>4</v>
      </c>
      <c r="C447" t="s">
        <v>15</v>
      </c>
      <c r="D447" s="69">
        <v>1236</v>
      </c>
      <c r="E447" s="68">
        <v>1237</v>
      </c>
      <c r="F447" s="68">
        <v>1224</v>
      </c>
      <c r="G447" s="13">
        <f t="shared" si="78"/>
        <v>-13</v>
      </c>
      <c r="H447" s="13">
        <f t="shared" si="79"/>
        <v>-12</v>
      </c>
      <c r="I447" s="73">
        <f t="shared" si="80"/>
        <v>-9.7087378640776656E-3</v>
      </c>
      <c r="J447" s="73">
        <f t="shared" si="81"/>
        <v>-1.0509296685529468E-2</v>
      </c>
      <c r="K447" s="72" t="str">
        <f t="shared" si="82"/>
        <v>CHAWAN</v>
      </c>
      <c r="L447" s="72" t="str">
        <f t="shared" si="83"/>
        <v>APRIL-4-CHAWAN</v>
      </c>
      <c r="M447" s="73">
        <f t="shared" si="84"/>
        <v>-0.3277355740222696</v>
      </c>
      <c r="N447" s="73">
        <f t="shared" si="85"/>
        <v>-0.12081860138900591</v>
      </c>
      <c r="O447" s="13">
        <f t="shared" si="86"/>
        <v>874798</v>
      </c>
      <c r="P447" s="13">
        <f t="shared" si="87"/>
        <v>888509</v>
      </c>
      <c r="Q447" s="13">
        <f t="shared" si="88"/>
        <v>882586</v>
      </c>
      <c r="R447" s="33">
        <f t="shared" si="89"/>
        <v>8.9026266635268136E-3</v>
      </c>
      <c r="S447" s="33">
        <f t="shared" si="90"/>
        <v>-6.6662239774724075E-3</v>
      </c>
    </row>
    <row r="448" spans="1:19" x14ac:dyDescent="0.25">
      <c r="A448" t="s">
        <v>38</v>
      </c>
      <c r="B448" s="65">
        <v>4</v>
      </c>
      <c r="C448" t="s">
        <v>15</v>
      </c>
      <c r="D448" s="68">
        <v>2000</v>
      </c>
      <c r="E448" s="68">
        <v>2100</v>
      </c>
      <c r="F448" s="68">
        <v>2051</v>
      </c>
      <c r="G448" s="13">
        <f t="shared" si="78"/>
        <v>-49</v>
      </c>
      <c r="H448" s="13">
        <f t="shared" si="79"/>
        <v>51</v>
      </c>
      <c r="I448" s="73">
        <f t="shared" si="80"/>
        <v>2.5500000000000078E-2</v>
      </c>
      <c r="J448" s="73">
        <f t="shared" si="81"/>
        <v>-2.3333333333333317E-2</v>
      </c>
      <c r="K448" s="72" t="str">
        <f t="shared" si="82"/>
        <v>CHAWAN</v>
      </c>
      <c r="L448" s="72" t="str">
        <f t="shared" si="83"/>
        <v>APRIL-4-CHAWAN</v>
      </c>
      <c r="M448" s="73">
        <f t="shared" si="84"/>
        <v>-0.3277355740222696</v>
      </c>
      <c r="N448" s="73">
        <f t="shared" si="85"/>
        <v>-0.12081860138900591</v>
      </c>
      <c r="O448" s="13">
        <f t="shared" si="86"/>
        <v>874798</v>
      </c>
      <c r="P448" s="13">
        <f t="shared" si="87"/>
        <v>888509</v>
      </c>
      <c r="Q448" s="13">
        <f t="shared" si="88"/>
        <v>882586</v>
      </c>
      <c r="R448" s="33">
        <f t="shared" si="89"/>
        <v>8.9026266635268136E-3</v>
      </c>
      <c r="S448" s="33">
        <f t="shared" si="90"/>
        <v>-6.6662239774724075E-3</v>
      </c>
    </row>
    <row r="449" spans="1:19" x14ac:dyDescent="0.25">
      <c r="A449" t="s">
        <v>38</v>
      </c>
      <c r="B449" s="65">
        <v>4</v>
      </c>
      <c r="C449" t="s">
        <v>15</v>
      </c>
      <c r="D449" s="68">
        <v>2400</v>
      </c>
      <c r="E449" s="68">
        <v>2400</v>
      </c>
      <c r="F449" s="68">
        <v>2365</v>
      </c>
      <c r="G449" s="13">
        <f t="shared" si="78"/>
        <v>-35</v>
      </c>
      <c r="H449" s="13">
        <f t="shared" si="79"/>
        <v>-35</v>
      </c>
      <c r="I449" s="73">
        <f t="shared" si="80"/>
        <v>-1.4583333333333282E-2</v>
      </c>
      <c r="J449" s="73">
        <f t="shared" si="81"/>
        <v>-1.4583333333333282E-2</v>
      </c>
      <c r="K449" s="72" t="str">
        <f t="shared" si="82"/>
        <v>CHAWAN</v>
      </c>
      <c r="L449" s="72" t="str">
        <f t="shared" si="83"/>
        <v>APRIL-4-CHAWAN</v>
      </c>
      <c r="M449" s="73">
        <f t="shared" si="84"/>
        <v>-0.3277355740222696</v>
      </c>
      <c r="N449" s="73">
        <f t="shared" si="85"/>
        <v>-0.12081860138900591</v>
      </c>
      <c r="O449" s="13">
        <f t="shared" si="86"/>
        <v>874798</v>
      </c>
      <c r="P449" s="13">
        <f t="shared" si="87"/>
        <v>888509</v>
      </c>
      <c r="Q449" s="13">
        <f t="shared" si="88"/>
        <v>882586</v>
      </c>
      <c r="R449" s="33">
        <f t="shared" si="89"/>
        <v>8.9026266635268136E-3</v>
      </c>
      <c r="S449" s="33">
        <f t="shared" si="90"/>
        <v>-6.6662239774724075E-3</v>
      </c>
    </row>
    <row r="450" spans="1:19" x14ac:dyDescent="0.25">
      <c r="A450" t="s">
        <v>38</v>
      </c>
      <c r="B450" s="65">
        <v>4</v>
      </c>
      <c r="C450" t="s">
        <v>10</v>
      </c>
      <c r="D450">
        <v>200</v>
      </c>
      <c r="E450" s="68">
        <v>361</v>
      </c>
      <c r="F450" s="68">
        <v>200</v>
      </c>
      <c r="G450" s="13">
        <f t="shared" ref="G450:G513" si="91">F450-E450</f>
        <v>-161</v>
      </c>
      <c r="H450" s="13">
        <f t="shared" ref="H450:H513" si="92">F450-D450</f>
        <v>0</v>
      </c>
      <c r="I450" s="73">
        <f t="shared" ref="I450:I513" si="93">F450/D450-1</f>
        <v>0</v>
      </c>
      <c r="J450" s="73">
        <f t="shared" ref="J450:J513" si="94">F450/E450-1</f>
        <v>-0.445983379501385</v>
      </c>
      <c r="K450" s="72" t="str">
        <f t="shared" ref="K450:K513" si="95">CLEAN(SUBSTITUTE(C450," ",""))</f>
        <v>CNJ2</v>
      </c>
      <c r="L450" s="72" t="str">
        <f t="shared" ref="L450:L513" si="96">A450&amp;"-"&amp;B450&amp;"-"&amp;K450</f>
        <v>APRIL-4-CNJ2</v>
      </c>
      <c r="M450" s="73">
        <f t="shared" ref="M450:M513" si="97">SUMIF($L$2:$L$1396,L450,$I$2:$I$1396)</f>
        <v>1.9333333333333425E-2</v>
      </c>
      <c r="N450" s="73">
        <f t="shared" ref="N450:N513" si="98">SUMIF($L$2:$L$1396,L450,$J$2:$J$1396)</f>
        <v>-0.44956760889206604</v>
      </c>
      <c r="O450" s="13">
        <f t="shared" ref="O450:O513" si="99">SUMIF($A$2:$A$1396,A450,$D$2:$D$1396)</f>
        <v>874798</v>
      </c>
      <c r="P450" s="13">
        <f t="shared" ref="P450:P513" si="100">SUMIF($A$2:$A$1396,A450,$E$2:$E$1396)</f>
        <v>888509</v>
      </c>
      <c r="Q450" s="13">
        <f t="shared" ref="Q450:Q513" si="101">SUMIF($A$2:$A$1396,A450,$F$2:$F$1396)</f>
        <v>882586</v>
      </c>
      <c r="R450" s="33">
        <f t="shared" ref="R450:R513" si="102">Q450/O450-1</f>
        <v>8.9026266635268136E-3</v>
      </c>
      <c r="S450" s="33">
        <f t="shared" ref="S450:S513" si="103">Q450/P450-1</f>
        <v>-6.6662239774724075E-3</v>
      </c>
    </row>
    <row r="451" spans="1:19" x14ac:dyDescent="0.25">
      <c r="A451" t="s">
        <v>38</v>
      </c>
      <c r="B451" s="65">
        <v>4</v>
      </c>
      <c r="C451" t="s">
        <v>11</v>
      </c>
      <c r="D451" s="68">
        <v>900</v>
      </c>
      <c r="E451" s="68">
        <v>906</v>
      </c>
      <c r="F451" s="68">
        <v>900</v>
      </c>
      <c r="G451" s="13">
        <f t="shared" si="91"/>
        <v>-6</v>
      </c>
      <c r="H451" s="13">
        <f t="shared" si="92"/>
        <v>0</v>
      </c>
      <c r="I451" s="73">
        <f t="shared" si="93"/>
        <v>0</v>
      </c>
      <c r="J451" s="73">
        <f t="shared" si="94"/>
        <v>-6.6225165562914245E-3</v>
      </c>
      <c r="K451" s="72" t="str">
        <f t="shared" si="95"/>
        <v>MAJA1</v>
      </c>
      <c r="L451" s="72" t="str">
        <f t="shared" si="96"/>
        <v>APRIL-4-MAJA1</v>
      </c>
      <c r="M451" s="73">
        <f t="shared" si="97"/>
        <v>0.16366357477662208</v>
      </c>
      <c r="N451" s="73">
        <f t="shared" si="98"/>
        <v>-8.1632289970909322E-2</v>
      </c>
      <c r="O451" s="13">
        <f t="shared" si="99"/>
        <v>874798</v>
      </c>
      <c r="P451" s="13">
        <f t="shared" si="100"/>
        <v>888509</v>
      </c>
      <c r="Q451" s="13">
        <f t="shared" si="101"/>
        <v>882586</v>
      </c>
      <c r="R451" s="33">
        <f t="shared" si="102"/>
        <v>8.9026266635268136E-3</v>
      </c>
      <c r="S451" s="33">
        <f t="shared" si="103"/>
        <v>-6.6662239774724075E-3</v>
      </c>
    </row>
    <row r="452" spans="1:19" x14ac:dyDescent="0.25">
      <c r="A452" t="s">
        <v>38</v>
      </c>
      <c r="B452" s="65">
        <v>4</v>
      </c>
      <c r="C452" t="s">
        <v>11</v>
      </c>
      <c r="D452" s="68">
        <v>10</v>
      </c>
      <c r="E452" s="68">
        <v>10</v>
      </c>
      <c r="F452" s="68">
        <v>10</v>
      </c>
      <c r="G452" s="13">
        <f t="shared" si="91"/>
        <v>0</v>
      </c>
      <c r="H452" s="13">
        <f t="shared" si="92"/>
        <v>0</v>
      </c>
      <c r="I452" s="73">
        <f t="shared" si="93"/>
        <v>0</v>
      </c>
      <c r="J452" s="73">
        <f t="shared" si="94"/>
        <v>0</v>
      </c>
      <c r="K452" s="72" t="str">
        <f t="shared" si="95"/>
        <v>MAJA1</v>
      </c>
      <c r="L452" s="72" t="str">
        <f t="shared" si="96"/>
        <v>APRIL-4-MAJA1</v>
      </c>
      <c r="M452" s="73">
        <f t="shared" si="97"/>
        <v>0.16366357477662208</v>
      </c>
      <c r="N452" s="73">
        <f t="shared" si="98"/>
        <v>-8.1632289970909322E-2</v>
      </c>
      <c r="O452" s="13">
        <f t="shared" si="99"/>
        <v>874798</v>
      </c>
      <c r="P452" s="13">
        <f t="shared" si="100"/>
        <v>888509</v>
      </c>
      <c r="Q452" s="13">
        <f t="shared" si="101"/>
        <v>882586</v>
      </c>
      <c r="R452" s="33">
        <f t="shared" si="102"/>
        <v>8.9026266635268136E-3</v>
      </c>
      <c r="S452" s="33">
        <f t="shared" si="103"/>
        <v>-6.6662239774724075E-3</v>
      </c>
    </row>
    <row r="453" spans="1:19" x14ac:dyDescent="0.25">
      <c r="A453" t="s">
        <v>38</v>
      </c>
      <c r="B453" s="65">
        <v>4</v>
      </c>
      <c r="C453" t="s">
        <v>11</v>
      </c>
      <c r="D453">
        <v>100</v>
      </c>
      <c r="E453" s="68">
        <v>102</v>
      </c>
      <c r="F453" s="68">
        <v>100</v>
      </c>
      <c r="G453" s="13">
        <f t="shared" si="91"/>
        <v>-2</v>
      </c>
      <c r="H453" s="13">
        <f t="shared" si="92"/>
        <v>0</v>
      </c>
      <c r="I453" s="73">
        <f t="shared" si="93"/>
        <v>0</v>
      </c>
      <c r="J453" s="73">
        <f t="shared" si="94"/>
        <v>-1.9607843137254943E-2</v>
      </c>
      <c r="K453" s="72" t="str">
        <f t="shared" si="95"/>
        <v>MAJA1</v>
      </c>
      <c r="L453" s="72" t="str">
        <f t="shared" si="96"/>
        <v>APRIL-4-MAJA1</v>
      </c>
      <c r="M453" s="73">
        <f t="shared" si="97"/>
        <v>0.16366357477662208</v>
      </c>
      <c r="N453" s="73">
        <f t="shared" si="98"/>
        <v>-8.1632289970909322E-2</v>
      </c>
      <c r="O453" s="13">
        <f t="shared" si="99"/>
        <v>874798</v>
      </c>
      <c r="P453" s="13">
        <f t="shared" si="100"/>
        <v>888509</v>
      </c>
      <c r="Q453" s="13">
        <f t="shared" si="101"/>
        <v>882586</v>
      </c>
      <c r="R453" s="33">
        <f t="shared" si="102"/>
        <v>8.9026266635268136E-3</v>
      </c>
      <c r="S453" s="33">
        <f t="shared" si="103"/>
        <v>-6.6662239774724075E-3</v>
      </c>
    </row>
    <row r="454" spans="1:19" x14ac:dyDescent="0.25">
      <c r="A454" t="s">
        <v>38</v>
      </c>
      <c r="B454" s="65">
        <v>4</v>
      </c>
      <c r="C454" t="s">
        <v>11</v>
      </c>
      <c r="D454">
        <v>310</v>
      </c>
      <c r="E454" s="68">
        <v>312</v>
      </c>
      <c r="F454" s="68">
        <v>310</v>
      </c>
      <c r="G454" s="13">
        <f t="shared" si="91"/>
        <v>-2</v>
      </c>
      <c r="H454" s="13">
        <f t="shared" si="92"/>
        <v>0</v>
      </c>
      <c r="I454" s="73">
        <f t="shared" si="93"/>
        <v>0</v>
      </c>
      <c r="J454" s="73">
        <f t="shared" si="94"/>
        <v>-6.4102564102563875E-3</v>
      </c>
      <c r="K454" s="72" t="str">
        <f t="shared" si="95"/>
        <v>MAJA1</v>
      </c>
      <c r="L454" s="72" t="str">
        <f t="shared" si="96"/>
        <v>APRIL-4-MAJA1</v>
      </c>
      <c r="M454" s="73">
        <f t="shared" si="97"/>
        <v>0.16366357477662208</v>
      </c>
      <c r="N454" s="73">
        <f t="shared" si="98"/>
        <v>-8.1632289970909322E-2</v>
      </c>
      <c r="O454" s="13">
        <f t="shared" si="99"/>
        <v>874798</v>
      </c>
      <c r="P454" s="13">
        <f t="shared" si="100"/>
        <v>888509</v>
      </c>
      <c r="Q454" s="13">
        <f t="shared" si="101"/>
        <v>882586</v>
      </c>
      <c r="R454" s="33">
        <f t="shared" si="102"/>
        <v>8.9026266635268136E-3</v>
      </c>
      <c r="S454" s="33">
        <f t="shared" si="103"/>
        <v>-6.6662239774724075E-3</v>
      </c>
    </row>
    <row r="455" spans="1:19" x14ac:dyDescent="0.25">
      <c r="A455" t="s">
        <v>38</v>
      </c>
      <c r="B455" s="65">
        <v>4</v>
      </c>
      <c r="C455" t="s">
        <v>10</v>
      </c>
      <c r="D455" s="68">
        <v>3000</v>
      </c>
      <c r="E455" s="68">
        <v>3069</v>
      </c>
      <c r="F455" s="68">
        <v>3058</v>
      </c>
      <c r="G455" s="13">
        <f t="shared" si="91"/>
        <v>-11</v>
      </c>
      <c r="H455" s="13">
        <f t="shared" si="92"/>
        <v>58</v>
      </c>
      <c r="I455" s="73">
        <f t="shared" si="93"/>
        <v>1.9333333333333425E-2</v>
      </c>
      <c r="J455" s="73">
        <f t="shared" si="94"/>
        <v>-3.5842293906810374E-3</v>
      </c>
      <c r="K455" s="72" t="str">
        <f t="shared" si="95"/>
        <v>CNJ2</v>
      </c>
      <c r="L455" s="72" t="str">
        <f t="shared" si="96"/>
        <v>APRIL-4-CNJ2</v>
      </c>
      <c r="M455" s="73">
        <f t="shared" si="97"/>
        <v>1.9333333333333425E-2</v>
      </c>
      <c r="N455" s="73">
        <f t="shared" si="98"/>
        <v>-0.44956760889206604</v>
      </c>
      <c r="O455" s="13">
        <f t="shared" si="99"/>
        <v>874798</v>
      </c>
      <c r="P455" s="13">
        <f t="shared" si="100"/>
        <v>888509</v>
      </c>
      <c r="Q455" s="13">
        <f t="shared" si="101"/>
        <v>882586</v>
      </c>
      <c r="R455" s="33">
        <f t="shared" si="102"/>
        <v>8.9026266635268136E-3</v>
      </c>
      <c r="S455" s="33">
        <f t="shared" si="103"/>
        <v>-6.6662239774724075E-3</v>
      </c>
    </row>
    <row r="456" spans="1:19" x14ac:dyDescent="0.25">
      <c r="A456" t="s">
        <v>38</v>
      </c>
      <c r="B456" s="65">
        <v>4</v>
      </c>
      <c r="C456" t="s">
        <v>14</v>
      </c>
      <c r="D456" s="69">
        <v>14796</v>
      </c>
      <c r="E456" s="68">
        <v>15256</v>
      </c>
      <c r="F456" s="68">
        <v>15099</v>
      </c>
      <c r="G456" s="13">
        <f t="shared" si="91"/>
        <v>-157</v>
      </c>
      <c r="H456" s="13">
        <f t="shared" si="92"/>
        <v>303</v>
      </c>
      <c r="I456" s="73">
        <f t="shared" si="93"/>
        <v>2.0478507704785098E-2</v>
      </c>
      <c r="J456" s="73">
        <f t="shared" si="94"/>
        <v>-1.0291033036182506E-2</v>
      </c>
      <c r="K456" s="72" t="str">
        <f t="shared" si="95"/>
        <v>GM2</v>
      </c>
      <c r="L456" s="72" t="str">
        <f t="shared" si="96"/>
        <v>APRIL-4-GM2</v>
      </c>
      <c r="M456" s="73">
        <f t="shared" si="97"/>
        <v>0.40587633359271624</v>
      </c>
      <c r="N456" s="73">
        <f t="shared" si="98"/>
        <v>-0.10240353423334314</v>
      </c>
      <c r="O456" s="13">
        <f t="shared" si="99"/>
        <v>874798</v>
      </c>
      <c r="P456" s="13">
        <f t="shared" si="100"/>
        <v>888509</v>
      </c>
      <c r="Q456" s="13">
        <f t="shared" si="101"/>
        <v>882586</v>
      </c>
      <c r="R456" s="33">
        <f t="shared" si="102"/>
        <v>8.9026266635268136E-3</v>
      </c>
      <c r="S456" s="33">
        <f t="shared" si="103"/>
        <v>-6.6662239774724075E-3</v>
      </c>
    </row>
    <row r="457" spans="1:19" x14ac:dyDescent="0.25">
      <c r="A457" t="s">
        <v>38</v>
      </c>
      <c r="B457" s="65">
        <v>4</v>
      </c>
      <c r="C457" t="s">
        <v>14</v>
      </c>
      <c r="D457" s="69">
        <v>4860</v>
      </c>
      <c r="E457" s="68">
        <v>5019</v>
      </c>
      <c r="F457" s="68">
        <v>4998</v>
      </c>
      <c r="G457" s="13">
        <f t="shared" si="91"/>
        <v>-21</v>
      </c>
      <c r="H457" s="13">
        <f t="shared" si="92"/>
        <v>138</v>
      </c>
      <c r="I457" s="73">
        <f t="shared" si="93"/>
        <v>2.839506172839501E-2</v>
      </c>
      <c r="J457" s="73">
        <f t="shared" si="94"/>
        <v>-4.1841004184099972E-3</v>
      </c>
      <c r="K457" s="72" t="str">
        <f t="shared" si="95"/>
        <v>GM2</v>
      </c>
      <c r="L457" s="72" t="str">
        <f t="shared" si="96"/>
        <v>APRIL-4-GM2</v>
      </c>
      <c r="M457" s="73">
        <f t="shared" si="97"/>
        <v>0.40587633359271624</v>
      </c>
      <c r="N457" s="73">
        <f t="shared" si="98"/>
        <v>-0.10240353423334314</v>
      </c>
      <c r="O457" s="13">
        <f t="shared" si="99"/>
        <v>874798</v>
      </c>
      <c r="P457" s="13">
        <f t="shared" si="100"/>
        <v>888509</v>
      </c>
      <c r="Q457" s="13">
        <f t="shared" si="101"/>
        <v>882586</v>
      </c>
      <c r="R457" s="33">
        <f t="shared" si="102"/>
        <v>8.9026266635268136E-3</v>
      </c>
      <c r="S457" s="33">
        <f t="shared" si="103"/>
        <v>-6.6662239774724075E-3</v>
      </c>
    </row>
    <row r="458" spans="1:19" x14ac:dyDescent="0.25">
      <c r="A458" t="s">
        <v>38</v>
      </c>
      <c r="B458" s="65">
        <v>4</v>
      </c>
      <c r="C458" t="s">
        <v>14</v>
      </c>
      <c r="D458" s="69">
        <v>5940</v>
      </c>
      <c r="E458" s="68">
        <v>6145</v>
      </c>
      <c r="F458" s="68">
        <v>6111</v>
      </c>
      <c r="G458" s="13">
        <f t="shared" si="91"/>
        <v>-34</v>
      </c>
      <c r="H458" s="13">
        <f t="shared" si="92"/>
        <v>171</v>
      </c>
      <c r="I458" s="73">
        <f t="shared" si="93"/>
        <v>2.8787878787878807E-2</v>
      </c>
      <c r="J458" s="73">
        <f t="shared" si="94"/>
        <v>-5.5329536208299501E-3</v>
      </c>
      <c r="K458" s="72" t="str">
        <f t="shared" si="95"/>
        <v>GM2</v>
      </c>
      <c r="L458" s="72" t="str">
        <f t="shared" si="96"/>
        <v>APRIL-4-GM2</v>
      </c>
      <c r="M458" s="73">
        <f t="shared" si="97"/>
        <v>0.40587633359271624</v>
      </c>
      <c r="N458" s="73">
        <f t="shared" si="98"/>
        <v>-0.10240353423334314</v>
      </c>
      <c r="O458" s="13">
        <f t="shared" si="99"/>
        <v>874798</v>
      </c>
      <c r="P458" s="13">
        <f t="shared" si="100"/>
        <v>888509</v>
      </c>
      <c r="Q458" s="13">
        <f t="shared" si="101"/>
        <v>882586</v>
      </c>
      <c r="R458" s="33">
        <f t="shared" si="102"/>
        <v>8.9026266635268136E-3</v>
      </c>
      <c r="S458" s="33">
        <f t="shared" si="103"/>
        <v>-6.6662239774724075E-3</v>
      </c>
    </row>
    <row r="459" spans="1:19" x14ac:dyDescent="0.25">
      <c r="A459" t="s">
        <v>38</v>
      </c>
      <c r="B459" s="65">
        <v>4</v>
      </c>
      <c r="C459" t="s">
        <v>14</v>
      </c>
      <c r="D459" s="69">
        <v>6588</v>
      </c>
      <c r="E459" s="68">
        <v>6788</v>
      </c>
      <c r="F459" s="68">
        <v>6690</v>
      </c>
      <c r="G459" s="13">
        <f t="shared" si="91"/>
        <v>-98</v>
      </c>
      <c r="H459" s="13">
        <f t="shared" si="92"/>
        <v>102</v>
      </c>
      <c r="I459" s="73">
        <f t="shared" si="93"/>
        <v>1.5482695810564717E-2</v>
      </c>
      <c r="J459" s="73">
        <f t="shared" si="94"/>
        <v>-1.4437242192103739E-2</v>
      </c>
      <c r="K459" s="72" t="str">
        <f t="shared" si="95"/>
        <v>GM2</v>
      </c>
      <c r="L459" s="72" t="str">
        <f t="shared" si="96"/>
        <v>APRIL-4-GM2</v>
      </c>
      <c r="M459" s="73">
        <f t="shared" si="97"/>
        <v>0.40587633359271624</v>
      </c>
      <c r="N459" s="73">
        <f t="shared" si="98"/>
        <v>-0.10240353423334314</v>
      </c>
      <c r="O459" s="13">
        <f t="shared" si="99"/>
        <v>874798</v>
      </c>
      <c r="P459" s="13">
        <f t="shared" si="100"/>
        <v>888509</v>
      </c>
      <c r="Q459" s="13">
        <f t="shared" si="101"/>
        <v>882586</v>
      </c>
      <c r="R459" s="33">
        <f t="shared" si="102"/>
        <v>8.9026266635268136E-3</v>
      </c>
      <c r="S459" s="33">
        <f t="shared" si="103"/>
        <v>-6.6662239774724075E-3</v>
      </c>
    </row>
    <row r="460" spans="1:19" x14ac:dyDescent="0.25">
      <c r="A460" t="s">
        <v>38</v>
      </c>
      <c r="B460" s="65">
        <v>4</v>
      </c>
      <c r="C460" t="s">
        <v>14</v>
      </c>
      <c r="D460" s="69">
        <v>7236</v>
      </c>
      <c r="E460" s="68">
        <v>7461</v>
      </c>
      <c r="F460" s="68">
        <v>7428</v>
      </c>
      <c r="G460" s="13">
        <f t="shared" si="91"/>
        <v>-33</v>
      </c>
      <c r="H460" s="13">
        <f t="shared" si="92"/>
        <v>192</v>
      </c>
      <c r="I460" s="73">
        <f t="shared" si="93"/>
        <v>2.6533996683250516E-2</v>
      </c>
      <c r="J460" s="73">
        <f t="shared" si="94"/>
        <v>-4.4229995979091496E-3</v>
      </c>
      <c r="K460" s="72" t="str">
        <f t="shared" si="95"/>
        <v>GM2</v>
      </c>
      <c r="L460" s="72" t="str">
        <f t="shared" si="96"/>
        <v>APRIL-4-GM2</v>
      </c>
      <c r="M460" s="73">
        <f t="shared" si="97"/>
        <v>0.40587633359271624</v>
      </c>
      <c r="N460" s="73">
        <f t="shared" si="98"/>
        <v>-0.10240353423334314</v>
      </c>
      <c r="O460" s="13">
        <f t="shared" si="99"/>
        <v>874798</v>
      </c>
      <c r="P460" s="13">
        <f t="shared" si="100"/>
        <v>888509</v>
      </c>
      <c r="Q460" s="13">
        <f t="shared" si="101"/>
        <v>882586</v>
      </c>
      <c r="R460" s="33">
        <f t="shared" si="102"/>
        <v>8.9026266635268136E-3</v>
      </c>
      <c r="S460" s="33">
        <f t="shared" si="103"/>
        <v>-6.6662239774724075E-3</v>
      </c>
    </row>
    <row r="461" spans="1:19" x14ac:dyDescent="0.25">
      <c r="A461" t="s">
        <v>38</v>
      </c>
      <c r="B461" s="65">
        <v>4</v>
      </c>
      <c r="C461" t="s">
        <v>14</v>
      </c>
      <c r="D461" s="69">
        <v>17928</v>
      </c>
      <c r="E461" s="68">
        <v>18549</v>
      </c>
      <c r="F461" s="68">
        <v>18510</v>
      </c>
      <c r="G461" s="13">
        <f t="shared" si="91"/>
        <v>-39</v>
      </c>
      <c r="H461" s="13">
        <f t="shared" si="92"/>
        <v>582</v>
      </c>
      <c r="I461" s="73">
        <f t="shared" si="93"/>
        <v>3.2463186077643869E-2</v>
      </c>
      <c r="J461" s="73">
        <f t="shared" si="94"/>
        <v>-2.1025392204431226E-3</v>
      </c>
      <c r="K461" s="72" t="str">
        <f t="shared" si="95"/>
        <v>GM2</v>
      </c>
      <c r="L461" s="72" t="str">
        <f t="shared" si="96"/>
        <v>APRIL-4-GM2</v>
      </c>
      <c r="M461" s="73">
        <f t="shared" si="97"/>
        <v>0.40587633359271624</v>
      </c>
      <c r="N461" s="73">
        <f t="shared" si="98"/>
        <v>-0.10240353423334314</v>
      </c>
      <c r="O461" s="13">
        <f t="shared" si="99"/>
        <v>874798</v>
      </c>
      <c r="P461" s="13">
        <f t="shared" si="100"/>
        <v>888509</v>
      </c>
      <c r="Q461" s="13">
        <f t="shared" si="101"/>
        <v>882586</v>
      </c>
      <c r="R461" s="33">
        <f t="shared" si="102"/>
        <v>8.9026266635268136E-3</v>
      </c>
      <c r="S461" s="33">
        <f t="shared" si="103"/>
        <v>-6.6662239774724075E-3</v>
      </c>
    </row>
    <row r="462" spans="1:19" x14ac:dyDescent="0.25">
      <c r="A462" t="s">
        <v>38</v>
      </c>
      <c r="B462" s="65">
        <v>4</v>
      </c>
      <c r="C462" t="s">
        <v>14</v>
      </c>
      <c r="D462" s="69">
        <v>8532</v>
      </c>
      <c r="E462" s="68">
        <v>8802</v>
      </c>
      <c r="F462" s="68">
        <v>8652</v>
      </c>
      <c r="G462" s="13">
        <f t="shared" si="91"/>
        <v>-150</v>
      </c>
      <c r="H462" s="13">
        <f t="shared" si="92"/>
        <v>120</v>
      </c>
      <c r="I462" s="73">
        <f t="shared" si="93"/>
        <v>1.4064697609001309E-2</v>
      </c>
      <c r="J462" s="73">
        <f t="shared" si="94"/>
        <v>-1.7041581458759336E-2</v>
      </c>
      <c r="K462" s="72" t="str">
        <f t="shared" si="95"/>
        <v>GM2</v>
      </c>
      <c r="L462" s="72" t="str">
        <f t="shared" si="96"/>
        <v>APRIL-4-GM2</v>
      </c>
      <c r="M462" s="73">
        <f t="shared" si="97"/>
        <v>0.40587633359271624</v>
      </c>
      <c r="N462" s="73">
        <f t="shared" si="98"/>
        <v>-0.10240353423334314</v>
      </c>
      <c r="O462" s="13">
        <f t="shared" si="99"/>
        <v>874798</v>
      </c>
      <c r="P462" s="13">
        <f t="shared" si="100"/>
        <v>888509</v>
      </c>
      <c r="Q462" s="13">
        <f t="shared" si="101"/>
        <v>882586</v>
      </c>
      <c r="R462" s="33">
        <f t="shared" si="102"/>
        <v>8.9026266635268136E-3</v>
      </c>
      <c r="S462" s="33">
        <f t="shared" si="103"/>
        <v>-6.6662239774724075E-3</v>
      </c>
    </row>
    <row r="463" spans="1:19" x14ac:dyDescent="0.25">
      <c r="A463" t="s">
        <v>38</v>
      </c>
      <c r="B463" s="65">
        <v>4</v>
      </c>
      <c r="C463" t="s">
        <v>14</v>
      </c>
      <c r="D463" s="69">
        <v>13068</v>
      </c>
      <c r="E463" s="68">
        <v>13470</v>
      </c>
      <c r="F463" s="68">
        <v>13401</v>
      </c>
      <c r="G463" s="13">
        <f t="shared" si="91"/>
        <v>-69</v>
      </c>
      <c r="H463" s="13">
        <f t="shared" si="92"/>
        <v>333</v>
      </c>
      <c r="I463" s="73">
        <f t="shared" si="93"/>
        <v>2.5482093663911742E-2</v>
      </c>
      <c r="J463" s="73">
        <f t="shared" si="94"/>
        <v>-5.1224944320712451E-3</v>
      </c>
      <c r="K463" s="72" t="str">
        <f t="shared" si="95"/>
        <v>GM2</v>
      </c>
      <c r="L463" s="72" t="str">
        <f t="shared" si="96"/>
        <v>APRIL-4-GM2</v>
      </c>
      <c r="M463" s="73">
        <f t="shared" si="97"/>
        <v>0.40587633359271624</v>
      </c>
      <c r="N463" s="73">
        <f t="shared" si="98"/>
        <v>-0.10240353423334314</v>
      </c>
      <c r="O463" s="13">
        <f t="shared" si="99"/>
        <v>874798</v>
      </c>
      <c r="P463" s="13">
        <f t="shared" si="100"/>
        <v>888509</v>
      </c>
      <c r="Q463" s="13">
        <f t="shared" si="101"/>
        <v>882586</v>
      </c>
      <c r="R463" s="33">
        <f t="shared" si="102"/>
        <v>8.9026266635268136E-3</v>
      </c>
      <c r="S463" s="33">
        <f t="shared" si="103"/>
        <v>-6.6662239774724075E-3</v>
      </c>
    </row>
    <row r="464" spans="1:19" x14ac:dyDescent="0.25">
      <c r="A464" t="s">
        <v>38</v>
      </c>
      <c r="B464" s="65">
        <v>4</v>
      </c>
      <c r="C464" t="s">
        <v>14</v>
      </c>
      <c r="D464" s="69">
        <v>1404</v>
      </c>
      <c r="E464" s="68">
        <v>1446</v>
      </c>
      <c r="F464" s="68">
        <v>1431</v>
      </c>
      <c r="G464" s="13">
        <f t="shared" si="91"/>
        <v>-15</v>
      </c>
      <c r="H464" s="13">
        <f t="shared" si="92"/>
        <v>27</v>
      </c>
      <c r="I464" s="73">
        <f t="shared" si="93"/>
        <v>1.9230769230769162E-2</v>
      </c>
      <c r="J464" s="73">
        <f t="shared" si="94"/>
        <v>-1.0373443983402453E-2</v>
      </c>
      <c r="K464" s="72" t="str">
        <f t="shared" si="95"/>
        <v>GM2</v>
      </c>
      <c r="L464" s="72" t="str">
        <f t="shared" si="96"/>
        <v>APRIL-4-GM2</v>
      </c>
      <c r="M464" s="73">
        <f t="shared" si="97"/>
        <v>0.40587633359271624</v>
      </c>
      <c r="N464" s="73">
        <f t="shared" si="98"/>
        <v>-0.10240353423334314</v>
      </c>
      <c r="O464" s="13">
        <f t="shared" si="99"/>
        <v>874798</v>
      </c>
      <c r="P464" s="13">
        <f t="shared" si="100"/>
        <v>888509</v>
      </c>
      <c r="Q464" s="13">
        <f t="shared" si="101"/>
        <v>882586</v>
      </c>
      <c r="R464" s="33">
        <f t="shared" si="102"/>
        <v>8.9026266635268136E-3</v>
      </c>
      <c r="S464" s="33">
        <f t="shared" si="103"/>
        <v>-6.6662239774724075E-3</v>
      </c>
    </row>
    <row r="465" spans="1:19" x14ac:dyDescent="0.25">
      <c r="A465" t="s">
        <v>38</v>
      </c>
      <c r="B465" s="65">
        <v>4</v>
      </c>
      <c r="C465" t="s">
        <v>14</v>
      </c>
      <c r="D465" s="69">
        <v>6156</v>
      </c>
      <c r="E465" s="68">
        <v>6339</v>
      </c>
      <c r="F465" s="68">
        <v>6333</v>
      </c>
      <c r="G465" s="13">
        <f t="shared" si="91"/>
        <v>-6</v>
      </c>
      <c r="H465" s="13">
        <f t="shared" si="92"/>
        <v>177</v>
      </c>
      <c r="I465" s="73">
        <f t="shared" si="93"/>
        <v>2.8752436647173418E-2</v>
      </c>
      <c r="J465" s="73">
        <f t="shared" si="94"/>
        <v>-9.4652153336483025E-4</v>
      </c>
      <c r="K465" s="72" t="str">
        <f t="shared" si="95"/>
        <v>GM2</v>
      </c>
      <c r="L465" s="72" t="str">
        <f t="shared" si="96"/>
        <v>APRIL-4-GM2</v>
      </c>
      <c r="M465" s="73">
        <f t="shared" si="97"/>
        <v>0.40587633359271624</v>
      </c>
      <c r="N465" s="73">
        <f t="shared" si="98"/>
        <v>-0.10240353423334314</v>
      </c>
      <c r="O465" s="13">
        <f t="shared" si="99"/>
        <v>874798</v>
      </c>
      <c r="P465" s="13">
        <f t="shared" si="100"/>
        <v>888509</v>
      </c>
      <c r="Q465" s="13">
        <f t="shared" si="101"/>
        <v>882586</v>
      </c>
      <c r="R465" s="33">
        <f t="shared" si="102"/>
        <v>8.9026266635268136E-3</v>
      </c>
      <c r="S465" s="33">
        <f t="shared" si="103"/>
        <v>-6.6662239774724075E-3</v>
      </c>
    </row>
    <row r="466" spans="1:19" x14ac:dyDescent="0.25">
      <c r="A466" t="s">
        <v>38</v>
      </c>
      <c r="B466" s="65">
        <v>4</v>
      </c>
      <c r="C466" t="s">
        <v>11</v>
      </c>
      <c r="D466" s="69">
        <v>5940</v>
      </c>
      <c r="E466" s="68">
        <v>6130</v>
      </c>
      <c r="F466" s="68">
        <v>6090</v>
      </c>
      <c r="G466" s="13">
        <f t="shared" si="91"/>
        <v>-40</v>
      </c>
      <c r="H466" s="13">
        <f t="shared" si="92"/>
        <v>150</v>
      </c>
      <c r="I466" s="73">
        <f t="shared" si="93"/>
        <v>2.5252525252525304E-2</v>
      </c>
      <c r="J466" s="73">
        <f t="shared" si="94"/>
        <v>-6.525285481239762E-3</v>
      </c>
      <c r="K466" s="72" t="str">
        <f t="shared" si="95"/>
        <v>MAJA1</v>
      </c>
      <c r="L466" s="72" t="str">
        <f t="shared" si="96"/>
        <v>APRIL-4-MAJA1</v>
      </c>
      <c r="M466" s="73">
        <f t="shared" si="97"/>
        <v>0.16366357477662208</v>
      </c>
      <c r="N466" s="73">
        <f t="shared" si="98"/>
        <v>-8.1632289970909322E-2</v>
      </c>
      <c r="O466" s="13">
        <f t="shared" si="99"/>
        <v>874798</v>
      </c>
      <c r="P466" s="13">
        <f t="shared" si="100"/>
        <v>888509</v>
      </c>
      <c r="Q466" s="13">
        <f t="shared" si="101"/>
        <v>882586</v>
      </c>
      <c r="R466" s="33">
        <f t="shared" si="102"/>
        <v>8.9026266635268136E-3</v>
      </c>
      <c r="S466" s="33">
        <f t="shared" si="103"/>
        <v>-6.6662239774724075E-3</v>
      </c>
    </row>
    <row r="467" spans="1:19" x14ac:dyDescent="0.25">
      <c r="A467" t="s">
        <v>38</v>
      </c>
      <c r="B467" s="65">
        <v>4</v>
      </c>
      <c r="C467" t="s">
        <v>14</v>
      </c>
      <c r="D467" s="69">
        <v>10692</v>
      </c>
      <c r="E467" s="68">
        <v>11017</v>
      </c>
      <c r="F467" s="68">
        <v>10983</v>
      </c>
      <c r="G467" s="13">
        <f t="shared" si="91"/>
        <v>-34</v>
      </c>
      <c r="H467" s="13">
        <f t="shared" si="92"/>
        <v>291</v>
      </c>
      <c r="I467" s="73">
        <f t="shared" si="93"/>
        <v>2.7216610549943843E-2</v>
      </c>
      <c r="J467" s="73">
        <f t="shared" si="94"/>
        <v>-3.0861396024326471E-3</v>
      </c>
      <c r="K467" s="72" t="str">
        <f t="shared" si="95"/>
        <v>GM2</v>
      </c>
      <c r="L467" s="72" t="str">
        <f t="shared" si="96"/>
        <v>APRIL-4-GM2</v>
      </c>
      <c r="M467" s="73">
        <f t="shared" si="97"/>
        <v>0.40587633359271624</v>
      </c>
      <c r="N467" s="73">
        <f t="shared" si="98"/>
        <v>-0.10240353423334314</v>
      </c>
      <c r="O467" s="13">
        <f t="shared" si="99"/>
        <v>874798</v>
      </c>
      <c r="P467" s="13">
        <f t="shared" si="100"/>
        <v>888509</v>
      </c>
      <c r="Q467" s="13">
        <f t="shared" si="101"/>
        <v>882586</v>
      </c>
      <c r="R467" s="33">
        <f t="shared" si="102"/>
        <v>8.9026266635268136E-3</v>
      </c>
      <c r="S467" s="33">
        <f t="shared" si="103"/>
        <v>-6.6662239774724075E-3</v>
      </c>
    </row>
    <row r="468" spans="1:19" x14ac:dyDescent="0.25">
      <c r="A468" t="s">
        <v>38</v>
      </c>
      <c r="B468" s="65">
        <v>4</v>
      </c>
      <c r="C468" t="s">
        <v>11</v>
      </c>
      <c r="D468" s="69">
        <v>16308</v>
      </c>
      <c r="E468" s="68">
        <v>16804</v>
      </c>
      <c r="F468" s="68">
        <v>16734</v>
      </c>
      <c r="G468" s="13">
        <f t="shared" si="91"/>
        <v>-70</v>
      </c>
      <c r="H468" s="13">
        <f t="shared" si="92"/>
        <v>426</v>
      </c>
      <c r="I468" s="73">
        <f t="shared" si="93"/>
        <v>2.6122148638704878E-2</v>
      </c>
      <c r="J468" s="73">
        <f t="shared" si="94"/>
        <v>-4.1656748393239518E-3</v>
      </c>
      <c r="K468" s="72" t="str">
        <f t="shared" si="95"/>
        <v>MAJA1</v>
      </c>
      <c r="L468" s="72" t="str">
        <f t="shared" si="96"/>
        <v>APRIL-4-MAJA1</v>
      </c>
      <c r="M468" s="73">
        <f t="shared" si="97"/>
        <v>0.16366357477662208</v>
      </c>
      <c r="N468" s="73">
        <f t="shared" si="98"/>
        <v>-8.1632289970909322E-2</v>
      </c>
      <c r="O468" s="13">
        <f t="shared" si="99"/>
        <v>874798</v>
      </c>
      <c r="P468" s="13">
        <f t="shared" si="100"/>
        <v>888509</v>
      </c>
      <c r="Q468" s="13">
        <f t="shared" si="101"/>
        <v>882586</v>
      </c>
      <c r="R468" s="33">
        <f t="shared" si="102"/>
        <v>8.9026266635268136E-3</v>
      </c>
      <c r="S468" s="33">
        <f t="shared" si="103"/>
        <v>-6.6662239774724075E-3</v>
      </c>
    </row>
    <row r="469" spans="1:19" x14ac:dyDescent="0.25">
      <c r="A469" t="s">
        <v>38</v>
      </c>
      <c r="B469" s="65">
        <v>4</v>
      </c>
      <c r="C469" t="s">
        <v>11</v>
      </c>
      <c r="D469" s="69">
        <v>8640</v>
      </c>
      <c r="E469" s="68">
        <v>8904</v>
      </c>
      <c r="F469" s="68">
        <v>8835</v>
      </c>
      <c r="G469" s="13">
        <f t="shared" si="91"/>
        <v>-69</v>
      </c>
      <c r="H469" s="13">
        <f t="shared" si="92"/>
        <v>195</v>
      </c>
      <c r="I469" s="73">
        <f t="shared" si="93"/>
        <v>2.256944444444442E-2</v>
      </c>
      <c r="J469" s="73">
        <f t="shared" si="94"/>
        <v>-7.7493261455525708E-3</v>
      </c>
      <c r="K469" s="72" t="str">
        <f t="shared" si="95"/>
        <v>MAJA1</v>
      </c>
      <c r="L469" s="72" t="str">
        <f t="shared" si="96"/>
        <v>APRIL-4-MAJA1</v>
      </c>
      <c r="M469" s="73">
        <f t="shared" si="97"/>
        <v>0.16366357477662208</v>
      </c>
      <c r="N469" s="73">
        <f t="shared" si="98"/>
        <v>-8.1632289970909322E-2</v>
      </c>
      <c r="O469" s="13">
        <f t="shared" si="99"/>
        <v>874798</v>
      </c>
      <c r="P469" s="13">
        <f t="shared" si="100"/>
        <v>888509</v>
      </c>
      <c r="Q469" s="13">
        <f t="shared" si="101"/>
        <v>882586</v>
      </c>
      <c r="R469" s="33">
        <f t="shared" si="102"/>
        <v>8.9026266635268136E-3</v>
      </c>
      <c r="S469" s="33">
        <f t="shared" si="103"/>
        <v>-6.6662239774724075E-3</v>
      </c>
    </row>
    <row r="470" spans="1:19" x14ac:dyDescent="0.25">
      <c r="A470" t="s">
        <v>38</v>
      </c>
      <c r="B470" s="65">
        <v>4</v>
      </c>
      <c r="C470" t="s">
        <v>11</v>
      </c>
      <c r="D470" s="69">
        <v>12096</v>
      </c>
      <c r="E470" s="68">
        <v>12462</v>
      </c>
      <c r="F470" s="68">
        <v>12399</v>
      </c>
      <c r="G470" s="13">
        <f t="shared" si="91"/>
        <v>-63</v>
      </c>
      <c r="H470" s="13">
        <f t="shared" si="92"/>
        <v>303</v>
      </c>
      <c r="I470" s="73">
        <f t="shared" si="93"/>
        <v>2.5049603174603252E-2</v>
      </c>
      <c r="J470" s="73">
        <f t="shared" si="94"/>
        <v>-5.0553683196918886E-3</v>
      </c>
      <c r="K470" s="72" t="str">
        <f t="shared" si="95"/>
        <v>MAJA1</v>
      </c>
      <c r="L470" s="72" t="str">
        <f t="shared" si="96"/>
        <v>APRIL-4-MAJA1</v>
      </c>
      <c r="M470" s="73">
        <f t="shared" si="97"/>
        <v>0.16366357477662208</v>
      </c>
      <c r="N470" s="73">
        <f t="shared" si="98"/>
        <v>-8.1632289970909322E-2</v>
      </c>
      <c r="O470" s="13">
        <f t="shared" si="99"/>
        <v>874798</v>
      </c>
      <c r="P470" s="13">
        <f t="shared" si="100"/>
        <v>888509</v>
      </c>
      <c r="Q470" s="13">
        <f t="shared" si="101"/>
        <v>882586</v>
      </c>
      <c r="R470" s="33">
        <f t="shared" si="102"/>
        <v>8.9026266635268136E-3</v>
      </c>
      <c r="S470" s="33">
        <f t="shared" si="103"/>
        <v>-6.6662239774724075E-3</v>
      </c>
    </row>
    <row r="471" spans="1:19" x14ac:dyDescent="0.25">
      <c r="A471" t="s">
        <v>38</v>
      </c>
      <c r="B471" s="65">
        <v>4</v>
      </c>
      <c r="C471" t="s">
        <v>11</v>
      </c>
      <c r="D471" s="69">
        <v>1080</v>
      </c>
      <c r="E471" s="68">
        <v>1113</v>
      </c>
      <c r="F471" s="68">
        <v>1107</v>
      </c>
      <c r="G471" s="13">
        <f t="shared" si="91"/>
        <v>-6</v>
      </c>
      <c r="H471" s="13">
        <f t="shared" si="92"/>
        <v>27</v>
      </c>
      <c r="I471" s="73">
        <f t="shared" si="93"/>
        <v>2.4999999999999911E-2</v>
      </c>
      <c r="J471" s="73">
        <f t="shared" si="94"/>
        <v>-5.3908355795148077E-3</v>
      </c>
      <c r="K471" s="72" t="str">
        <f t="shared" si="95"/>
        <v>MAJA1</v>
      </c>
      <c r="L471" s="72" t="str">
        <f t="shared" si="96"/>
        <v>APRIL-4-MAJA1</v>
      </c>
      <c r="M471" s="73">
        <f t="shared" si="97"/>
        <v>0.16366357477662208</v>
      </c>
      <c r="N471" s="73">
        <f t="shared" si="98"/>
        <v>-8.1632289970909322E-2</v>
      </c>
      <c r="O471" s="13">
        <f t="shared" si="99"/>
        <v>874798</v>
      </c>
      <c r="P471" s="13">
        <f t="shared" si="100"/>
        <v>888509</v>
      </c>
      <c r="Q471" s="13">
        <f t="shared" si="101"/>
        <v>882586</v>
      </c>
      <c r="R471" s="33">
        <f t="shared" si="102"/>
        <v>8.9026266635268136E-3</v>
      </c>
      <c r="S471" s="33">
        <f t="shared" si="103"/>
        <v>-6.6662239774724075E-3</v>
      </c>
    </row>
    <row r="472" spans="1:19" x14ac:dyDescent="0.25">
      <c r="A472" t="s">
        <v>38</v>
      </c>
      <c r="B472" s="65">
        <v>4</v>
      </c>
      <c r="C472" t="s">
        <v>11</v>
      </c>
      <c r="D472" s="69">
        <v>10692</v>
      </c>
      <c r="E472" s="68">
        <v>11016</v>
      </c>
      <c r="F472" s="68">
        <v>10884</v>
      </c>
      <c r="G472" s="13">
        <f t="shared" si="91"/>
        <v>-132</v>
      </c>
      <c r="H472" s="13">
        <f t="shared" si="92"/>
        <v>192</v>
      </c>
      <c r="I472" s="73">
        <f t="shared" si="93"/>
        <v>1.7957351290684542E-2</v>
      </c>
      <c r="J472" s="73">
        <f t="shared" si="94"/>
        <v>-1.1982570806100212E-2</v>
      </c>
      <c r="K472" s="72" t="str">
        <f t="shared" si="95"/>
        <v>MAJA1</v>
      </c>
      <c r="L472" s="72" t="str">
        <f t="shared" si="96"/>
        <v>APRIL-4-MAJA1</v>
      </c>
      <c r="M472" s="73">
        <f t="shared" si="97"/>
        <v>0.16366357477662208</v>
      </c>
      <c r="N472" s="73">
        <f t="shared" si="98"/>
        <v>-8.1632289970909322E-2</v>
      </c>
      <c r="O472" s="13">
        <f t="shared" si="99"/>
        <v>874798</v>
      </c>
      <c r="P472" s="13">
        <f t="shared" si="100"/>
        <v>888509</v>
      </c>
      <c r="Q472" s="13">
        <f t="shared" si="101"/>
        <v>882586</v>
      </c>
      <c r="R472" s="33">
        <f t="shared" si="102"/>
        <v>8.9026266635268136E-3</v>
      </c>
      <c r="S472" s="33">
        <f t="shared" si="103"/>
        <v>-6.6662239774724075E-3</v>
      </c>
    </row>
    <row r="473" spans="1:19" x14ac:dyDescent="0.25">
      <c r="A473" t="s">
        <v>38</v>
      </c>
      <c r="B473" s="65">
        <v>4</v>
      </c>
      <c r="C473" t="s">
        <v>11</v>
      </c>
      <c r="D473" s="69">
        <v>10944</v>
      </c>
      <c r="E473" s="68">
        <v>10943</v>
      </c>
      <c r="F473" s="68">
        <v>10892</v>
      </c>
      <c r="G473" s="13">
        <f t="shared" si="91"/>
        <v>-51</v>
      </c>
      <c r="H473" s="13">
        <f t="shared" si="92"/>
        <v>-52</v>
      </c>
      <c r="I473" s="73">
        <f t="shared" si="93"/>
        <v>-4.7514619883041176E-3</v>
      </c>
      <c r="J473" s="73">
        <f t="shared" si="94"/>
        <v>-4.660513570318936E-3</v>
      </c>
      <c r="K473" s="72" t="str">
        <f t="shared" si="95"/>
        <v>MAJA1</v>
      </c>
      <c r="L473" s="72" t="str">
        <f t="shared" si="96"/>
        <v>APRIL-4-MAJA1</v>
      </c>
      <c r="M473" s="73">
        <f t="shared" si="97"/>
        <v>0.16366357477662208</v>
      </c>
      <c r="N473" s="73">
        <f t="shared" si="98"/>
        <v>-8.1632289970909322E-2</v>
      </c>
      <c r="O473" s="13">
        <f t="shared" si="99"/>
        <v>874798</v>
      </c>
      <c r="P473" s="13">
        <f t="shared" si="100"/>
        <v>888509</v>
      </c>
      <c r="Q473" s="13">
        <f t="shared" si="101"/>
        <v>882586</v>
      </c>
      <c r="R473" s="33">
        <f t="shared" si="102"/>
        <v>8.9026266635268136E-3</v>
      </c>
      <c r="S473" s="33">
        <f t="shared" si="103"/>
        <v>-6.6662239774724075E-3</v>
      </c>
    </row>
    <row r="474" spans="1:19" x14ac:dyDescent="0.25">
      <c r="A474" t="s">
        <v>38</v>
      </c>
      <c r="B474" s="65">
        <v>4</v>
      </c>
      <c r="C474" t="s">
        <v>11</v>
      </c>
      <c r="D474" s="69">
        <v>15984</v>
      </c>
      <c r="E474" s="68">
        <v>16464</v>
      </c>
      <c r="F474" s="68">
        <v>16407</v>
      </c>
      <c r="G474" s="13">
        <f t="shared" si="91"/>
        <v>-57</v>
      </c>
      <c r="H474" s="13">
        <f t="shared" si="92"/>
        <v>423</v>
      </c>
      <c r="I474" s="73">
        <f t="shared" si="93"/>
        <v>2.6463963963963888E-2</v>
      </c>
      <c r="J474" s="73">
        <f t="shared" si="94"/>
        <v>-3.4620991253644373E-3</v>
      </c>
      <c r="K474" s="72" t="str">
        <f t="shared" si="95"/>
        <v>MAJA1</v>
      </c>
      <c r="L474" s="72" t="str">
        <f t="shared" si="96"/>
        <v>APRIL-4-MAJA1</v>
      </c>
      <c r="M474" s="73">
        <f t="shared" si="97"/>
        <v>0.16366357477662208</v>
      </c>
      <c r="N474" s="73">
        <f t="shared" si="98"/>
        <v>-8.1632289970909322E-2</v>
      </c>
      <c r="O474" s="13">
        <f t="shared" si="99"/>
        <v>874798</v>
      </c>
      <c r="P474" s="13">
        <f t="shared" si="100"/>
        <v>888509</v>
      </c>
      <c r="Q474" s="13">
        <f t="shared" si="101"/>
        <v>882586</v>
      </c>
      <c r="R474" s="33">
        <f t="shared" si="102"/>
        <v>8.9026266635268136E-3</v>
      </c>
      <c r="S474" s="33">
        <f t="shared" si="103"/>
        <v>-6.6662239774724075E-3</v>
      </c>
    </row>
    <row r="475" spans="1:19" x14ac:dyDescent="0.25">
      <c r="A475" t="s">
        <v>38</v>
      </c>
      <c r="B475" s="65">
        <v>4</v>
      </c>
      <c r="C475" t="s">
        <v>14</v>
      </c>
      <c r="D475" s="69">
        <v>15408</v>
      </c>
      <c r="E475" s="68">
        <v>15894</v>
      </c>
      <c r="F475" s="68">
        <v>15804</v>
      </c>
      <c r="G475" s="13">
        <f t="shared" si="91"/>
        <v>-90</v>
      </c>
      <c r="H475" s="13">
        <f t="shared" si="92"/>
        <v>396</v>
      </c>
      <c r="I475" s="73">
        <f t="shared" si="93"/>
        <v>2.5700934579439227E-2</v>
      </c>
      <c r="J475" s="73">
        <f t="shared" si="94"/>
        <v>-5.6625141562853809E-3</v>
      </c>
      <c r="K475" s="72" t="str">
        <f t="shared" si="95"/>
        <v>GM2</v>
      </c>
      <c r="L475" s="72" t="str">
        <f t="shared" si="96"/>
        <v>APRIL-4-GM2</v>
      </c>
      <c r="M475" s="73">
        <f t="shared" si="97"/>
        <v>0.40587633359271624</v>
      </c>
      <c r="N475" s="73">
        <f t="shared" si="98"/>
        <v>-0.10240353423334314</v>
      </c>
      <c r="O475" s="13">
        <f t="shared" si="99"/>
        <v>874798</v>
      </c>
      <c r="P475" s="13">
        <f t="shared" si="100"/>
        <v>888509</v>
      </c>
      <c r="Q475" s="13">
        <f t="shared" si="101"/>
        <v>882586</v>
      </c>
      <c r="R475" s="33">
        <f t="shared" si="102"/>
        <v>8.9026266635268136E-3</v>
      </c>
      <c r="S475" s="33">
        <f t="shared" si="103"/>
        <v>-6.6662239774724075E-3</v>
      </c>
    </row>
    <row r="476" spans="1:19" x14ac:dyDescent="0.25">
      <c r="A476" t="s">
        <v>38</v>
      </c>
      <c r="B476" s="65">
        <v>4</v>
      </c>
      <c r="C476" t="s">
        <v>14</v>
      </c>
      <c r="D476" s="69">
        <v>10800</v>
      </c>
      <c r="E476" s="68">
        <v>11158</v>
      </c>
      <c r="F476" s="68">
        <v>11120</v>
      </c>
      <c r="G476" s="13">
        <f t="shared" si="91"/>
        <v>-38</v>
      </c>
      <c r="H476" s="13">
        <f t="shared" si="92"/>
        <v>320</v>
      </c>
      <c r="I476" s="73">
        <f t="shared" si="93"/>
        <v>2.9629629629629672E-2</v>
      </c>
      <c r="J476" s="73">
        <f t="shared" si="94"/>
        <v>-3.4056282487900935E-3</v>
      </c>
      <c r="K476" s="72" t="str">
        <f t="shared" si="95"/>
        <v>GM2</v>
      </c>
      <c r="L476" s="72" t="str">
        <f t="shared" si="96"/>
        <v>APRIL-4-GM2</v>
      </c>
      <c r="M476" s="73">
        <f t="shared" si="97"/>
        <v>0.40587633359271624</v>
      </c>
      <c r="N476" s="73">
        <f t="shared" si="98"/>
        <v>-0.10240353423334314</v>
      </c>
      <c r="O476" s="13">
        <f t="shared" si="99"/>
        <v>874798</v>
      </c>
      <c r="P476" s="13">
        <f t="shared" si="100"/>
        <v>888509</v>
      </c>
      <c r="Q476" s="13">
        <f t="shared" si="101"/>
        <v>882586</v>
      </c>
      <c r="R476" s="33">
        <f t="shared" si="102"/>
        <v>8.9026266635268136E-3</v>
      </c>
      <c r="S476" s="33">
        <f t="shared" si="103"/>
        <v>-6.6662239774724075E-3</v>
      </c>
    </row>
    <row r="477" spans="1:19" x14ac:dyDescent="0.25">
      <c r="A477" t="s">
        <v>38</v>
      </c>
      <c r="B477" s="65">
        <v>4</v>
      </c>
      <c r="C477" t="s">
        <v>14</v>
      </c>
      <c r="D477" s="69">
        <v>18864</v>
      </c>
      <c r="E477" s="68">
        <v>19453</v>
      </c>
      <c r="F477" s="68">
        <v>19268</v>
      </c>
      <c r="G477" s="13">
        <f t="shared" si="91"/>
        <v>-185</v>
      </c>
      <c r="H477" s="13">
        <f t="shared" si="92"/>
        <v>404</v>
      </c>
      <c r="I477" s="73">
        <f t="shared" si="93"/>
        <v>2.1416454622561476E-2</v>
      </c>
      <c r="J477" s="73">
        <f t="shared" si="94"/>
        <v>-9.510101269727067E-3</v>
      </c>
      <c r="K477" s="72" t="str">
        <f t="shared" si="95"/>
        <v>GM2</v>
      </c>
      <c r="L477" s="72" t="str">
        <f t="shared" si="96"/>
        <v>APRIL-4-GM2</v>
      </c>
      <c r="M477" s="73">
        <f t="shared" si="97"/>
        <v>0.40587633359271624</v>
      </c>
      <c r="N477" s="73">
        <f t="shared" si="98"/>
        <v>-0.10240353423334314</v>
      </c>
      <c r="O477" s="13">
        <f t="shared" si="99"/>
        <v>874798</v>
      </c>
      <c r="P477" s="13">
        <f t="shared" si="100"/>
        <v>888509</v>
      </c>
      <c r="Q477" s="13">
        <f t="shared" si="101"/>
        <v>882586</v>
      </c>
      <c r="R477" s="33">
        <f t="shared" si="102"/>
        <v>8.9026266635268136E-3</v>
      </c>
      <c r="S477" s="33">
        <f t="shared" si="103"/>
        <v>-6.6662239774724075E-3</v>
      </c>
    </row>
    <row r="478" spans="1:19" x14ac:dyDescent="0.25">
      <c r="A478" t="s">
        <v>38</v>
      </c>
      <c r="B478" s="65">
        <v>4</v>
      </c>
      <c r="C478" t="s">
        <v>14</v>
      </c>
      <c r="D478" s="69">
        <v>15408</v>
      </c>
      <c r="E478" s="68">
        <v>15876</v>
      </c>
      <c r="F478" s="68">
        <v>15872</v>
      </c>
      <c r="G478" s="13">
        <f t="shared" si="91"/>
        <v>-4</v>
      </c>
      <c r="H478" s="13">
        <f t="shared" si="92"/>
        <v>464</v>
      </c>
      <c r="I478" s="73">
        <f t="shared" si="93"/>
        <v>3.0114226375908659E-2</v>
      </c>
      <c r="J478" s="73">
        <f t="shared" si="94"/>
        <v>-2.5195263290500591E-4</v>
      </c>
      <c r="K478" s="72" t="str">
        <f t="shared" si="95"/>
        <v>GM2</v>
      </c>
      <c r="L478" s="72" t="str">
        <f t="shared" si="96"/>
        <v>APRIL-4-GM2</v>
      </c>
      <c r="M478" s="73">
        <f t="shared" si="97"/>
        <v>0.40587633359271624</v>
      </c>
      <c r="N478" s="73">
        <f t="shared" si="98"/>
        <v>-0.10240353423334314</v>
      </c>
      <c r="O478" s="13">
        <f t="shared" si="99"/>
        <v>874798</v>
      </c>
      <c r="P478" s="13">
        <f t="shared" si="100"/>
        <v>888509</v>
      </c>
      <c r="Q478" s="13">
        <f t="shared" si="101"/>
        <v>882586</v>
      </c>
      <c r="R478" s="33">
        <f t="shared" si="102"/>
        <v>8.9026266635268136E-3</v>
      </c>
      <c r="S478" s="33">
        <f t="shared" si="103"/>
        <v>-6.6662239774724075E-3</v>
      </c>
    </row>
    <row r="479" spans="1:19" x14ac:dyDescent="0.25">
      <c r="A479" t="s">
        <v>38</v>
      </c>
      <c r="B479" s="65">
        <v>4</v>
      </c>
      <c r="C479" t="s">
        <v>14</v>
      </c>
      <c r="D479" s="69">
        <v>4896</v>
      </c>
      <c r="E479">
        <v>4954</v>
      </c>
      <c r="F479" s="68">
        <v>4944</v>
      </c>
      <c r="G479" s="13">
        <f t="shared" si="91"/>
        <v>-10</v>
      </c>
      <c r="H479" s="13">
        <f t="shared" si="92"/>
        <v>48</v>
      </c>
      <c r="I479" s="73">
        <f t="shared" si="93"/>
        <v>9.8039215686274161E-3</v>
      </c>
      <c r="J479" s="73">
        <f t="shared" si="94"/>
        <v>-2.0185708518368761E-3</v>
      </c>
      <c r="K479" s="72" t="str">
        <f t="shared" si="95"/>
        <v>GM2</v>
      </c>
      <c r="L479" s="72" t="str">
        <f t="shared" si="96"/>
        <v>APRIL-4-GM2</v>
      </c>
      <c r="M479" s="73">
        <f t="shared" si="97"/>
        <v>0.40587633359271624</v>
      </c>
      <c r="N479" s="73">
        <f t="shared" si="98"/>
        <v>-0.10240353423334314</v>
      </c>
      <c r="O479" s="13">
        <f t="shared" si="99"/>
        <v>874798</v>
      </c>
      <c r="P479" s="13">
        <f t="shared" si="100"/>
        <v>888509</v>
      </c>
      <c r="Q479" s="13">
        <f t="shared" si="101"/>
        <v>882586</v>
      </c>
      <c r="R479" s="33">
        <f t="shared" si="102"/>
        <v>8.9026266635268136E-3</v>
      </c>
      <c r="S479" s="33">
        <f t="shared" si="103"/>
        <v>-6.6662239774724075E-3</v>
      </c>
    </row>
    <row r="480" spans="1:19" x14ac:dyDescent="0.25">
      <c r="A480" t="s">
        <v>38</v>
      </c>
      <c r="B480" s="65">
        <v>4</v>
      </c>
      <c r="C480" t="s">
        <v>14</v>
      </c>
      <c r="D480" s="69">
        <v>7200</v>
      </c>
      <c r="E480">
        <v>7281</v>
      </c>
      <c r="F480" s="68">
        <v>7288</v>
      </c>
      <c r="G480" s="13">
        <f t="shared" si="91"/>
        <v>7</v>
      </c>
      <c r="H480" s="13">
        <f t="shared" si="92"/>
        <v>88</v>
      </c>
      <c r="I480" s="73">
        <f t="shared" si="93"/>
        <v>1.2222222222222134E-2</v>
      </c>
      <c r="J480" s="73">
        <f t="shared" si="94"/>
        <v>9.6140640021968871E-4</v>
      </c>
      <c r="K480" s="72" t="str">
        <f t="shared" si="95"/>
        <v>GM2</v>
      </c>
      <c r="L480" s="72" t="str">
        <f t="shared" si="96"/>
        <v>APRIL-4-GM2</v>
      </c>
      <c r="M480" s="73">
        <f t="shared" si="97"/>
        <v>0.40587633359271624</v>
      </c>
      <c r="N480" s="73">
        <f t="shared" si="98"/>
        <v>-0.10240353423334314</v>
      </c>
      <c r="O480" s="13">
        <f t="shared" si="99"/>
        <v>874798</v>
      </c>
      <c r="P480" s="13">
        <f t="shared" si="100"/>
        <v>888509</v>
      </c>
      <c r="Q480" s="13">
        <f t="shared" si="101"/>
        <v>882586</v>
      </c>
      <c r="R480" s="33">
        <f t="shared" si="102"/>
        <v>8.9026266635268136E-3</v>
      </c>
      <c r="S480" s="33">
        <f t="shared" si="103"/>
        <v>-6.6662239774724075E-3</v>
      </c>
    </row>
    <row r="481" spans="1:19" x14ac:dyDescent="0.25">
      <c r="A481" t="s">
        <v>38</v>
      </c>
      <c r="B481" s="65">
        <v>4</v>
      </c>
      <c r="C481" t="s">
        <v>14</v>
      </c>
      <c r="D481" s="69">
        <v>1584</v>
      </c>
      <c r="E481">
        <v>1608</v>
      </c>
      <c r="F481" s="68">
        <v>1600</v>
      </c>
      <c r="G481" s="13">
        <f t="shared" si="91"/>
        <v>-8</v>
      </c>
      <c r="H481" s="13">
        <f t="shared" si="92"/>
        <v>16</v>
      </c>
      <c r="I481" s="73">
        <f t="shared" si="93"/>
        <v>1.0101010101010166E-2</v>
      </c>
      <c r="J481" s="73">
        <f t="shared" si="94"/>
        <v>-4.9751243781094301E-3</v>
      </c>
      <c r="K481" s="72" t="str">
        <f t="shared" si="95"/>
        <v>GM2</v>
      </c>
      <c r="L481" s="72" t="str">
        <f t="shared" si="96"/>
        <v>APRIL-4-GM2</v>
      </c>
      <c r="M481" s="73">
        <f t="shared" si="97"/>
        <v>0.40587633359271624</v>
      </c>
      <c r="N481" s="73">
        <f t="shared" si="98"/>
        <v>-0.10240353423334314</v>
      </c>
      <c r="O481" s="13">
        <f t="shared" si="99"/>
        <v>874798</v>
      </c>
      <c r="P481" s="13">
        <f t="shared" si="100"/>
        <v>888509</v>
      </c>
      <c r="Q481" s="13">
        <f t="shared" si="101"/>
        <v>882586</v>
      </c>
      <c r="R481" s="33">
        <f t="shared" si="102"/>
        <v>8.9026266635268136E-3</v>
      </c>
      <c r="S481" s="33">
        <f t="shared" si="103"/>
        <v>-6.6662239774724075E-3</v>
      </c>
    </row>
    <row r="482" spans="1:19" x14ac:dyDescent="0.25">
      <c r="A482" t="s">
        <v>38</v>
      </c>
      <c r="B482" s="65">
        <v>4</v>
      </c>
      <c r="C482" t="s">
        <v>13</v>
      </c>
      <c r="D482" s="69">
        <v>62100</v>
      </c>
      <c r="E482" s="68">
        <v>62727</v>
      </c>
      <c r="F482" s="68">
        <v>62574</v>
      </c>
      <c r="G482" s="13">
        <f t="shared" si="91"/>
        <v>-153</v>
      </c>
      <c r="H482" s="13">
        <f t="shared" si="92"/>
        <v>474</v>
      </c>
      <c r="I482" s="73">
        <f t="shared" si="93"/>
        <v>7.6328502415459187E-3</v>
      </c>
      <c r="J482" s="73">
        <f t="shared" si="94"/>
        <v>-2.4391410397436308E-3</v>
      </c>
      <c r="K482" s="72" t="str">
        <f t="shared" si="95"/>
        <v>KALIBENDA</v>
      </c>
      <c r="L482" s="72" t="str">
        <f t="shared" si="96"/>
        <v>APRIL-4-KALIBENDA</v>
      </c>
      <c r="M482" s="73">
        <f t="shared" si="97"/>
        <v>1.8041160176029081E-2</v>
      </c>
      <c r="N482" s="73">
        <f t="shared" si="98"/>
        <v>-8.4661867608917252E-3</v>
      </c>
      <c r="O482" s="13">
        <f t="shared" si="99"/>
        <v>874798</v>
      </c>
      <c r="P482" s="13">
        <f t="shared" si="100"/>
        <v>888509</v>
      </c>
      <c r="Q482" s="13">
        <f t="shared" si="101"/>
        <v>882586</v>
      </c>
      <c r="R482" s="33">
        <f t="shared" si="102"/>
        <v>8.9026266635268136E-3</v>
      </c>
      <c r="S482" s="33">
        <f t="shared" si="103"/>
        <v>-6.6662239774724075E-3</v>
      </c>
    </row>
    <row r="483" spans="1:19" x14ac:dyDescent="0.25">
      <c r="A483" t="s">
        <v>38</v>
      </c>
      <c r="B483" s="65">
        <v>4</v>
      </c>
      <c r="C483" t="s">
        <v>13</v>
      </c>
      <c r="D483" s="69">
        <v>2592</v>
      </c>
      <c r="E483" s="68">
        <v>2622</v>
      </c>
      <c r="F483" s="68">
        <v>2613</v>
      </c>
      <c r="G483" s="13">
        <f t="shared" si="91"/>
        <v>-9</v>
      </c>
      <c r="H483" s="13">
        <f t="shared" si="92"/>
        <v>21</v>
      </c>
      <c r="I483" s="73">
        <f t="shared" si="93"/>
        <v>8.1018518518518601E-3</v>
      </c>
      <c r="J483" s="73">
        <f t="shared" si="94"/>
        <v>-3.4324942791762458E-3</v>
      </c>
      <c r="K483" s="72" t="str">
        <f t="shared" si="95"/>
        <v>KALIBENDA</v>
      </c>
      <c r="L483" s="72" t="str">
        <f t="shared" si="96"/>
        <v>APRIL-4-KALIBENDA</v>
      </c>
      <c r="M483" s="73">
        <f t="shared" si="97"/>
        <v>1.8041160176029081E-2</v>
      </c>
      <c r="N483" s="73">
        <f t="shared" si="98"/>
        <v>-8.4661867608917252E-3</v>
      </c>
      <c r="O483" s="13">
        <f t="shared" si="99"/>
        <v>874798</v>
      </c>
      <c r="P483" s="13">
        <f t="shared" si="100"/>
        <v>888509</v>
      </c>
      <c r="Q483" s="13">
        <f t="shared" si="101"/>
        <v>882586</v>
      </c>
      <c r="R483" s="33">
        <f t="shared" si="102"/>
        <v>8.9026266635268136E-3</v>
      </c>
      <c r="S483" s="33">
        <f t="shared" si="103"/>
        <v>-6.6662239774724075E-3</v>
      </c>
    </row>
    <row r="484" spans="1:19" x14ac:dyDescent="0.25">
      <c r="A484" t="s">
        <v>38</v>
      </c>
      <c r="B484" s="65">
        <v>4</v>
      </c>
      <c r="C484" t="s">
        <v>13</v>
      </c>
      <c r="D484" s="69">
        <v>29916</v>
      </c>
      <c r="E484" s="68">
        <v>30063</v>
      </c>
      <c r="F484" s="68">
        <v>29985</v>
      </c>
      <c r="G484" s="13">
        <f t="shared" si="91"/>
        <v>-78</v>
      </c>
      <c r="H484" s="13">
        <f t="shared" si="92"/>
        <v>69</v>
      </c>
      <c r="I484" s="73">
        <f t="shared" si="93"/>
        <v>2.3064580826313019E-3</v>
      </c>
      <c r="J484" s="73">
        <f t="shared" si="94"/>
        <v>-2.5945514419718485E-3</v>
      </c>
      <c r="K484" s="72" t="str">
        <f t="shared" si="95"/>
        <v>KALIBENDA</v>
      </c>
      <c r="L484" s="72" t="str">
        <f t="shared" si="96"/>
        <v>APRIL-4-KALIBENDA</v>
      </c>
      <c r="M484" s="73">
        <f t="shared" si="97"/>
        <v>1.8041160176029081E-2</v>
      </c>
      <c r="N484" s="73">
        <f t="shared" si="98"/>
        <v>-8.4661867608917252E-3</v>
      </c>
      <c r="O484" s="13">
        <f t="shared" si="99"/>
        <v>874798</v>
      </c>
      <c r="P484" s="13">
        <f t="shared" si="100"/>
        <v>888509</v>
      </c>
      <c r="Q484" s="13">
        <f t="shared" si="101"/>
        <v>882586</v>
      </c>
      <c r="R484" s="33">
        <f t="shared" si="102"/>
        <v>8.9026266635268136E-3</v>
      </c>
      <c r="S484" s="33">
        <f t="shared" si="103"/>
        <v>-6.6662239774724075E-3</v>
      </c>
    </row>
    <row r="485" spans="1:19" x14ac:dyDescent="0.25">
      <c r="A485" t="s">
        <v>39</v>
      </c>
      <c r="B485" s="65">
        <v>1</v>
      </c>
      <c r="C485" t="s">
        <v>16</v>
      </c>
      <c r="D485" s="67">
        <v>450</v>
      </c>
      <c r="E485" s="67">
        <v>466</v>
      </c>
      <c r="F485" s="67">
        <v>409</v>
      </c>
      <c r="G485" s="13">
        <f t="shared" si="91"/>
        <v>-57</v>
      </c>
      <c r="H485" s="13">
        <f t="shared" si="92"/>
        <v>-41</v>
      </c>
      <c r="I485" s="73">
        <f t="shared" si="93"/>
        <v>-9.1111111111111143E-2</v>
      </c>
      <c r="J485" s="73">
        <f t="shared" si="94"/>
        <v>-0.12231759656652363</v>
      </c>
      <c r="K485" s="72" t="str">
        <f t="shared" si="95"/>
        <v>ANUGERAH</v>
      </c>
      <c r="L485" s="72" t="str">
        <f t="shared" si="96"/>
        <v>MAY-1-ANUGERAH</v>
      </c>
      <c r="M485" s="73">
        <f t="shared" si="97"/>
        <v>-0.31210089635026961</v>
      </c>
      <c r="N485" s="73">
        <f t="shared" si="98"/>
        <v>-0.46664429335981128</v>
      </c>
      <c r="O485" s="13">
        <f t="shared" si="99"/>
        <v>1911391</v>
      </c>
      <c r="P485" s="13">
        <f t="shared" si="100"/>
        <v>1932701</v>
      </c>
      <c r="Q485" s="13">
        <f t="shared" si="101"/>
        <v>1917728</v>
      </c>
      <c r="R485" s="33">
        <f t="shared" si="102"/>
        <v>3.3153865430988194E-3</v>
      </c>
      <c r="S485" s="33">
        <f t="shared" si="103"/>
        <v>-7.7471890375179209E-3</v>
      </c>
    </row>
    <row r="486" spans="1:19" x14ac:dyDescent="0.25">
      <c r="A486" t="s">
        <v>39</v>
      </c>
      <c r="B486" s="65">
        <v>1</v>
      </c>
      <c r="C486" t="s">
        <v>16</v>
      </c>
      <c r="D486" s="67">
        <v>1050</v>
      </c>
      <c r="E486" s="67">
        <v>1059</v>
      </c>
      <c r="F486" s="67">
        <v>1050</v>
      </c>
      <c r="G486" s="13">
        <f t="shared" si="91"/>
        <v>-9</v>
      </c>
      <c r="H486" s="13">
        <f t="shared" si="92"/>
        <v>0</v>
      </c>
      <c r="I486" s="73">
        <f t="shared" si="93"/>
        <v>0</v>
      </c>
      <c r="J486" s="73">
        <f t="shared" si="94"/>
        <v>-8.4985835694051381E-3</v>
      </c>
      <c r="K486" s="72" t="str">
        <f t="shared" si="95"/>
        <v>ANUGERAH</v>
      </c>
      <c r="L486" s="72" t="str">
        <f t="shared" si="96"/>
        <v>MAY-1-ANUGERAH</v>
      </c>
      <c r="M486" s="73">
        <f t="shared" si="97"/>
        <v>-0.31210089635026961</v>
      </c>
      <c r="N486" s="73">
        <f t="shared" si="98"/>
        <v>-0.46664429335981128</v>
      </c>
      <c r="O486" s="13">
        <f t="shared" si="99"/>
        <v>1911391</v>
      </c>
      <c r="P486" s="13">
        <f t="shared" si="100"/>
        <v>1932701</v>
      </c>
      <c r="Q486" s="13">
        <f t="shared" si="101"/>
        <v>1917728</v>
      </c>
      <c r="R486" s="33">
        <f t="shared" si="102"/>
        <v>3.3153865430988194E-3</v>
      </c>
      <c r="S486" s="33">
        <f t="shared" si="103"/>
        <v>-7.7471890375179209E-3</v>
      </c>
    </row>
    <row r="487" spans="1:19" x14ac:dyDescent="0.25">
      <c r="A487" t="s">
        <v>39</v>
      </c>
      <c r="B487" s="65">
        <v>1</v>
      </c>
      <c r="C487" t="s">
        <v>16</v>
      </c>
      <c r="D487" s="67">
        <v>450</v>
      </c>
      <c r="E487" s="67">
        <v>482</v>
      </c>
      <c r="F487" s="67">
        <v>459</v>
      </c>
      <c r="G487" s="13">
        <f t="shared" si="91"/>
        <v>-23</v>
      </c>
      <c r="H487" s="13">
        <f t="shared" si="92"/>
        <v>9</v>
      </c>
      <c r="I487" s="73">
        <f t="shared" si="93"/>
        <v>2.0000000000000018E-2</v>
      </c>
      <c r="J487" s="73">
        <f t="shared" si="94"/>
        <v>-4.7717842323651505E-2</v>
      </c>
      <c r="K487" s="72" t="str">
        <f t="shared" si="95"/>
        <v>ANUGERAH</v>
      </c>
      <c r="L487" s="72" t="str">
        <f t="shared" si="96"/>
        <v>MAY-1-ANUGERAH</v>
      </c>
      <c r="M487" s="73">
        <f t="shared" si="97"/>
        <v>-0.31210089635026961</v>
      </c>
      <c r="N487" s="73">
        <f t="shared" si="98"/>
        <v>-0.46664429335981128</v>
      </c>
      <c r="O487" s="13">
        <f t="shared" si="99"/>
        <v>1911391</v>
      </c>
      <c r="P487" s="13">
        <f t="shared" si="100"/>
        <v>1932701</v>
      </c>
      <c r="Q487" s="13">
        <f t="shared" si="101"/>
        <v>1917728</v>
      </c>
      <c r="R487" s="33">
        <f t="shared" si="102"/>
        <v>3.3153865430988194E-3</v>
      </c>
      <c r="S487" s="33">
        <f t="shared" si="103"/>
        <v>-7.7471890375179209E-3</v>
      </c>
    </row>
    <row r="488" spans="1:19" x14ac:dyDescent="0.25">
      <c r="A488" t="s">
        <v>39</v>
      </c>
      <c r="B488" s="65">
        <v>1</v>
      </c>
      <c r="C488" t="s">
        <v>16</v>
      </c>
      <c r="D488" s="67">
        <v>1050</v>
      </c>
      <c r="E488" s="67">
        <v>1059</v>
      </c>
      <c r="F488" s="67">
        <v>1050</v>
      </c>
      <c r="G488" s="13">
        <f t="shared" si="91"/>
        <v>-9</v>
      </c>
      <c r="H488" s="13">
        <f t="shared" si="92"/>
        <v>0</v>
      </c>
      <c r="I488" s="73">
        <f t="shared" si="93"/>
        <v>0</v>
      </c>
      <c r="J488" s="73">
        <f t="shared" si="94"/>
        <v>-8.4985835694051381E-3</v>
      </c>
      <c r="K488" s="72" t="str">
        <f t="shared" si="95"/>
        <v>ANUGERAH</v>
      </c>
      <c r="L488" s="72" t="str">
        <f t="shared" si="96"/>
        <v>MAY-1-ANUGERAH</v>
      </c>
      <c r="M488" s="73">
        <f t="shared" si="97"/>
        <v>-0.31210089635026961</v>
      </c>
      <c r="N488" s="73">
        <f t="shared" si="98"/>
        <v>-0.46664429335981128</v>
      </c>
      <c r="O488" s="13">
        <f t="shared" si="99"/>
        <v>1911391</v>
      </c>
      <c r="P488" s="13">
        <f t="shared" si="100"/>
        <v>1932701</v>
      </c>
      <c r="Q488" s="13">
        <f t="shared" si="101"/>
        <v>1917728</v>
      </c>
      <c r="R488" s="33">
        <f t="shared" si="102"/>
        <v>3.3153865430988194E-3</v>
      </c>
      <c r="S488" s="33">
        <f t="shared" si="103"/>
        <v>-7.7471890375179209E-3</v>
      </c>
    </row>
    <row r="489" spans="1:19" x14ac:dyDescent="0.25">
      <c r="A489" t="s">
        <v>39</v>
      </c>
      <c r="B489" s="65">
        <v>1</v>
      </c>
      <c r="C489" t="s">
        <v>16</v>
      </c>
      <c r="D489" s="67">
        <v>300</v>
      </c>
      <c r="E489" s="67">
        <v>299</v>
      </c>
      <c r="F489" s="67">
        <v>269</v>
      </c>
      <c r="G489" s="13">
        <f t="shared" si="91"/>
        <v>-30</v>
      </c>
      <c r="H489" s="13">
        <f t="shared" si="92"/>
        <v>-31</v>
      </c>
      <c r="I489" s="73">
        <f t="shared" si="93"/>
        <v>-0.10333333333333339</v>
      </c>
      <c r="J489" s="73">
        <f t="shared" si="94"/>
        <v>-0.10033444816053516</v>
      </c>
      <c r="K489" s="72" t="str">
        <f t="shared" si="95"/>
        <v>ANUGERAH</v>
      </c>
      <c r="L489" s="72" t="str">
        <f t="shared" si="96"/>
        <v>MAY-1-ANUGERAH</v>
      </c>
      <c r="M489" s="73">
        <f t="shared" si="97"/>
        <v>-0.31210089635026961</v>
      </c>
      <c r="N489" s="73">
        <f t="shared" si="98"/>
        <v>-0.46664429335981128</v>
      </c>
      <c r="O489" s="13">
        <f t="shared" si="99"/>
        <v>1911391</v>
      </c>
      <c r="P489" s="13">
        <f t="shared" si="100"/>
        <v>1932701</v>
      </c>
      <c r="Q489" s="13">
        <f t="shared" si="101"/>
        <v>1917728</v>
      </c>
      <c r="R489" s="33">
        <f t="shared" si="102"/>
        <v>3.3153865430988194E-3</v>
      </c>
      <c r="S489" s="33">
        <f t="shared" si="103"/>
        <v>-7.7471890375179209E-3</v>
      </c>
    </row>
    <row r="490" spans="1:19" x14ac:dyDescent="0.25">
      <c r="A490" t="s">
        <v>39</v>
      </c>
      <c r="B490" s="65">
        <v>1</v>
      </c>
      <c r="C490" t="s">
        <v>16</v>
      </c>
      <c r="D490" s="67">
        <v>900</v>
      </c>
      <c r="E490" s="67">
        <v>926</v>
      </c>
      <c r="F490" s="67">
        <v>900</v>
      </c>
      <c r="G490" s="13">
        <f t="shared" si="91"/>
        <v>-26</v>
      </c>
      <c r="H490" s="13">
        <f t="shared" si="92"/>
        <v>0</v>
      </c>
      <c r="I490" s="73">
        <f t="shared" si="93"/>
        <v>0</v>
      </c>
      <c r="J490" s="73">
        <f t="shared" si="94"/>
        <v>-2.8077753779697678E-2</v>
      </c>
      <c r="K490" s="72" t="str">
        <f t="shared" si="95"/>
        <v>ANUGERAH</v>
      </c>
      <c r="L490" s="72" t="str">
        <f t="shared" si="96"/>
        <v>MAY-1-ANUGERAH</v>
      </c>
      <c r="M490" s="73">
        <f t="shared" si="97"/>
        <v>-0.31210089635026961</v>
      </c>
      <c r="N490" s="73">
        <f t="shared" si="98"/>
        <v>-0.46664429335981128</v>
      </c>
      <c r="O490" s="13">
        <f t="shared" si="99"/>
        <v>1911391</v>
      </c>
      <c r="P490" s="13">
        <f t="shared" si="100"/>
        <v>1932701</v>
      </c>
      <c r="Q490" s="13">
        <f t="shared" si="101"/>
        <v>1917728</v>
      </c>
      <c r="R490" s="33">
        <f t="shared" si="102"/>
        <v>3.3153865430988194E-3</v>
      </c>
      <c r="S490" s="33">
        <f t="shared" si="103"/>
        <v>-7.7471890375179209E-3</v>
      </c>
    </row>
    <row r="491" spans="1:19" x14ac:dyDescent="0.25">
      <c r="A491" t="s">
        <v>39</v>
      </c>
      <c r="B491" s="65">
        <v>1</v>
      </c>
      <c r="C491" t="s">
        <v>16</v>
      </c>
      <c r="D491" s="67">
        <v>450</v>
      </c>
      <c r="E491" s="67">
        <v>460</v>
      </c>
      <c r="F491" s="67">
        <v>433</v>
      </c>
      <c r="G491" s="13">
        <f t="shared" si="91"/>
        <v>-27</v>
      </c>
      <c r="H491" s="13">
        <f t="shared" si="92"/>
        <v>-17</v>
      </c>
      <c r="I491" s="73">
        <f t="shared" si="93"/>
        <v>-3.7777777777777799E-2</v>
      </c>
      <c r="J491" s="73">
        <f t="shared" si="94"/>
        <v>-5.8695652173913038E-2</v>
      </c>
      <c r="K491" s="72" t="str">
        <f t="shared" si="95"/>
        <v>ANUGERAH</v>
      </c>
      <c r="L491" s="72" t="str">
        <f t="shared" si="96"/>
        <v>MAY-1-ANUGERAH</v>
      </c>
      <c r="M491" s="73">
        <f t="shared" si="97"/>
        <v>-0.31210089635026961</v>
      </c>
      <c r="N491" s="73">
        <f t="shared" si="98"/>
        <v>-0.46664429335981128</v>
      </c>
      <c r="O491" s="13">
        <f t="shared" si="99"/>
        <v>1911391</v>
      </c>
      <c r="P491" s="13">
        <f t="shared" si="100"/>
        <v>1932701</v>
      </c>
      <c r="Q491" s="13">
        <f t="shared" si="101"/>
        <v>1917728</v>
      </c>
      <c r="R491" s="33">
        <f t="shared" si="102"/>
        <v>3.3153865430988194E-3</v>
      </c>
      <c r="S491" s="33">
        <f t="shared" si="103"/>
        <v>-7.7471890375179209E-3</v>
      </c>
    </row>
    <row r="492" spans="1:19" x14ac:dyDescent="0.25">
      <c r="A492" t="s">
        <v>39</v>
      </c>
      <c r="B492" s="65">
        <v>1</v>
      </c>
      <c r="C492" t="s">
        <v>16</v>
      </c>
      <c r="D492" s="67">
        <v>1050</v>
      </c>
      <c r="E492" s="67">
        <v>1088</v>
      </c>
      <c r="F492" s="67">
        <v>1050</v>
      </c>
      <c r="G492" s="13">
        <f t="shared" si="91"/>
        <v>-38</v>
      </c>
      <c r="H492" s="13">
        <f t="shared" si="92"/>
        <v>0</v>
      </c>
      <c r="I492" s="73">
        <f t="shared" si="93"/>
        <v>0</v>
      </c>
      <c r="J492" s="73">
        <f t="shared" si="94"/>
        <v>-3.4926470588235281E-2</v>
      </c>
      <c r="K492" s="72" t="str">
        <f t="shared" si="95"/>
        <v>ANUGERAH</v>
      </c>
      <c r="L492" s="72" t="str">
        <f t="shared" si="96"/>
        <v>MAY-1-ANUGERAH</v>
      </c>
      <c r="M492" s="73">
        <f t="shared" si="97"/>
        <v>-0.31210089635026961</v>
      </c>
      <c r="N492" s="73">
        <f t="shared" si="98"/>
        <v>-0.46664429335981128</v>
      </c>
      <c r="O492" s="13">
        <f t="shared" si="99"/>
        <v>1911391</v>
      </c>
      <c r="P492" s="13">
        <f t="shared" si="100"/>
        <v>1932701</v>
      </c>
      <c r="Q492" s="13">
        <f t="shared" si="101"/>
        <v>1917728</v>
      </c>
      <c r="R492" s="33">
        <f t="shared" si="102"/>
        <v>3.3153865430988194E-3</v>
      </c>
      <c r="S492" s="33">
        <f t="shared" si="103"/>
        <v>-7.7471890375179209E-3</v>
      </c>
    </row>
    <row r="493" spans="1:19" x14ac:dyDescent="0.25">
      <c r="A493" t="s">
        <v>39</v>
      </c>
      <c r="B493" s="65">
        <v>1</v>
      </c>
      <c r="C493" t="s">
        <v>16</v>
      </c>
      <c r="D493" s="67">
        <v>119000</v>
      </c>
      <c r="E493" s="67">
        <v>116056</v>
      </c>
      <c r="F493" s="67">
        <v>115314</v>
      </c>
      <c r="G493" s="13">
        <f t="shared" si="91"/>
        <v>-742</v>
      </c>
      <c r="H493" s="13">
        <f t="shared" si="92"/>
        <v>-3686</v>
      </c>
      <c r="I493" s="73">
        <f t="shared" si="93"/>
        <v>-3.0974789915966361E-2</v>
      </c>
      <c r="J493" s="73">
        <f t="shared" si="94"/>
        <v>-6.3934652236851131E-3</v>
      </c>
      <c r="K493" s="72" t="str">
        <f t="shared" si="95"/>
        <v>ANUGERAH</v>
      </c>
      <c r="L493" s="72" t="str">
        <f t="shared" si="96"/>
        <v>MAY-1-ANUGERAH</v>
      </c>
      <c r="M493" s="73">
        <f t="shared" si="97"/>
        <v>-0.31210089635026961</v>
      </c>
      <c r="N493" s="73">
        <f t="shared" si="98"/>
        <v>-0.46664429335981128</v>
      </c>
      <c r="O493" s="13">
        <f t="shared" si="99"/>
        <v>1911391</v>
      </c>
      <c r="P493" s="13">
        <f t="shared" si="100"/>
        <v>1932701</v>
      </c>
      <c r="Q493" s="13">
        <f t="shared" si="101"/>
        <v>1917728</v>
      </c>
      <c r="R493" s="33">
        <f t="shared" si="102"/>
        <v>3.3153865430988194E-3</v>
      </c>
      <c r="S493" s="33">
        <f t="shared" si="103"/>
        <v>-7.7471890375179209E-3</v>
      </c>
    </row>
    <row r="494" spans="1:19" x14ac:dyDescent="0.25">
      <c r="A494" t="s">
        <v>39</v>
      </c>
      <c r="B494" s="65">
        <v>1</v>
      </c>
      <c r="C494" t="s">
        <v>16</v>
      </c>
      <c r="D494" s="67">
        <v>122000</v>
      </c>
      <c r="E494" s="67">
        <v>122000</v>
      </c>
      <c r="F494" s="67">
        <v>121214</v>
      </c>
      <c r="G494" s="13">
        <f t="shared" si="91"/>
        <v>-786</v>
      </c>
      <c r="H494" s="13">
        <f t="shared" si="92"/>
        <v>-786</v>
      </c>
      <c r="I494" s="73">
        <f t="shared" si="93"/>
        <v>-6.4426229508196542E-3</v>
      </c>
      <c r="J494" s="73">
        <f t="shared" si="94"/>
        <v>-6.4426229508196542E-3</v>
      </c>
      <c r="K494" s="72" t="str">
        <f t="shared" si="95"/>
        <v>ANUGERAH</v>
      </c>
      <c r="L494" s="72" t="str">
        <f t="shared" si="96"/>
        <v>MAY-1-ANUGERAH</v>
      </c>
      <c r="M494" s="73">
        <f t="shared" si="97"/>
        <v>-0.31210089635026961</v>
      </c>
      <c r="N494" s="73">
        <f t="shared" si="98"/>
        <v>-0.46664429335981128</v>
      </c>
      <c r="O494" s="13">
        <f t="shared" si="99"/>
        <v>1911391</v>
      </c>
      <c r="P494" s="13">
        <f t="shared" si="100"/>
        <v>1932701</v>
      </c>
      <c r="Q494" s="13">
        <f t="shared" si="101"/>
        <v>1917728</v>
      </c>
      <c r="R494" s="33">
        <f t="shared" si="102"/>
        <v>3.3153865430988194E-3</v>
      </c>
      <c r="S494" s="33">
        <f t="shared" si="103"/>
        <v>-7.7471890375179209E-3</v>
      </c>
    </row>
    <row r="495" spans="1:19" x14ac:dyDescent="0.25">
      <c r="A495" t="s">
        <v>39</v>
      </c>
      <c r="B495" s="65">
        <v>1</v>
      </c>
      <c r="C495" t="s">
        <v>16</v>
      </c>
      <c r="D495" s="67">
        <v>80000</v>
      </c>
      <c r="E495" s="67">
        <v>79164</v>
      </c>
      <c r="F495" s="67">
        <v>78176</v>
      </c>
      <c r="G495" s="13">
        <f t="shared" si="91"/>
        <v>-988</v>
      </c>
      <c r="H495" s="13">
        <f t="shared" si="92"/>
        <v>-1824</v>
      </c>
      <c r="I495" s="73">
        <f t="shared" si="93"/>
        <v>-2.2800000000000042E-2</v>
      </c>
      <c r="J495" s="73">
        <f t="shared" si="94"/>
        <v>-1.2480420393107927E-2</v>
      </c>
      <c r="K495" s="72" t="str">
        <f t="shared" si="95"/>
        <v>ANUGERAH</v>
      </c>
      <c r="L495" s="72" t="str">
        <f t="shared" si="96"/>
        <v>MAY-1-ANUGERAH</v>
      </c>
      <c r="M495" s="73">
        <f t="shared" si="97"/>
        <v>-0.31210089635026961</v>
      </c>
      <c r="N495" s="73">
        <f t="shared" si="98"/>
        <v>-0.46664429335981128</v>
      </c>
      <c r="O495" s="13">
        <f t="shared" si="99"/>
        <v>1911391</v>
      </c>
      <c r="P495" s="13">
        <f t="shared" si="100"/>
        <v>1932701</v>
      </c>
      <c r="Q495" s="13">
        <f t="shared" si="101"/>
        <v>1917728</v>
      </c>
      <c r="R495" s="33">
        <f t="shared" si="102"/>
        <v>3.3153865430988194E-3</v>
      </c>
      <c r="S495" s="33">
        <f t="shared" si="103"/>
        <v>-7.7471890375179209E-3</v>
      </c>
    </row>
    <row r="496" spans="1:19" x14ac:dyDescent="0.25">
      <c r="A496" t="s">
        <v>39</v>
      </c>
      <c r="B496" s="65">
        <v>1</v>
      </c>
      <c r="C496" t="s">
        <v>16</v>
      </c>
      <c r="D496" s="67">
        <v>55500</v>
      </c>
      <c r="E496" s="67">
        <v>55357</v>
      </c>
      <c r="F496" s="67">
        <v>54949</v>
      </c>
      <c r="G496" s="13">
        <f t="shared" si="91"/>
        <v>-408</v>
      </c>
      <c r="H496" s="13">
        <f t="shared" si="92"/>
        <v>-551</v>
      </c>
      <c r="I496" s="73">
        <f t="shared" si="93"/>
        <v>-9.9279279279279598E-3</v>
      </c>
      <c r="J496" s="73">
        <f t="shared" si="94"/>
        <v>-7.3703416008815692E-3</v>
      </c>
      <c r="K496" s="72" t="str">
        <f t="shared" si="95"/>
        <v>ANUGERAH</v>
      </c>
      <c r="L496" s="72" t="str">
        <f t="shared" si="96"/>
        <v>MAY-1-ANUGERAH</v>
      </c>
      <c r="M496" s="73">
        <f t="shared" si="97"/>
        <v>-0.31210089635026961</v>
      </c>
      <c r="N496" s="73">
        <f t="shared" si="98"/>
        <v>-0.46664429335981128</v>
      </c>
      <c r="O496" s="13">
        <f t="shared" si="99"/>
        <v>1911391</v>
      </c>
      <c r="P496" s="13">
        <f t="shared" si="100"/>
        <v>1932701</v>
      </c>
      <c r="Q496" s="13">
        <f t="shared" si="101"/>
        <v>1917728</v>
      </c>
      <c r="R496" s="33">
        <f t="shared" si="102"/>
        <v>3.3153865430988194E-3</v>
      </c>
      <c r="S496" s="33">
        <f t="shared" si="103"/>
        <v>-7.7471890375179209E-3</v>
      </c>
    </row>
    <row r="497" spans="1:19" x14ac:dyDescent="0.25">
      <c r="A497" t="s">
        <v>39</v>
      </c>
      <c r="B497" s="65">
        <v>1</v>
      </c>
      <c r="C497" t="s">
        <v>16</v>
      </c>
      <c r="D497" s="67">
        <v>18000</v>
      </c>
      <c r="E497" s="67">
        <v>17967</v>
      </c>
      <c r="F497" s="67">
        <v>17688</v>
      </c>
      <c r="G497" s="13">
        <f t="shared" si="91"/>
        <v>-279</v>
      </c>
      <c r="H497" s="13">
        <f t="shared" si="92"/>
        <v>-312</v>
      </c>
      <c r="I497" s="73">
        <f t="shared" si="93"/>
        <v>-1.7333333333333312E-2</v>
      </c>
      <c r="J497" s="73">
        <f t="shared" si="94"/>
        <v>-1.5528468859575928E-2</v>
      </c>
      <c r="K497" s="72" t="str">
        <f t="shared" si="95"/>
        <v>ANUGERAH</v>
      </c>
      <c r="L497" s="72" t="str">
        <f t="shared" si="96"/>
        <v>MAY-1-ANUGERAH</v>
      </c>
      <c r="M497" s="73">
        <f t="shared" si="97"/>
        <v>-0.31210089635026961</v>
      </c>
      <c r="N497" s="73">
        <f t="shared" si="98"/>
        <v>-0.46664429335981128</v>
      </c>
      <c r="O497" s="13">
        <f t="shared" si="99"/>
        <v>1911391</v>
      </c>
      <c r="P497" s="13">
        <f t="shared" si="100"/>
        <v>1932701</v>
      </c>
      <c r="Q497" s="13">
        <f t="shared" si="101"/>
        <v>1917728</v>
      </c>
      <c r="R497" s="33">
        <f t="shared" si="102"/>
        <v>3.3153865430988194E-3</v>
      </c>
      <c r="S497" s="33">
        <f t="shared" si="103"/>
        <v>-7.7471890375179209E-3</v>
      </c>
    </row>
    <row r="498" spans="1:19" x14ac:dyDescent="0.25">
      <c r="A498" t="s">
        <v>39</v>
      </c>
      <c r="B498" s="65">
        <v>1</v>
      </c>
      <c r="C498" t="s">
        <v>16</v>
      </c>
      <c r="D498" s="67">
        <v>7500</v>
      </c>
      <c r="E498" s="67">
        <v>7477</v>
      </c>
      <c r="F498" s="67">
        <v>7407</v>
      </c>
      <c r="G498" s="13">
        <f t="shared" si="91"/>
        <v>-70</v>
      </c>
      <c r="H498" s="13">
        <f t="shared" si="92"/>
        <v>-93</v>
      </c>
      <c r="I498" s="73">
        <f t="shared" si="93"/>
        <v>-1.2399999999999967E-2</v>
      </c>
      <c r="J498" s="73">
        <f t="shared" si="94"/>
        <v>-9.3620436003745144E-3</v>
      </c>
      <c r="K498" s="72" t="str">
        <f t="shared" si="95"/>
        <v>ANUGERAH</v>
      </c>
      <c r="L498" s="72" t="str">
        <f t="shared" si="96"/>
        <v>MAY-1-ANUGERAH</v>
      </c>
      <c r="M498" s="73">
        <f t="shared" si="97"/>
        <v>-0.31210089635026961</v>
      </c>
      <c r="N498" s="73">
        <f t="shared" si="98"/>
        <v>-0.46664429335981128</v>
      </c>
      <c r="O498" s="13">
        <f t="shared" si="99"/>
        <v>1911391</v>
      </c>
      <c r="P498" s="13">
        <f t="shared" si="100"/>
        <v>1932701</v>
      </c>
      <c r="Q498" s="13">
        <f t="shared" si="101"/>
        <v>1917728</v>
      </c>
      <c r="R498" s="33">
        <f t="shared" si="102"/>
        <v>3.3153865430988194E-3</v>
      </c>
      <c r="S498" s="33">
        <f t="shared" si="103"/>
        <v>-7.7471890375179209E-3</v>
      </c>
    </row>
    <row r="499" spans="1:19" x14ac:dyDescent="0.25">
      <c r="A499" t="s">
        <v>39</v>
      </c>
      <c r="B499" s="65">
        <v>1</v>
      </c>
      <c r="C499" t="s">
        <v>10</v>
      </c>
      <c r="D499" s="67">
        <v>2830</v>
      </c>
      <c r="E499" s="67">
        <v>2852</v>
      </c>
      <c r="F499" s="67">
        <v>2830</v>
      </c>
      <c r="G499" s="13">
        <f t="shared" si="91"/>
        <v>-22</v>
      </c>
      <c r="H499" s="13">
        <f t="shared" si="92"/>
        <v>0</v>
      </c>
      <c r="I499" s="73">
        <f t="shared" si="93"/>
        <v>0</v>
      </c>
      <c r="J499" s="73">
        <f t="shared" si="94"/>
        <v>-7.7138849929874187E-3</v>
      </c>
      <c r="K499" s="72" t="str">
        <f t="shared" si="95"/>
        <v>CNJ2</v>
      </c>
      <c r="L499" s="72" t="str">
        <f t="shared" si="96"/>
        <v>MAY-1-CNJ2</v>
      </c>
      <c r="M499" s="73">
        <f t="shared" si="97"/>
        <v>0</v>
      </c>
      <c r="N499" s="73">
        <f t="shared" si="98"/>
        <v>-0.11913189747708564</v>
      </c>
      <c r="O499" s="13">
        <f t="shared" si="99"/>
        <v>1911391</v>
      </c>
      <c r="P499" s="13">
        <f t="shared" si="100"/>
        <v>1932701</v>
      </c>
      <c r="Q499" s="13">
        <f t="shared" si="101"/>
        <v>1917728</v>
      </c>
      <c r="R499" s="33">
        <f t="shared" si="102"/>
        <v>3.3153865430988194E-3</v>
      </c>
      <c r="S499" s="33">
        <f t="shared" si="103"/>
        <v>-7.7471890375179209E-3</v>
      </c>
    </row>
    <row r="500" spans="1:19" x14ac:dyDescent="0.25">
      <c r="A500" t="s">
        <v>39</v>
      </c>
      <c r="B500" s="65">
        <v>1</v>
      </c>
      <c r="C500" t="s">
        <v>10</v>
      </c>
      <c r="D500" s="67">
        <v>1860</v>
      </c>
      <c r="E500" s="67">
        <v>1878</v>
      </c>
      <c r="F500" s="67">
        <v>1860</v>
      </c>
      <c r="G500" s="13">
        <f t="shared" si="91"/>
        <v>-18</v>
      </c>
      <c r="H500" s="13">
        <f t="shared" si="92"/>
        <v>0</v>
      </c>
      <c r="I500" s="73">
        <f t="shared" si="93"/>
        <v>0</v>
      </c>
      <c r="J500" s="73">
        <f t="shared" si="94"/>
        <v>-9.5846645367412275E-3</v>
      </c>
      <c r="K500" s="72" t="str">
        <f t="shared" si="95"/>
        <v>CNJ2</v>
      </c>
      <c r="L500" s="72" t="str">
        <f t="shared" si="96"/>
        <v>MAY-1-CNJ2</v>
      </c>
      <c r="M500" s="73">
        <f t="shared" si="97"/>
        <v>0</v>
      </c>
      <c r="N500" s="73">
        <f t="shared" si="98"/>
        <v>-0.11913189747708564</v>
      </c>
      <c r="O500" s="13">
        <f t="shared" si="99"/>
        <v>1911391</v>
      </c>
      <c r="P500" s="13">
        <f t="shared" si="100"/>
        <v>1932701</v>
      </c>
      <c r="Q500" s="13">
        <f t="shared" si="101"/>
        <v>1917728</v>
      </c>
      <c r="R500" s="33">
        <f t="shared" si="102"/>
        <v>3.3153865430988194E-3</v>
      </c>
      <c r="S500" s="33">
        <f t="shared" si="103"/>
        <v>-7.7471890375179209E-3</v>
      </c>
    </row>
    <row r="501" spans="1:19" x14ac:dyDescent="0.25">
      <c r="A501" t="s">
        <v>39</v>
      </c>
      <c r="B501" s="65">
        <v>1</v>
      </c>
      <c r="C501" t="s">
        <v>10</v>
      </c>
      <c r="D501" s="67">
        <v>1710</v>
      </c>
      <c r="E501" s="67">
        <v>1737</v>
      </c>
      <c r="F501" s="67">
        <v>1710</v>
      </c>
      <c r="G501" s="13">
        <f t="shared" si="91"/>
        <v>-27</v>
      </c>
      <c r="H501" s="13">
        <f t="shared" si="92"/>
        <v>0</v>
      </c>
      <c r="I501" s="73">
        <f t="shared" si="93"/>
        <v>0</v>
      </c>
      <c r="J501" s="73">
        <f t="shared" si="94"/>
        <v>-1.5544041450777257E-2</v>
      </c>
      <c r="K501" s="72" t="str">
        <f t="shared" si="95"/>
        <v>CNJ2</v>
      </c>
      <c r="L501" s="72" t="str">
        <f t="shared" si="96"/>
        <v>MAY-1-CNJ2</v>
      </c>
      <c r="M501" s="73">
        <f t="shared" si="97"/>
        <v>0</v>
      </c>
      <c r="N501" s="73">
        <f t="shared" si="98"/>
        <v>-0.11913189747708564</v>
      </c>
      <c r="O501" s="13">
        <f t="shared" si="99"/>
        <v>1911391</v>
      </c>
      <c r="P501" s="13">
        <f t="shared" si="100"/>
        <v>1932701</v>
      </c>
      <c r="Q501" s="13">
        <f t="shared" si="101"/>
        <v>1917728</v>
      </c>
      <c r="R501" s="33">
        <f t="shared" si="102"/>
        <v>3.3153865430988194E-3</v>
      </c>
      <c r="S501" s="33">
        <f t="shared" si="103"/>
        <v>-7.7471890375179209E-3</v>
      </c>
    </row>
    <row r="502" spans="1:19" x14ac:dyDescent="0.25">
      <c r="A502" t="s">
        <v>39</v>
      </c>
      <c r="B502" s="65">
        <v>1</v>
      </c>
      <c r="C502" t="s">
        <v>10</v>
      </c>
      <c r="D502" s="67">
        <v>900</v>
      </c>
      <c r="E502" s="67">
        <v>913</v>
      </c>
      <c r="F502" s="67">
        <v>900</v>
      </c>
      <c r="G502" s="13">
        <f t="shared" si="91"/>
        <v>-13</v>
      </c>
      <c r="H502" s="13">
        <f t="shared" si="92"/>
        <v>0</v>
      </c>
      <c r="I502" s="73">
        <f t="shared" si="93"/>
        <v>0</v>
      </c>
      <c r="J502" s="73">
        <f t="shared" si="94"/>
        <v>-1.4238773274917849E-2</v>
      </c>
      <c r="K502" s="72" t="str">
        <f t="shared" si="95"/>
        <v>CNJ2</v>
      </c>
      <c r="L502" s="72" t="str">
        <f t="shared" si="96"/>
        <v>MAY-1-CNJ2</v>
      </c>
      <c r="M502" s="73">
        <f t="shared" si="97"/>
        <v>0</v>
      </c>
      <c r="N502" s="73">
        <f t="shared" si="98"/>
        <v>-0.11913189747708564</v>
      </c>
      <c r="O502" s="13">
        <f t="shared" si="99"/>
        <v>1911391</v>
      </c>
      <c r="P502" s="13">
        <f t="shared" si="100"/>
        <v>1932701</v>
      </c>
      <c r="Q502" s="13">
        <f t="shared" si="101"/>
        <v>1917728</v>
      </c>
      <c r="R502" s="33">
        <f t="shared" si="102"/>
        <v>3.3153865430988194E-3</v>
      </c>
      <c r="S502" s="33">
        <f t="shared" si="103"/>
        <v>-7.7471890375179209E-3</v>
      </c>
    </row>
    <row r="503" spans="1:19" x14ac:dyDescent="0.25">
      <c r="A503" t="s">
        <v>39</v>
      </c>
      <c r="B503" s="65">
        <v>1</v>
      </c>
      <c r="C503" t="s">
        <v>10</v>
      </c>
      <c r="D503" s="67">
        <v>1600</v>
      </c>
      <c r="E503" s="67">
        <v>1626</v>
      </c>
      <c r="F503" s="67">
        <v>1600</v>
      </c>
      <c r="G503" s="13">
        <f t="shared" si="91"/>
        <v>-26</v>
      </c>
      <c r="H503" s="13">
        <f t="shared" si="92"/>
        <v>0</v>
      </c>
      <c r="I503" s="73">
        <f t="shared" si="93"/>
        <v>0</v>
      </c>
      <c r="J503" s="73">
        <f t="shared" si="94"/>
        <v>-1.5990159901599021E-2</v>
      </c>
      <c r="K503" s="72" t="str">
        <f t="shared" si="95"/>
        <v>CNJ2</v>
      </c>
      <c r="L503" s="72" t="str">
        <f t="shared" si="96"/>
        <v>MAY-1-CNJ2</v>
      </c>
      <c r="M503" s="73">
        <f t="shared" si="97"/>
        <v>0</v>
      </c>
      <c r="N503" s="73">
        <f t="shared" si="98"/>
        <v>-0.11913189747708564</v>
      </c>
      <c r="O503" s="13">
        <f t="shared" si="99"/>
        <v>1911391</v>
      </c>
      <c r="P503" s="13">
        <f t="shared" si="100"/>
        <v>1932701</v>
      </c>
      <c r="Q503" s="13">
        <f t="shared" si="101"/>
        <v>1917728</v>
      </c>
      <c r="R503" s="33">
        <f t="shared" si="102"/>
        <v>3.3153865430988194E-3</v>
      </c>
      <c r="S503" s="33">
        <f t="shared" si="103"/>
        <v>-7.7471890375179209E-3</v>
      </c>
    </row>
    <row r="504" spans="1:19" x14ac:dyDescent="0.25">
      <c r="A504" t="s">
        <v>39</v>
      </c>
      <c r="B504" s="65">
        <v>1</v>
      </c>
      <c r="C504" t="s">
        <v>10</v>
      </c>
      <c r="D504" s="67">
        <v>2100</v>
      </c>
      <c r="E504" s="67">
        <v>2184</v>
      </c>
      <c r="F504" s="67">
        <v>2100</v>
      </c>
      <c r="G504" s="13">
        <f t="shared" si="91"/>
        <v>-84</v>
      </c>
      <c r="H504" s="13">
        <f t="shared" si="92"/>
        <v>0</v>
      </c>
      <c r="I504" s="73">
        <f t="shared" si="93"/>
        <v>0</v>
      </c>
      <c r="J504" s="73">
        <f t="shared" si="94"/>
        <v>-3.8461538461538436E-2</v>
      </c>
      <c r="K504" s="72" t="str">
        <f t="shared" si="95"/>
        <v>CNJ2</v>
      </c>
      <c r="L504" s="72" t="str">
        <f t="shared" si="96"/>
        <v>MAY-1-CNJ2</v>
      </c>
      <c r="M504" s="73">
        <f t="shared" si="97"/>
        <v>0</v>
      </c>
      <c r="N504" s="73">
        <f t="shared" si="98"/>
        <v>-0.11913189747708564</v>
      </c>
      <c r="O504" s="13">
        <f t="shared" si="99"/>
        <v>1911391</v>
      </c>
      <c r="P504" s="13">
        <f t="shared" si="100"/>
        <v>1932701</v>
      </c>
      <c r="Q504" s="13">
        <f t="shared" si="101"/>
        <v>1917728</v>
      </c>
      <c r="R504" s="33">
        <f t="shared" si="102"/>
        <v>3.3153865430988194E-3</v>
      </c>
      <c r="S504" s="33">
        <f t="shared" si="103"/>
        <v>-7.7471890375179209E-3</v>
      </c>
    </row>
    <row r="505" spans="1:19" x14ac:dyDescent="0.25">
      <c r="A505" t="s">
        <v>39</v>
      </c>
      <c r="B505" s="65">
        <v>1</v>
      </c>
      <c r="C505" t="s">
        <v>10</v>
      </c>
      <c r="D505" s="67">
        <v>2000</v>
      </c>
      <c r="E505" s="67">
        <v>2024</v>
      </c>
      <c r="F505" s="67">
        <v>2000</v>
      </c>
      <c r="G505" s="13">
        <f t="shared" si="91"/>
        <v>-24</v>
      </c>
      <c r="H505" s="13">
        <f t="shared" si="92"/>
        <v>0</v>
      </c>
      <c r="I505" s="73">
        <f t="shared" si="93"/>
        <v>0</v>
      </c>
      <c r="J505" s="73">
        <f t="shared" si="94"/>
        <v>-1.1857707509881465E-2</v>
      </c>
      <c r="K505" s="72" t="str">
        <f t="shared" si="95"/>
        <v>CNJ2</v>
      </c>
      <c r="L505" s="72" t="str">
        <f t="shared" si="96"/>
        <v>MAY-1-CNJ2</v>
      </c>
      <c r="M505" s="73">
        <f t="shared" si="97"/>
        <v>0</v>
      </c>
      <c r="N505" s="73">
        <f t="shared" si="98"/>
        <v>-0.11913189747708564</v>
      </c>
      <c r="O505" s="13">
        <f t="shared" si="99"/>
        <v>1911391</v>
      </c>
      <c r="P505" s="13">
        <f t="shared" si="100"/>
        <v>1932701</v>
      </c>
      <c r="Q505" s="13">
        <f t="shared" si="101"/>
        <v>1917728</v>
      </c>
      <c r="R505" s="33">
        <f t="shared" si="102"/>
        <v>3.3153865430988194E-3</v>
      </c>
      <c r="S505" s="33">
        <f t="shared" si="103"/>
        <v>-7.7471890375179209E-3</v>
      </c>
    </row>
    <row r="506" spans="1:19" x14ac:dyDescent="0.25">
      <c r="A506" t="s">
        <v>39</v>
      </c>
      <c r="B506" s="65">
        <v>1</v>
      </c>
      <c r="C506" t="s">
        <v>10</v>
      </c>
      <c r="D506" s="67">
        <v>3810</v>
      </c>
      <c r="E506" s="67">
        <v>3832</v>
      </c>
      <c r="F506" s="67">
        <v>3810</v>
      </c>
      <c r="G506" s="13">
        <f t="shared" si="91"/>
        <v>-22</v>
      </c>
      <c r="H506" s="13">
        <f t="shared" si="92"/>
        <v>0</v>
      </c>
      <c r="I506" s="73">
        <f t="shared" si="93"/>
        <v>0</v>
      </c>
      <c r="J506" s="73">
        <f t="shared" si="94"/>
        <v>-5.7411273486429604E-3</v>
      </c>
      <c r="K506" s="72" t="str">
        <f t="shared" si="95"/>
        <v>CNJ2</v>
      </c>
      <c r="L506" s="72" t="str">
        <f t="shared" si="96"/>
        <v>MAY-1-CNJ2</v>
      </c>
      <c r="M506" s="73">
        <f t="shared" si="97"/>
        <v>0</v>
      </c>
      <c r="N506" s="73">
        <f t="shared" si="98"/>
        <v>-0.11913189747708564</v>
      </c>
      <c r="O506" s="13">
        <f t="shared" si="99"/>
        <v>1911391</v>
      </c>
      <c r="P506" s="13">
        <f t="shared" si="100"/>
        <v>1932701</v>
      </c>
      <c r="Q506" s="13">
        <f t="shared" si="101"/>
        <v>1917728</v>
      </c>
      <c r="R506" s="33">
        <f t="shared" si="102"/>
        <v>3.3153865430988194E-3</v>
      </c>
      <c r="S506" s="33">
        <f t="shared" si="103"/>
        <v>-7.7471890375179209E-3</v>
      </c>
    </row>
    <row r="507" spans="1:19" x14ac:dyDescent="0.25">
      <c r="A507" t="s">
        <v>39</v>
      </c>
      <c r="B507" s="65">
        <v>1</v>
      </c>
      <c r="C507" t="s">
        <v>13</v>
      </c>
      <c r="D507" s="67">
        <v>90000</v>
      </c>
      <c r="E507" s="67">
        <v>90072</v>
      </c>
      <c r="F507" s="67">
        <v>90072</v>
      </c>
      <c r="G507" s="13">
        <f t="shared" si="91"/>
        <v>0</v>
      </c>
      <c r="H507" s="13">
        <f t="shared" si="92"/>
        <v>72</v>
      </c>
      <c r="I507" s="73">
        <f t="shared" si="93"/>
        <v>7.9999999999991189E-4</v>
      </c>
      <c r="J507" s="73">
        <f t="shared" si="94"/>
        <v>0</v>
      </c>
      <c r="K507" s="72" t="str">
        <f t="shared" si="95"/>
        <v>KALIBENDA</v>
      </c>
      <c r="L507" s="72" t="str">
        <f t="shared" si="96"/>
        <v>MAY-1-KALIBENDA</v>
      </c>
      <c r="M507" s="73">
        <f t="shared" si="97"/>
        <v>3.6443609295569779E-2</v>
      </c>
      <c r="N507" s="73">
        <f t="shared" si="98"/>
        <v>-5.0445864500788806E-3</v>
      </c>
      <c r="O507" s="13">
        <f t="shared" si="99"/>
        <v>1911391</v>
      </c>
      <c r="P507" s="13">
        <f t="shared" si="100"/>
        <v>1932701</v>
      </c>
      <c r="Q507" s="13">
        <f t="shared" si="101"/>
        <v>1917728</v>
      </c>
      <c r="R507" s="33">
        <f t="shared" si="102"/>
        <v>3.3153865430988194E-3</v>
      </c>
      <c r="S507" s="33">
        <f t="shared" si="103"/>
        <v>-7.7471890375179209E-3</v>
      </c>
    </row>
    <row r="508" spans="1:19" x14ac:dyDescent="0.25">
      <c r="A508" t="s">
        <v>39</v>
      </c>
      <c r="B508" s="65">
        <v>1</v>
      </c>
      <c r="C508" t="s">
        <v>13</v>
      </c>
      <c r="D508" s="67">
        <v>9180</v>
      </c>
      <c r="E508" s="67">
        <v>9455</v>
      </c>
      <c r="F508" s="67">
        <v>9447</v>
      </c>
      <c r="G508" s="13">
        <f t="shared" si="91"/>
        <v>-8</v>
      </c>
      <c r="H508" s="13">
        <f t="shared" si="92"/>
        <v>267</v>
      </c>
      <c r="I508" s="73">
        <f t="shared" si="93"/>
        <v>2.9084967320261335E-2</v>
      </c>
      <c r="J508" s="73">
        <f t="shared" si="94"/>
        <v>-8.461131676361644E-4</v>
      </c>
      <c r="K508" s="72" t="str">
        <f t="shared" si="95"/>
        <v>KALIBENDA</v>
      </c>
      <c r="L508" s="72" t="str">
        <f t="shared" si="96"/>
        <v>MAY-1-KALIBENDA</v>
      </c>
      <c r="M508" s="73">
        <f t="shared" si="97"/>
        <v>3.6443609295569779E-2</v>
      </c>
      <c r="N508" s="73">
        <f t="shared" si="98"/>
        <v>-5.0445864500788806E-3</v>
      </c>
      <c r="O508" s="13">
        <f t="shared" si="99"/>
        <v>1911391</v>
      </c>
      <c r="P508" s="13">
        <f t="shared" si="100"/>
        <v>1932701</v>
      </c>
      <c r="Q508" s="13">
        <f t="shared" si="101"/>
        <v>1917728</v>
      </c>
      <c r="R508" s="33">
        <f t="shared" si="102"/>
        <v>3.3153865430988194E-3</v>
      </c>
      <c r="S508" s="33">
        <f t="shared" si="103"/>
        <v>-7.7471890375179209E-3</v>
      </c>
    </row>
    <row r="509" spans="1:19" x14ac:dyDescent="0.25">
      <c r="A509" t="s">
        <v>39</v>
      </c>
      <c r="B509" s="65">
        <v>1</v>
      </c>
      <c r="C509" t="s">
        <v>14</v>
      </c>
      <c r="D509" s="67">
        <v>6480</v>
      </c>
      <c r="E509" s="67">
        <v>6681</v>
      </c>
      <c r="F509" s="67">
        <v>6603</v>
      </c>
      <c r="G509" s="13">
        <f t="shared" si="91"/>
        <v>-78</v>
      </c>
      <c r="H509" s="13">
        <f t="shared" si="92"/>
        <v>123</v>
      </c>
      <c r="I509" s="73">
        <f t="shared" si="93"/>
        <v>1.8981481481481488E-2</v>
      </c>
      <c r="J509" s="73">
        <f t="shared" si="94"/>
        <v>-1.1674898967220515E-2</v>
      </c>
      <c r="K509" s="72" t="str">
        <f t="shared" si="95"/>
        <v>GM2</v>
      </c>
      <c r="L509" s="72" t="str">
        <f t="shared" si="96"/>
        <v>MAY-1-GM2</v>
      </c>
      <c r="M509" s="73">
        <f t="shared" si="97"/>
        <v>0.19515119033396189</v>
      </c>
      <c r="N509" s="73">
        <f t="shared" si="98"/>
        <v>-0.20010286795406895</v>
      </c>
      <c r="O509" s="13">
        <f t="shared" si="99"/>
        <v>1911391</v>
      </c>
      <c r="P509" s="13">
        <f t="shared" si="100"/>
        <v>1932701</v>
      </c>
      <c r="Q509" s="13">
        <f t="shared" si="101"/>
        <v>1917728</v>
      </c>
      <c r="R509" s="33">
        <f t="shared" si="102"/>
        <v>3.3153865430988194E-3</v>
      </c>
      <c r="S509" s="33">
        <f t="shared" si="103"/>
        <v>-7.7471890375179209E-3</v>
      </c>
    </row>
    <row r="510" spans="1:19" x14ac:dyDescent="0.25">
      <c r="A510" t="s">
        <v>39</v>
      </c>
      <c r="B510" s="65">
        <v>1</v>
      </c>
      <c r="C510" t="s">
        <v>14</v>
      </c>
      <c r="D510" s="67">
        <v>9828</v>
      </c>
      <c r="E510" s="67">
        <v>10137</v>
      </c>
      <c r="F510" s="67">
        <v>9996</v>
      </c>
      <c r="G510" s="13">
        <f t="shared" si="91"/>
        <v>-141</v>
      </c>
      <c r="H510" s="13">
        <f t="shared" si="92"/>
        <v>168</v>
      </c>
      <c r="I510" s="73">
        <f t="shared" si="93"/>
        <v>1.7094017094017033E-2</v>
      </c>
      <c r="J510" s="73">
        <f t="shared" si="94"/>
        <v>-1.3909440662917993E-2</v>
      </c>
      <c r="K510" s="72" t="str">
        <f t="shared" si="95"/>
        <v>GM2</v>
      </c>
      <c r="L510" s="72" t="str">
        <f t="shared" si="96"/>
        <v>MAY-1-GM2</v>
      </c>
      <c r="M510" s="73">
        <f t="shared" si="97"/>
        <v>0.19515119033396189</v>
      </c>
      <c r="N510" s="73">
        <f t="shared" si="98"/>
        <v>-0.20010286795406895</v>
      </c>
      <c r="O510" s="13">
        <f t="shared" si="99"/>
        <v>1911391</v>
      </c>
      <c r="P510" s="13">
        <f t="shared" si="100"/>
        <v>1932701</v>
      </c>
      <c r="Q510" s="13">
        <f t="shared" si="101"/>
        <v>1917728</v>
      </c>
      <c r="R510" s="33">
        <f t="shared" si="102"/>
        <v>3.3153865430988194E-3</v>
      </c>
      <c r="S510" s="33">
        <f t="shared" si="103"/>
        <v>-7.7471890375179209E-3</v>
      </c>
    </row>
    <row r="511" spans="1:19" x14ac:dyDescent="0.25">
      <c r="A511" t="s">
        <v>39</v>
      </c>
      <c r="B511" s="65">
        <v>1</v>
      </c>
      <c r="C511" t="s">
        <v>14</v>
      </c>
      <c r="D511" s="67">
        <v>3672</v>
      </c>
      <c r="E511" s="67">
        <v>3792</v>
      </c>
      <c r="F511" s="67">
        <v>3729</v>
      </c>
      <c r="G511" s="13">
        <f t="shared" si="91"/>
        <v>-63</v>
      </c>
      <c r="H511" s="13">
        <f t="shared" si="92"/>
        <v>57</v>
      </c>
      <c r="I511" s="73">
        <f t="shared" si="93"/>
        <v>1.5522875816993409E-2</v>
      </c>
      <c r="J511" s="73">
        <f t="shared" si="94"/>
        <v>-1.6613924050632889E-2</v>
      </c>
      <c r="K511" s="72" t="str">
        <f t="shared" si="95"/>
        <v>GM2</v>
      </c>
      <c r="L511" s="72" t="str">
        <f t="shared" si="96"/>
        <v>MAY-1-GM2</v>
      </c>
      <c r="M511" s="73">
        <f t="shared" si="97"/>
        <v>0.19515119033396189</v>
      </c>
      <c r="N511" s="73">
        <f t="shared" si="98"/>
        <v>-0.20010286795406895</v>
      </c>
      <c r="O511" s="13">
        <f t="shared" si="99"/>
        <v>1911391</v>
      </c>
      <c r="P511" s="13">
        <f t="shared" si="100"/>
        <v>1932701</v>
      </c>
      <c r="Q511" s="13">
        <f t="shared" si="101"/>
        <v>1917728</v>
      </c>
      <c r="R511" s="33">
        <f t="shared" si="102"/>
        <v>3.3153865430988194E-3</v>
      </c>
      <c r="S511" s="33">
        <f t="shared" si="103"/>
        <v>-7.7471890375179209E-3</v>
      </c>
    </row>
    <row r="512" spans="1:19" x14ac:dyDescent="0.25">
      <c r="A512" t="s">
        <v>39</v>
      </c>
      <c r="B512" s="65">
        <v>1</v>
      </c>
      <c r="C512" t="s">
        <v>14</v>
      </c>
      <c r="D512" s="67">
        <v>3672</v>
      </c>
      <c r="E512" s="67">
        <v>3784</v>
      </c>
      <c r="F512" s="67">
        <v>3753</v>
      </c>
      <c r="G512" s="13">
        <f t="shared" si="91"/>
        <v>-31</v>
      </c>
      <c r="H512" s="13">
        <f t="shared" si="92"/>
        <v>81</v>
      </c>
      <c r="I512" s="73">
        <f t="shared" si="93"/>
        <v>2.2058823529411686E-2</v>
      </c>
      <c r="J512" s="73">
        <f t="shared" si="94"/>
        <v>-8.1923890063424487E-3</v>
      </c>
      <c r="K512" s="72" t="str">
        <f t="shared" si="95"/>
        <v>GM2</v>
      </c>
      <c r="L512" s="72" t="str">
        <f t="shared" si="96"/>
        <v>MAY-1-GM2</v>
      </c>
      <c r="M512" s="73">
        <f t="shared" si="97"/>
        <v>0.19515119033396189</v>
      </c>
      <c r="N512" s="73">
        <f t="shared" si="98"/>
        <v>-0.20010286795406895</v>
      </c>
      <c r="O512" s="13">
        <f t="shared" si="99"/>
        <v>1911391</v>
      </c>
      <c r="P512" s="13">
        <f t="shared" si="100"/>
        <v>1932701</v>
      </c>
      <c r="Q512" s="13">
        <f t="shared" si="101"/>
        <v>1917728</v>
      </c>
      <c r="R512" s="33">
        <f t="shared" si="102"/>
        <v>3.3153865430988194E-3</v>
      </c>
      <c r="S512" s="33">
        <f t="shared" si="103"/>
        <v>-7.7471890375179209E-3</v>
      </c>
    </row>
    <row r="513" spans="1:19" x14ac:dyDescent="0.25">
      <c r="A513" t="s">
        <v>39</v>
      </c>
      <c r="B513" s="65">
        <v>1</v>
      </c>
      <c r="C513" t="s">
        <v>14</v>
      </c>
      <c r="D513" s="67">
        <v>9504</v>
      </c>
      <c r="E513" s="67">
        <v>9801</v>
      </c>
      <c r="F513" s="67">
        <v>9747</v>
      </c>
      <c r="G513" s="13">
        <f t="shared" si="91"/>
        <v>-54</v>
      </c>
      <c r="H513" s="13">
        <f t="shared" si="92"/>
        <v>243</v>
      </c>
      <c r="I513" s="73">
        <f t="shared" si="93"/>
        <v>2.5568181818181879E-2</v>
      </c>
      <c r="J513" s="73">
        <f t="shared" si="94"/>
        <v>-5.5096418732781816E-3</v>
      </c>
      <c r="K513" s="72" t="str">
        <f t="shared" si="95"/>
        <v>GM2</v>
      </c>
      <c r="L513" s="72" t="str">
        <f t="shared" si="96"/>
        <v>MAY-1-GM2</v>
      </c>
      <c r="M513" s="73">
        <f t="shared" si="97"/>
        <v>0.19515119033396189</v>
      </c>
      <c r="N513" s="73">
        <f t="shared" si="98"/>
        <v>-0.20010286795406895</v>
      </c>
      <c r="O513" s="13">
        <f t="shared" si="99"/>
        <v>1911391</v>
      </c>
      <c r="P513" s="13">
        <f t="shared" si="100"/>
        <v>1932701</v>
      </c>
      <c r="Q513" s="13">
        <f t="shared" si="101"/>
        <v>1917728</v>
      </c>
      <c r="R513" s="33">
        <f t="shared" si="102"/>
        <v>3.3153865430988194E-3</v>
      </c>
      <c r="S513" s="33">
        <f t="shared" si="103"/>
        <v>-7.7471890375179209E-3</v>
      </c>
    </row>
    <row r="514" spans="1:19" x14ac:dyDescent="0.25">
      <c r="A514" t="s">
        <v>39</v>
      </c>
      <c r="B514" s="65">
        <v>1</v>
      </c>
      <c r="C514" t="s">
        <v>11</v>
      </c>
      <c r="D514" s="67">
        <v>13176</v>
      </c>
      <c r="E514" s="67">
        <v>13573</v>
      </c>
      <c r="F514" s="67">
        <v>13521</v>
      </c>
      <c r="G514" s="13">
        <f t="shared" ref="G514:G577" si="104">F514-E514</f>
        <v>-52</v>
      </c>
      <c r="H514" s="13">
        <f t="shared" ref="H514:H577" si="105">F514-D514</f>
        <v>345</v>
      </c>
      <c r="I514" s="73">
        <f t="shared" ref="I514:I577" si="106">F514/D514-1</f>
        <v>2.6183970856102023E-2</v>
      </c>
      <c r="J514" s="73">
        <f t="shared" ref="J514:J577" si="107">F514/E514-1</f>
        <v>-3.8311353422235683E-3</v>
      </c>
      <c r="K514" s="72" t="str">
        <f t="shared" ref="K514:K577" si="108">CLEAN(SUBSTITUTE(C514," ",""))</f>
        <v>MAJA1</v>
      </c>
      <c r="L514" s="72" t="str">
        <f t="shared" ref="L514:L577" si="109">A514&amp;"-"&amp;B514&amp;"-"&amp;K514</f>
        <v>MAY-1-MAJA1</v>
      </c>
      <c r="M514" s="73">
        <f t="shared" ref="M514:M577" si="110">SUMIF($L$2:$L$1396,L514,$I$2:$I$1396)</f>
        <v>9.8783591837961593E-2</v>
      </c>
      <c r="N514" s="73">
        <f t="shared" ref="N514:N577" si="111">SUMIF($L$2:$L$1396,L514,$J$2:$J$1396)</f>
        <v>-6.54499055084522E-2</v>
      </c>
      <c r="O514" s="13">
        <f t="shared" ref="O514:O577" si="112">SUMIF($A$2:$A$1396,A514,$D$2:$D$1396)</f>
        <v>1911391</v>
      </c>
      <c r="P514" s="13">
        <f t="shared" ref="P514:P577" si="113">SUMIF($A$2:$A$1396,A514,$E$2:$E$1396)</f>
        <v>1932701</v>
      </c>
      <c r="Q514" s="13">
        <f t="shared" ref="Q514:Q577" si="114">SUMIF($A$2:$A$1396,A514,$F$2:$F$1396)</f>
        <v>1917728</v>
      </c>
      <c r="R514" s="33">
        <f t="shared" ref="R514:R577" si="115">Q514/O514-1</f>
        <v>3.3153865430988194E-3</v>
      </c>
      <c r="S514" s="33">
        <f t="shared" ref="S514:S577" si="116">Q514/P514-1</f>
        <v>-7.7471890375179209E-3</v>
      </c>
    </row>
    <row r="515" spans="1:19" x14ac:dyDescent="0.25">
      <c r="A515" t="s">
        <v>39</v>
      </c>
      <c r="B515" s="65">
        <v>1</v>
      </c>
      <c r="C515" t="s">
        <v>11</v>
      </c>
      <c r="D515" s="67">
        <v>5400</v>
      </c>
      <c r="E515" s="67">
        <v>5563</v>
      </c>
      <c r="F515" s="67">
        <v>5535</v>
      </c>
      <c r="G515" s="13">
        <f t="shared" si="104"/>
        <v>-28</v>
      </c>
      <c r="H515" s="13">
        <f t="shared" si="105"/>
        <v>135</v>
      </c>
      <c r="I515" s="73">
        <f t="shared" si="106"/>
        <v>2.4999999999999911E-2</v>
      </c>
      <c r="J515" s="73">
        <f t="shared" si="107"/>
        <v>-5.0332554377134908E-3</v>
      </c>
      <c r="K515" s="72" t="str">
        <f t="shared" si="108"/>
        <v>MAJA1</v>
      </c>
      <c r="L515" s="72" t="str">
        <f t="shared" si="109"/>
        <v>MAY-1-MAJA1</v>
      </c>
      <c r="M515" s="73">
        <f t="shared" si="110"/>
        <v>9.8783591837961593E-2</v>
      </c>
      <c r="N515" s="73">
        <f t="shared" si="111"/>
        <v>-6.54499055084522E-2</v>
      </c>
      <c r="O515" s="13">
        <f t="shared" si="112"/>
        <v>1911391</v>
      </c>
      <c r="P515" s="13">
        <f t="shared" si="113"/>
        <v>1932701</v>
      </c>
      <c r="Q515" s="13">
        <f t="shared" si="114"/>
        <v>1917728</v>
      </c>
      <c r="R515" s="33">
        <f t="shared" si="115"/>
        <v>3.3153865430988194E-3</v>
      </c>
      <c r="S515" s="33">
        <f t="shared" si="116"/>
        <v>-7.7471890375179209E-3</v>
      </c>
    </row>
    <row r="516" spans="1:19" x14ac:dyDescent="0.25">
      <c r="A516" t="s">
        <v>39</v>
      </c>
      <c r="B516" s="65">
        <v>1</v>
      </c>
      <c r="C516" t="s">
        <v>11</v>
      </c>
      <c r="D516" s="67">
        <v>17928</v>
      </c>
      <c r="E516" s="67">
        <v>18467</v>
      </c>
      <c r="F516" s="67">
        <v>18288</v>
      </c>
      <c r="G516" s="13">
        <f t="shared" si="104"/>
        <v>-179</v>
      </c>
      <c r="H516" s="13">
        <f t="shared" si="105"/>
        <v>360</v>
      </c>
      <c r="I516" s="73">
        <f t="shared" si="106"/>
        <v>2.008032128514059E-2</v>
      </c>
      <c r="J516" s="73">
        <f t="shared" si="107"/>
        <v>-9.6929658309417022E-3</v>
      </c>
      <c r="K516" s="72" t="str">
        <f t="shared" si="108"/>
        <v>MAJA1</v>
      </c>
      <c r="L516" s="72" t="str">
        <f t="shared" si="109"/>
        <v>MAY-1-MAJA1</v>
      </c>
      <c r="M516" s="73">
        <f t="shared" si="110"/>
        <v>9.8783591837961593E-2</v>
      </c>
      <c r="N516" s="73">
        <f t="shared" si="111"/>
        <v>-6.54499055084522E-2</v>
      </c>
      <c r="O516" s="13">
        <f t="shared" si="112"/>
        <v>1911391</v>
      </c>
      <c r="P516" s="13">
        <f t="shared" si="113"/>
        <v>1932701</v>
      </c>
      <c r="Q516" s="13">
        <f t="shared" si="114"/>
        <v>1917728</v>
      </c>
      <c r="R516" s="33">
        <f t="shared" si="115"/>
        <v>3.3153865430988194E-3</v>
      </c>
      <c r="S516" s="33">
        <f t="shared" si="116"/>
        <v>-7.7471890375179209E-3</v>
      </c>
    </row>
    <row r="517" spans="1:19" x14ac:dyDescent="0.25">
      <c r="A517" t="s">
        <v>39</v>
      </c>
      <c r="B517" s="65">
        <v>1</v>
      </c>
      <c r="C517" t="s">
        <v>11</v>
      </c>
      <c r="D517" s="67">
        <v>1404</v>
      </c>
      <c r="E517" s="67">
        <v>1449</v>
      </c>
      <c r="F517" s="67">
        <v>1431</v>
      </c>
      <c r="G517" s="13">
        <f t="shared" si="104"/>
        <v>-18</v>
      </c>
      <c r="H517" s="13">
        <f t="shared" si="105"/>
        <v>27</v>
      </c>
      <c r="I517" s="73">
        <f t="shared" si="106"/>
        <v>1.9230769230769162E-2</v>
      </c>
      <c r="J517" s="73">
        <f t="shared" si="107"/>
        <v>-1.2422360248447228E-2</v>
      </c>
      <c r="K517" s="72" t="str">
        <f t="shared" si="108"/>
        <v>MAJA1</v>
      </c>
      <c r="L517" s="72" t="str">
        <f t="shared" si="109"/>
        <v>MAY-1-MAJA1</v>
      </c>
      <c r="M517" s="73">
        <f t="shared" si="110"/>
        <v>9.8783591837961593E-2</v>
      </c>
      <c r="N517" s="73">
        <f t="shared" si="111"/>
        <v>-6.54499055084522E-2</v>
      </c>
      <c r="O517" s="13">
        <f t="shared" si="112"/>
        <v>1911391</v>
      </c>
      <c r="P517" s="13">
        <f t="shared" si="113"/>
        <v>1932701</v>
      </c>
      <c r="Q517" s="13">
        <f t="shared" si="114"/>
        <v>1917728</v>
      </c>
      <c r="R517" s="33">
        <f t="shared" si="115"/>
        <v>3.3153865430988194E-3</v>
      </c>
      <c r="S517" s="33">
        <f t="shared" si="116"/>
        <v>-7.7471890375179209E-3</v>
      </c>
    </row>
    <row r="518" spans="1:19" x14ac:dyDescent="0.25">
      <c r="A518" t="s">
        <v>39</v>
      </c>
      <c r="B518" s="65">
        <v>1</v>
      </c>
      <c r="C518" t="s">
        <v>14</v>
      </c>
      <c r="D518" s="67">
        <v>2052</v>
      </c>
      <c r="E518" s="67">
        <v>2062</v>
      </c>
      <c r="F518" s="67">
        <v>2045</v>
      </c>
      <c r="G518" s="13">
        <f t="shared" si="104"/>
        <v>-17</v>
      </c>
      <c r="H518" s="13">
        <f t="shared" si="105"/>
        <v>-7</v>
      </c>
      <c r="I518" s="73">
        <f t="shared" si="106"/>
        <v>-3.4113060428849762E-3</v>
      </c>
      <c r="J518" s="73">
        <f t="shared" si="107"/>
        <v>-8.244422890397618E-3</v>
      </c>
      <c r="K518" s="72" t="str">
        <f t="shared" si="108"/>
        <v>GM2</v>
      </c>
      <c r="L518" s="72" t="str">
        <f t="shared" si="109"/>
        <v>MAY-1-GM2</v>
      </c>
      <c r="M518" s="73">
        <f t="shared" si="110"/>
        <v>0.19515119033396189</v>
      </c>
      <c r="N518" s="73">
        <f t="shared" si="111"/>
        <v>-0.20010286795406895</v>
      </c>
      <c r="O518" s="13">
        <f t="shared" si="112"/>
        <v>1911391</v>
      </c>
      <c r="P518" s="13">
        <f t="shared" si="113"/>
        <v>1932701</v>
      </c>
      <c r="Q518" s="13">
        <f t="shared" si="114"/>
        <v>1917728</v>
      </c>
      <c r="R518" s="33">
        <f t="shared" si="115"/>
        <v>3.3153865430988194E-3</v>
      </c>
      <c r="S518" s="33">
        <f t="shared" si="116"/>
        <v>-7.7471890375179209E-3</v>
      </c>
    </row>
    <row r="519" spans="1:19" x14ac:dyDescent="0.25">
      <c r="A519" t="s">
        <v>39</v>
      </c>
      <c r="B519" s="65">
        <v>1</v>
      </c>
      <c r="C519" t="s">
        <v>14</v>
      </c>
      <c r="D519" s="67">
        <v>2808</v>
      </c>
      <c r="E519" s="67">
        <v>2809</v>
      </c>
      <c r="F519" s="67">
        <v>2808</v>
      </c>
      <c r="G519" s="13">
        <f t="shared" si="104"/>
        <v>-1</v>
      </c>
      <c r="H519" s="13">
        <f t="shared" si="105"/>
        <v>0</v>
      </c>
      <c r="I519" s="73">
        <f t="shared" si="106"/>
        <v>0</v>
      </c>
      <c r="J519" s="73">
        <f t="shared" si="107"/>
        <v>-3.559985760056561E-4</v>
      </c>
      <c r="K519" s="72" t="str">
        <f t="shared" si="108"/>
        <v>GM2</v>
      </c>
      <c r="L519" s="72" t="str">
        <f t="shared" si="109"/>
        <v>MAY-1-GM2</v>
      </c>
      <c r="M519" s="73">
        <f t="shared" si="110"/>
        <v>0.19515119033396189</v>
      </c>
      <c r="N519" s="73">
        <f t="shared" si="111"/>
        <v>-0.20010286795406895</v>
      </c>
      <c r="O519" s="13">
        <f t="shared" si="112"/>
        <v>1911391</v>
      </c>
      <c r="P519" s="13">
        <f t="shared" si="113"/>
        <v>1932701</v>
      </c>
      <c r="Q519" s="13">
        <f t="shared" si="114"/>
        <v>1917728</v>
      </c>
      <c r="R519" s="33">
        <f t="shared" si="115"/>
        <v>3.3153865430988194E-3</v>
      </c>
      <c r="S519" s="33">
        <f t="shared" si="116"/>
        <v>-7.7471890375179209E-3</v>
      </c>
    </row>
    <row r="520" spans="1:19" x14ac:dyDescent="0.25">
      <c r="A520" t="s">
        <v>39</v>
      </c>
      <c r="B520" s="65">
        <v>1</v>
      </c>
      <c r="C520" t="s">
        <v>14</v>
      </c>
      <c r="D520" s="67">
        <v>13248</v>
      </c>
      <c r="E520" s="67">
        <v>13671</v>
      </c>
      <c r="F520" s="67">
        <v>13496</v>
      </c>
      <c r="G520" s="13">
        <f t="shared" si="104"/>
        <v>-175</v>
      </c>
      <c r="H520" s="13">
        <f t="shared" si="105"/>
        <v>248</v>
      </c>
      <c r="I520" s="73">
        <f t="shared" si="106"/>
        <v>1.8719806763284996E-2</v>
      </c>
      <c r="J520" s="73">
        <f t="shared" si="107"/>
        <v>-1.280081925243215E-2</v>
      </c>
      <c r="K520" s="72" t="str">
        <f t="shared" si="108"/>
        <v>GM2</v>
      </c>
      <c r="L520" s="72" t="str">
        <f t="shared" si="109"/>
        <v>MAY-1-GM2</v>
      </c>
      <c r="M520" s="73">
        <f t="shared" si="110"/>
        <v>0.19515119033396189</v>
      </c>
      <c r="N520" s="73">
        <f t="shared" si="111"/>
        <v>-0.20010286795406895</v>
      </c>
      <c r="O520" s="13">
        <f t="shared" si="112"/>
        <v>1911391</v>
      </c>
      <c r="P520" s="13">
        <f t="shared" si="113"/>
        <v>1932701</v>
      </c>
      <c r="Q520" s="13">
        <f t="shared" si="114"/>
        <v>1917728</v>
      </c>
      <c r="R520" s="33">
        <f t="shared" si="115"/>
        <v>3.3153865430988194E-3</v>
      </c>
      <c r="S520" s="33">
        <f t="shared" si="116"/>
        <v>-7.7471890375179209E-3</v>
      </c>
    </row>
    <row r="521" spans="1:19" x14ac:dyDescent="0.25">
      <c r="A521" t="s">
        <v>39</v>
      </c>
      <c r="B521" s="65">
        <v>1</v>
      </c>
      <c r="C521" t="s">
        <v>14</v>
      </c>
      <c r="D521" s="67">
        <v>5760</v>
      </c>
      <c r="E521" s="67">
        <v>5945</v>
      </c>
      <c r="F521" s="67">
        <v>5832</v>
      </c>
      <c r="G521" s="13">
        <f t="shared" si="104"/>
        <v>-113</v>
      </c>
      <c r="H521" s="13">
        <f t="shared" si="105"/>
        <v>72</v>
      </c>
      <c r="I521" s="73">
        <f t="shared" si="106"/>
        <v>1.2499999999999956E-2</v>
      </c>
      <c r="J521" s="73">
        <f t="shared" si="107"/>
        <v>-1.9007569386038647E-2</v>
      </c>
      <c r="K521" s="72" t="str">
        <f t="shared" si="108"/>
        <v>GM2</v>
      </c>
      <c r="L521" s="72" t="str">
        <f t="shared" si="109"/>
        <v>MAY-1-GM2</v>
      </c>
      <c r="M521" s="73">
        <f t="shared" si="110"/>
        <v>0.19515119033396189</v>
      </c>
      <c r="N521" s="73">
        <f t="shared" si="111"/>
        <v>-0.20010286795406895</v>
      </c>
      <c r="O521" s="13">
        <f t="shared" si="112"/>
        <v>1911391</v>
      </c>
      <c r="P521" s="13">
        <f t="shared" si="113"/>
        <v>1932701</v>
      </c>
      <c r="Q521" s="13">
        <f t="shared" si="114"/>
        <v>1917728</v>
      </c>
      <c r="R521" s="33">
        <f t="shared" si="115"/>
        <v>3.3153865430988194E-3</v>
      </c>
      <c r="S521" s="33">
        <f t="shared" si="116"/>
        <v>-7.7471890375179209E-3</v>
      </c>
    </row>
    <row r="522" spans="1:19" x14ac:dyDescent="0.25">
      <c r="A522" t="s">
        <v>39</v>
      </c>
      <c r="B522" s="65">
        <v>1</v>
      </c>
      <c r="C522" t="s">
        <v>11</v>
      </c>
      <c r="D522" s="67">
        <v>17856</v>
      </c>
      <c r="E522" s="67">
        <v>18037</v>
      </c>
      <c r="F522" s="67">
        <v>18004</v>
      </c>
      <c r="G522" s="13">
        <f t="shared" si="104"/>
        <v>-33</v>
      </c>
      <c r="H522" s="13">
        <f t="shared" si="105"/>
        <v>148</v>
      </c>
      <c r="I522" s="73">
        <f t="shared" si="106"/>
        <v>8.2885304659499059E-3</v>
      </c>
      <c r="J522" s="73">
        <f t="shared" si="107"/>
        <v>-1.8295725453234546E-3</v>
      </c>
      <c r="K522" s="72" t="str">
        <f t="shared" si="108"/>
        <v>MAJA1</v>
      </c>
      <c r="L522" s="72" t="str">
        <f t="shared" si="109"/>
        <v>MAY-1-MAJA1</v>
      </c>
      <c r="M522" s="73">
        <f t="shared" si="110"/>
        <v>9.8783591837961593E-2</v>
      </c>
      <c r="N522" s="73">
        <f t="shared" si="111"/>
        <v>-6.54499055084522E-2</v>
      </c>
      <c r="O522" s="13">
        <f t="shared" si="112"/>
        <v>1911391</v>
      </c>
      <c r="P522" s="13">
        <f t="shared" si="113"/>
        <v>1932701</v>
      </c>
      <c r="Q522" s="13">
        <f t="shared" si="114"/>
        <v>1917728</v>
      </c>
      <c r="R522" s="33">
        <f t="shared" si="115"/>
        <v>3.3153865430988194E-3</v>
      </c>
      <c r="S522" s="33">
        <f t="shared" si="116"/>
        <v>-7.7471890375179209E-3</v>
      </c>
    </row>
    <row r="523" spans="1:19" x14ac:dyDescent="0.25">
      <c r="A523" t="s">
        <v>39</v>
      </c>
      <c r="B523" s="65">
        <v>1</v>
      </c>
      <c r="C523" t="s">
        <v>13</v>
      </c>
      <c r="D523" s="67">
        <v>23328</v>
      </c>
      <c r="E523" s="67">
        <v>23580</v>
      </c>
      <c r="F523" s="67">
        <v>23481</v>
      </c>
      <c r="G523" s="13">
        <f t="shared" si="104"/>
        <v>-99</v>
      </c>
      <c r="H523" s="13">
        <f t="shared" si="105"/>
        <v>153</v>
      </c>
      <c r="I523" s="73">
        <f t="shared" si="106"/>
        <v>6.5586419753085323E-3</v>
      </c>
      <c r="J523" s="73">
        <f t="shared" si="107"/>
        <v>-4.1984732824427162E-3</v>
      </c>
      <c r="K523" s="72" t="str">
        <f t="shared" si="108"/>
        <v>KALIBENDA</v>
      </c>
      <c r="L523" s="72" t="str">
        <f t="shared" si="109"/>
        <v>MAY-1-KALIBENDA</v>
      </c>
      <c r="M523" s="73">
        <f t="shared" si="110"/>
        <v>3.6443609295569779E-2</v>
      </c>
      <c r="N523" s="73">
        <f t="shared" si="111"/>
        <v>-5.0445864500788806E-3</v>
      </c>
      <c r="O523" s="13">
        <f t="shared" si="112"/>
        <v>1911391</v>
      </c>
      <c r="P523" s="13">
        <f t="shared" si="113"/>
        <v>1932701</v>
      </c>
      <c r="Q523" s="13">
        <f t="shared" si="114"/>
        <v>1917728</v>
      </c>
      <c r="R523" s="33">
        <f t="shared" si="115"/>
        <v>3.3153865430988194E-3</v>
      </c>
      <c r="S523" s="33">
        <f t="shared" si="116"/>
        <v>-7.7471890375179209E-3</v>
      </c>
    </row>
    <row r="524" spans="1:19" x14ac:dyDescent="0.25">
      <c r="A524" t="s">
        <v>39</v>
      </c>
      <c r="B524" s="65">
        <v>1</v>
      </c>
      <c r="C524" t="s">
        <v>14</v>
      </c>
      <c r="D524" s="67">
        <v>38448</v>
      </c>
      <c r="E524" s="67">
        <v>39620</v>
      </c>
      <c r="F524" s="67">
        <v>39264</v>
      </c>
      <c r="G524" s="13">
        <f t="shared" si="104"/>
        <v>-356</v>
      </c>
      <c r="H524" s="13">
        <f t="shared" si="105"/>
        <v>816</v>
      </c>
      <c r="I524" s="73">
        <f t="shared" si="106"/>
        <v>2.1223470661672961E-2</v>
      </c>
      <c r="J524" s="73">
        <f t="shared" si="107"/>
        <v>-8.985360928823849E-3</v>
      </c>
      <c r="K524" s="72" t="str">
        <f t="shared" si="108"/>
        <v>GM2</v>
      </c>
      <c r="L524" s="72" t="str">
        <f t="shared" si="109"/>
        <v>MAY-1-GM2</v>
      </c>
      <c r="M524" s="73">
        <f t="shared" si="110"/>
        <v>0.19515119033396189</v>
      </c>
      <c r="N524" s="73">
        <f t="shared" si="111"/>
        <v>-0.20010286795406895</v>
      </c>
      <c r="O524" s="13">
        <f t="shared" si="112"/>
        <v>1911391</v>
      </c>
      <c r="P524" s="13">
        <f t="shared" si="113"/>
        <v>1932701</v>
      </c>
      <c r="Q524" s="13">
        <f t="shared" si="114"/>
        <v>1917728</v>
      </c>
      <c r="R524" s="33">
        <f t="shared" si="115"/>
        <v>3.3153865430988194E-3</v>
      </c>
      <c r="S524" s="33">
        <f t="shared" si="116"/>
        <v>-7.7471890375179209E-3</v>
      </c>
    </row>
    <row r="525" spans="1:19" x14ac:dyDescent="0.25">
      <c r="A525" t="s">
        <v>39</v>
      </c>
      <c r="B525" s="65">
        <v>1</v>
      </c>
      <c r="C525" t="s">
        <v>14</v>
      </c>
      <c r="D525" s="67">
        <v>2592</v>
      </c>
      <c r="E525" s="67">
        <v>2670</v>
      </c>
      <c r="F525" s="67">
        <v>2649</v>
      </c>
      <c r="G525" s="13">
        <f t="shared" si="104"/>
        <v>-21</v>
      </c>
      <c r="H525" s="13">
        <f t="shared" si="105"/>
        <v>57</v>
      </c>
      <c r="I525" s="73">
        <f t="shared" si="106"/>
        <v>2.19907407407407E-2</v>
      </c>
      <c r="J525" s="73">
        <f t="shared" si="107"/>
        <v>-7.8651685393258397E-3</v>
      </c>
      <c r="K525" s="72" t="str">
        <f t="shared" si="108"/>
        <v>GM2</v>
      </c>
      <c r="L525" s="72" t="str">
        <f t="shared" si="109"/>
        <v>MAY-1-GM2</v>
      </c>
      <c r="M525" s="73">
        <f t="shared" si="110"/>
        <v>0.19515119033396189</v>
      </c>
      <c r="N525" s="73">
        <f t="shared" si="111"/>
        <v>-0.20010286795406895</v>
      </c>
      <c r="O525" s="13">
        <f t="shared" si="112"/>
        <v>1911391</v>
      </c>
      <c r="P525" s="13">
        <f t="shared" si="113"/>
        <v>1932701</v>
      </c>
      <c r="Q525" s="13">
        <f t="shared" si="114"/>
        <v>1917728</v>
      </c>
      <c r="R525" s="33">
        <f t="shared" si="115"/>
        <v>3.3153865430988194E-3</v>
      </c>
      <c r="S525" s="33">
        <f t="shared" si="116"/>
        <v>-7.7471890375179209E-3</v>
      </c>
    </row>
    <row r="526" spans="1:19" x14ac:dyDescent="0.25">
      <c r="A526" t="s">
        <v>39</v>
      </c>
      <c r="B526" s="65">
        <v>1</v>
      </c>
      <c r="C526" t="s">
        <v>14</v>
      </c>
      <c r="D526" s="67">
        <v>11448</v>
      </c>
      <c r="E526" s="67">
        <v>11808</v>
      </c>
      <c r="F526" s="67">
        <v>11670</v>
      </c>
      <c r="G526" s="13">
        <f t="shared" si="104"/>
        <v>-138</v>
      </c>
      <c r="H526" s="13">
        <f t="shared" si="105"/>
        <v>222</v>
      </c>
      <c r="I526" s="73">
        <f t="shared" si="106"/>
        <v>1.9392033542976916E-2</v>
      </c>
      <c r="J526" s="73">
        <f t="shared" si="107"/>
        <v>-1.1686991869918728E-2</v>
      </c>
      <c r="K526" s="72" t="str">
        <f t="shared" si="108"/>
        <v>GM2</v>
      </c>
      <c r="L526" s="72" t="str">
        <f t="shared" si="109"/>
        <v>MAY-1-GM2</v>
      </c>
      <c r="M526" s="73">
        <f t="shared" si="110"/>
        <v>0.19515119033396189</v>
      </c>
      <c r="N526" s="73">
        <f t="shared" si="111"/>
        <v>-0.20010286795406895</v>
      </c>
      <c r="O526" s="13">
        <f t="shared" si="112"/>
        <v>1911391</v>
      </c>
      <c r="P526" s="13">
        <f t="shared" si="113"/>
        <v>1932701</v>
      </c>
      <c r="Q526" s="13">
        <f t="shared" si="114"/>
        <v>1917728</v>
      </c>
      <c r="R526" s="33">
        <f t="shared" si="115"/>
        <v>3.3153865430988194E-3</v>
      </c>
      <c r="S526" s="33">
        <f t="shared" si="116"/>
        <v>-7.7471890375179209E-3</v>
      </c>
    </row>
    <row r="527" spans="1:19" x14ac:dyDescent="0.25">
      <c r="A527" t="s">
        <v>39</v>
      </c>
      <c r="B527" s="65">
        <v>1</v>
      </c>
      <c r="C527" t="s">
        <v>14</v>
      </c>
      <c r="D527" s="67">
        <v>19008</v>
      </c>
      <c r="E527" s="67">
        <v>19588</v>
      </c>
      <c r="F527" s="67">
        <v>19446</v>
      </c>
      <c r="G527" s="13">
        <f t="shared" si="104"/>
        <v>-142</v>
      </c>
      <c r="H527" s="13">
        <f t="shared" si="105"/>
        <v>438</v>
      </c>
      <c r="I527" s="73">
        <f t="shared" si="106"/>
        <v>2.3042929292929282E-2</v>
      </c>
      <c r="J527" s="73">
        <f t="shared" si="107"/>
        <v>-7.2493363283643308E-3</v>
      </c>
      <c r="K527" s="72" t="str">
        <f t="shared" si="108"/>
        <v>GM2</v>
      </c>
      <c r="L527" s="72" t="str">
        <f t="shared" si="109"/>
        <v>MAY-1-GM2</v>
      </c>
      <c r="M527" s="73">
        <f t="shared" si="110"/>
        <v>0.19515119033396189</v>
      </c>
      <c r="N527" s="73">
        <f t="shared" si="111"/>
        <v>-0.20010286795406895</v>
      </c>
      <c r="O527" s="13">
        <f t="shared" si="112"/>
        <v>1911391</v>
      </c>
      <c r="P527" s="13">
        <f t="shared" si="113"/>
        <v>1932701</v>
      </c>
      <c r="Q527" s="13">
        <f t="shared" si="114"/>
        <v>1917728</v>
      </c>
      <c r="R527" s="33">
        <f t="shared" si="115"/>
        <v>3.3153865430988194E-3</v>
      </c>
      <c r="S527" s="33">
        <f t="shared" si="116"/>
        <v>-7.7471890375179209E-3</v>
      </c>
    </row>
    <row r="528" spans="1:19" x14ac:dyDescent="0.25">
      <c r="A528" t="s">
        <v>39</v>
      </c>
      <c r="B528" s="65">
        <v>1</v>
      </c>
      <c r="C528" t="s">
        <v>14</v>
      </c>
      <c r="D528" s="67">
        <v>1512</v>
      </c>
      <c r="E528" s="67">
        <v>1518</v>
      </c>
      <c r="F528" s="67">
        <v>1496</v>
      </c>
      <c r="G528" s="13">
        <f t="shared" si="104"/>
        <v>-22</v>
      </c>
      <c r="H528" s="13">
        <f t="shared" si="105"/>
        <v>-16</v>
      </c>
      <c r="I528" s="73">
        <f t="shared" si="106"/>
        <v>-1.0582010582010581E-2</v>
      </c>
      <c r="J528" s="73">
        <f t="shared" si="107"/>
        <v>-1.4492753623188359E-2</v>
      </c>
      <c r="K528" s="72" t="str">
        <f t="shared" si="108"/>
        <v>GM2</v>
      </c>
      <c r="L528" s="72" t="str">
        <f t="shared" si="109"/>
        <v>MAY-1-GM2</v>
      </c>
      <c r="M528" s="73">
        <f t="shared" si="110"/>
        <v>0.19515119033396189</v>
      </c>
      <c r="N528" s="73">
        <f t="shared" si="111"/>
        <v>-0.20010286795406895</v>
      </c>
      <c r="O528" s="13">
        <f t="shared" si="112"/>
        <v>1911391</v>
      </c>
      <c r="P528" s="13">
        <f t="shared" si="113"/>
        <v>1932701</v>
      </c>
      <c r="Q528" s="13">
        <f t="shared" si="114"/>
        <v>1917728</v>
      </c>
      <c r="R528" s="33">
        <f t="shared" si="115"/>
        <v>3.3153865430988194E-3</v>
      </c>
      <c r="S528" s="33">
        <f t="shared" si="116"/>
        <v>-7.7471890375179209E-3</v>
      </c>
    </row>
    <row r="529" spans="1:19" x14ac:dyDescent="0.25">
      <c r="A529" t="s">
        <v>39</v>
      </c>
      <c r="B529" s="65">
        <v>1</v>
      </c>
      <c r="C529" t="s">
        <v>14</v>
      </c>
      <c r="D529" s="67">
        <v>2412</v>
      </c>
      <c r="E529" s="67">
        <v>2426</v>
      </c>
      <c r="F529" s="67">
        <v>2398</v>
      </c>
      <c r="G529" s="13">
        <f t="shared" si="104"/>
        <v>-28</v>
      </c>
      <c r="H529" s="13">
        <f t="shared" si="105"/>
        <v>-14</v>
      </c>
      <c r="I529" s="73">
        <f t="shared" si="106"/>
        <v>-5.8043117744610573E-3</v>
      </c>
      <c r="J529" s="73">
        <f t="shared" si="107"/>
        <v>-1.154163231657046E-2</v>
      </c>
      <c r="K529" s="72" t="str">
        <f t="shared" si="108"/>
        <v>GM2</v>
      </c>
      <c r="L529" s="72" t="str">
        <f t="shared" si="109"/>
        <v>MAY-1-GM2</v>
      </c>
      <c r="M529" s="73">
        <f t="shared" si="110"/>
        <v>0.19515119033396189</v>
      </c>
      <c r="N529" s="73">
        <f t="shared" si="111"/>
        <v>-0.20010286795406895</v>
      </c>
      <c r="O529" s="13">
        <f t="shared" si="112"/>
        <v>1911391</v>
      </c>
      <c r="P529" s="13">
        <f t="shared" si="113"/>
        <v>1932701</v>
      </c>
      <c r="Q529" s="13">
        <f t="shared" si="114"/>
        <v>1917728</v>
      </c>
      <c r="R529" s="33">
        <f t="shared" si="115"/>
        <v>3.3153865430988194E-3</v>
      </c>
      <c r="S529" s="33">
        <f t="shared" si="116"/>
        <v>-7.7471890375179209E-3</v>
      </c>
    </row>
    <row r="530" spans="1:19" x14ac:dyDescent="0.25">
      <c r="A530" t="s">
        <v>39</v>
      </c>
      <c r="B530" s="65">
        <v>1</v>
      </c>
      <c r="C530" t="s">
        <v>14</v>
      </c>
      <c r="D530" s="67">
        <v>2448</v>
      </c>
      <c r="E530" s="67">
        <v>2452</v>
      </c>
      <c r="F530" s="67">
        <v>2437</v>
      </c>
      <c r="G530" s="13">
        <f t="shared" si="104"/>
        <v>-15</v>
      </c>
      <c r="H530" s="13">
        <f t="shared" si="105"/>
        <v>-11</v>
      </c>
      <c r="I530" s="73">
        <f t="shared" si="106"/>
        <v>-4.4934640522875657E-3</v>
      </c>
      <c r="J530" s="73">
        <f t="shared" si="107"/>
        <v>-6.1174551386623532E-3</v>
      </c>
      <c r="K530" s="72" t="str">
        <f t="shared" si="108"/>
        <v>GM2</v>
      </c>
      <c r="L530" s="72" t="str">
        <f t="shared" si="109"/>
        <v>MAY-1-GM2</v>
      </c>
      <c r="M530" s="73">
        <f t="shared" si="110"/>
        <v>0.19515119033396189</v>
      </c>
      <c r="N530" s="73">
        <f t="shared" si="111"/>
        <v>-0.20010286795406895</v>
      </c>
      <c r="O530" s="13">
        <f t="shared" si="112"/>
        <v>1911391</v>
      </c>
      <c r="P530" s="13">
        <f t="shared" si="113"/>
        <v>1932701</v>
      </c>
      <c r="Q530" s="13">
        <f t="shared" si="114"/>
        <v>1917728</v>
      </c>
      <c r="R530" s="33">
        <f t="shared" si="115"/>
        <v>3.3153865430988194E-3</v>
      </c>
      <c r="S530" s="33">
        <f t="shared" si="116"/>
        <v>-7.7471890375179209E-3</v>
      </c>
    </row>
    <row r="531" spans="1:19" x14ac:dyDescent="0.25">
      <c r="A531" t="s">
        <v>39</v>
      </c>
      <c r="B531" s="65">
        <v>1</v>
      </c>
      <c r="C531" t="s">
        <v>14</v>
      </c>
      <c r="D531" s="67">
        <v>2412</v>
      </c>
      <c r="E531" s="67">
        <v>2422</v>
      </c>
      <c r="F531" s="67">
        <v>2410</v>
      </c>
      <c r="G531" s="13">
        <f t="shared" si="104"/>
        <v>-12</v>
      </c>
      <c r="H531" s="13">
        <f t="shared" si="105"/>
        <v>-2</v>
      </c>
      <c r="I531" s="73">
        <f t="shared" si="106"/>
        <v>-8.2918739635162719E-4</v>
      </c>
      <c r="J531" s="73">
        <f t="shared" si="107"/>
        <v>-4.9545829892650994E-3</v>
      </c>
      <c r="K531" s="72" t="str">
        <f t="shared" si="108"/>
        <v>GM2</v>
      </c>
      <c r="L531" s="72" t="str">
        <f t="shared" si="109"/>
        <v>MAY-1-GM2</v>
      </c>
      <c r="M531" s="73">
        <f t="shared" si="110"/>
        <v>0.19515119033396189</v>
      </c>
      <c r="N531" s="73">
        <f t="shared" si="111"/>
        <v>-0.20010286795406895</v>
      </c>
      <c r="O531" s="13">
        <f t="shared" si="112"/>
        <v>1911391</v>
      </c>
      <c r="P531" s="13">
        <f t="shared" si="113"/>
        <v>1932701</v>
      </c>
      <c r="Q531" s="13">
        <f t="shared" si="114"/>
        <v>1917728</v>
      </c>
      <c r="R531" s="33">
        <f t="shared" si="115"/>
        <v>3.3153865430988194E-3</v>
      </c>
      <c r="S531" s="33">
        <f t="shared" si="116"/>
        <v>-7.7471890375179209E-3</v>
      </c>
    </row>
    <row r="532" spans="1:19" x14ac:dyDescent="0.25">
      <c r="A532" t="s">
        <v>39</v>
      </c>
      <c r="B532" s="65">
        <v>1</v>
      </c>
      <c r="C532" t="s">
        <v>14</v>
      </c>
      <c r="D532" s="67">
        <v>5760</v>
      </c>
      <c r="E532" s="67">
        <v>5840</v>
      </c>
      <c r="F532" s="67">
        <v>5760</v>
      </c>
      <c r="G532" s="13">
        <f t="shared" si="104"/>
        <v>-80</v>
      </c>
      <c r="H532" s="13">
        <f t="shared" si="105"/>
        <v>0</v>
      </c>
      <c r="I532" s="73">
        <f t="shared" si="106"/>
        <v>0</v>
      </c>
      <c r="J532" s="73">
        <f t="shared" si="107"/>
        <v>-1.3698630136986356E-2</v>
      </c>
      <c r="K532" s="72" t="str">
        <f t="shared" si="108"/>
        <v>GM2</v>
      </c>
      <c r="L532" s="72" t="str">
        <f t="shared" si="109"/>
        <v>MAY-1-GM2</v>
      </c>
      <c r="M532" s="73">
        <f t="shared" si="110"/>
        <v>0.19515119033396189</v>
      </c>
      <c r="N532" s="73">
        <f t="shared" si="111"/>
        <v>-0.20010286795406895</v>
      </c>
      <c r="O532" s="13">
        <f t="shared" si="112"/>
        <v>1911391</v>
      </c>
      <c r="P532" s="13">
        <f t="shared" si="113"/>
        <v>1932701</v>
      </c>
      <c r="Q532" s="13">
        <f t="shared" si="114"/>
        <v>1917728</v>
      </c>
      <c r="R532" s="33">
        <f t="shared" si="115"/>
        <v>3.3153865430988194E-3</v>
      </c>
      <c r="S532" s="33">
        <f t="shared" si="116"/>
        <v>-7.7471890375179209E-3</v>
      </c>
    </row>
    <row r="533" spans="1:19" x14ac:dyDescent="0.25">
      <c r="A533" t="s">
        <v>39</v>
      </c>
      <c r="B533" s="65">
        <v>1</v>
      </c>
      <c r="C533" t="s">
        <v>14</v>
      </c>
      <c r="D533" s="67">
        <v>19152</v>
      </c>
      <c r="E533" s="67">
        <v>19358</v>
      </c>
      <c r="F533" s="67">
        <v>19152</v>
      </c>
      <c r="G533" s="13">
        <f t="shared" si="104"/>
        <v>-206</v>
      </c>
      <c r="H533" s="13">
        <f t="shared" si="105"/>
        <v>0</v>
      </c>
      <c r="I533" s="73">
        <f t="shared" si="106"/>
        <v>0</v>
      </c>
      <c r="J533" s="73">
        <f t="shared" si="107"/>
        <v>-1.0641595206116294E-2</v>
      </c>
      <c r="K533" s="72" t="str">
        <f t="shared" si="108"/>
        <v>GM2</v>
      </c>
      <c r="L533" s="72" t="str">
        <f t="shared" si="109"/>
        <v>MAY-1-GM2</v>
      </c>
      <c r="M533" s="73">
        <f t="shared" si="110"/>
        <v>0.19515119033396189</v>
      </c>
      <c r="N533" s="73">
        <f t="shared" si="111"/>
        <v>-0.20010286795406895</v>
      </c>
      <c r="O533" s="13">
        <f t="shared" si="112"/>
        <v>1911391</v>
      </c>
      <c r="P533" s="13">
        <f t="shared" si="113"/>
        <v>1932701</v>
      </c>
      <c r="Q533" s="13">
        <f t="shared" si="114"/>
        <v>1917728</v>
      </c>
      <c r="R533" s="33">
        <f t="shared" si="115"/>
        <v>3.3153865430988194E-3</v>
      </c>
      <c r="S533" s="33">
        <f t="shared" si="116"/>
        <v>-7.7471890375179209E-3</v>
      </c>
    </row>
    <row r="534" spans="1:19" x14ac:dyDescent="0.25">
      <c r="A534" t="s">
        <v>39</v>
      </c>
      <c r="B534" s="65">
        <v>1</v>
      </c>
      <c r="C534" t="s">
        <v>14</v>
      </c>
      <c r="D534" s="67">
        <v>19152</v>
      </c>
      <c r="E534" s="67">
        <v>19359</v>
      </c>
      <c r="F534" s="67">
        <v>19232</v>
      </c>
      <c r="G534" s="13">
        <f t="shared" si="104"/>
        <v>-127</v>
      </c>
      <c r="H534" s="13">
        <f t="shared" si="105"/>
        <v>80</v>
      </c>
      <c r="I534" s="73">
        <f t="shared" si="106"/>
        <v>4.1771094402673903E-3</v>
      </c>
      <c r="J534" s="73">
        <f t="shared" si="107"/>
        <v>-6.5602562115811835E-3</v>
      </c>
      <c r="K534" s="72" t="str">
        <f t="shared" si="108"/>
        <v>GM2</v>
      </c>
      <c r="L534" s="72" t="str">
        <f t="shared" si="109"/>
        <v>MAY-1-GM2</v>
      </c>
      <c r="M534" s="73">
        <f t="shared" si="110"/>
        <v>0.19515119033396189</v>
      </c>
      <c r="N534" s="73">
        <f t="shared" si="111"/>
        <v>-0.20010286795406895</v>
      </c>
      <c r="O534" s="13">
        <f t="shared" si="112"/>
        <v>1911391</v>
      </c>
      <c r="P534" s="13">
        <f t="shared" si="113"/>
        <v>1932701</v>
      </c>
      <c r="Q534" s="13">
        <f t="shared" si="114"/>
        <v>1917728</v>
      </c>
      <c r="R534" s="33">
        <f t="shared" si="115"/>
        <v>3.3153865430988194E-3</v>
      </c>
      <c r="S534" s="33">
        <f t="shared" si="116"/>
        <v>-7.7471890375179209E-3</v>
      </c>
    </row>
    <row r="535" spans="1:19" x14ac:dyDescent="0.25">
      <c r="A535" t="s">
        <v>39</v>
      </c>
      <c r="B535" s="65">
        <v>1</v>
      </c>
      <c r="C535" t="s">
        <v>11</v>
      </c>
      <c r="D535" s="67">
        <v>900</v>
      </c>
      <c r="E535" s="67">
        <v>906</v>
      </c>
      <c r="F535" s="67">
        <v>900</v>
      </c>
      <c r="G535" s="13">
        <f t="shared" si="104"/>
        <v>-6</v>
      </c>
      <c r="H535" s="13">
        <f t="shared" si="105"/>
        <v>0</v>
      </c>
      <c r="I535" s="73">
        <f t="shared" si="106"/>
        <v>0</v>
      </c>
      <c r="J535" s="73">
        <f t="shared" si="107"/>
        <v>-6.6225165562914245E-3</v>
      </c>
      <c r="K535" s="72" t="str">
        <f t="shared" si="108"/>
        <v>MAJA1</v>
      </c>
      <c r="L535" s="72" t="str">
        <f t="shared" si="109"/>
        <v>MAY-1-MAJA1</v>
      </c>
      <c r="M535" s="73">
        <f t="shared" si="110"/>
        <v>9.8783591837961593E-2</v>
      </c>
      <c r="N535" s="73">
        <f t="shared" si="111"/>
        <v>-6.54499055084522E-2</v>
      </c>
      <c r="O535" s="13">
        <f t="shared" si="112"/>
        <v>1911391</v>
      </c>
      <c r="P535" s="13">
        <f t="shared" si="113"/>
        <v>1932701</v>
      </c>
      <c r="Q535" s="13">
        <f t="shared" si="114"/>
        <v>1917728</v>
      </c>
      <c r="R535" s="33">
        <f t="shared" si="115"/>
        <v>3.3153865430988194E-3</v>
      </c>
      <c r="S535" s="33">
        <f t="shared" si="116"/>
        <v>-7.7471890375179209E-3</v>
      </c>
    </row>
    <row r="536" spans="1:19" x14ac:dyDescent="0.25">
      <c r="A536" t="s">
        <v>39</v>
      </c>
      <c r="B536" s="65">
        <v>1</v>
      </c>
      <c r="C536" t="s">
        <v>11</v>
      </c>
      <c r="D536" s="67">
        <v>100</v>
      </c>
      <c r="E536" s="67">
        <v>102</v>
      </c>
      <c r="F536" s="67">
        <v>100</v>
      </c>
      <c r="G536" s="13">
        <f t="shared" si="104"/>
        <v>-2</v>
      </c>
      <c r="H536" s="13">
        <f t="shared" si="105"/>
        <v>0</v>
      </c>
      <c r="I536" s="73">
        <f t="shared" si="106"/>
        <v>0</v>
      </c>
      <c r="J536" s="73">
        <f t="shared" si="107"/>
        <v>-1.9607843137254943E-2</v>
      </c>
      <c r="K536" s="72" t="str">
        <f t="shared" si="108"/>
        <v>MAJA1</v>
      </c>
      <c r="L536" s="72" t="str">
        <f t="shared" si="109"/>
        <v>MAY-1-MAJA1</v>
      </c>
      <c r="M536" s="73">
        <f t="shared" si="110"/>
        <v>9.8783591837961593E-2</v>
      </c>
      <c r="N536" s="73">
        <f t="shared" si="111"/>
        <v>-6.54499055084522E-2</v>
      </c>
      <c r="O536" s="13">
        <f t="shared" si="112"/>
        <v>1911391</v>
      </c>
      <c r="P536" s="13">
        <f t="shared" si="113"/>
        <v>1932701</v>
      </c>
      <c r="Q536" s="13">
        <f t="shared" si="114"/>
        <v>1917728</v>
      </c>
      <c r="R536" s="33">
        <f t="shared" si="115"/>
        <v>3.3153865430988194E-3</v>
      </c>
      <c r="S536" s="33">
        <f t="shared" si="116"/>
        <v>-7.7471890375179209E-3</v>
      </c>
    </row>
    <row r="537" spans="1:19" x14ac:dyDescent="0.25">
      <c r="A537" t="s">
        <v>39</v>
      </c>
      <c r="B537" s="65">
        <v>1</v>
      </c>
      <c r="C537" t="s">
        <v>11</v>
      </c>
      <c r="D537" s="67">
        <v>310</v>
      </c>
      <c r="E537" s="67">
        <v>312</v>
      </c>
      <c r="F537" s="67">
        <v>310</v>
      </c>
      <c r="G537" s="13">
        <f t="shared" si="104"/>
        <v>-2</v>
      </c>
      <c r="H537" s="13">
        <f t="shared" si="105"/>
        <v>0</v>
      </c>
      <c r="I537" s="73">
        <f t="shared" si="106"/>
        <v>0</v>
      </c>
      <c r="J537" s="73">
        <f t="shared" si="107"/>
        <v>-6.4102564102563875E-3</v>
      </c>
      <c r="K537" s="72" t="str">
        <f t="shared" si="108"/>
        <v>MAJA1</v>
      </c>
      <c r="L537" s="72" t="str">
        <f t="shared" si="109"/>
        <v>MAY-1-MAJA1</v>
      </c>
      <c r="M537" s="73">
        <f t="shared" si="110"/>
        <v>9.8783591837961593E-2</v>
      </c>
      <c r="N537" s="73">
        <f t="shared" si="111"/>
        <v>-6.54499055084522E-2</v>
      </c>
      <c r="O537" s="13">
        <f t="shared" si="112"/>
        <v>1911391</v>
      </c>
      <c r="P537" s="13">
        <f t="shared" si="113"/>
        <v>1932701</v>
      </c>
      <c r="Q537" s="13">
        <f t="shared" si="114"/>
        <v>1917728</v>
      </c>
      <c r="R537" s="33">
        <f t="shared" si="115"/>
        <v>3.3153865430988194E-3</v>
      </c>
      <c r="S537" s="33">
        <f t="shared" si="116"/>
        <v>-7.7471890375179209E-3</v>
      </c>
    </row>
    <row r="538" spans="1:19" x14ac:dyDescent="0.25">
      <c r="A538" t="s">
        <v>39</v>
      </c>
      <c r="B538" s="65">
        <v>1</v>
      </c>
      <c r="C538" t="s">
        <v>11</v>
      </c>
      <c r="D538" s="67">
        <v>10</v>
      </c>
      <c r="E538" s="67">
        <v>10</v>
      </c>
      <c r="F538" s="67">
        <v>10</v>
      </c>
      <c r="G538" s="13">
        <f t="shared" si="104"/>
        <v>0</v>
      </c>
      <c r="H538" s="13">
        <f t="shared" si="105"/>
        <v>0</v>
      </c>
      <c r="I538" s="73">
        <f t="shared" si="106"/>
        <v>0</v>
      </c>
      <c r="J538" s="73">
        <f t="shared" si="107"/>
        <v>0</v>
      </c>
      <c r="K538" s="72" t="str">
        <f t="shared" si="108"/>
        <v>MAJA1</v>
      </c>
      <c r="L538" s="72" t="str">
        <f t="shared" si="109"/>
        <v>MAY-1-MAJA1</v>
      </c>
      <c r="M538" s="73">
        <f t="shared" si="110"/>
        <v>9.8783591837961593E-2</v>
      </c>
      <c r="N538" s="73">
        <f t="shared" si="111"/>
        <v>-6.54499055084522E-2</v>
      </c>
      <c r="O538" s="13">
        <f t="shared" si="112"/>
        <v>1911391</v>
      </c>
      <c r="P538" s="13">
        <f t="shared" si="113"/>
        <v>1932701</v>
      </c>
      <c r="Q538" s="13">
        <f t="shared" si="114"/>
        <v>1917728</v>
      </c>
      <c r="R538" s="33">
        <f t="shared" si="115"/>
        <v>3.3153865430988194E-3</v>
      </c>
      <c r="S538" s="33">
        <f t="shared" si="116"/>
        <v>-7.7471890375179209E-3</v>
      </c>
    </row>
    <row r="539" spans="1:19" x14ac:dyDescent="0.25">
      <c r="A539" t="s">
        <v>39</v>
      </c>
      <c r="B539" s="65">
        <v>1</v>
      </c>
      <c r="C539" t="s">
        <v>10</v>
      </c>
      <c r="D539" s="67">
        <v>760</v>
      </c>
      <c r="E539" s="67">
        <v>760</v>
      </c>
      <c r="F539" s="67">
        <v>760</v>
      </c>
      <c r="G539" s="13">
        <f t="shared" si="104"/>
        <v>0</v>
      </c>
      <c r="H539" s="13">
        <f t="shared" si="105"/>
        <v>0</v>
      </c>
      <c r="I539" s="73">
        <f t="shared" si="106"/>
        <v>0</v>
      </c>
      <c r="J539" s="73">
        <f t="shared" si="107"/>
        <v>0</v>
      </c>
      <c r="K539" s="72" t="str">
        <f t="shared" si="108"/>
        <v>CNJ2</v>
      </c>
      <c r="L539" s="72" t="str">
        <f t="shared" si="109"/>
        <v>MAY-1-CNJ2</v>
      </c>
      <c r="M539" s="73">
        <f t="shared" si="110"/>
        <v>0</v>
      </c>
      <c r="N539" s="73">
        <f t="shared" si="111"/>
        <v>-0.11913189747708564</v>
      </c>
      <c r="O539" s="13">
        <f t="shared" si="112"/>
        <v>1911391</v>
      </c>
      <c r="P539" s="13">
        <f t="shared" si="113"/>
        <v>1932701</v>
      </c>
      <c r="Q539" s="13">
        <f t="shared" si="114"/>
        <v>1917728</v>
      </c>
      <c r="R539" s="33">
        <f t="shared" si="115"/>
        <v>3.3153865430988194E-3</v>
      </c>
      <c r="S539" s="33">
        <f t="shared" si="116"/>
        <v>-7.7471890375179209E-3</v>
      </c>
    </row>
    <row r="540" spans="1:19" x14ac:dyDescent="0.25">
      <c r="A540" t="s">
        <v>39</v>
      </c>
      <c r="B540" s="65">
        <v>1</v>
      </c>
      <c r="C540" t="s">
        <v>10</v>
      </c>
      <c r="D540" s="67">
        <v>1420</v>
      </c>
      <c r="E540" s="67">
        <v>1420</v>
      </c>
      <c r="F540" s="67">
        <v>1420</v>
      </c>
      <c r="G540" s="13">
        <f t="shared" si="104"/>
        <v>0</v>
      </c>
      <c r="H540" s="13">
        <f t="shared" si="105"/>
        <v>0</v>
      </c>
      <c r="I540" s="73">
        <f t="shared" si="106"/>
        <v>0</v>
      </c>
      <c r="J540" s="73">
        <f t="shared" si="107"/>
        <v>0</v>
      </c>
      <c r="K540" s="72" t="str">
        <f t="shared" si="108"/>
        <v>CNJ2</v>
      </c>
      <c r="L540" s="72" t="str">
        <f t="shared" si="109"/>
        <v>MAY-1-CNJ2</v>
      </c>
      <c r="M540" s="73">
        <f t="shared" si="110"/>
        <v>0</v>
      </c>
      <c r="N540" s="73">
        <f t="shared" si="111"/>
        <v>-0.11913189747708564</v>
      </c>
      <c r="O540" s="13">
        <f t="shared" si="112"/>
        <v>1911391</v>
      </c>
      <c r="P540" s="13">
        <f t="shared" si="113"/>
        <v>1932701</v>
      </c>
      <c r="Q540" s="13">
        <f t="shared" si="114"/>
        <v>1917728</v>
      </c>
      <c r="R540" s="33">
        <f t="shared" si="115"/>
        <v>3.3153865430988194E-3</v>
      </c>
      <c r="S540" s="33">
        <f t="shared" si="116"/>
        <v>-7.7471890375179209E-3</v>
      </c>
    </row>
    <row r="541" spans="1:19" x14ac:dyDescent="0.25">
      <c r="A541" t="s">
        <v>39</v>
      </c>
      <c r="B541" s="65">
        <v>2</v>
      </c>
      <c r="C541" t="s">
        <v>14</v>
      </c>
      <c r="D541" s="67">
        <v>12312</v>
      </c>
      <c r="E541" s="67">
        <v>12686</v>
      </c>
      <c r="F541" s="67">
        <v>12621</v>
      </c>
      <c r="G541" s="13">
        <f t="shared" si="104"/>
        <v>-65</v>
      </c>
      <c r="H541" s="13">
        <f t="shared" si="105"/>
        <v>309</v>
      </c>
      <c r="I541" s="73">
        <f t="shared" si="106"/>
        <v>2.5097465886939618E-2</v>
      </c>
      <c r="J541" s="73">
        <f t="shared" si="107"/>
        <v>-5.1237584739082243E-3</v>
      </c>
      <c r="K541" s="72" t="str">
        <f t="shared" si="108"/>
        <v>GM2</v>
      </c>
      <c r="L541" s="72" t="str">
        <f t="shared" si="109"/>
        <v>MAY-2-GM2</v>
      </c>
      <c r="M541" s="73">
        <f t="shared" si="110"/>
        <v>2.2422158475839504E-2</v>
      </c>
      <c r="N541" s="73">
        <f t="shared" si="111"/>
        <v>-4.9459864549572852E-2</v>
      </c>
      <c r="O541" s="13">
        <f t="shared" si="112"/>
        <v>1911391</v>
      </c>
      <c r="P541" s="13">
        <f t="shared" si="113"/>
        <v>1932701</v>
      </c>
      <c r="Q541" s="13">
        <f t="shared" si="114"/>
        <v>1917728</v>
      </c>
      <c r="R541" s="33">
        <f t="shared" si="115"/>
        <v>3.3153865430988194E-3</v>
      </c>
      <c r="S541" s="33">
        <f t="shared" si="116"/>
        <v>-7.7471890375179209E-3</v>
      </c>
    </row>
    <row r="542" spans="1:19" x14ac:dyDescent="0.25">
      <c r="A542" t="s">
        <v>39</v>
      </c>
      <c r="B542" s="65">
        <v>2</v>
      </c>
      <c r="C542" t="s">
        <v>14</v>
      </c>
      <c r="D542" s="67">
        <v>9180</v>
      </c>
      <c r="E542" s="67">
        <v>9378</v>
      </c>
      <c r="F542" s="67">
        <v>9324</v>
      </c>
      <c r="G542" s="13">
        <f t="shared" si="104"/>
        <v>-54</v>
      </c>
      <c r="H542" s="13">
        <f t="shared" si="105"/>
        <v>144</v>
      </c>
      <c r="I542" s="73">
        <f t="shared" si="106"/>
        <v>1.5686274509803866E-2</v>
      </c>
      <c r="J542" s="73">
        <f t="shared" si="107"/>
        <v>-5.7581573896353655E-3</v>
      </c>
      <c r="K542" s="72" t="str">
        <f t="shared" si="108"/>
        <v>GM2</v>
      </c>
      <c r="L542" s="72" t="str">
        <f t="shared" si="109"/>
        <v>MAY-2-GM2</v>
      </c>
      <c r="M542" s="73">
        <f t="shared" si="110"/>
        <v>2.2422158475839504E-2</v>
      </c>
      <c r="N542" s="73">
        <f t="shared" si="111"/>
        <v>-4.9459864549572852E-2</v>
      </c>
      <c r="O542" s="13">
        <f t="shared" si="112"/>
        <v>1911391</v>
      </c>
      <c r="P542" s="13">
        <f t="shared" si="113"/>
        <v>1932701</v>
      </c>
      <c r="Q542" s="13">
        <f t="shared" si="114"/>
        <v>1917728</v>
      </c>
      <c r="R542" s="33">
        <f t="shared" si="115"/>
        <v>3.3153865430988194E-3</v>
      </c>
      <c r="S542" s="33">
        <f t="shared" si="116"/>
        <v>-7.7471890375179209E-3</v>
      </c>
    </row>
    <row r="543" spans="1:19" x14ac:dyDescent="0.25">
      <c r="A543" t="s">
        <v>39</v>
      </c>
      <c r="B543" s="65">
        <v>2</v>
      </c>
      <c r="C543" t="s">
        <v>14</v>
      </c>
      <c r="D543" s="67">
        <v>9288</v>
      </c>
      <c r="E543" s="67">
        <v>9483</v>
      </c>
      <c r="F543" s="67">
        <v>9288</v>
      </c>
      <c r="G543" s="13">
        <f t="shared" si="104"/>
        <v>-195</v>
      </c>
      <c r="H543" s="13">
        <f t="shared" si="105"/>
        <v>0</v>
      </c>
      <c r="I543" s="73">
        <f t="shared" si="106"/>
        <v>0</v>
      </c>
      <c r="J543" s="73">
        <f t="shared" si="107"/>
        <v>-2.0563112938943418E-2</v>
      </c>
      <c r="K543" s="72" t="str">
        <f t="shared" si="108"/>
        <v>GM2</v>
      </c>
      <c r="L543" s="72" t="str">
        <f t="shared" si="109"/>
        <v>MAY-2-GM2</v>
      </c>
      <c r="M543" s="73">
        <f t="shared" si="110"/>
        <v>2.2422158475839504E-2</v>
      </c>
      <c r="N543" s="73">
        <f t="shared" si="111"/>
        <v>-4.9459864549572852E-2</v>
      </c>
      <c r="O543" s="13">
        <f t="shared" si="112"/>
        <v>1911391</v>
      </c>
      <c r="P543" s="13">
        <f t="shared" si="113"/>
        <v>1932701</v>
      </c>
      <c r="Q543" s="13">
        <f t="shared" si="114"/>
        <v>1917728</v>
      </c>
      <c r="R543" s="33">
        <f t="shared" si="115"/>
        <v>3.3153865430988194E-3</v>
      </c>
      <c r="S543" s="33">
        <f t="shared" si="116"/>
        <v>-7.7471890375179209E-3</v>
      </c>
    </row>
    <row r="544" spans="1:19" x14ac:dyDescent="0.25">
      <c r="A544" t="s">
        <v>39</v>
      </c>
      <c r="B544" s="65">
        <v>2</v>
      </c>
      <c r="C544" t="s">
        <v>14</v>
      </c>
      <c r="D544" s="67">
        <v>8496</v>
      </c>
      <c r="E544" s="67">
        <v>8493</v>
      </c>
      <c r="F544" s="67">
        <v>8340</v>
      </c>
      <c r="G544" s="13">
        <f t="shared" si="104"/>
        <v>-153</v>
      </c>
      <c r="H544" s="13">
        <f t="shared" si="105"/>
        <v>-156</v>
      </c>
      <c r="I544" s="73">
        <f t="shared" si="106"/>
        <v>-1.836158192090398E-2</v>
      </c>
      <c r="J544" s="73">
        <f t="shared" si="107"/>
        <v>-1.8014835747085844E-2</v>
      </c>
      <c r="K544" s="72" t="str">
        <f t="shared" si="108"/>
        <v>GM2</v>
      </c>
      <c r="L544" s="72" t="str">
        <f t="shared" si="109"/>
        <v>MAY-2-GM2</v>
      </c>
      <c r="M544" s="73">
        <f t="shared" si="110"/>
        <v>2.2422158475839504E-2</v>
      </c>
      <c r="N544" s="73">
        <f t="shared" si="111"/>
        <v>-4.9459864549572852E-2</v>
      </c>
      <c r="O544" s="13">
        <f t="shared" si="112"/>
        <v>1911391</v>
      </c>
      <c r="P544" s="13">
        <f t="shared" si="113"/>
        <v>1932701</v>
      </c>
      <c r="Q544" s="13">
        <f t="shared" si="114"/>
        <v>1917728</v>
      </c>
      <c r="R544" s="33">
        <f t="shared" si="115"/>
        <v>3.3153865430988194E-3</v>
      </c>
      <c r="S544" s="33">
        <f t="shared" si="116"/>
        <v>-7.7471890375179209E-3</v>
      </c>
    </row>
    <row r="545" spans="1:19" x14ac:dyDescent="0.25">
      <c r="A545" t="s">
        <v>39</v>
      </c>
      <c r="B545" s="65">
        <v>2</v>
      </c>
      <c r="C545" t="s">
        <v>16</v>
      </c>
      <c r="D545" s="67">
        <v>1600</v>
      </c>
      <c r="E545" s="67">
        <v>1592</v>
      </c>
      <c r="F545" s="67">
        <v>1556</v>
      </c>
      <c r="G545" s="13">
        <f t="shared" si="104"/>
        <v>-36</v>
      </c>
      <c r="H545" s="13">
        <f t="shared" si="105"/>
        <v>-44</v>
      </c>
      <c r="I545" s="73">
        <f t="shared" si="106"/>
        <v>-2.7499999999999969E-2</v>
      </c>
      <c r="J545" s="73">
        <f t="shared" si="107"/>
        <v>-2.2613065326633208E-2</v>
      </c>
      <c r="K545" s="72" t="str">
        <f t="shared" si="108"/>
        <v>ANUGERAH</v>
      </c>
      <c r="L545" s="72" t="str">
        <f t="shared" si="109"/>
        <v>MAY-2-ANUGERAH</v>
      </c>
      <c r="M545" s="73">
        <f t="shared" si="110"/>
        <v>-7.8750000000000098E-2</v>
      </c>
      <c r="N545" s="73">
        <f t="shared" si="111"/>
        <v>-0.13136602428300914</v>
      </c>
      <c r="O545" s="13">
        <f t="shared" si="112"/>
        <v>1911391</v>
      </c>
      <c r="P545" s="13">
        <f t="shared" si="113"/>
        <v>1932701</v>
      </c>
      <c r="Q545" s="13">
        <f t="shared" si="114"/>
        <v>1917728</v>
      </c>
      <c r="R545" s="33">
        <f t="shared" si="115"/>
        <v>3.3153865430988194E-3</v>
      </c>
      <c r="S545" s="33">
        <f t="shared" si="116"/>
        <v>-7.7471890375179209E-3</v>
      </c>
    </row>
    <row r="546" spans="1:19" x14ac:dyDescent="0.25">
      <c r="A546" t="s">
        <v>39</v>
      </c>
      <c r="B546" s="65">
        <v>2</v>
      </c>
      <c r="C546" t="s">
        <v>16</v>
      </c>
      <c r="D546" s="67">
        <v>2400</v>
      </c>
      <c r="E546" s="67">
        <v>2406</v>
      </c>
      <c r="F546" s="67">
        <v>2352</v>
      </c>
      <c r="G546" s="13">
        <f t="shared" si="104"/>
        <v>-54</v>
      </c>
      <c r="H546" s="13">
        <f t="shared" si="105"/>
        <v>-48</v>
      </c>
      <c r="I546" s="73">
        <f t="shared" si="106"/>
        <v>-2.0000000000000018E-2</v>
      </c>
      <c r="J546" s="73">
        <f t="shared" si="107"/>
        <v>-2.244389027431426E-2</v>
      </c>
      <c r="K546" s="72" t="str">
        <f t="shared" si="108"/>
        <v>ANUGERAH</v>
      </c>
      <c r="L546" s="72" t="str">
        <f t="shared" si="109"/>
        <v>MAY-2-ANUGERAH</v>
      </c>
      <c r="M546" s="73">
        <f t="shared" si="110"/>
        <v>-7.8750000000000098E-2</v>
      </c>
      <c r="N546" s="73">
        <f t="shared" si="111"/>
        <v>-0.13136602428300914</v>
      </c>
      <c r="O546" s="13">
        <f t="shared" si="112"/>
        <v>1911391</v>
      </c>
      <c r="P546" s="13">
        <f t="shared" si="113"/>
        <v>1932701</v>
      </c>
      <c r="Q546" s="13">
        <f t="shared" si="114"/>
        <v>1917728</v>
      </c>
      <c r="R546" s="33">
        <f t="shared" si="115"/>
        <v>3.3153865430988194E-3</v>
      </c>
      <c r="S546" s="33">
        <f t="shared" si="116"/>
        <v>-7.7471890375179209E-3</v>
      </c>
    </row>
    <row r="547" spans="1:19" x14ac:dyDescent="0.25">
      <c r="A547" t="s">
        <v>39</v>
      </c>
      <c r="B547" s="65">
        <v>2</v>
      </c>
      <c r="C547" t="s">
        <v>16</v>
      </c>
      <c r="D547" s="67">
        <v>800</v>
      </c>
      <c r="E547" s="67">
        <v>828</v>
      </c>
      <c r="F547" s="67">
        <v>788</v>
      </c>
      <c r="G547" s="13">
        <f t="shared" si="104"/>
        <v>-40</v>
      </c>
      <c r="H547" s="13">
        <f t="shared" si="105"/>
        <v>-12</v>
      </c>
      <c r="I547" s="73">
        <f t="shared" si="106"/>
        <v>-1.5000000000000013E-2</v>
      </c>
      <c r="J547" s="73">
        <f t="shared" si="107"/>
        <v>-4.8309178743961345E-2</v>
      </c>
      <c r="K547" s="72" t="str">
        <f t="shared" si="108"/>
        <v>ANUGERAH</v>
      </c>
      <c r="L547" s="72" t="str">
        <f t="shared" si="109"/>
        <v>MAY-2-ANUGERAH</v>
      </c>
      <c r="M547" s="73">
        <f t="shared" si="110"/>
        <v>-7.8750000000000098E-2</v>
      </c>
      <c r="N547" s="73">
        <f t="shared" si="111"/>
        <v>-0.13136602428300914</v>
      </c>
      <c r="O547" s="13">
        <f t="shared" si="112"/>
        <v>1911391</v>
      </c>
      <c r="P547" s="13">
        <f t="shared" si="113"/>
        <v>1932701</v>
      </c>
      <c r="Q547" s="13">
        <f t="shared" si="114"/>
        <v>1917728</v>
      </c>
      <c r="R547" s="33">
        <f t="shared" si="115"/>
        <v>3.3153865430988194E-3</v>
      </c>
      <c r="S547" s="33">
        <f t="shared" si="116"/>
        <v>-7.7471890375179209E-3</v>
      </c>
    </row>
    <row r="548" spans="1:19" x14ac:dyDescent="0.25">
      <c r="A548" t="s">
        <v>39</v>
      </c>
      <c r="B548" s="65">
        <v>2</v>
      </c>
      <c r="C548" t="s">
        <v>16</v>
      </c>
      <c r="D548" s="67">
        <v>2400</v>
      </c>
      <c r="E548" s="67">
        <v>2444</v>
      </c>
      <c r="F548" s="67">
        <v>2412</v>
      </c>
      <c r="G548" s="13">
        <f t="shared" si="104"/>
        <v>-32</v>
      </c>
      <c r="H548" s="13">
        <f t="shared" si="105"/>
        <v>12</v>
      </c>
      <c r="I548" s="73">
        <f t="shared" si="106"/>
        <v>4.9999999999998934E-3</v>
      </c>
      <c r="J548" s="73">
        <f t="shared" si="107"/>
        <v>-1.3093289689034338E-2</v>
      </c>
      <c r="K548" s="72" t="str">
        <f t="shared" si="108"/>
        <v>ANUGERAH</v>
      </c>
      <c r="L548" s="72" t="str">
        <f t="shared" si="109"/>
        <v>MAY-2-ANUGERAH</v>
      </c>
      <c r="M548" s="73">
        <f t="shared" si="110"/>
        <v>-7.8750000000000098E-2</v>
      </c>
      <c r="N548" s="73">
        <f t="shared" si="111"/>
        <v>-0.13136602428300914</v>
      </c>
      <c r="O548" s="13">
        <f t="shared" si="112"/>
        <v>1911391</v>
      </c>
      <c r="P548" s="13">
        <f t="shared" si="113"/>
        <v>1932701</v>
      </c>
      <c r="Q548" s="13">
        <f t="shared" si="114"/>
        <v>1917728</v>
      </c>
      <c r="R548" s="33">
        <f t="shared" si="115"/>
        <v>3.3153865430988194E-3</v>
      </c>
      <c r="S548" s="33">
        <f t="shared" si="116"/>
        <v>-7.7471890375179209E-3</v>
      </c>
    </row>
    <row r="549" spans="1:19" x14ac:dyDescent="0.25">
      <c r="A549" t="s">
        <v>39</v>
      </c>
      <c r="B549" s="65">
        <v>2</v>
      </c>
      <c r="C549" t="s">
        <v>16</v>
      </c>
      <c r="D549" s="67">
        <v>800</v>
      </c>
      <c r="E549" s="67">
        <v>803</v>
      </c>
      <c r="F549" s="67">
        <v>783</v>
      </c>
      <c r="G549" s="13">
        <f t="shared" si="104"/>
        <v>-20</v>
      </c>
      <c r="H549" s="13">
        <f t="shared" si="105"/>
        <v>-17</v>
      </c>
      <c r="I549" s="73">
        <f t="shared" si="106"/>
        <v>-2.1249999999999991E-2</v>
      </c>
      <c r="J549" s="73">
        <f t="shared" si="107"/>
        <v>-2.4906600249065991E-2</v>
      </c>
      <c r="K549" s="72" t="str">
        <f t="shared" si="108"/>
        <v>ANUGERAH</v>
      </c>
      <c r="L549" s="72" t="str">
        <f t="shared" si="109"/>
        <v>MAY-2-ANUGERAH</v>
      </c>
      <c r="M549" s="73">
        <f t="shared" si="110"/>
        <v>-7.8750000000000098E-2</v>
      </c>
      <c r="N549" s="73">
        <f t="shared" si="111"/>
        <v>-0.13136602428300914</v>
      </c>
      <c r="O549" s="13">
        <f t="shared" si="112"/>
        <v>1911391</v>
      </c>
      <c r="P549" s="13">
        <f t="shared" si="113"/>
        <v>1932701</v>
      </c>
      <c r="Q549" s="13">
        <f t="shared" si="114"/>
        <v>1917728</v>
      </c>
      <c r="R549" s="33">
        <f t="shared" si="115"/>
        <v>3.3153865430988194E-3</v>
      </c>
      <c r="S549" s="33">
        <f t="shared" si="116"/>
        <v>-7.7471890375179209E-3</v>
      </c>
    </row>
    <row r="550" spans="1:19" x14ac:dyDescent="0.25">
      <c r="A550" t="s">
        <v>39</v>
      </c>
      <c r="B550" s="65">
        <v>2</v>
      </c>
      <c r="C550" t="s">
        <v>10</v>
      </c>
      <c r="D550" s="67">
        <v>3810</v>
      </c>
      <c r="E550" s="67">
        <v>3832</v>
      </c>
      <c r="F550" s="67">
        <v>3810</v>
      </c>
      <c r="G550" s="13">
        <f t="shared" si="104"/>
        <v>-22</v>
      </c>
      <c r="H550" s="13">
        <f t="shared" si="105"/>
        <v>0</v>
      </c>
      <c r="I550" s="73">
        <f t="shared" si="106"/>
        <v>0</v>
      </c>
      <c r="J550" s="73">
        <f t="shared" si="107"/>
        <v>-5.7411273486429604E-3</v>
      </c>
      <c r="K550" s="72" t="str">
        <f t="shared" si="108"/>
        <v>CNJ2</v>
      </c>
      <c r="L550" s="72" t="str">
        <f t="shared" si="109"/>
        <v>MAY-2-CNJ2</v>
      </c>
      <c r="M550" s="73">
        <f t="shared" si="110"/>
        <v>0</v>
      </c>
      <c r="N550" s="73">
        <f t="shared" si="111"/>
        <v>-0.1201308984760866</v>
      </c>
      <c r="O550" s="13">
        <f t="shared" si="112"/>
        <v>1911391</v>
      </c>
      <c r="P550" s="13">
        <f t="shared" si="113"/>
        <v>1932701</v>
      </c>
      <c r="Q550" s="13">
        <f t="shared" si="114"/>
        <v>1917728</v>
      </c>
      <c r="R550" s="33">
        <f t="shared" si="115"/>
        <v>3.3153865430988194E-3</v>
      </c>
      <c r="S550" s="33">
        <f t="shared" si="116"/>
        <v>-7.7471890375179209E-3</v>
      </c>
    </row>
    <row r="551" spans="1:19" x14ac:dyDescent="0.25">
      <c r="A551" t="s">
        <v>39</v>
      </c>
      <c r="B551" s="65">
        <v>2</v>
      </c>
      <c r="C551" t="s">
        <v>10</v>
      </c>
      <c r="D551" s="67">
        <v>2830</v>
      </c>
      <c r="E551" s="67">
        <v>2852</v>
      </c>
      <c r="F551" s="67">
        <v>2830</v>
      </c>
      <c r="G551" s="13">
        <f t="shared" si="104"/>
        <v>-22</v>
      </c>
      <c r="H551" s="13">
        <f t="shared" si="105"/>
        <v>0</v>
      </c>
      <c r="I551" s="73">
        <f t="shared" si="106"/>
        <v>0</v>
      </c>
      <c r="J551" s="73">
        <f t="shared" si="107"/>
        <v>-7.7138849929874187E-3</v>
      </c>
      <c r="K551" s="72" t="str">
        <f t="shared" si="108"/>
        <v>CNJ2</v>
      </c>
      <c r="L551" s="72" t="str">
        <f t="shared" si="109"/>
        <v>MAY-2-CNJ2</v>
      </c>
      <c r="M551" s="73">
        <f t="shared" si="110"/>
        <v>0</v>
      </c>
      <c r="N551" s="73">
        <f t="shared" si="111"/>
        <v>-0.1201308984760866</v>
      </c>
      <c r="O551" s="13">
        <f t="shared" si="112"/>
        <v>1911391</v>
      </c>
      <c r="P551" s="13">
        <f t="shared" si="113"/>
        <v>1932701</v>
      </c>
      <c r="Q551" s="13">
        <f t="shared" si="114"/>
        <v>1917728</v>
      </c>
      <c r="R551" s="33">
        <f t="shared" si="115"/>
        <v>3.3153865430988194E-3</v>
      </c>
      <c r="S551" s="33">
        <f t="shared" si="116"/>
        <v>-7.7471890375179209E-3</v>
      </c>
    </row>
    <row r="552" spans="1:19" x14ac:dyDescent="0.25">
      <c r="A552" t="s">
        <v>39</v>
      </c>
      <c r="B552" s="65">
        <v>2</v>
      </c>
      <c r="C552" t="s">
        <v>10</v>
      </c>
      <c r="D552" s="67">
        <v>1860</v>
      </c>
      <c r="E552" s="67">
        <v>1878</v>
      </c>
      <c r="F552" s="67">
        <v>1860</v>
      </c>
      <c r="G552" s="13">
        <f t="shared" si="104"/>
        <v>-18</v>
      </c>
      <c r="H552" s="13">
        <f t="shared" si="105"/>
        <v>0</v>
      </c>
      <c r="I552" s="73">
        <f t="shared" si="106"/>
        <v>0</v>
      </c>
      <c r="J552" s="73">
        <f t="shared" si="107"/>
        <v>-9.5846645367412275E-3</v>
      </c>
      <c r="K552" s="72" t="str">
        <f t="shared" si="108"/>
        <v>CNJ2</v>
      </c>
      <c r="L552" s="72" t="str">
        <f t="shared" si="109"/>
        <v>MAY-2-CNJ2</v>
      </c>
      <c r="M552" s="73">
        <f t="shared" si="110"/>
        <v>0</v>
      </c>
      <c r="N552" s="73">
        <f t="shared" si="111"/>
        <v>-0.1201308984760866</v>
      </c>
      <c r="O552" s="13">
        <f t="shared" si="112"/>
        <v>1911391</v>
      </c>
      <c r="P552" s="13">
        <f t="shared" si="113"/>
        <v>1932701</v>
      </c>
      <c r="Q552" s="13">
        <f t="shared" si="114"/>
        <v>1917728</v>
      </c>
      <c r="R552" s="33">
        <f t="shared" si="115"/>
        <v>3.3153865430988194E-3</v>
      </c>
      <c r="S552" s="33">
        <f t="shared" si="116"/>
        <v>-7.7471890375179209E-3</v>
      </c>
    </row>
    <row r="553" spans="1:19" x14ac:dyDescent="0.25">
      <c r="A553" t="s">
        <v>39</v>
      </c>
      <c r="B553" s="65">
        <v>2</v>
      </c>
      <c r="C553" t="s">
        <v>10</v>
      </c>
      <c r="D553" s="67">
        <v>1710</v>
      </c>
      <c r="E553" s="67">
        <v>1737</v>
      </c>
      <c r="F553" s="67">
        <v>1710</v>
      </c>
      <c r="G553" s="13">
        <f t="shared" si="104"/>
        <v>-27</v>
      </c>
      <c r="H553" s="13">
        <f t="shared" si="105"/>
        <v>0</v>
      </c>
      <c r="I553" s="73">
        <f t="shared" si="106"/>
        <v>0</v>
      </c>
      <c r="J553" s="73">
        <f t="shared" si="107"/>
        <v>-1.5544041450777257E-2</v>
      </c>
      <c r="K553" s="72" t="str">
        <f t="shared" si="108"/>
        <v>CNJ2</v>
      </c>
      <c r="L553" s="72" t="str">
        <f t="shared" si="109"/>
        <v>MAY-2-CNJ2</v>
      </c>
      <c r="M553" s="73">
        <f t="shared" si="110"/>
        <v>0</v>
      </c>
      <c r="N553" s="73">
        <f t="shared" si="111"/>
        <v>-0.1201308984760866</v>
      </c>
      <c r="O553" s="13">
        <f t="shared" si="112"/>
        <v>1911391</v>
      </c>
      <c r="P553" s="13">
        <f t="shared" si="113"/>
        <v>1932701</v>
      </c>
      <c r="Q553" s="13">
        <f t="shared" si="114"/>
        <v>1917728</v>
      </c>
      <c r="R553" s="33">
        <f t="shared" si="115"/>
        <v>3.3153865430988194E-3</v>
      </c>
      <c r="S553" s="33">
        <f t="shared" si="116"/>
        <v>-7.7471890375179209E-3</v>
      </c>
    </row>
    <row r="554" spans="1:19" x14ac:dyDescent="0.25">
      <c r="A554" t="s">
        <v>39</v>
      </c>
      <c r="B554" s="65">
        <v>2</v>
      </c>
      <c r="C554" t="s">
        <v>10</v>
      </c>
      <c r="D554" s="67">
        <v>1600</v>
      </c>
      <c r="E554" s="67">
        <v>1626</v>
      </c>
      <c r="F554" s="67">
        <v>1600</v>
      </c>
      <c r="G554" s="13">
        <f t="shared" si="104"/>
        <v>-26</v>
      </c>
      <c r="H554" s="13">
        <f t="shared" si="105"/>
        <v>0</v>
      </c>
      <c r="I554" s="73">
        <f t="shared" si="106"/>
        <v>0</v>
      </c>
      <c r="J554" s="73">
        <f t="shared" si="107"/>
        <v>-1.5990159901599021E-2</v>
      </c>
      <c r="K554" s="72" t="str">
        <f t="shared" si="108"/>
        <v>CNJ2</v>
      </c>
      <c r="L554" s="72" t="str">
        <f t="shared" si="109"/>
        <v>MAY-2-CNJ2</v>
      </c>
      <c r="M554" s="73">
        <f t="shared" si="110"/>
        <v>0</v>
      </c>
      <c r="N554" s="73">
        <f t="shared" si="111"/>
        <v>-0.1201308984760866</v>
      </c>
      <c r="O554" s="13">
        <f t="shared" si="112"/>
        <v>1911391</v>
      </c>
      <c r="P554" s="13">
        <f t="shared" si="113"/>
        <v>1932701</v>
      </c>
      <c r="Q554" s="13">
        <f t="shared" si="114"/>
        <v>1917728</v>
      </c>
      <c r="R554" s="33">
        <f t="shared" si="115"/>
        <v>3.3153865430988194E-3</v>
      </c>
      <c r="S554" s="33">
        <f t="shared" si="116"/>
        <v>-7.7471890375179209E-3</v>
      </c>
    </row>
    <row r="555" spans="1:19" x14ac:dyDescent="0.25">
      <c r="A555" t="s">
        <v>39</v>
      </c>
      <c r="B555" s="65">
        <v>2</v>
      </c>
      <c r="C555" t="s">
        <v>10</v>
      </c>
      <c r="D555" s="67">
        <v>900</v>
      </c>
      <c r="E555" s="67">
        <v>913</v>
      </c>
      <c r="F555" s="67">
        <v>900</v>
      </c>
      <c r="G555" s="13">
        <f t="shared" si="104"/>
        <v>-13</v>
      </c>
      <c r="H555" s="13">
        <f t="shared" si="105"/>
        <v>0</v>
      </c>
      <c r="I555" s="73">
        <f t="shared" si="106"/>
        <v>0</v>
      </c>
      <c r="J555" s="73">
        <f t="shared" si="107"/>
        <v>-1.4238773274917849E-2</v>
      </c>
      <c r="K555" s="72" t="str">
        <f t="shared" si="108"/>
        <v>CNJ2</v>
      </c>
      <c r="L555" s="72" t="str">
        <f t="shared" si="109"/>
        <v>MAY-2-CNJ2</v>
      </c>
      <c r="M555" s="73">
        <f t="shared" si="110"/>
        <v>0</v>
      </c>
      <c r="N555" s="73">
        <f t="shared" si="111"/>
        <v>-0.1201308984760866</v>
      </c>
      <c r="O555" s="13">
        <f t="shared" si="112"/>
        <v>1911391</v>
      </c>
      <c r="P555" s="13">
        <f t="shared" si="113"/>
        <v>1932701</v>
      </c>
      <c r="Q555" s="13">
        <f t="shared" si="114"/>
        <v>1917728</v>
      </c>
      <c r="R555" s="33">
        <f t="shared" si="115"/>
        <v>3.3153865430988194E-3</v>
      </c>
      <c r="S555" s="33">
        <f t="shared" si="116"/>
        <v>-7.7471890375179209E-3</v>
      </c>
    </row>
    <row r="556" spans="1:19" x14ac:dyDescent="0.25">
      <c r="A556" t="s">
        <v>39</v>
      </c>
      <c r="B556" s="65">
        <v>2</v>
      </c>
      <c r="C556" t="s">
        <v>10</v>
      </c>
      <c r="D556" s="67">
        <v>1000</v>
      </c>
      <c r="E556" s="67">
        <v>1001</v>
      </c>
      <c r="F556" s="67">
        <v>1000</v>
      </c>
      <c r="G556" s="13">
        <f t="shared" si="104"/>
        <v>-1</v>
      </c>
      <c r="H556" s="13">
        <f t="shared" si="105"/>
        <v>0</v>
      </c>
      <c r="I556" s="73">
        <f t="shared" si="106"/>
        <v>0</v>
      </c>
      <c r="J556" s="73">
        <f t="shared" si="107"/>
        <v>-9.9900099900096517E-4</v>
      </c>
      <c r="K556" s="72" t="str">
        <f t="shared" si="108"/>
        <v>CNJ2</v>
      </c>
      <c r="L556" s="72" t="str">
        <f t="shared" si="109"/>
        <v>MAY-2-CNJ2</v>
      </c>
      <c r="M556" s="73">
        <f t="shared" si="110"/>
        <v>0</v>
      </c>
      <c r="N556" s="73">
        <f t="shared" si="111"/>
        <v>-0.1201308984760866</v>
      </c>
      <c r="O556" s="13">
        <f t="shared" si="112"/>
        <v>1911391</v>
      </c>
      <c r="P556" s="13">
        <f t="shared" si="113"/>
        <v>1932701</v>
      </c>
      <c r="Q556" s="13">
        <f t="shared" si="114"/>
        <v>1917728</v>
      </c>
      <c r="R556" s="33">
        <f t="shared" si="115"/>
        <v>3.3153865430988194E-3</v>
      </c>
      <c r="S556" s="33">
        <f t="shared" si="116"/>
        <v>-7.7471890375179209E-3</v>
      </c>
    </row>
    <row r="557" spans="1:19" x14ac:dyDescent="0.25">
      <c r="A557" t="s">
        <v>39</v>
      </c>
      <c r="B557" s="65">
        <v>2</v>
      </c>
      <c r="C557" t="s">
        <v>10</v>
      </c>
      <c r="D557" s="67">
        <v>2000</v>
      </c>
      <c r="E557" s="67">
        <v>2024</v>
      </c>
      <c r="F557" s="67">
        <v>2000</v>
      </c>
      <c r="G557" s="13">
        <f t="shared" si="104"/>
        <v>-24</v>
      </c>
      <c r="H557" s="13">
        <f t="shared" si="105"/>
        <v>0</v>
      </c>
      <c r="I557" s="73">
        <f t="shared" si="106"/>
        <v>0</v>
      </c>
      <c r="J557" s="73">
        <f t="shared" si="107"/>
        <v>-1.1857707509881465E-2</v>
      </c>
      <c r="K557" s="72" t="str">
        <f t="shared" si="108"/>
        <v>CNJ2</v>
      </c>
      <c r="L557" s="72" t="str">
        <f t="shared" si="109"/>
        <v>MAY-2-CNJ2</v>
      </c>
      <c r="M557" s="73">
        <f t="shared" si="110"/>
        <v>0</v>
      </c>
      <c r="N557" s="73">
        <f t="shared" si="111"/>
        <v>-0.1201308984760866</v>
      </c>
      <c r="O557" s="13">
        <f t="shared" si="112"/>
        <v>1911391</v>
      </c>
      <c r="P557" s="13">
        <f t="shared" si="113"/>
        <v>1932701</v>
      </c>
      <c r="Q557" s="13">
        <f t="shared" si="114"/>
        <v>1917728</v>
      </c>
      <c r="R557" s="33">
        <f t="shared" si="115"/>
        <v>3.3153865430988194E-3</v>
      </c>
      <c r="S557" s="33">
        <f t="shared" si="116"/>
        <v>-7.7471890375179209E-3</v>
      </c>
    </row>
    <row r="558" spans="1:19" x14ac:dyDescent="0.25">
      <c r="A558" t="s">
        <v>39</v>
      </c>
      <c r="B558" s="65">
        <v>2</v>
      </c>
      <c r="C558" t="s">
        <v>10</v>
      </c>
      <c r="D558" s="67">
        <v>2100</v>
      </c>
      <c r="E558" s="67">
        <v>2184</v>
      </c>
      <c r="F558" s="67">
        <v>2100</v>
      </c>
      <c r="G558" s="13">
        <f t="shared" si="104"/>
        <v>-84</v>
      </c>
      <c r="H558" s="13">
        <f t="shared" si="105"/>
        <v>0</v>
      </c>
      <c r="I558" s="73">
        <f t="shared" si="106"/>
        <v>0</v>
      </c>
      <c r="J558" s="73">
        <f t="shared" si="107"/>
        <v>-3.8461538461538436E-2</v>
      </c>
      <c r="K558" s="72" t="str">
        <f t="shared" si="108"/>
        <v>CNJ2</v>
      </c>
      <c r="L558" s="72" t="str">
        <f t="shared" si="109"/>
        <v>MAY-2-CNJ2</v>
      </c>
      <c r="M558" s="73">
        <f t="shared" si="110"/>
        <v>0</v>
      </c>
      <c r="N558" s="73">
        <f t="shared" si="111"/>
        <v>-0.1201308984760866</v>
      </c>
      <c r="O558" s="13">
        <f t="shared" si="112"/>
        <v>1911391</v>
      </c>
      <c r="P558" s="13">
        <f t="shared" si="113"/>
        <v>1932701</v>
      </c>
      <c r="Q558" s="13">
        <f t="shared" si="114"/>
        <v>1917728</v>
      </c>
      <c r="R558" s="33">
        <f t="shared" si="115"/>
        <v>3.3153865430988194E-3</v>
      </c>
      <c r="S558" s="33">
        <f t="shared" si="116"/>
        <v>-7.7471890375179209E-3</v>
      </c>
    </row>
    <row r="559" spans="1:19" x14ac:dyDescent="0.25">
      <c r="A559" t="s">
        <v>39</v>
      </c>
      <c r="B559" s="65">
        <v>2</v>
      </c>
      <c r="C559" t="s">
        <v>15</v>
      </c>
      <c r="D559" s="67">
        <v>4210</v>
      </c>
      <c r="E559" s="67">
        <v>4195</v>
      </c>
      <c r="F559" s="67">
        <v>4189</v>
      </c>
      <c r="G559" s="13">
        <f t="shared" si="104"/>
        <v>-6</v>
      </c>
      <c r="H559" s="13">
        <f t="shared" si="105"/>
        <v>-21</v>
      </c>
      <c r="I559" s="73">
        <f t="shared" si="106"/>
        <v>-4.9881235154394243E-3</v>
      </c>
      <c r="J559" s="73">
        <f t="shared" si="107"/>
        <v>-1.4302741358760418E-3</v>
      </c>
      <c r="K559" s="72" t="str">
        <f t="shared" si="108"/>
        <v>CHAWAN</v>
      </c>
      <c r="L559" s="72" t="str">
        <f t="shared" si="109"/>
        <v>MAY-2-CHAWAN</v>
      </c>
      <c r="M559" s="73">
        <f t="shared" si="110"/>
        <v>-8.1991372116977379E-2</v>
      </c>
      <c r="N559" s="73">
        <f t="shared" si="111"/>
        <v>-6.4834537815328996E-2</v>
      </c>
      <c r="O559" s="13">
        <f t="shared" si="112"/>
        <v>1911391</v>
      </c>
      <c r="P559" s="13">
        <f t="shared" si="113"/>
        <v>1932701</v>
      </c>
      <c r="Q559" s="13">
        <f t="shared" si="114"/>
        <v>1917728</v>
      </c>
      <c r="R559" s="33">
        <f t="shared" si="115"/>
        <v>3.3153865430988194E-3</v>
      </c>
      <c r="S559" s="33">
        <f t="shared" si="116"/>
        <v>-7.7471890375179209E-3</v>
      </c>
    </row>
    <row r="560" spans="1:19" x14ac:dyDescent="0.25">
      <c r="A560" t="s">
        <v>39</v>
      </c>
      <c r="B560" s="65">
        <v>2</v>
      </c>
      <c r="C560" t="s">
        <v>15</v>
      </c>
      <c r="D560" s="67">
        <v>4210</v>
      </c>
      <c r="E560" s="67">
        <v>4190</v>
      </c>
      <c r="F560" s="67">
        <v>4189</v>
      </c>
      <c r="G560" s="13">
        <f t="shared" si="104"/>
        <v>-1</v>
      </c>
      <c r="H560" s="13">
        <f t="shared" si="105"/>
        <v>-21</v>
      </c>
      <c r="I560" s="73">
        <f t="shared" si="106"/>
        <v>-4.9881235154394243E-3</v>
      </c>
      <c r="J560" s="73">
        <f t="shared" si="107"/>
        <v>-2.3866348448686736E-4</v>
      </c>
      <c r="K560" s="72" t="str">
        <f t="shared" si="108"/>
        <v>CHAWAN</v>
      </c>
      <c r="L560" s="72" t="str">
        <f t="shared" si="109"/>
        <v>MAY-2-CHAWAN</v>
      </c>
      <c r="M560" s="73">
        <f t="shared" si="110"/>
        <v>-8.1991372116977379E-2</v>
      </c>
      <c r="N560" s="73">
        <f t="shared" si="111"/>
        <v>-6.4834537815328996E-2</v>
      </c>
      <c r="O560" s="13">
        <f t="shared" si="112"/>
        <v>1911391</v>
      </c>
      <c r="P560" s="13">
        <f t="shared" si="113"/>
        <v>1932701</v>
      </c>
      <c r="Q560" s="13">
        <f t="shared" si="114"/>
        <v>1917728</v>
      </c>
      <c r="R560" s="33">
        <f t="shared" si="115"/>
        <v>3.3153865430988194E-3</v>
      </c>
      <c r="S560" s="33">
        <f t="shared" si="116"/>
        <v>-7.7471890375179209E-3</v>
      </c>
    </row>
    <row r="561" spans="1:19" x14ac:dyDescent="0.25">
      <c r="A561" t="s">
        <v>39</v>
      </c>
      <c r="B561" s="65">
        <v>2</v>
      </c>
      <c r="C561" t="s">
        <v>15</v>
      </c>
      <c r="D561" s="67">
        <v>2153</v>
      </c>
      <c r="E561" s="67">
        <v>2153</v>
      </c>
      <c r="F561" s="67">
        <v>2153</v>
      </c>
      <c r="G561" s="13">
        <f t="shared" si="104"/>
        <v>0</v>
      </c>
      <c r="H561" s="13">
        <f t="shared" si="105"/>
        <v>0</v>
      </c>
      <c r="I561" s="73">
        <f t="shared" si="106"/>
        <v>0</v>
      </c>
      <c r="J561" s="73">
        <f t="shared" si="107"/>
        <v>0</v>
      </c>
      <c r="K561" s="72" t="str">
        <f t="shared" si="108"/>
        <v>CHAWAN</v>
      </c>
      <c r="L561" s="72" t="str">
        <f t="shared" si="109"/>
        <v>MAY-2-CHAWAN</v>
      </c>
      <c r="M561" s="73">
        <f t="shared" si="110"/>
        <v>-8.1991372116977379E-2</v>
      </c>
      <c r="N561" s="73">
        <f t="shared" si="111"/>
        <v>-6.4834537815328996E-2</v>
      </c>
      <c r="O561" s="13">
        <f t="shared" si="112"/>
        <v>1911391</v>
      </c>
      <c r="P561" s="13">
        <f t="shared" si="113"/>
        <v>1932701</v>
      </c>
      <c r="Q561" s="13">
        <f t="shared" si="114"/>
        <v>1917728</v>
      </c>
      <c r="R561" s="33">
        <f t="shared" si="115"/>
        <v>3.3153865430988194E-3</v>
      </c>
      <c r="S561" s="33">
        <f t="shared" si="116"/>
        <v>-7.7471890375179209E-3</v>
      </c>
    </row>
    <row r="562" spans="1:19" x14ac:dyDescent="0.25">
      <c r="A562" t="s">
        <v>39</v>
      </c>
      <c r="B562" s="65">
        <v>2</v>
      </c>
      <c r="C562" t="s">
        <v>15</v>
      </c>
      <c r="D562" s="67">
        <v>2153</v>
      </c>
      <c r="E562" s="67">
        <v>2153</v>
      </c>
      <c r="F562" s="67">
        <v>2153</v>
      </c>
      <c r="G562" s="13">
        <f t="shared" si="104"/>
        <v>0</v>
      </c>
      <c r="H562" s="13">
        <f t="shared" si="105"/>
        <v>0</v>
      </c>
      <c r="I562" s="73">
        <f t="shared" si="106"/>
        <v>0</v>
      </c>
      <c r="J562" s="73">
        <f t="shared" si="107"/>
        <v>0</v>
      </c>
      <c r="K562" s="72" t="str">
        <f t="shared" si="108"/>
        <v>CHAWAN</v>
      </c>
      <c r="L562" s="72" t="str">
        <f t="shared" si="109"/>
        <v>MAY-2-CHAWAN</v>
      </c>
      <c r="M562" s="73">
        <f t="shared" si="110"/>
        <v>-8.1991372116977379E-2</v>
      </c>
      <c r="N562" s="73">
        <f t="shared" si="111"/>
        <v>-6.4834537815328996E-2</v>
      </c>
      <c r="O562" s="13">
        <f t="shared" si="112"/>
        <v>1911391</v>
      </c>
      <c r="P562" s="13">
        <f t="shared" si="113"/>
        <v>1932701</v>
      </c>
      <c r="Q562" s="13">
        <f t="shared" si="114"/>
        <v>1917728</v>
      </c>
      <c r="R562" s="33">
        <f t="shared" si="115"/>
        <v>3.3153865430988194E-3</v>
      </c>
      <c r="S562" s="33">
        <f t="shared" si="116"/>
        <v>-7.7471890375179209E-3</v>
      </c>
    </row>
    <row r="563" spans="1:19" x14ac:dyDescent="0.25">
      <c r="A563" t="s">
        <v>39</v>
      </c>
      <c r="B563" s="65">
        <v>2</v>
      </c>
      <c r="C563" t="s">
        <v>15</v>
      </c>
      <c r="D563" s="67">
        <v>1164</v>
      </c>
      <c r="E563" s="67">
        <v>1164</v>
      </c>
      <c r="F563" s="67">
        <v>1155</v>
      </c>
      <c r="G563" s="13">
        <f t="shared" si="104"/>
        <v>-9</v>
      </c>
      <c r="H563" s="13">
        <f t="shared" si="105"/>
        <v>-9</v>
      </c>
      <c r="I563" s="73">
        <f t="shared" si="106"/>
        <v>-7.7319587628865705E-3</v>
      </c>
      <c r="J563" s="73">
        <f t="shared" si="107"/>
        <v>-7.7319587628865705E-3</v>
      </c>
      <c r="K563" s="72" t="str">
        <f t="shared" si="108"/>
        <v>CHAWAN</v>
      </c>
      <c r="L563" s="72" t="str">
        <f t="shared" si="109"/>
        <v>MAY-2-CHAWAN</v>
      </c>
      <c r="M563" s="73">
        <f t="shared" si="110"/>
        <v>-8.1991372116977379E-2</v>
      </c>
      <c r="N563" s="73">
        <f t="shared" si="111"/>
        <v>-6.4834537815328996E-2</v>
      </c>
      <c r="O563" s="13">
        <f t="shared" si="112"/>
        <v>1911391</v>
      </c>
      <c r="P563" s="13">
        <f t="shared" si="113"/>
        <v>1932701</v>
      </c>
      <c r="Q563" s="13">
        <f t="shared" si="114"/>
        <v>1917728</v>
      </c>
      <c r="R563" s="33">
        <f t="shared" si="115"/>
        <v>3.3153865430988194E-3</v>
      </c>
      <c r="S563" s="33">
        <f t="shared" si="116"/>
        <v>-7.7471890375179209E-3</v>
      </c>
    </row>
    <row r="564" spans="1:19" x14ac:dyDescent="0.25">
      <c r="A564" t="s">
        <v>39</v>
      </c>
      <c r="B564" s="65">
        <v>2</v>
      </c>
      <c r="C564" t="s">
        <v>15</v>
      </c>
      <c r="D564" s="67">
        <v>1164</v>
      </c>
      <c r="E564" s="67">
        <v>1164</v>
      </c>
      <c r="F564" s="67">
        <v>1155</v>
      </c>
      <c r="G564" s="13">
        <f t="shared" si="104"/>
        <v>-9</v>
      </c>
      <c r="H564" s="13">
        <f t="shared" si="105"/>
        <v>-9</v>
      </c>
      <c r="I564" s="73">
        <f t="shared" si="106"/>
        <v>-7.7319587628865705E-3</v>
      </c>
      <c r="J564" s="73">
        <f t="shared" si="107"/>
        <v>-7.7319587628865705E-3</v>
      </c>
      <c r="K564" s="72" t="str">
        <f t="shared" si="108"/>
        <v>CHAWAN</v>
      </c>
      <c r="L564" s="72" t="str">
        <f t="shared" si="109"/>
        <v>MAY-2-CHAWAN</v>
      </c>
      <c r="M564" s="73">
        <f t="shared" si="110"/>
        <v>-8.1991372116977379E-2</v>
      </c>
      <c r="N564" s="73">
        <f t="shared" si="111"/>
        <v>-6.4834537815328996E-2</v>
      </c>
      <c r="O564" s="13">
        <f t="shared" si="112"/>
        <v>1911391</v>
      </c>
      <c r="P564" s="13">
        <f t="shared" si="113"/>
        <v>1932701</v>
      </c>
      <c r="Q564" s="13">
        <f t="shared" si="114"/>
        <v>1917728</v>
      </c>
      <c r="R564" s="33">
        <f t="shared" si="115"/>
        <v>3.3153865430988194E-3</v>
      </c>
      <c r="S564" s="33">
        <f t="shared" si="116"/>
        <v>-7.7471890375179209E-3</v>
      </c>
    </row>
    <row r="565" spans="1:19" x14ac:dyDescent="0.25">
      <c r="A565" t="s">
        <v>39</v>
      </c>
      <c r="B565" s="65">
        <v>2</v>
      </c>
      <c r="C565" t="s">
        <v>15</v>
      </c>
      <c r="D565" s="67">
        <v>681</v>
      </c>
      <c r="E565" s="67">
        <v>681</v>
      </c>
      <c r="F565" s="67">
        <v>675</v>
      </c>
      <c r="G565" s="13">
        <f t="shared" si="104"/>
        <v>-6</v>
      </c>
      <c r="H565" s="13">
        <f t="shared" si="105"/>
        <v>-6</v>
      </c>
      <c r="I565" s="73">
        <f t="shared" si="106"/>
        <v>-8.8105726872246271E-3</v>
      </c>
      <c r="J565" s="73">
        <f t="shared" si="107"/>
        <v>-8.8105726872246271E-3</v>
      </c>
      <c r="K565" s="72" t="str">
        <f t="shared" si="108"/>
        <v>CHAWAN</v>
      </c>
      <c r="L565" s="72" t="str">
        <f t="shared" si="109"/>
        <v>MAY-2-CHAWAN</v>
      </c>
      <c r="M565" s="73">
        <f t="shared" si="110"/>
        <v>-8.1991372116977379E-2</v>
      </c>
      <c r="N565" s="73">
        <f t="shared" si="111"/>
        <v>-6.4834537815328996E-2</v>
      </c>
      <c r="O565" s="13">
        <f t="shared" si="112"/>
        <v>1911391</v>
      </c>
      <c r="P565" s="13">
        <f t="shared" si="113"/>
        <v>1932701</v>
      </c>
      <c r="Q565" s="13">
        <f t="shared" si="114"/>
        <v>1917728</v>
      </c>
      <c r="R565" s="33">
        <f t="shared" si="115"/>
        <v>3.3153865430988194E-3</v>
      </c>
      <c r="S565" s="33">
        <f t="shared" si="116"/>
        <v>-7.7471890375179209E-3</v>
      </c>
    </row>
    <row r="566" spans="1:19" x14ac:dyDescent="0.25">
      <c r="A566" t="s">
        <v>39</v>
      </c>
      <c r="B566" s="65">
        <v>2</v>
      </c>
      <c r="C566" t="s">
        <v>15</v>
      </c>
      <c r="D566" s="67">
        <v>681</v>
      </c>
      <c r="E566" s="67">
        <v>681</v>
      </c>
      <c r="F566" s="67">
        <v>675</v>
      </c>
      <c r="G566" s="13">
        <f t="shared" si="104"/>
        <v>-6</v>
      </c>
      <c r="H566" s="13">
        <f t="shared" si="105"/>
        <v>-6</v>
      </c>
      <c r="I566" s="73">
        <f t="shared" si="106"/>
        <v>-8.8105726872246271E-3</v>
      </c>
      <c r="J566" s="73">
        <f t="shared" si="107"/>
        <v>-8.8105726872246271E-3</v>
      </c>
      <c r="K566" s="72" t="str">
        <f t="shared" si="108"/>
        <v>CHAWAN</v>
      </c>
      <c r="L566" s="72" t="str">
        <f t="shared" si="109"/>
        <v>MAY-2-CHAWAN</v>
      </c>
      <c r="M566" s="73">
        <f t="shared" si="110"/>
        <v>-8.1991372116977379E-2</v>
      </c>
      <c r="N566" s="73">
        <f t="shared" si="111"/>
        <v>-6.4834537815328996E-2</v>
      </c>
      <c r="O566" s="13">
        <f t="shared" si="112"/>
        <v>1911391</v>
      </c>
      <c r="P566" s="13">
        <f t="shared" si="113"/>
        <v>1932701</v>
      </c>
      <c r="Q566" s="13">
        <f t="shared" si="114"/>
        <v>1917728</v>
      </c>
      <c r="R566" s="33">
        <f t="shared" si="115"/>
        <v>3.3153865430988194E-3</v>
      </c>
      <c r="S566" s="33">
        <f t="shared" si="116"/>
        <v>-7.7471890375179209E-3</v>
      </c>
    </row>
    <row r="567" spans="1:19" x14ac:dyDescent="0.25">
      <c r="A567" t="s">
        <v>39</v>
      </c>
      <c r="B567" s="65">
        <v>2</v>
      </c>
      <c r="C567" t="s">
        <v>15</v>
      </c>
      <c r="D567" s="67">
        <v>903</v>
      </c>
      <c r="E567" s="67">
        <v>897</v>
      </c>
      <c r="F567" s="67">
        <v>897</v>
      </c>
      <c r="G567" s="13">
        <f t="shared" si="104"/>
        <v>0</v>
      </c>
      <c r="H567" s="13">
        <f t="shared" si="105"/>
        <v>-6</v>
      </c>
      <c r="I567" s="73">
        <f t="shared" si="106"/>
        <v>-6.6445182724252927E-3</v>
      </c>
      <c r="J567" s="73">
        <f t="shared" si="107"/>
        <v>0</v>
      </c>
      <c r="K567" s="72" t="str">
        <f t="shared" si="108"/>
        <v>CHAWAN</v>
      </c>
      <c r="L567" s="72" t="str">
        <f t="shared" si="109"/>
        <v>MAY-2-CHAWAN</v>
      </c>
      <c r="M567" s="73">
        <f t="shared" si="110"/>
        <v>-8.1991372116977379E-2</v>
      </c>
      <c r="N567" s="73">
        <f t="shared" si="111"/>
        <v>-6.4834537815328996E-2</v>
      </c>
      <c r="O567" s="13">
        <f t="shared" si="112"/>
        <v>1911391</v>
      </c>
      <c r="P567" s="13">
        <f t="shared" si="113"/>
        <v>1932701</v>
      </c>
      <c r="Q567" s="13">
        <f t="shared" si="114"/>
        <v>1917728</v>
      </c>
      <c r="R567" s="33">
        <f t="shared" si="115"/>
        <v>3.3153865430988194E-3</v>
      </c>
      <c r="S567" s="33">
        <f t="shared" si="116"/>
        <v>-7.7471890375179209E-3</v>
      </c>
    </row>
    <row r="568" spans="1:19" x14ac:dyDescent="0.25">
      <c r="A568" t="s">
        <v>39</v>
      </c>
      <c r="B568" s="65">
        <v>2</v>
      </c>
      <c r="C568" t="s">
        <v>15</v>
      </c>
      <c r="D568" s="67">
        <v>903</v>
      </c>
      <c r="E568" s="67">
        <v>901</v>
      </c>
      <c r="F568" s="67">
        <v>897</v>
      </c>
      <c r="G568" s="13">
        <f t="shared" si="104"/>
        <v>-4</v>
      </c>
      <c r="H568" s="13">
        <f t="shared" si="105"/>
        <v>-6</v>
      </c>
      <c r="I568" s="73">
        <f t="shared" si="106"/>
        <v>-6.6445182724252927E-3</v>
      </c>
      <c r="J568" s="73">
        <f t="shared" si="107"/>
        <v>-4.4395116537181423E-3</v>
      </c>
      <c r="K568" s="72" t="str">
        <f t="shared" si="108"/>
        <v>CHAWAN</v>
      </c>
      <c r="L568" s="72" t="str">
        <f t="shared" si="109"/>
        <v>MAY-2-CHAWAN</v>
      </c>
      <c r="M568" s="73">
        <f t="shared" si="110"/>
        <v>-8.1991372116977379E-2</v>
      </c>
      <c r="N568" s="73">
        <f t="shared" si="111"/>
        <v>-6.4834537815328996E-2</v>
      </c>
      <c r="O568" s="13">
        <f t="shared" si="112"/>
        <v>1911391</v>
      </c>
      <c r="P568" s="13">
        <f t="shared" si="113"/>
        <v>1932701</v>
      </c>
      <c r="Q568" s="13">
        <f t="shared" si="114"/>
        <v>1917728</v>
      </c>
      <c r="R568" s="33">
        <f t="shared" si="115"/>
        <v>3.3153865430988194E-3</v>
      </c>
      <c r="S568" s="33">
        <f t="shared" si="116"/>
        <v>-7.7471890375179209E-3</v>
      </c>
    </row>
    <row r="569" spans="1:19" x14ac:dyDescent="0.25">
      <c r="A569" t="s">
        <v>39</v>
      </c>
      <c r="B569" s="65">
        <v>2</v>
      </c>
      <c r="C569" t="s">
        <v>15</v>
      </c>
      <c r="D569" s="67">
        <v>468</v>
      </c>
      <c r="E569" s="67">
        <v>468</v>
      </c>
      <c r="F569" s="67">
        <v>462</v>
      </c>
      <c r="G569" s="13">
        <f t="shared" si="104"/>
        <v>-6</v>
      </c>
      <c r="H569" s="13">
        <f t="shared" si="105"/>
        <v>-6</v>
      </c>
      <c r="I569" s="73">
        <f t="shared" si="106"/>
        <v>-1.2820512820512775E-2</v>
      </c>
      <c r="J569" s="73">
        <f t="shared" si="107"/>
        <v>-1.2820512820512775E-2</v>
      </c>
      <c r="K569" s="72" t="str">
        <f t="shared" si="108"/>
        <v>CHAWAN</v>
      </c>
      <c r="L569" s="72" t="str">
        <f t="shared" si="109"/>
        <v>MAY-2-CHAWAN</v>
      </c>
      <c r="M569" s="73">
        <f t="shared" si="110"/>
        <v>-8.1991372116977379E-2</v>
      </c>
      <c r="N569" s="73">
        <f t="shared" si="111"/>
        <v>-6.4834537815328996E-2</v>
      </c>
      <c r="O569" s="13">
        <f t="shared" si="112"/>
        <v>1911391</v>
      </c>
      <c r="P569" s="13">
        <f t="shared" si="113"/>
        <v>1932701</v>
      </c>
      <c r="Q569" s="13">
        <f t="shared" si="114"/>
        <v>1917728</v>
      </c>
      <c r="R569" s="33">
        <f t="shared" si="115"/>
        <v>3.3153865430988194E-3</v>
      </c>
      <c r="S569" s="33">
        <f t="shared" si="116"/>
        <v>-7.7471890375179209E-3</v>
      </c>
    </row>
    <row r="570" spans="1:19" x14ac:dyDescent="0.25">
      <c r="A570" t="s">
        <v>39</v>
      </c>
      <c r="B570" s="65">
        <v>2</v>
      </c>
      <c r="C570" t="s">
        <v>15</v>
      </c>
      <c r="D570" s="67">
        <v>468</v>
      </c>
      <c r="E570" s="67">
        <v>468</v>
      </c>
      <c r="F570" s="67">
        <v>462</v>
      </c>
      <c r="G570" s="13">
        <f t="shared" si="104"/>
        <v>-6</v>
      </c>
      <c r="H570" s="13">
        <f t="shared" si="105"/>
        <v>-6</v>
      </c>
      <c r="I570" s="73">
        <f t="shared" si="106"/>
        <v>-1.2820512820512775E-2</v>
      </c>
      <c r="J570" s="73">
        <f t="shared" si="107"/>
        <v>-1.2820512820512775E-2</v>
      </c>
      <c r="K570" s="72" t="str">
        <f t="shared" si="108"/>
        <v>CHAWAN</v>
      </c>
      <c r="L570" s="72" t="str">
        <f t="shared" si="109"/>
        <v>MAY-2-CHAWAN</v>
      </c>
      <c r="M570" s="73">
        <f t="shared" si="110"/>
        <v>-8.1991372116977379E-2</v>
      </c>
      <c r="N570" s="73">
        <f t="shared" si="111"/>
        <v>-6.4834537815328996E-2</v>
      </c>
      <c r="O570" s="13">
        <f t="shared" si="112"/>
        <v>1911391</v>
      </c>
      <c r="P570" s="13">
        <f t="shared" si="113"/>
        <v>1932701</v>
      </c>
      <c r="Q570" s="13">
        <f t="shared" si="114"/>
        <v>1917728</v>
      </c>
      <c r="R570" s="33">
        <f t="shared" si="115"/>
        <v>3.3153865430988194E-3</v>
      </c>
      <c r="S570" s="33">
        <f t="shared" si="116"/>
        <v>-7.7471890375179209E-3</v>
      </c>
    </row>
    <row r="571" spans="1:19" x14ac:dyDescent="0.25">
      <c r="A571" t="s">
        <v>39</v>
      </c>
      <c r="B571" s="65">
        <v>3</v>
      </c>
      <c r="C571" t="s">
        <v>16</v>
      </c>
      <c r="D571" s="67">
        <v>37000</v>
      </c>
      <c r="E571" s="67">
        <v>36445</v>
      </c>
      <c r="F571" s="67">
        <v>36167</v>
      </c>
      <c r="G571" s="13">
        <f t="shared" si="104"/>
        <v>-278</v>
      </c>
      <c r="H571" s="13">
        <f t="shared" si="105"/>
        <v>-833</v>
      </c>
      <c r="I571" s="73">
        <f t="shared" si="106"/>
        <v>-2.2513513513513495E-2</v>
      </c>
      <c r="J571" s="73">
        <f t="shared" si="107"/>
        <v>-7.627932501029E-3</v>
      </c>
      <c r="K571" s="72" t="str">
        <f t="shared" si="108"/>
        <v>ANUGERAH</v>
      </c>
      <c r="L571" s="72" t="str">
        <f t="shared" si="109"/>
        <v>MAY-3-ANUGERAH</v>
      </c>
      <c r="M571" s="73">
        <f t="shared" si="110"/>
        <v>-8.563456614509235E-2</v>
      </c>
      <c r="N571" s="73">
        <f t="shared" si="111"/>
        <v>-3.764011819759383E-2</v>
      </c>
      <c r="O571" s="13">
        <f t="shared" si="112"/>
        <v>1911391</v>
      </c>
      <c r="P571" s="13">
        <f t="shared" si="113"/>
        <v>1932701</v>
      </c>
      <c r="Q571" s="13">
        <f t="shared" si="114"/>
        <v>1917728</v>
      </c>
      <c r="R571" s="33">
        <f t="shared" si="115"/>
        <v>3.3153865430988194E-3</v>
      </c>
      <c r="S571" s="33">
        <f t="shared" si="116"/>
        <v>-7.7471890375179209E-3</v>
      </c>
    </row>
    <row r="572" spans="1:19" x14ac:dyDescent="0.25">
      <c r="A572" t="s">
        <v>39</v>
      </c>
      <c r="B572" s="65">
        <v>3</v>
      </c>
      <c r="C572" t="s">
        <v>16</v>
      </c>
      <c r="D572" s="67">
        <v>38000</v>
      </c>
      <c r="E572" s="67">
        <v>37153</v>
      </c>
      <c r="F572" s="67">
        <v>36958</v>
      </c>
      <c r="G572" s="13">
        <f t="shared" si="104"/>
        <v>-195</v>
      </c>
      <c r="H572" s="13">
        <f t="shared" si="105"/>
        <v>-1042</v>
      </c>
      <c r="I572" s="73">
        <f t="shared" si="106"/>
        <v>-2.7421052631578902E-2</v>
      </c>
      <c r="J572" s="73">
        <f t="shared" si="107"/>
        <v>-5.248566737544702E-3</v>
      </c>
      <c r="K572" s="72" t="str">
        <f t="shared" si="108"/>
        <v>ANUGERAH</v>
      </c>
      <c r="L572" s="72" t="str">
        <f t="shared" si="109"/>
        <v>MAY-3-ANUGERAH</v>
      </c>
      <c r="M572" s="73">
        <f t="shared" si="110"/>
        <v>-8.563456614509235E-2</v>
      </c>
      <c r="N572" s="73">
        <f t="shared" si="111"/>
        <v>-3.764011819759383E-2</v>
      </c>
      <c r="O572" s="13">
        <f t="shared" si="112"/>
        <v>1911391</v>
      </c>
      <c r="P572" s="13">
        <f t="shared" si="113"/>
        <v>1932701</v>
      </c>
      <c r="Q572" s="13">
        <f t="shared" si="114"/>
        <v>1917728</v>
      </c>
      <c r="R572" s="33">
        <f t="shared" si="115"/>
        <v>3.3153865430988194E-3</v>
      </c>
      <c r="S572" s="33">
        <f t="shared" si="116"/>
        <v>-7.7471890375179209E-3</v>
      </c>
    </row>
    <row r="573" spans="1:19" x14ac:dyDescent="0.25">
      <c r="A573" t="s">
        <v>39</v>
      </c>
      <c r="B573" s="65">
        <v>3</v>
      </c>
      <c r="C573" t="s">
        <v>16</v>
      </c>
      <c r="D573" s="67">
        <v>30000</v>
      </c>
      <c r="E573" s="67">
        <v>29550</v>
      </c>
      <c r="F573" s="67">
        <v>29297</v>
      </c>
      <c r="G573" s="13">
        <f t="shared" si="104"/>
        <v>-253</v>
      </c>
      <c r="H573" s="13">
        <f t="shared" si="105"/>
        <v>-703</v>
      </c>
      <c r="I573" s="73">
        <f t="shared" si="106"/>
        <v>-2.3433333333333306E-2</v>
      </c>
      <c r="J573" s="73">
        <f t="shared" si="107"/>
        <v>-8.5617597292724223E-3</v>
      </c>
      <c r="K573" s="72" t="str">
        <f t="shared" si="108"/>
        <v>ANUGERAH</v>
      </c>
      <c r="L573" s="72" t="str">
        <f t="shared" si="109"/>
        <v>MAY-3-ANUGERAH</v>
      </c>
      <c r="M573" s="73">
        <f t="shared" si="110"/>
        <v>-8.563456614509235E-2</v>
      </c>
      <c r="N573" s="73">
        <f t="shared" si="111"/>
        <v>-3.764011819759383E-2</v>
      </c>
      <c r="O573" s="13">
        <f t="shared" si="112"/>
        <v>1911391</v>
      </c>
      <c r="P573" s="13">
        <f t="shared" si="113"/>
        <v>1932701</v>
      </c>
      <c r="Q573" s="13">
        <f t="shared" si="114"/>
        <v>1917728</v>
      </c>
      <c r="R573" s="33">
        <f t="shared" si="115"/>
        <v>3.3153865430988194E-3</v>
      </c>
      <c r="S573" s="33">
        <f t="shared" si="116"/>
        <v>-7.7471890375179209E-3</v>
      </c>
    </row>
    <row r="574" spans="1:19" x14ac:dyDescent="0.25">
      <c r="A574" t="s">
        <v>39</v>
      </c>
      <c r="B574" s="65">
        <v>3</v>
      </c>
      <c r="C574" t="s">
        <v>16</v>
      </c>
      <c r="D574" s="67">
        <v>7500</v>
      </c>
      <c r="E574" s="67">
        <v>7530</v>
      </c>
      <c r="F574" s="67">
        <v>7408</v>
      </c>
      <c r="G574" s="13">
        <f t="shared" si="104"/>
        <v>-122</v>
      </c>
      <c r="H574" s="13">
        <f t="shared" si="105"/>
        <v>-92</v>
      </c>
      <c r="I574" s="73">
        <f t="shared" si="106"/>
        <v>-1.2266666666666648E-2</v>
      </c>
      <c r="J574" s="73">
        <f t="shared" si="107"/>
        <v>-1.6201859229747706E-2</v>
      </c>
      <c r="K574" s="72" t="str">
        <f t="shared" si="108"/>
        <v>ANUGERAH</v>
      </c>
      <c r="L574" s="72" t="str">
        <f t="shared" si="109"/>
        <v>MAY-3-ANUGERAH</v>
      </c>
      <c r="M574" s="73">
        <f t="shared" si="110"/>
        <v>-8.563456614509235E-2</v>
      </c>
      <c r="N574" s="73">
        <f t="shared" si="111"/>
        <v>-3.764011819759383E-2</v>
      </c>
      <c r="O574" s="13">
        <f t="shared" si="112"/>
        <v>1911391</v>
      </c>
      <c r="P574" s="13">
        <f t="shared" si="113"/>
        <v>1932701</v>
      </c>
      <c r="Q574" s="13">
        <f t="shared" si="114"/>
        <v>1917728</v>
      </c>
      <c r="R574" s="33">
        <f t="shared" si="115"/>
        <v>3.3153865430988194E-3</v>
      </c>
      <c r="S574" s="33">
        <f t="shared" si="116"/>
        <v>-7.7471890375179209E-3</v>
      </c>
    </row>
    <row r="575" spans="1:19" x14ac:dyDescent="0.25">
      <c r="A575" t="s">
        <v>39</v>
      </c>
      <c r="B575" s="65">
        <v>3</v>
      </c>
      <c r="C575" t="s">
        <v>13</v>
      </c>
      <c r="D575" s="67">
        <v>131760</v>
      </c>
      <c r="E575" s="67">
        <v>135714</v>
      </c>
      <c r="F575" s="67">
        <v>135372</v>
      </c>
      <c r="G575" s="13">
        <f t="shared" si="104"/>
        <v>-342</v>
      </c>
      <c r="H575" s="13">
        <f t="shared" si="105"/>
        <v>3612</v>
      </c>
      <c r="I575" s="73">
        <f t="shared" si="106"/>
        <v>2.741347905282332E-2</v>
      </c>
      <c r="J575" s="73">
        <f t="shared" si="107"/>
        <v>-2.5200053052742977E-3</v>
      </c>
      <c r="K575" s="72" t="str">
        <f t="shared" si="108"/>
        <v>KALIBENDA</v>
      </c>
      <c r="L575" s="72" t="str">
        <f t="shared" si="109"/>
        <v>MAY-3-KALIBENDA</v>
      </c>
      <c r="M575" s="73">
        <f t="shared" si="110"/>
        <v>2.5429352068696343E-2</v>
      </c>
      <c r="N575" s="73">
        <f t="shared" si="111"/>
        <v>-4.5736078113655099E-3</v>
      </c>
      <c r="O575" s="13">
        <f t="shared" si="112"/>
        <v>1911391</v>
      </c>
      <c r="P575" s="13">
        <f t="shared" si="113"/>
        <v>1932701</v>
      </c>
      <c r="Q575" s="13">
        <f t="shared" si="114"/>
        <v>1917728</v>
      </c>
      <c r="R575" s="33">
        <f t="shared" si="115"/>
        <v>3.3153865430988194E-3</v>
      </c>
      <c r="S575" s="33">
        <f t="shared" si="116"/>
        <v>-7.7471890375179209E-3</v>
      </c>
    </row>
    <row r="576" spans="1:19" x14ac:dyDescent="0.25">
      <c r="A576" t="s">
        <v>39</v>
      </c>
      <c r="B576" s="65">
        <v>3</v>
      </c>
      <c r="C576" t="s">
        <v>14</v>
      </c>
      <c r="D576" s="67">
        <v>17388</v>
      </c>
      <c r="E576" s="67">
        <v>17740</v>
      </c>
      <c r="F576" s="67">
        <v>17619</v>
      </c>
      <c r="G576" s="13">
        <f t="shared" si="104"/>
        <v>-121</v>
      </c>
      <c r="H576" s="13">
        <f t="shared" si="105"/>
        <v>231</v>
      </c>
      <c r="I576" s="73">
        <f t="shared" si="106"/>
        <v>1.3285024154589431E-2</v>
      </c>
      <c r="J576" s="73">
        <f t="shared" si="107"/>
        <v>-6.8207440811725029E-3</v>
      </c>
      <c r="K576" s="72" t="str">
        <f t="shared" si="108"/>
        <v>GM2</v>
      </c>
      <c r="L576" s="72" t="str">
        <f t="shared" si="109"/>
        <v>MAY-3-GM2</v>
      </c>
      <c r="M576" s="73">
        <f t="shared" si="110"/>
        <v>8.9343120561025668E-2</v>
      </c>
      <c r="N576" s="73">
        <f t="shared" si="111"/>
        <v>-2.1534157302172341E-2</v>
      </c>
      <c r="O576" s="13">
        <f t="shared" si="112"/>
        <v>1911391</v>
      </c>
      <c r="P576" s="13">
        <f t="shared" si="113"/>
        <v>1932701</v>
      </c>
      <c r="Q576" s="13">
        <f t="shared" si="114"/>
        <v>1917728</v>
      </c>
      <c r="R576" s="33">
        <f t="shared" si="115"/>
        <v>3.3153865430988194E-3</v>
      </c>
      <c r="S576" s="33">
        <f t="shared" si="116"/>
        <v>-7.7471890375179209E-3</v>
      </c>
    </row>
    <row r="577" spans="1:19" x14ac:dyDescent="0.25">
      <c r="A577" t="s">
        <v>39</v>
      </c>
      <c r="B577" s="65">
        <v>3</v>
      </c>
      <c r="C577" t="s">
        <v>14</v>
      </c>
      <c r="D577" s="67">
        <v>61776</v>
      </c>
      <c r="E577" s="67">
        <v>63644</v>
      </c>
      <c r="F577" s="67">
        <v>63234</v>
      </c>
      <c r="G577" s="13">
        <f t="shared" si="104"/>
        <v>-410</v>
      </c>
      <c r="H577" s="13">
        <f t="shared" si="105"/>
        <v>1458</v>
      </c>
      <c r="I577" s="73">
        <f t="shared" si="106"/>
        <v>2.3601398601398538E-2</v>
      </c>
      <c r="J577" s="73">
        <f t="shared" si="107"/>
        <v>-6.4420840927660317E-3</v>
      </c>
      <c r="K577" s="72" t="str">
        <f t="shared" si="108"/>
        <v>GM2</v>
      </c>
      <c r="L577" s="72" t="str">
        <f t="shared" si="109"/>
        <v>MAY-3-GM2</v>
      </c>
      <c r="M577" s="73">
        <f t="shared" si="110"/>
        <v>8.9343120561025668E-2</v>
      </c>
      <c r="N577" s="73">
        <f t="shared" si="111"/>
        <v>-2.1534157302172341E-2</v>
      </c>
      <c r="O577" s="13">
        <f t="shared" si="112"/>
        <v>1911391</v>
      </c>
      <c r="P577" s="13">
        <f t="shared" si="113"/>
        <v>1932701</v>
      </c>
      <c r="Q577" s="13">
        <f t="shared" si="114"/>
        <v>1917728</v>
      </c>
      <c r="R577" s="33">
        <f t="shared" si="115"/>
        <v>3.3153865430988194E-3</v>
      </c>
      <c r="S577" s="33">
        <f t="shared" si="116"/>
        <v>-7.7471890375179209E-3</v>
      </c>
    </row>
    <row r="578" spans="1:19" x14ac:dyDescent="0.25">
      <c r="A578" t="s">
        <v>39</v>
      </c>
      <c r="B578" s="65">
        <v>3</v>
      </c>
      <c r="C578" t="s">
        <v>14</v>
      </c>
      <c r="D578" s="67">
        <v>7560</v>
      </c>
      <c r="E578" s="67">
        <v>7788</v>
      </c>
      <c r="F578" s="67">
        <v>7746</v>
      </c>
      <c r="G578" s="13">
        <f t="shared" ref="G578:G641" si="117">F578-E578</f>
        <v>-42</v>
      </c>
      <c r="H578" s="13">
        <f t="shared" ref="H578:H641" si="118">F578-D578</f>
        <v>186</v>
      </c>
      <c r="I578" s="73">
        <f t="shared" ref="I578:I641" si="119">F578/D578-1</f>
        <v>2.4603174603174516E-2</v>
      </c>
      <c r="J578" s="73">
        <f t="shared" ref="J578:J641" si="120">F578/E578-1</f>
        <v>-5.3929121725732054E-3</v>
      </c>
      <c r="K578" s="72" t="str">
        <f t="shared" ref="K578:K641" si="121">CLEAN(SUBSTITUTE(C578," ",""))</f>
        <v>GM2</v>
      </c>
      <c r="L578" s="72" t="str">
        <f t="shared" ref="L578:L641" si="122">A578&amp;"-"&amp;B578&amp;"-"&amp;K578</f>
        <v>MAY-3-GM2</v>
      </c>
      <c r="M578" s="73">
        <f t="shared" ref="M578:M641" si="123">SUMIF($L$2:$L$1396,L578,$I$2:$I$1396)</f>
        <v>8.9343120561025668E-2</v>
      </c>
      <c r="N578" s="73">
        <f t="shared" ref="N578:N641" si="124">SUMIF($L$2:$L$1396,L578,$J$2:$J$1396)</f>
        <v>-2.1534157302172341E-2</v>
      </c>
      <c r="O578" s="13">
        <f t="shared" ref="O578:O641" si="125">SUMIF($A$2:$A$1396,A578,$D$2:$D$1396)</f>
        <v>1911391</v>
      </c>
      <c r="P578" s="13">
        <f t="shared" ref="P578:P641" si="126">SUMIF($A$2:$A$1396,A578,$E$2:$E$1396)</f>
        <v>1932701</v>
      </c>
      <c r="Q578" s="13">
        <f t="shared" ref="Q578:Q641" si="127">SUMIF($A$2:$A$1396,A578,$F$2:$F$1396)</f>
        <v>1917728</v>
      </c>
      <c r="R578" s="33">
        <f t="shared" ref="R578:R641" si="128">Q578/O578-1</f>
        <v>3.3153865430988194E-3</v>
      </c>
      <c r="S578" s="33">
        <f t="shared" ref="S578:S641" si="129">Q578/P578-1</f>
        <v>-7.7471890375179209E-3</v>
      </c>
    </row>
    <row r="579" spans="1:19" x14ac:dyDescent="0.25">
      <c r="A579" t="s">
        <v>39</v>
      </c>
      <c r="B579" s="65">
        <v>3</v>
      </c>
      <c r="C579" t="s">
        <v>14</v>
      </c>
      <c r="D579" s="67">
        <v>34236</v>
      </c>
      <c r="E579" s="67">
        <v>34237</v>
      </c>
      <c r="F579" s="67">
        <v>34158</v>
      </c>
      <c r="G579" s="13">
        <f t="shared" si="117"/>
        <v>-79</v>
      </c>
      <c r="H579" s="13">
        <f t="shared" si="118"/>
        <v>-78</v>
      </c>
      <c r="I579" s="73">
        <f t="shared" si="119"/>
        <v>-2.278303540133142E-3</v>
      </c>
      <c r="J579" s="73">
        <f t="shared" si="120"/>
        <v>-2.3074451616672542E-3</v>
      </c>
      <c r="K579" s="72" t="str">
        <f t="shared" si="121"/>
        <v>GM2</v>
      </c>
      <c r="L579" s="72" t="str">
        <f t="shared" si="122"/>
        <v>MAY-3-GM2</v>
      </c>
      <c r="M579" s="73">
        <f t="shared" si="123"/>
        <v>8.9343120561025668E-2</v>
      </c>
      <c r="N579" s="73">
        <f t="shared" si="124"/>
        <v>-2.1534157302172341E-2</v>
      </c>
      <c r="O579" s="13">
        <f t="shared" si="125"/>
        <v>1911391</v>
      </c>
      <c r="P579" s="13">
        <f t="shared" si="126"/>
        <v>1932701</v>
      </c>
      <c r="Q579" s="13">
        <f t="shared" si="127"/>
        <v>1917728</v>
      </c>
      <c r="R579" s="33">
        <f t="shared" si="128"/>
        <v>3.3153865430988194E-3</v>
      </c>
      <c r="S579" s="33">
        <f t="shared" si="129"/>
        <v>-7.7471890375179209E-3</v>
      </c>
    </row>
    <row r="580" spans="1:19" x14ac:dyDescent="0.25">
      <c r="A580" t="s">
        <v>39</v>
      </c>
      <c r="B580" s="65">
        <v>3</v>
      </c>
      <c r="C580" t="s">
        <v>14</v>
      </c>
      <c r="D580" s="67">
        <v>1836</v>
      </c>
      <c r="E580" s="67">
        <v>1836</v>
      </c>
      <c r="F580" s="67">
        <v>1836</v>
      </c>
      <c r="G580" s="13">
        <f t="shared" si="117"/>
        <v>0</v>
      </c>
      <c r="H580" s="13">
        <f t="shared" si="118"/>
        <v>0</v>
      </c>
      <c r="I580" s="73">
        <f t="shared" si="119"/>
        <v>0</v>
      </c>
      <c r="J580" s="73">
        <f t="shared" si="120"/>
        <v>0</v>
      </c>
      <c r="K580" s="72" t="str">
        <f t="shared" si="121"/>
        <v>GM2</v>
      </c>
      <c r="L580" s="72" t="str">
        <f t="shared" si="122"/>
        <v>MAY-3-GM2</v>
      </c>
      <c r="M580" s="73">
        <f t="shared" si="123"/>
        <v>8.9343120561025668E-2</v>
      </c>
      <c r="N580" s="73">
        <f t="shared" si="124"/>
        <v>-2.1534157302172341E-2</v>
      </c>
      <c r="O580" s="13">
        <f t="shared" si="125"/>
        <v>1911391</v>
      </c>
      <c r="P580" s="13">
        <f t="shared" si="126"/>
        <v>1932701</v>
      </c>
      <c r="Q580" s="13">
        <f t="shared" si="127"/>
        <v>1917728</v>
      </c>
      <c r="R580" s="33">
        <f t="shared" si="128"/>
        <v>3.3153865430988194E-3</v>
      </c>
      <c r="S580" s="33">
        <f t="shared" si="129"/>
        <v>-7.7471890375179209E-3</v>
      </c>
    </row>
    <row r="581" spans="1:19" x14ac:dyDescent="0.25">
      <c r="A581" t="s">
        <v>39</v>
      </c>
      <c r="B581" s="65">
        <v>3</v>
      </c>
      <c r="C581" t="s">
        <v>13</v>
      </c>
      <c r="D581" s="67">
        <v>28728</v>
      </c>
      <c r="E581" s="67">
        <v>28730</v>
      </c>
      <c r="F581" s="67">
        <v>28671</v>
      </c>
      <c r="G581" s="13">
        <f t="shared" si="117"/>
        <v>-59</v>
      </c>
      <c r="H581" s="13">
        <f t="shared" si="118"/>
        <v>-57</v>
      </c>
      <c r="I581" s="73">
        <f t="shared" si="119"/>
        <v>-1.9841269841269771E-3</v>
      </c>
      <c r="J581" s="73">
        <f t="shared" si="120"/>
        <v>-2.0536025060912122E-3</v>
      </c>
      <c r="K581" s="72" t="str">
        <f t="shared" si="121"/>
        <v>KALIBENDA</v>
      </c>
      <c r="L581" s="72" t="str">
        <f t="shared" si="122"/>
        <v>MAY-3-KALIBENDA</v>
      </c>
      <c r="M581" s="73">
        <f t="shared" si="123"/>
        <v>2.5429352068696343E-2</v>
      </c>
      <c r="N581" s="73">
        <f t="shared" si="124"/>
        <v>-4.5736078113655099E-3</v>
      </c>
      <c r="O581" s="13">
        <f t="shared" si="125"/>
        <v>1911391</v>
      </c>
      <c r="P581" s="13">
        <f t="shared" si="126"/>
        <v>1932701</v>
      </c>
      <c r="Q581" s="13">
        <f t="shared" si="127"/>
        <v>1917728</v>
      </c>
      <c r="R581" s="33">
        <f t="shared" si="128"/>
        <v>3.3153865430988194E-3</v>
      </c>
      <c r="S581" s="33">
        <f t="shared" si="129"/>
        <v>-7.7471890375179209E-3</v>
      </c>
    </row>
    <row r="582" spans="1:19" x14ac:dyDescent="0.25">
      <c r="A582" t="s">
        <v>39</v>
      </c>
      <c r="B582" s="65">
        <v>3</v>
      </c>
      <c r="C582" t="s">
        <v>11</v>
      </c>
      <c r="D582" s="67">
        <v>23112</v>
      </c>
      <c r="E582" s="67">
        <v>23819</v>
      </c>
      <c r="F582" s="67">
        <v>23592</v>
      </c>
      <c r="G582" s="13">
        <f t="shared" si="117"/>
        <v>-227</v>
      </c>
      <c r="H582" s="13">
        <f t="shared" si="118"/>
        <v>480</v>
      </c>
      <c r="I582" s="73">
        <f t="shared" si="119"/>
        <v>2.0768431983385183E-2</v>
      </c>
      <c r="J582" s="73">
        <f t="shared" si="120"/>
        <v>-9.5302069776228571E-3</v>
      </c>
      <c r="K582" s="72" t="str">
        <f t="shared" si="121"/>
        <v>MAJA1</v>
      </c>
      <c r="L582" s="72" t="str">
        <f t="shared" si="122"/>
        <v>MAY-3-MAJA1</v>
      </c>
      <c r="M582" s="73">
        <f t="shared" si="123"/>
        <v>7.8439133262782068E-2</v>
      </c>
      <c r="N582" s="73">
        <f t="shared" si="124"/>
        <v>-0.15723744536218287</v>
      </c>
      <c r="O582" s="13">
        <f t="shared" si="125"/>
        <v>1911391</v>
      </c>
      <c r="P582" s="13">
        <f t="shared" si="126"/>
        <v>1932701</v>
      </c>
      <c r="Q582" s="13">
        <f t="shared" si="127"/>
        <v>1917728</v>
      </c>
      <c r="R582" s="33">
        <f t="shared" si="128"/>
        <v>3.3153865430988194E-3</v>
      </c>
      <c r="S582" s="33">
        <f t="shared" si="129"/>
        <v>-7.7471890375179209E-3</v>
      </c>
    </row>
    <row r="583" spans="1:19" x14ac:dyDescent="0.25">
      <c r="A583" t="s">
        <v>39</v>
      </c>
      <c r="B583" s="65">
        <v>3</v>
      </c>
      <c r="C583" t="s">
        <v>11</v>
      </c>
      <c r="D583" s="67">
        <v>1512</v>
      </c>
      <c r="E583" s="67">
        <v>1560</v>
      </c>
      <c r="F583" s="67">
        <v>1542</v>
      </c>
      <c r="G583" s="13">
        <f t="shared" si="117"/>
        <v>-18</v>
      </c>
      <c r="H583" s="13">
        <f t="shared" si="118"/>
        <v>30</v>
      </c>
      <c r="I583" s="73">
        <f t="shared" si="119"/>
        <v>1.9841269841269771E-2</v>
      </c>
      <c r="J583" s="73">
        <f t="shared" si="120"/>
        <v>-1.1538461538461497E-2</v>
      </c>
      <c r="K583" s="72" t="str">
        <f t="shared" si="121"/>
        <v>MAJA1</v>
      </c>
      <c r="L583" s="72" t="str">
        <f t="shared" si="122"/>
        <v>MAY-3-MAJA1</v>
      </c>
      <c r="M583" s="73">
        <f t="shared" si="123"/>
        <v>7.8439133262782068E-2</v>
      </c>
      <c r="N583" s="73">
        <f t="shared" si="124"/>
        <v>-0.15723744536218287</v>
      </c>
      <c r="O583" s="13">
        <f t="shared" si="125"/>
        <v>1911391</v>
      </c>
      <c r="P583" s="13">
        <f t="shared" si="126"/>
        <v>1932701</v>
      </c>
      <c r="Q583" s="13">
        <f t="shared" si="127"/>
        <v>1917728</v>
      </c>
      <c r="R583" s="33">
        <f t="shared" si="128"/>
        <v>3.3153865430988194E-3</v>
      </c>
      <c r="S583" s="33">
        <f t="shared" si="129"/>
        <v>-7.7471890375179209E-3</v>
      </c>
    </row>
    <row r="584" spans="1:19" x14ac:dyDescent="0.25">
      <c r="A584" t="s">
        <v>39</v>
      </c>
      <c r="B584" s="65">
        <v>3</v>
      </c>
      <c r="C584" t="s">
        <v>11</v>
      </c>
      <c r="D584" s="67">
        <v>9936</v>
      </c>
      <c r="E584" s="67">
        <v>10201</v>
      </c>
      <c r="F584" s="67">
        <v>10125</v>
      </c>
      <c r="G584" s="13">
        <f t="shared" si="117"/>
        <v>-76</v>
      </c>
      <c r="H584" s="13">
        <f t="shared" si="118"/>
        <v>189</v>
      </c>
      <c r="I584" s="73">
        <f t="shared" si="119"/>
        <v>1.9021739130434812E-2</v>
      </c>
      <c r="J584" s="73">
        <f t="shared" si="120"/>
        <v>-7.4502499754925955E-3</v>
      </c>
      <c r="K584" s="72" t="str">
        <f t="shared" si="121"/>
        <v>MAJA1</v>
      </c>
      <c r="L584" s="72" t="str">
        <f t="shared" si="122"/>
        <v>MAY-3-MAJA1</v>
      </c>
      <c r="M584" s="73">
        <f t="shared" si="123"/>
        <v>7.8439133262782068E-2</v>
      </c>
      <c r="N584" s="73">
        <f t="shared" si="124"/>
        <v>-0.15723744536218287</v>
      </c>
      <c r="O584" s="13">
        <f t="shared" si="125"/>
        <v>1911391</v>
      </c>
      <c r="P584" s="13">
        <f t="shared" si="126"/>
        <v>1932701</v>
      </c>
      <c r="Q584" s="13">
        <f t="shared" si="127"/>
        <v>1917728</v>
      </c>
      <c r="R584" s="33">
        <f t="shared" si="128"/>
        <v>3.3153865430988194E-3</v>
      </c>
      <c r="S584" s="33">
        <f t="shared" si="129"/>
        <v>-7.7471890375179209E-3</v>
      </c>
    </row>
    <row r="585" spans="1:19" x14ac:dyDescent="0.25">
      <c r="A585" t="s">
        <v>39</v>
      </c>
      <c r="B585" s="65">
        <v>3</v>
      </c>
      <c r="C585" t="s">
        <v>11</v>
      </c>
      <c r="D585" s="67">
        <v>1080</v>
      </c>
      <c r="E585" s="67">
        <v>1115</v>
      </c>
      <c r="F585" s="67">
        <v>1080</v>
      </c>
      <c r="G585" s="13">
        <f t="shared" si="117"/>
        <v>-35</v>
      </c>
      <c r="H585" s="13">
        <f t="shared" si="118"/>
        <v>0</v>
      </c>
      <c r="I585" s="73">
        <f t="shared" si="119"/>
        <v>0</v>
      </c>
      <c r="J585" s="73">
        <f t="shared" si="120"/>
        <v>-3.1390134529147962E-2</v>
      </c>
      <c r="K585" s="72" t="str">
        <f t="shared" si="121"/>
        <v>MAJA1</v>
      </c>
      <c r="L585" s="72" t="str">
        <f t="shared" si="122"/>
        <v>MAY-3-MAJA1</v>
      </c>
      <c r="M585" s="73">
        <f t="shared" si="123"/>
        <v>7.8439133262782068E-2</v>
      </c>
      <c r="N585" s="73">
        <f t="shared" si="124"/>
        <v>-0.15723744536218287</v>
      </c>
      <c r="O585" s="13">
        <f t="shared" si="125"/>
        <v>1911391</v>
      </c>
      <c r="P585" s="13">
        <f t="shared" si="126"/>
        <v>1932701</v>
      </c>
      <c r="Q585" s="13">
        <f t="shared" si="127"/>
        <v>1917728</v>
      </c>
      <c r="R585" s="33">
        <f t="shared" si="128"/>
        <v>3.3153865430988194E-3</v>
      </c>
      <c r="S585" s="33">
        <f t="shared" si="129"/>
        <v>-7.7471890375179209E-3</v>
      </c>
    </row>
    <row r="586" spans="1:19" x14ac:dyDescent="0.25">
      <c r="A586" t="s">
        <v>39</v>
      </c>
      <c r="B586" s="65">
        <v>3</v>
      </c>
      <c r="C586" t="s">
        <v>11</v>
      </c>
      <c r="D586" s="67">
        <v>5616</v>
      </c>
      <c r="E586" s="67">
        <v>5784</v>
      </c>
      <c r="F586" s="67">
        <v>5643</v>
      </c>
      <c r="G586" s="13">
        <f t="shared" si="117"/>
        <v>-141</v>
      </c>
      <c r="H586" s="13">
        <f t="shared" si="118"/>
        <v>27</v>
      </c>
      <c r="I586" s="73">
        <f t="shared" si="119"/>
        <v>4.8076923076922906E-3</v>
      </c>
      <c r="J586" s="73">
        <f t="shared" si="120"/>
        <v>-2.4377593360995875E-2</v>
      </c>
      <c r="K586" s="72" t="str">
        <f t="shared" si="121"/>
        <v>MAJA1</v>
      </c>
      <c r="L586" s="72" t="str">
        <f t="shared" si="122"/>
        <v>MAY-3-MAJA1</v>
      </c>
      <c r="M586" s="73">
        <f t="shared" si="123"/>
        <v>7.8439133262782068E-2</v>
      </c>
      <c r="N586" s="73">
        <f t="shared" si="124"/>
        <v>-0.15723744536218287</v>
      </c>
      <c r="O586" s="13">
        <f t="shared" si="125"/>
        <v>1911391</v>
      </c>
      <c r="P586" s="13">
        <f t="shared" si="126"/>
        <v>1932701</v>
      </c>
      <c r="Q586" s="13">
        <f t="shared" si="127"/>
        <v>1917728</v>
      </c>
      <c r="R586" s="33">
        <f t="shared" si="128"/>
        <v>3.3153865430988194E-3</v>
      </c>
      <c r="S586" s="33">
        <f t="shared" si="129"/>
        <v>-7.7471890375179209E-3</v>
      </c>
    </row>
    <row r="587" spans="1:19" x14ac:dyDescent="0.25">
      <c r="A587" t="s">
        <v>39</v>
      </c>
      <c r="B587" s="65">
        <v>3</v>
      </c>
      <c r="C587" t="s">
        <v>11</v>
      </c>
      <c r="D587" s="67">
        <v>1188</v>
      </c>
      <c r="E587" s="67">
        <v>1224</v>
      </c>
      <c r="F587" s="67">
        <v>1188</v>
      </c>
      <c r="G587" s="13">
        <f t="shared" si="117"/>
        <v>-36</v>
      </c>
      <c r="H587" s="13">
        <f t="shared" si="118"/>
        <v>0</v>
      </c>
      <c r="I587" s="73">
        <f t="shared" si="119"/>
        <v>0</v>
      </c>
      <c r="J587" s="73">
        <f t="shared" si="120"/>
        <v>-2.9411764705882359E-2</v>
      </c>
      <c r="K587" s="72" t="str">
        <f t="shared" si="121"/>
        <v>MAJA1</v>
      </c>
      <c r="L587" s="72" t="str">
        <f t="shared" si="122"/>
        <v>MAY-3-MAJA1</v>
      </c>
      <c r="M587" s="73">
        <f t="shared" si="123"/>
        <v>7.8439133262782068E-2</v>
      </c>
      <c r="N587" s="73">
        <f t="shared" si="124"/>
        <v>-0.15723744536218287</v>
      </c>
      <c r="O587" s="13">
        <f t="shared" si="125"/>
        <v>1911391</v>
      </c>
      <c r="P587" s="13">
        <f t="shared" si="126"/>
        <v>1932701</v>
      </c>
      <c r="Q587" s="13">
        <f t="shared" si="127"/>
        <v>1917728</v>
      </c>
      <c r="R587" s="33">
        <f t="shared" si="128"/>
        <v>3.3153865430988194E-3</v>
      </c>
      <c r="S587" s="33">
        <f t="shared" si="129"/>
        <v>-7.7471890375179209E-3</v>
      </c>
    </row>
    <row r="588" spans="1:19" x14ac:dyDescent="0.25">
      <c r="A588" t="s">
        <v>39</v>
      </c>
      <c r="B588" s="65">
        <v>3</v>
      </c>
      <c r="C588" t="s">
        <v>14</v>
      </c>
      <c r="D588" s="67">
        <v>8496</v>
      </c>
      <c r="E588" s="67">
        <v>8757</v>
      </c>
      <c r="F588" s="67">
        <v>8752</v>
      </c>
      <c r="G588" s="13">
        <f t="shared" si="117"/>
        <v>-5</v>
      </c>
      <c r="H588" s="13">
        <f t="shared" si="118"/>
        <v>256</v>
      </c>
      <c r="I588" s="73">
        <f t="shared" si="119"/>
        <v>3.0131826741996326E-2</v>
      </c>
      <c r="J588" s="73">
        <f t="shared" si="120"/>
        <v>-5.7097179399334674E-4</v>
      </c>
      <c r="K588" s="72" t="str">
        <f t="shared" si="121"/>
        <v>GM2</v>
      </c>
      <c r="L588" s="72" t="str">
        <f t="shared" si="122"/>
        <v>MAY-3-GM2</v>
      </c>
      <c r="M588" s="73">
        <f t="shared" si="123"/>
        <v>8.9343120561025668E-2</v>
      </c>
      <c r="N588" s="73">
        <f t="shared" si="124"/>
        <v>-2.1534157302172341E-2</v>
      </c>
      <c r="O588" s="13">
        <f t="shared" si="125"/>
        <v>1911391</v>
      </c>
      <c r="P588" s="13">
        <f t="shared" si="126"/>
        <v>1932701</v>
      </c>
      <c r="Q588" s="13">
        <f t="shared" si="127"/>
        <v>1917728</v>
      </c>
      <c r="R588" s="33">
        <f t="shared" si="128"/>
        <v>3.3153865430988194E-3</v>
      </c>
      <c r="S588" s="33">
        <f t="shared" si="129"/>
        <v>-7.7471890375179209E-3</v>
      </c>
    </row>
    <row r="589" spans="1:19" x14ac:dyDescent="0.25">
      <c r="A589" t="s">
        <v>39</v>
      </c>
      <c r="B589" s="65">
        <v>3</v>
      </c>
      <c r="C589" t="s">
        <v>10</v>
      </c>
      <c r="D589" s="67">
        <v>1365</v>
      </c>
      <c r="E589" s="67">
        <v>1365</v>
      </c>
      <c r="F589" s="67">
        <v>1365</v>
      </c>
      <c r="G589" s="13">
        <f t="shared" si="117"/>
        <v>0</v>
      </c>
      <c r="H589" s="13">
        <f t="shared" si="118"/>
        <v>0</v>
      </c>
      <c r="I589" s="73">
        <f t="shared" si="119"/>
        <v>0</v>
      </c>
      <c r="J589" s="73">
        <f t="shared" si="120"/>
        <v>0</v>
      </c>
      <c r="K589" s="72" t="str">
        <f t="shared" si="121"/>
        <v>CNJ2</v>
      </c>
      <c r="L589" s="72" t="str">
        <f t="shared" si="122"/>
        <v>MAY-3-CNJ2</v>
      </c>
      <c r="M589" s="73">
        <f t="shared" si="123"/>
        <v>0</v>
      </c>
      <c r="N589" s="73">
        <f t="shared" si="124"/>
        <v>-2.1207177814029365E-2</v>
      </c>
      <c r="O589" s="13">
        <f t="shared" si="125"/>
        <v>1911391</v>
      </c>
      <c r="P589" s="13">
        <f t="shared" si="126"/>
        <v>1932701</v>
      </c>
      <c r="Q589" s="13">
        <f t="shared" si="127"/>
        <v>1917728</v>
      </c>
      <c r="R589" s="33">
        <f t="shared" si="128"/>
        <v>3.3153865430988194E-3</v>
      </c>
      <c r="S589" s="33">
        <f t="shared" si="129"/>
        <v>-7.7471890375179209E-3</v>
      </c>
    </row>
    <row r="590" spans="1:19" x14ac:dyDescent="0.25">
      <c r="A590" t="s">
        <v>39</v>
      </c>
      <c r="B590" s="65">
        <v>3</v>
      </c>
      <c r="C590" t="s">
        <v>10</v>
      </c>
      <c r="D590" s="67">
        <v>4780</v>
      </c>
      <c r="E590" s="67">
        <v>4780</v>
      </c>
      <c r="F590" s="67">
        <v>4780</v>
      </c>
      <c r="G590" s="13">
        <f t="shared" si="117"/>
        <v>0</v>
      </c>
      <c r="H590" s="13">
        <f t="shared" si="118"/>
        <v>0</v>
      </c>
      <c r="I590" s="73">
        <f t="shared" si="119"/>
        <v>0</v>
      </c>
      <c r="J590" s="73">
        <f t="shared" si="120"/>
        <v>0</v>
      </c>
      <c r="K590" s="72" t="str">
        <f t="shared" si="121"/>
        <v>CNJ2</v>
      </c>
      <c r="L590" s="72" t="str">
        <f t="shared" si="122"/>
        <v>MAY-3-CNJ2</v>
      </c>
      <c r="M590" s="73">
        <f t="shared" si="123"/>
        <v>0</v>
      </c>
      <c r="N590" s="73">
        <f t="shared" si="124"/>
        <v>-2.1207177814029365E-2</v>
      </c>
      <c r="O590" s="13">
        <f t="shared" si="125"/>
        <v>1911391</v>
      </c>
      <c r="P590" s="13">
        <f t="shared" si="126"/>
        <v>1932701</v>
      </c>
      <c r="Q590" s="13">
        <f t="shared" si="127"/>
        <v>1917728</v>
      </c>
      <c r="R590" s="33">
        <f t="shared" si="128"/>
        <v>3.3153865430988194E-3</v>
      </c>
      <c r="S590" s="33">
        <f t="shared" si="129"/>
        <v>-7.7471890375179209E-3</v>
      </c>
    </row>
    <row r="591" spans="1:19" x14ac:dyDescent="0.25">
      <c r="A591" t="s">
        <v>39</v>
      </c>
      <c r="B591" s="65">
        <v>3</v>
      </c>
      <c r="C591" t="s">
        <v>10</v>
      </c>
      <c r="D591" s="67">
        <v>1190</v>
      </c>
      <c r="E591" s="67">
        <v>1190</v>
      </c>
      <c r="F591" s="67">
        <v>1190</v>
      </c>
      <c r="G591" s="13">
        <f t="shared" si="117"/>
        <v>0</v>
      </c>
      <c r="H591" s="13">
        <f t="shared" si="118"/>
        <v>0</v>
      </c>
      <c r="I591" s="73">
        <f t="shared" si="119"/>
        <v>0</v>
      </c>
      <c r="J591" s="73">
        <f t="shared" si="120"/>
        <v>0</v>
      </c>
      <c r="K591" s="72" t="str">
        <f t="shared" si="121"/>
        <v>CNJ2</v>
      </c>
      <c r="L591" s="72" t="str">
        <f t="shared" si="122"/>
        <v>MAY-3-CNJ2</v>
      </c>
      <c r="M591" s="73">
        <f t="shared" si="123"/>
        <v>0</v>
      </c>
      <c r="N591" s="73">
        <f t="shared" si="124"/>
        <v>-2.1207177814029365E-2</v>
      </c>
      <c r="O591" s="13">
        <f t="shared" si="125"/>
        <v>1911391</v>
      </c>
      <c r="P591" s="13">
        <f t="shared" si="126"/>
        <v>1932701</v>
      </c>
      <c r="Q591" s="13">
        <f t="shared" si="127"/>
        <v>1917728</v>
      </c>
      <c r="R591" s="33">
        <f t="shared" si="128"/>
        <v>3.3153865430988194E-3</v>
      </c>
      <c r="S591" s="33">
        <f t="shared" si="129"/>
        <v>-7.7471890375179209E-3</v>
      </c>
    </row>
    <row r="592" spans="1:19" x14ac:dyDescent="0.25">
      <c r="A592" t="s">
        <v>39</v>
      </c>
      <c r="B592" s="65">
        <v>3</v>
      </c>
      <c r="C592" t="s">
        <v>10</v>
      </c>
      <c r="D592" s="67">
        <v>160</v>
      </c>
      <c r="E592" s="67">
        <v>160</v>
      </c>
      <c r="F592" s="67">
        <v>160</v>
      </c>
      <c r="G592" s="13">
        <f t="shared" si="117"/>
        <v>0</v>
      </c>
      <c r="H592" s="13">
        <f t="shared" si="118"/>
        <v>0</v>
      </c>
      <c r="I592" s="73">
        <f t="shared" si="119"/>
        <v>0</v>
      </c>
      <c r="J592" s="73">
        <f t="shared" si="120"/>
        <v>0</v>
      </c>
      <c r="K592" s="72" t="str">
        <f t="shared" si="121"/>
        <v>CNJ2</v>
      </c>
      <c r="L592" s="72" t="str">
        <f t="shared" si="122"/>
        <v>MAY-3-CNJ2</v>
      </c>
      <c r="M592" s="73">
        <f t="shared" si="123"/>
        <v>0</v>
      </c>
      <c r="N592" s="73">
        <f t="shared" si="124"/>
        <v>-2.1207177814029365E-2</v>
      </c>
      <c r="O592" s="13">
        <f t="shared" si="125"/>
        <v>1911391</v>
      </c>
      <c r="P592" s="13">
        <f t="shared" si="126"/>
        <v>1932701</v>
      </c>
      <c r="Q592" s="13">
        <f t="shared" si="127"/>
        <v>1917728</v>
      </c>
      <c r="R592" s="33">
        <f t="shared" si="128"/>
        <v>3.3153865430988194E-3</v>
      </c>
      <c r="S592" s="33">
        <f t="shared" si="129"/>
        <v>-7.7471890375179209E-3</v>
      </c>
    </row>
    <row r="593" spans="1:19" x14ac:dyDescent="0.25">
      <c r="A593" t="s">
        <v>39</v>
      </c>
      <c r="B593" s="65">
        <v>3</v>
      </c>
      <c r="C593" t="s">
        <v>10</v>
      </c>
      <c r="D593" s="67">
        <v>165</v>
      </c>
      <c r="E593" s="67">
        <v>165</v>
      </c>
      <c r="F593" s="67">
        <v>165</v>
      </c>
      <c r="G593" s="13">
        <f t="shared" si="117"/>
        <v>0</v>
      </c>
      <c r="H593" s="13">
        <f t="shared" si="118"/>
        <v>0</v>
      </c>
      <c r="I593" s="73">
        <f t="shared" si="119"/>
        <v>0</v>
      </c>
      <c r="J593" s="73">
        <f t="shared" si="120"/>
        <v>0</v>
      </c>
      <c r="K593" s="72" t="str">
        <f t="shared" si="121"/>
        <v>CNJ2</v>
      </c>
      <c r="L593" s="72" t="str">
        <f t="shared" si="122"/>
        <v>MAY-3-CNJ2</v>
      </c>
      <c r="M593" s="73">
        <f t="shared" si="123"/>
        <v>0</v>
      </c>
      <c r="N593" s="73">
        <f t="shared" si="124"/>
        <v>-2.1207177814029365E-2</v>
      </c>
      <c r="O593" s="13">
        <f t="shared" si="125"/>
        <v>1911391</v>
      </c>
      <c r="P593" s="13">
        <f t="shared" si="126"/>
        <v>1932701</v>
      </c>
      <c r="Q593" s="13">
        <f t="shared" si="127"/>
        <v>1917728</v>
      </c>
      <c r="R593" s="33">
        <f t="shared" si="128"/>
        <v>3.3153865430988194E-3</v>
      </c>
      <c r="S593" s="33">
        <f t="shared" si="129"/>
        <v>-7.7471890375179209E-3</v>
      </c>
    </row>
    <row r="594" spans="1:19" x14ac:dyDescent="0.25">
      <c r="A594" t="s">
        <v>39</v>
      </c>
      <c r="B594" s="65">
        <v>3</v>
      </c>
      <c r="C594" t="s">
        <v>10</v>
      </c>
      <c r="D594" s="67">
        <v>6540</v>
      </c>
      <c r="E594" s="67">
        <v>6540</v>
      </c>
      <c r="F594" s="67">
        <v>6540</v>
      </c>
      <c r="G594" s="13">
        <f t="shared" si="117"/>
        <v>0</v>
      </c>
      <c r="H594" s="13">
        <f t="shared" si="118"/>
        <v>0</v>
      </c>
      <c r="I594" s="73">
        <f t="shared" si="119"/>
        <v>0</v>
      </c>
      <c r="J594" s="73">
        <f t="shared" si="120"/>
        <v>0</v>
      </c>
      <c r="K594" s="72" t="str">
        <f t="shared" si="121"/>
        <v>CNJ2</v>
      </c>
      <c r="L594" s="72" t="str">
        <f t="shared" si="122"/>
        <v>MAY-3-CNJ2</v>
      </c>
      <c r="M594" s="73">
        <f t="shared" si="123"/>
        <v>0</v>
      </c>
      <c r="N594" s="73">
        <f t="shared" si="124"/>
        <v>-2.1207177814029365E-2</v>
      </c>
      <c r="O594" s="13">
        <f t="shared" si="125"/>
        <v>1911391</v>
      </c>
      <c r="P594" s="13">
        <f t="shared" si="126"/>
        <v>1932701</v>
      </c>
      <c r="Q594" s="13">
        <f t="shared" si="127"/>
        <v>1917728</v>
      </c>
      <c r="R594" s="33">
        <f t="shared" si="128"/>
        <v>3.3153865430988194E-3</v>
      </c>
      <c r="S594" s="33">
        <f t="shared" si="129"/>
        <v>-7.7471890375179209E-3</v>
      </c>
    </row>
    <row r="595" spans="1:19" x14ac:dyDescent="0.25">
      <c r="A595" t="s">
        <v>39</v>
      </c>
      <c r="B595" s="65">
        <v>3</v>
      </c>
      <c r="C595" t="s">
        <v>10</v>
      </c>
      <c r="D595" s="67">
        <v>9075</v>
      </c>
      <c r="E595" s="67">
        <v>9075</v>
      </c>
      <c r="F595" s="67">
        <v>9075</v>
      </c>
      <c r="G595" s="13">
        <f t="shared" si="117"/>
        <v>0</v>
      </c>
      <c r="H595" s="13">
        <f t="shared" si="118"/>
        <v>0</v>
      </c>
      <c r="I595" s="73">
        <f t="shared" si="119"/>
        <v>0</v>
      </c>
      <c r="J595" s="73">
        <f t="shared" si="120"/>
        <v>0</v>
      </c>
      <c r="K595" s="72" t="str">
        <f t="shared" si="121"/>
        <v>CNJ2</v>
      </c>
      <c r="L595" s="72" t="str">
        <f t="shared" si="122"/>
        <v>MAY-3-CNJ2</v>
      </c>
      <c r="M595" s="73">
        <f t="shared" si="123"/>
        <v>0</v>
      </c>
      <c r="N595" s="73">
        <f t="shared" si="124"/>
        <v>-2.1207177814029365E-2</v>
      </c>
      <c r="O595" s="13">
        <f t="shared" si="125"/>
        <v>1911391</v>
      </c>
      <c r="P595" s="13">
        <f t="shared" si="126"/>
        <v>1932701</v>
      </c>
      <c r="Q595" s="13">
        <f t="shared" si="127"/>
        <v>1917728</v>
      </c>
      <c r="R595" s="33">
        <f t="shared" si="128"/>
        <v>3.3153865430988194E-3</v>
      </c>
      <c r="S595" s="33">
        <f t="shared" si="129"/>
        <v>-7.7471890375179209E-3</v>
      </c>
    </row>
    <row r="596" spans="1:19" x14ac:dyDescent="0.25">
      <c r="A596" t="s">
        <v>39</v>
      </c>
      <c r="B596" s="65">
        <v>3</v>
      </c>
      <c r="C596" t="s">
        <v>10</v>
      </c>
      <c r="D596" s="67">
        <v>2305</v>
      </c>
      <c r="E596" s="67">
        <v>2305</v>
      </c>
      <c r="F596" s="67">
        <v>2305</v>
      </c>
      <c r="G596" s="13">
        <f t="shared" si="117"/>
        <v>0</v>
      </c>
      <c r="H596" s="13">
        <f t="shared" si="118"/>
        <v>0</v>
      </c>
      <c r="I596" s="73">
        <f t="shared" si="119"/>
        <v>0</v>
      </c>
      <c r="J596" s="73">
        <f t="shared" si="120"/>
        <v>0</v>
      </c>
      <c r="K596" s="72" t="str">
        <f t="shared" si="121"/>
        <v>CNJ2</v>
      </c>
      <c r="L596" s="72" t="str">
        <f t="shared" si="122"/>
        <v>MAY-3-CNJ2</v>
      </c>
      <c r="M596" s="73">
        <f t="shared" si="123"/>
        <v>0</v>
      </c>
      <c r="N596" s="73">
        <f t="shared" si="124"/>
        <v>-2.1207177814029365E-2</v>
      </c>
      <c r="O596" s="13">
        <f t="shared" si="125"/>
        <v>1911391</v>
      </c>
      <c r="P596" s="13">
        <f t="shared" si="126"/>
        <v>1932701</v>
      </c>
      <c r="Q596" s="13">
        <f t="shared" si="127"/>
        <v>1917728</v>
      </c>
      <c r="R596" s="33">
        <f t="shared" si="128"/>
        <v>3.3153865430988194E-3</v>
      </c>
      <c r="S596" s="33">
        <f t="shared" si="129"/>
        <v>-7.7471890375179209E-3</v>
      </c>
    </row>
    <row r="597" spans="1:19" x14ac:dyDescent="0.25">
      <c r="A597" t="s">
        <v>39</v>
      </c>
      <c r="B597" s="65">
        <v>3</v>
      </c>
      <c r="C597" t="s">
        <v>10</v>
      </c>
      <c r="D597" s="67">
        <v>815</v>
      </c>
      <c r="E597" s="67">
        <v>815</v>
      </c>
      <c r="F597" s="67">
        <v>815</v>
      </c>
      <c r="G597" s="13">
        <f t="shared" si="117"/>
        <v>0</v>
      </c>
      <c r="H597" s="13">
        <f t="shared" si="118"/>
        <v>0</v>
      </c>
      <c r="I597" s="73">
        <f t="shared" si="119"/>
        <v>0</v>
      </c>
      <c r="J597" s="73">
        <f t="shared" si="120"/>
        <v>0</v>
      </c>
      <c r="K597" s="72" t="str">
        <f t="shared" si="121"/>
        <v>CNJ2</v>
      </c>
      <c r="L597" s="72" t="str">
        <f t="shared" si="122"/>
        <v>MAY-3-CNJ2</v>
      </c>
      <c r="M597" s="73">
        <f t="shared" si="123"/>
        <v>0</v>
      </c>
      <c r="N597" s="73">
        <f t="shared" si="124"/>
        <v>-2.1207177814029365E-2</v>
      </c>
      <c r="O597" s="13">
        <f t="shared" si="125"/>
        <v>1911391</v>
      </c>
      <c r="P597" s="13">
        <f t="shared" si="126"/>
        <v>1932701</v>
      </c>
      <c r="Q597" s="13">
        <f t="shared" si="127"/>
        <v>1917728</v>
      </c>
      <c r="R597" s="33">
        <f t="shared" si="128"/>
        <v>3.3153865430988194E-3</v>
      </c>
      <c r="S597" s="33">
        <f t="shared" si="129"/>
        <v>-7.7471890375179209E-3</v>
      </c>
    </row>
    <row r="598" spans="1:19" x14ac:dyDescent="0.25">
      <c r="A598" t="s">
        <v>39</v>
      </c>
      <c r="B598" s="65">
        <v>3</v>
      </c>
      <c r="C598" t="s">
        <v>10</v>
      </c>
      <c r="D598" s="67">
        <v>1840</v>
      </c>
      <c r="E598" s="67">
        <v>1840</v>
      </c>
      <c r="F598" s="67">
        <v>1840</v>
      </c>
      <c r="G598" s="13">
        <f t="shared" si="117"/>
        <v>0</v>
      </c>
      <c r="H598" s="13">
        <f t="shared" si="118"/>
        <v>0</v>
      </c>
      <c r="I598" s="73">
        <f t="shared" si="119"/>
        <v>0</v>
      </c>
      <c r="J598" s="73">
        <f t="shared" si="120"/>
        <v>0</v>
      </c>
      <c r="K598" s="72" t="str">
        <f t="shared" si="121"/>
        <v>CNJ2</v>
      </c>
      <c r="L598" s="72" t="str">
        <f t="shared" si="122"/>
        <v>MAY-3-CNJ2</v>
      </c>
      <c r="M598" s="73">
        <f t="shared" si="123"/>
        <v>0</v>
      </c>
      <c r="N598" s="73">
        <f t="shared" si="124"/>
        <v>-2.1207177814029365E-2</v>
      </c>
      <c r="O598" s="13">
        <f t="shared" si="125"/>
        <v>1911391</v>
      </c>
      <c r="P598" s="13">
        <f t="shared" si="126"/>
        <v>1932701</v>
      </c>
      <c r="Q598" s="13">
        <f t="shared" si="127"/>
        <v>1917728</v>
      </c>
      <c r="R598" s="33">
        <f t="shared" si="128"/>
        <v>3.3153865430988194E-3</v>
      </c>
      <c r="S598" s="33">
        <f t="shared" si="129"/>
        <v>-7.7471890375179209E-3</v>
      </c>
    </row>
    <row r="599" spans="1:19" x14ac:dyDescent="0.25">
      <c r="A599" t="s">
        <v>39</v>
      </c>
      <c r="B599" s="65">
        <v>3</v>
      </c>
      <c r="C599" t="s">
        <v>10</v>
      </c>
      <c r="D599" s="67">
        <v>1635</v>
      </c>
      <c r="E599" s="67">
        <v>1635</v>
      </c>
      <c r="F599" s="67">
        <v>1635</v>
      </c>
      <c r="G599" s="13">
        <f t="shared" si="117"/>
        <v>0</v>
      </c>
      <c r="H599" s="13">
        <f t="shared" si="118"/>
        <v>0</v>
      </c>
      <c r="I599" s="73">
        <f t="shared" si="119"/>
        <v>0</v>
      </c>
      <c r="J599" s="73">
        <f t="shared" si="120"/>
        <v>0</v>
      </c>
      <c r="K599" s="72" t="str">
        <f t="shared" si="121"/>
        <v>CNJ2</v>
      </c>
      <c r="L599" s="72" t="str">
        <f t="shared" si="122"/>
        <v>MAY-3-CNJ2</v>
      </c>
      <c r="M599" s="73">
        <f t="shared" si="123"/>
        <v>0</v>
      </c>
      <c r="N599" s="73">
        <f t="shared" si="124"/>
        <v>-2.1207177814029365E-2</v>
      </c>
      <c r="O599" s="13">
        <f t="shared" si="125"/>
        <v>1911391</v>
      </c>
      <c r="P599" s="13">
        <f t="shared" si="126"/>
        <v>1932701</v>
      </c>
      <c r="Q599" s="13">
        <f t="shared" si="127"/>
        <v>1917728</v>
      </c>
      <c r="R599" s="33">
        <f t="shared" si="128"/>
        <v>3.3153865430988194E-3</v>
      </c>
      <c r="S599" s="33">
        <f t="shared" si="129"/>
        <v>-7.7471890375179209E-3</v>
      </c>
    </row>
    <row r="600" spans="1:19" x14ac:dyDescent="0.25">
      <c r="A600" t="s">
        <v>39</v>
      </c>
      <c r="B600" s="65">
        <v>3</v>
      </c>
      <c r="C600" t="s">
        <v>10</v>
      </c>
      <c r="D600" s="67">
        <v>100</v>
      </c>
      <c r="E600" s="67">
        <v>100</v>
      </c>
      <c r="F600" s="67">
        <v>100</v>
      </c>
      <c r="G600" s="13">
        <f t="shared" si="117"/>
        <v>0</v>
      </c>
      <c r="H600" s="13">
        <f t="shared" si="118"/>
        <v>0</v>
      </c>
      <c r="I600" s="73">
        <f t="shared" si="119"/>
        <v>0</v>
      </c>
      <c r="J600" s="73">
        <f t="shared" si="120"/>
        <v>0</v>
      </c>
      <c r="K600" s="72" t="str">
        <f t="shared" si="121"/>
        <v>CNJ2</v>
      </c>
      <c r="L600" s="72" t="str">
        <f t="shared" si="122"/>
        <v>MAY-3-CNJ2</v>
      </c>
      <c r="M600" s="73">
        <f t="shared" si="123"/>
        <v>0</v>
      </c>
      <c r="N600" s="73">
        <f t="shared" si="124"/>
        <v>-2.1207177814029365E-2</v>
      </c>
      <c r="O600" s="13">
        <f t="shared" si="125"/>
        <v>1911391</v>
      </c>
      <c r="P600" s="13">
        <f t="shared" si="126"/>
        <v>1932701</v>
      </c>
      <c r="Q600" s="13">
        <f t="shared" si="127"/>
        <v>1917728</v>
      </c>
      <c r="R600" s="33">
        <f t="shared" si="128"/>
        <v>3.3153865430988194E-3</v>
      </c>
      <c r="S600" s="33">
        <f t="shared" si="129"/>
        <v>-7.7471890375179209E-3</v>
      </c>
    </row>
    <row r="601" spans="1:19" x14ac:dyDescent="0.25">
      <c r="A601" t="s">
        <v>39</v>
      </c>
      <c r="B601" s="65">
        <v>3</v>
      </c>
      <c r="C601" t="s">
        <v>10</v>
      </c>
      <c r="D601" s="67">
        <v>975</v>
      </c>
      <c r="E601" s="67">
        <v>975</v>
      </c>
      <c r="F601" s="67">
        <v>975</v>
      </c>
      <c r="G601" s="13">
        <f t="shared" si="117"/>
        <v>0</v>
      </c>
      <c r="H601" s="13">
        <f t="shared" si="118"/>
        <v>0</v>
      </c>
      <c r="I601" s="73">
        <f t="shared" si="119"/>
        <v>0</v>
      </c>
      <c r="J601" s="73">
        <f t="shared" si="120"/>
        <v>0</v>
      </c>
      <c r="K601" s="72" t="str">
        <f t="shared" si="121"/>
        <v>CNJ2</v>
      </c>
      <c r="L601" s="72" t="str">
        <f t="shared" si="122"/>
        <v>MAY-3-CNJ2</v>
      </c>
      <c r="M601" s="73">
        <f t="shared" si="123"/>
        <v>0</v>
      </c>
      <c r="N601" s="73">
        <f t="shared" si="124"/>
        <v>-2.1207177814029365E-2</v>
      </c>
      <c r="O601" s="13">
        <f t="shared" si="125"/>
        <v>1911391</v>
      </c>
      <c r="P601" s="13">
        <f t="shared" si="126"/>
        <v>1932701</v>
      </c>
      <c r="Q601" s="13">
        <f t="shared" si="127"/>
        <v>1917728</v>
      </c>
      <c r="R601" s="33">
        <f t="shared" si="128"/>
        <v>3.3153865430988194E-3</v>
      </c>
      <c r="S601" s="33">
        <f t="shared" si="129"/>
        <v>-7.7471890375179209E-3</v>
      </c>
    </row>
    <row r="602" spans="1:19" x14ac:dyDescent="0.25">
      <c r="A602" t="s">
        <v>39</v>
      </c>
      <c r="B602" s="65">
        <v>3</v>
      </c>
      <c r="C602" t="s">
        <v>11</v>
      </c>
      <c r="D602" s="67">
        <v>385</v>
      </c>
      <c r="E602" s="67">
        <v>387</v>
      </c>
      <c r="F602" s="67">
        <v>385</v>
      </c>
      <c r="G602" s="13">
        <f t="shared" si="117"/>
        <v>-2</v>
      </c>
      <c r="H602" s="13">
        <f t="shared" si="118"/>
        <v>0</v>
      </c>
      <c r="I602" s="73">
        <f t="shared" si="119"/>
        <v>0</v>
      </c>
      <c r="J602" s="73">
        <f t="shared" si="120"/>
        <v>-5.1679586563307955E-3</v>
      </c>
      <c r="K602" s="72" t="str">
        <f t="shared" si="121"/>
        <v>MAJA1</v>
      </c>
      <c r="L602" s="72" t="str">
        <f t="shared" si="122"/>
        <v>MAY-3-MAJA1</v>
      </c>
      <c r="M602" s="73">
        <f t="shared" si="123"/>
        <v>7.8439133262782068E-2</v>
      </c>
      <c r="N602" s="73">
        <f t="shared" si="124"/>
        <v>-0.15723744536218287</v>
      </c>
      <c r="O602" s="13">
        <f t="shared" si="125"/>
        <v>1911391</v>
      </c>
      <c r="P602" s="13">
        <f t="shared" si="126"/>
        <v>1932701</v>
      </c>
      <c r="Q602" s="13">
        <f t="shared" si="127"/>
        <v>1917728</v>
      </c>
      <c r="R602" s="33">
        <f t="shared" si="128"/>
        <v>3.3153865430988194E-3</v>
      </c>
      <c r="S602" s="33">
        <f t="shared" si="129"/>
        <v>-7.7471890375179209E-3</v>
      </c>
    </row>
    <row r="603" spans="1:19" x14ac:dyDescent="0.25">
      <c r="A603" t="s">
        <v>39</v>
      </c>
      <c r="B603" s="65">
        <v>3</v>
      </c>
      <c r="C603" t="s">
        <v>11</v>
      </c>
      <c r="D603" s="67">
        <v>25</v>
      </c>
      <c r="E603" s="67">
        <v>25</v>
      </c>
      <c r="F603" s="67">
        <v>25</v>
      </c>
      <c r="G603" s="13">
        <f t="shared" si="117"/>
        <v>0</v>
      </c>
      <c r="H603" s="13">
        <f t="shared" si="118"/>
        <v>0</v>
      </c>
      <c r="I603" s="73">
        <f t="shared" si="119"/>
        <v>0</v>
      </c>
      <c r="J603" s="73">
        <f t="shared" si="120"/>
        <v>0</v>
      </c>
      <c r="K603" s="72" t="str">
        <f t="shared" si="121"/>
        <v>MAJA1</v>
      </c>
      <c r="L603" s="72" t="str">
        <f t="shared" si="122"/>
        <v>MAY-3-MAJA1</v>
      </c>
      <c r="M603" s="73">
        <f t="shared" si="123"/>
        <v>7.8439133262782068E-2</v>
      </c>
      <c r="N603" s="73">
        <f t="shared" si="124"/>
        <v>-0.15723744536218287</v>
      </c>
      <c r="O603" s="13">
        <f t="shared" si="125"/>
        <v>1911391</v>
      </c>
      <c r="P603" s="13">
        <f t="shared" si="126"/>
        <v>1932701</v>
      </c>
      <c r="Q603" s="13">
        <f t="shared" si="127"/>
        <v>1917728</v>
      </c>
      <c r="R603" s="33">
        <f t="shared" si="128"/>
        <v>3.3153865430988194E-3</v>
      </c>
      <c r="S603" s="33">
        <f t="shared" si="129"/>
        <v>-7.7471890375179209E-3</v>
      </c>
    </row>
    <row r="604" spans="1:19" x14ac:dyDescent="0.25">
      <c r="A604" t="s">
        <v>39</v>
      </c>
      <c r="B604" s="65">
        <v>3</v>
      </c>
      <c r="C604" t="s">
        <v>11</v>
      </c>
      <c r="D604" s="67">
        <v>310</v>
      </c>
      <c r="E604" s="67">
        <v>312</v>
      </c>
      <c r="F604" s="67">
        <v>310</v>
      </c>
      <c r="G604" s="13">
        <f t="shared" si="117"/>
        <v>-2</v>
      </c>
      <c r="H604" s="13">
        <f t="shared" si="118"/>
        <v>0</v>
      </c>
      <c r="I604" s="73">
        <f t="shared" si="119"/>
        <v>0</v>
      </c>
      <c r="J604" s="73">
        <f t="shared" si="120"/>
        <v>-6.4102564102563875E-3</v>
      </c>
      <c r="K604" s="72" t="str">
        <f t="shared" si="121"/>
        <v>MAJA1</v>
      </c>
      <c r="L604" s="72" t="str">
        <f t="shared" si="122"/>
        <v>MAY-3-MAJA1</v>
      </c>
      <c r="M604" s="73">
        <f t="shared" si="123"/>
        <v>7.8439133262782068E-2</v>
      </c>
      <c r="N604" s="73">
        <f t="shared" si="124"/>
        <v>-0.15723744536218287</v>
      </c>
      <c r="O604" s="13">
        <f t="shared" si="125"/>
        <v>1911391</v>
      </c>
      <c r="P604" s="13">
        <f t="shared" si="126"/>
        <v>1932701</v>
      </c>
      <c r="Q604" s="13">
        <f t="shared" si="127"/>
        <v>1917728</v>
      </c>
      <c r="R604" s="33">
        <f t="shared" si="128"/>
        <v>3.3153865430988194E-3</v>
      </c>
      <c r="S604" s="33">
        <f t="shared" si="129"/>
        <v>-7.7471890375179209E-3</v>
      </c>
    </row>
    <row r="605" spans="1:19" x14ac:dyDescent="0.25">
      <c r="A605" t="s">
        <v>39</v>
      </c>
      <c r="B605" s="65">
        <v>3</v>
      </c>
      <c r="C605" t="s">
        <v>11</v>
      </c>
      <c r="D605" s="67">
        <v>10</v>
      </c>
      <c r="E605" s="67">
        <v>10</v>
      </c>
      <c r="F605" s="67">
        <v>10</v>
      </c>
      <c r="G605" s="13">
        <f t="shared" si="117"/>
        <v>0</v>
      </c>
      <c r="H605" s="13">
        <f t="shared" si="118"/>
        <v>0</v>
      </c>
      <c r="I605" s="73">
        <f t="shared" si="119"/>
        <v>0</v>
      </c>
      <c r="J605" s="73">
        <f t="shared" si="120"/>
        <v>0</v>
      </c>
      <c r="K605" s="72" t="str">
        <f t="shared" si="121"/>
        <v>MAJA1</v>
      </c>
      <c r="L605" s="72" t="str">
        <f t="shared" si="122"/>
        <v>MAY-3-MAJA1</v>
      </c>
      <c r="M605" s="73">
        <f t="shared" si="123"/>
        <v>7.8439133262782068E-2</v>
      </c>
      <c r="N605" s="73">
        <f t="shared" si="124"/>
        <v>-0.15723744536218287</v>
      </c>
      <c r="O605" s="13">
        <f t="shared" si="125"/>
        <v>1911391</v>
      </c>
      <c r="P605" s="13">
        <f t="shared" si="126"/>
        <v>1932701</v>
      </c>
      <c r="Q605" s="13">
        <f t="shared" si="127"/>
        <v>1917728</v>
      </c>
      <c r="R605" s="33">
        <f t="shared" si="128"/>
        <v>3.3153865430988194E-3</v>
      </c>
      <c r="S605" s="33">
        <f t="shared" si="129"/>
        <v>-7.7471890375179209E-3</v>
      </c>
    </row>
    <row r="606" spans="1:19" x14ac:dyDescent="0.25">
      <c r="A606" t="s">
        <v>39</v>
      </c>
      <c r="B606" s="65">
        <v>3</v>
      </c>
      <c r="C606" t="s">
        <v>11</v>
      </c>
      <c r="D606" s="67">
        <v>900</v>
      </c>
      <c r="E606" s="67">
        <v>902</v>
      </c>
      <c r="F606" s="67">
        <v>900</v>
      </c>
      <c r="G606" s="13">
        <f t="shared" si="117"/>
        <v>-2</v>
      </c>
      <c r="H606" s="13">
        <f t="shared" si="118"/>
        <v>0</v>
      </c>
      <c r="I606" s="73">
        <f t="shared" si="119"/>
        <v>0</v>
      </c>
      <c r="J606" s="73">
        <f t="shared" si="120"/>
        <v>-2.2172949002217113E-3</v>
      </c>
      <c r="K606" s="72" t="str">
        <f t="shared" si="121"/>
        <v>MAJA1</v>
      </c>
      <c r="L606" s="72" t="str">
        <f t="shared" si="122"/>
        <v>MAY-3-MAJA1</v>
      </c>
      <c r="M606" s="73">
        <f t="shared" si="123"/>
        <v>7.8439133262782068E-2</v>
      </c>
      <c r="N606" s="73">
        <f t="shared" si="124"/>
        <v>-0.15723744536218287</v>
      </c>
      <c r="O606" s="13">
        <f t="shared" si="125"/>
        <v>1911391</v>
      </c>
      <c r="P606" s="13">
        <f t="shared" si="126"/>
        <v>1932701</v>
      </c>
      <c r="Q606" s="13">
        <f t="shared" si="127"/>
        <v>1917728</v>
      </c>
      <c r="R606" s="33">
        <f t="shared" si="128"/>
        <v>3.3153865430988194E-3</v>
      </c>
      <c r="S606" s="33">
        <f t="shared" si="129"/>
        <v>-7.7471890375179209E-3</v>
      </c>
    </row>
    <row r="607" spans="1:19" x14ac:dyDescent="0.25">
      <c r="A607" t="s">
        <v>39</v>
      </c>
      <c r="B607" s="65">
        <v>3</v>
      </c>
      <c r="C607" t="s">
        <v>11</v>
      </c>
      <c r="D607" s="67">
        <v>100</v>
      </c>
      <c r="E607" s="67">
        <v>100</v>
      </c>
      <c r="F607" s="67">
        <v>100</v>
      </c>
      <c r="G607" s="13">
        <f t="shared" si="117"/>
        <v>0</v>
      </c>
      <c r="H607" s="13">
        <f t="shared" si="118"/>
        <v>0</v>
      </c>
      <c r="I607" s="73">
        <f t="shared" si="119"/>
        <v>0</v>
      </c>
      <c r="J607" s="73">
        <f t="shared" si="120"/>
        <v>0</v>
      </c>
      <c r="K607" s="72" t="str">
        <f t="shared" si="121"/>
        <v>MAJA1</v>
      </c>
      <c r="L607" s="72" t="str">
        <f t="shared" si="122"/>
        <v>MAY-3-MAJA1</v>
      </c>
      <c r="M607" s="73">
        <f t="shared" si="123"/>
        <v>7.8439133262782068E-2</v>
      </c>
      <c r="N607" s="73">
        <f t="shared" si="124"/>
        <v>-0.15723744536218287</v>
      </c>
      <c r="O607" s="13">
        <f t="shared" si="125"/>
        <v>1911391</v>
      </c>
      <c r="P607" s="13">
        <f t="shared" si="126"/>
        <v>1932701</v>
      </c>
      <c r="Q607" s="13">
        <f t="shared" si="127"/>
        <v>1917728</v>
      </c>
      <c r="R607" s="33">
        <f t="shared" si="128"/>
        <v>3.3153865430988194E-3</v>
      </c>
      <c r="S607" s="33">
        <f t="shared" si="129"/>
        <v>-7.7471890375179209E-3</v>
      </c>
    </row>
    <row r="608" spans="1:19" x14ac:dyDescent="0.25">
      <c r="A608" t="s">
        <v>39</v>
      </c>
      <c r="B608" s="65">
        <v>3</v>
      </c>
      <c r="C608" t="s">
        <v>10</v>
      </c>
      <c r="D608" s="67">
        <v>1200</v>
      </c>
      <c r="E608" s="67">
        <v>1226</v>
      </c>
      <c r="F608" s="67">
        <v>1200</v>
      </c>
      <c r="G608" s="13">
        <f t="shared" si="117"/>
        <v>-26</v>
      </c>
      <c r="H608" s="13">
        <f t="shared" si="118"/>
        <v>0</v>
      </c>
      <c r="I608" s="73">
        <f t="shared" si="119"/>
        <v>0</v>
      </c>
      <c r="J608" s="73">
        <f t="shared" si="120"/>
        <v>-2.1207177814029365E-2</v>
      </c>
      <c r="K608" s="72" t="str">
        <f t="shared" si="121"/>
        <v>CNJ2</v>
      </c>
      <c r="L608" s="72" t="str">
        <f t="shared" si="122"/>
        <v>MAY-3-CNJ2</v>
      </c>
      <c r="M608" s="73">
        <f t="shared" si="123"/>
        <v>0</v>
      </c>
      <c r="N608" s="73">
        <f t="shared" si="124"/>
        <v>-2.1207177814029365E-2</v>
      </c>
      <c r="O608" s="13">
        <f t="shared" si="125"/>
        <v>1911391</v>
      </c>
      <c r="P608" s="13">
        <f t="shared" si="126"/>
        <v>1932701</v>
      </c>
      <c r="Q608" s="13">
        <f t="shared" si="127"/>
        <v>1917728</v>
      </c>
      <c r="R608" s="33">
        <f t="shared" si="128"/>
        <v>3.3153865430988194E-3</v>
      </c>
      <c r="S608" s="33">
        <f t="shared" si="129"/>
        <v>-7.7471890375179209E-3</v>
      </c>
    </row>
    <row r="609" spans="1:19" x14ac:dyDescent="0.25">
      <c r="A609" t="s">
        <v>39</v>
      </c>
      <c r="B609" s="65">
        <v>3</v>
      </c>
      <c r="C609" t="s">
        <v>11</v>
      </c>
      <c r="D609" s="67">
        <v>1000</v>
      </c>
      <c r="E609" s="67">
        <v>1020</v>
      </c>
      <c r="F609" s="67">
        <v>1014</v>
      </c>
      <c r="G609" s="13">
        <f t="shared" si="117"/>
        <v>-6</v>
      </c>
      <c r="H609" s="13">
        <f t="shared" si="118"/>
        <v>14</v>
      </c>
      <c r="I609" s="73">
        <f t="shared" si="119"/>
        <v>1.4000000000000012E-2</v>
      </c>
      <c r="J609" s="73">
        <f t="shared" si="120"/>
        <v>-5.8823529411764497E-3</v>
      </c>
      <c r="K609" s="72" t="str">
        <f t="shared" si="121"/>
        <v>MAJA1</v>
      </c>
      <c r="L609" s="72" t="str">
        <f t="shared" si="122"/>
        <v>MAY-3-MAJA1</v>
      </c>
      <c r="M609" s="73">
        <f t="shared" si="123"/>
        <v>7.8439133262782068E-2</v>
      </c>
      <c r="N609" s="73">
        <f t="shared" si="124"/>
        <v>-0.15723744536218287</v>
      </c>
      <c r="O609" s="13">
        <f t="shared" si="125"/>
        <v>1911391</v>
      </c>
      <c r="P609" s="13">
        <f t="shared" si="126"/>
        <v>1932701</v>
      </c>
      <c r="Q609" s="13">
        <f t="shared" si="127"/>
        <v>1917728</v>
      </c>
      <c r="R609" s="33">
        <f t="shared" si="128"/>
        <v>3.3153865430988194E-3</v>
      </c>
      <c r="S609" s="33">
        <f t="shared" si="129"/>
        <v>-7.7471890375179209E-3</v>
      </c>
    </row>
    <row r="610" spans="1:19" x14ac:dyDescent="0.25">
      <c r="A610" t="s">
        <v>39</v>
      </c>
      <c r="B610" s="65">
        <v>3</v>
      </c>
      <c r="C610" t="s">
        <v>11</v>
      </c>
      <c r="D610" s="67">
        <v>450</v>
      </c>
      <c r="E610" s="67">
        <v>461</v>
      </c>
      <c r="F610" s="67">
        <v>450</v>
      </c>
      <c r="G610" s="13">
        <f t="shared" si="117"/>
        <v>-11</v>
      </c>
      <c r="H610" s="13">
        <f t="shared" si="118"/>
        <v>0</v>
      </c>
      <c r="I610" s="73">
        <f t="shared" si="119"/>
        <v>0</v>
      </c>
      <c r="J610" s="73">
        <f t="shared" si="120"/>
        <v>-2.386117136659438E-2</v>
      </c>
      <c r="K610" s="72" t="str">
        <f t="shared" si="121"/>
        <v>MAJA1</v>
      </c>
      <c r="L610" s="72" t="str">
        <f t="shared" si="122"/>
        <v>MAY-3-MAJA1</v>
      </c>
      <c r="M610" s="73">
        <f t="shared" si="123"/>
        <v>7.8439133262782068E-2</v>
      </c>
      <c r="N610" s="73">
        <f t="shared" si="124"/>
        <v>-0.15723744536218287</v>
      </c>
      <c r="O610" s="13">
        <f t="shared" si="125"/>
        <v>1911391</v>
      </c>
      <c r="P610" s="13">
        <f t="shared" si="126"/>
        <v>1932701</v>
      </c>
      <c r="Q610" s="13">
        <f t="shared" si="127"/>
        <v>1917728</v>
      </c>
      <c r="R610" s="33">
        <f t="shared" si="128"/>
        <v>3.3153865430988194E-3</v>
      </c>
      <c r="S610" s="33">
        <f t="shared" si="129"/>
        <v>-7.7471890375179209E-3</v>
      </c>
    </row>
    <row r="611" spans="1:19" x14ac:dyDescent="0.25">
      <c r="A611" t="s">
        <v>39</v>
      </c>
      <c r="B611" s="65">
        <v>3</v>
      </c>
      <c r="C611" t="s">
        <v>17</v>
      </c>
      <c r="D611" s="67">
        <v>850</v>
      </c>
      <c r="E611" s="67">
        <v>870</v>
      </c>
      <c r="F611" s="67">
        <v>862</v>
      </c>
      <c r="G611" s="13">
        <f t="shared" si="117"/>
        <v>-8</v>
      </c>
      <c r="H611" s="13">
        <f t="shared" si="118"/>
        <v>12</v>
      </c>
      <c r="I611" s="73">
        <f t="shared" si="119"/>
        <v>1.4117647058823568E-2</v>
      </c>
      <c r="J611" s="73">
        <f t="shared" si="120"/>
        <v>-9.1954022988506301E-3</v>
      </c>
      <c r="K611" s="72" t="str">
        <f t="shared" si="121"/>
        <v>CBA</v>
      </c>
      <c r="L611" s="72" t="str">
        <f t="shared" si="122"/>
        <v>MAY-3-CBA</v>
      </c>
      <c r="M611" s="73">
        <f t="shared" si="123"/>
        <v>5.6046871107789942E-2</v>
      </c>
      <c r="N611" s="73">
        <f t="shared" si="124"/>
        <v>-5.8445471799862925E-2</v>
      </c>
      <c r="O611" s="13">
        <f t="shared" si="125"/>
        <v>1911391</v>
      </c>
      <c r="P611" s="13">
        <f t="shared" si="126"/>
        <v>1932701</v>
      </c>
      <c r="Q611" s="13">
        <f t="shared" si="127"/>
        <v>1917728</v>
      </c>
      <c r="R611" s="33">
        <f t="shared" si="128"/>
        <v>3.3153865430988194E-3</v>
      </c>
      <c r="S611" s="33">
        <f t="shared" si="129"/>
        <v>-7.7471890375179209E-3</v>
      </c>
    </row>
    <row r="612" spans="1:19" x14ac:dyDescent="0.25">
      <c r="A612" t="s">
        <v>39</v>
      </c>
      <c r="B612" s="65">
        <v>3</v>
      </c>
      <c r="C612" t="s">
        <v>17</v>
      </c>
      <c r="D612" s="67">
        <v>640</v>
      </c>
      <c r="E612" s="67">
        <v>659</v>
      </c>
      <c r="F612" s="67">
        <v>654</v>
      </c>
      <c r="G612" s="13">
        <f t="shared" si="117"/>
        <v>-5</v>
      </c>
      <c r="H612" s="13">
        <f t="shared" si="118"/>
        <v>14</v>
      </c>
      <c r="I612" s="73">
        <f t="shared" si="119"/>
        <v>2.1875000000000089E-2</v>
      </c>
      <c r="J612" s="73">
        <f t="shared" si="120"/>
        <v>-7.587253414264028E-3</v>
      </c>
      <c r="K612" s="72" t="str">
        <f t="shared" si="121"/>
        <v>CBA</v>
      </c>
      <c r="L612" s="72" t="str">
        <f t="shared" si="122"/>
        <v>MAY-3-CBA</v>
      </c>
      <c r="M612" s="73">
        <f t="shared" si="123"/>
        <v>5.6046871107789942E-2</v>
      </c>
      <c r="N612" s="73">
        <f t="shared" si="124"/>
        <v>-5.8445471799862925E-2</v>
      </c>
      <c r="O612" s="13">
        <f t="shared" si="125"/>
        <v>1911391</v>
      </c>
      <c r="P612" s="13">
        <f t="shared" si="126"/>
        <v>1932701</v>
      </c>
      <c r="Q612" s="13">
        <f t="shared" si="127"/>
        <v>1917728</v>
      </c>
      <c r="R612" s="33">
        <f t="shared" si="128"/>
        <v>3.3153865430988194E-3</v>
      </c>
      <c r="S612" s="33">
        <f t="shared" si="129"/>
        <v>-7.7471890375179209E-3</v>
      </c>
    </row>
    <row r="613" spans="1:19" x14ac:dyDescent="0.25">
      <c r="A613" t="s">
        <v>39</v>
      </c>
      <c r="B613" s="65">
        <v>3</v>
      </c>
      <c r="C613" t="s">
        <v>17</v>
      </c>
      <c r="D613" s="67">
        <v>870</v>
      </c>
      <c r="E613" s="67">
        <v>889</v>
      </c>
      <c r="F613" s="67">
        <v>881</v>
      </c>
      <c r="G613" s="13">
        <f t="shared" si="117"/>
        <v>-8</v>
      </c>
      <c r="H613" s="13">
        <f t="shared" si="118"/>
        <v>11</v>
      </c>
      <c r="I613" s="73">
        <f t="shared" si="119"/>
        <v>1.2643678160919603E-2</v>
      </c>
      <c r="J613" s="73">
        <f t="shared" si="120"/>
        <v>-8.9988751406073764E-3</v>
      </c>
      <c r="K613" s="72" t="str">
        <f t="shared" si="121"/>
        <v>CBA</v>
      </c>
      <c r="L613" s="72" t="str">
        <f t="shared" si="122"/>
        <v>MAY-3-CBA</v>
      </c>
      <c r="M613" s="73">
        <f t="shared" si="123"/>
        <v>5.6046871107789942E-2</v>
      </c>
      <c r="N613" s="73">
        <f t="shared" si="124"/>
        <v>-5.8445471799862925E-2</v>
      </c>
      <c r="O613" s="13">
        <f t="shared" si="125"/>
        <v>1911391</v>
      </c>
      <c r="P613" s="13">
        <f t="shared" si="126"/>
        <v>1932701</v>
      </c>
      <c r="Q613" s="13">
        <f t="shared" si="127"/>
        <v>1917728</v>
      </c>
      <c r="R613" s="33">
        <f t="shared" si="128"/>
        <v>3.3153865430988194E-3</v>
      </c>
      <c r="S613" s="33">
        <f t="shared" si="129"/>
        <v>-7.7471890375179209E-3</v>
      </c>
    </row>
    <row r="614" spans="1:19" x14ac:dyDescent="0.25">
      <c r="A614" t="s">
        <v>39</v>
      </c>
      <c r="B614" s="65">
        <v>3</v>
      </c>
      <c r="C614" t="s">
        <v>17</v>
      </c>
      <c r="D614" s="67">
        <v>510</v>
      </c>
      <c r="E614" s="67">
        <v>524</v>
      </c>
      <c r="F614" s="67">
        <v>515</v>
      </c>
      <c r="G614" s="13">
        <f t="shared" si="117"/>
        <v>-9</v>
      </c>
      <c r="H614" s="13">
        <f t="shared" si="118"/>
        <v>5</v>
      </c>
      <c r="I614" s="73">
        <f t="shared" si="119"/>
        <v>9.8039215686274161E-3</v>
      </c>
      <c r="J614" s="73">
        <f t="shared" si="120"/>
        <v>-1.717557251908397E-2</v>
      </c>
      <c r="K614" s="72" t="str">
        <f t="shared" si="121"/>
        <v>CBA</v>
      </c>
      <c r="L614" s="72" t="str">
        <f t="shared" si="122"/>
        <v>MAY-3-CBA</v>
      </c>
      <c r="M614" s="73">
        <f t="shared" si="123"/>
        <v>5.6046871107789942E-2</v>
      </c>
      <c r="N614" s="73">
        <f t="shared" si="124"/>
        <v>-5.8445471799862925E-2</v>
      </c>
      <c r="O614" s="13">
        <f t="shared" si="125"/>
        <v>1911391</v>
      </c>
      <c r="P614" s="13">
        <f t="shared" si="126"/>
        <v>1932701</v>
      </c>
      <c r="Q614" s="13">
        <f t="shared" si="127"/>
        <v>1917728</v>
      </c>
      <c r="R614" s="33">
        <f t="shared" si="128"/>
        <v>3.3153865430988194E-3</v>
      </c>
      <c r="S614" s="33">
        <f t="shared" si="129"/>
        <v>-7.7471890375179209E-3</v>
      </c>
    </row>
    <row r="615" spans="1:19" x14ac:dyDescent="0.25">
      <c r="A615" t="s">
        <v>39</v>
      </c>
      <c r="B615" s="65">
        <v>3</v>
      </c>
      <c r="C615" t="s">
        <v>17</v>
      </c>
      <c r="D615" s="67">
        <v>4640</v>
      </c>
      <c r="E615" s="67">
        <v>4673</v>
      </c>
      <c r="F615" s="67">
        <v>4635</v>
      </c>
      <c r="G615" s="13">
        <f t="shared" si="117"/>
        <v>-38</v>
      </c>
      <c r="H615" s="13">
        <f t="shared" si="118"/>
        <v>-5</v>
      </c>
      <c r="I615" s="73">
        <f t="shared" si="119"/>
        <v>-1.0775862068965747E-3</v>
      </c>
      <c r="J615" s="73">
        <f t="shared" si="120"/>
        <v>-8.1318210999358209E-3</v>
      </c>
      <c r="K615" s="72" t="str">
        <f t="shared" si="121"/>
        <v>CBA</v>
      </c>
      <c r="L615" s="72" t="str">
        <f t="shared" si="122"/>
        <v>MAY-3-CBA</v>
      </c>
      <c r="M615" s="73">
        <f t="shared" si="123"/>
        <v>5.6046871107789942E-2</v>
      </c>
      <c r="N615" s="73">
        <f t="shared" si="124"/>
        <v>-5.8445471799862925E-2</v>
      </c>
      <c r="O615" s="13">
        <f t="shared" si="125"/>
        <v>1911391</v>
      </c>
      <c r="P615" s="13">
        <f t="shared" si="126"/>
        <v>1932701</v>
      </c>
      <c r="Q615" s="13">
        <f t="shared" si="127"/>
        <v>1917728</v>
      </c>
      <c r="R615" s="33">
        <f t="shared" si="128"/>
        <v>3.3153865430988194E-3</v>
      </c>
      <c r="S615" s="33">
        <f t="shared" si="129"/>
        <v>-7.7471890375179209E-3</v>
      </c>
    </row>
    <row r="616" spans="1:19" x14ac:dyDescent="0.25">
      <c r="A616" t="s">
        <v>39</v>
      </c>
      <c r="B616" s="65">
        <v>3</v>
      </c>
      <c r="C616" t="s">
        <v>17</v>
      </c>
      <c r="D616" s="67">
        <v>12160</v>
      </c>
      <c r="E616" s="67">
        <v>12234</v>
      </c>
      <c r="F616" s="67">
        <v>12144</v>
      </c>
      <c r="G616" s="13">
        <f t="shared" si="117"/>
        <v>-90</v>
      </c>
      <c r="H616" s="13">
        <f t="shared" si="118"/>
        <v>-16</v>
      </c>
      <c r="I616" s="73">
        <f t="shared" si="119"/>
        <v>-1.3157894736841591E-3</v>
      </c>
      <c r="J616" s="73">
        <f t="shared" si="120"/>
        <v>-7.356547327121099E-3</v>
      </c>
      <c r="K616" s="72" t="str">
        <f t="shared" si="121"/>
        <v>CBA</v>
      </c>
      <c r="L616" s="72" t="str">
        <f t="shared" si="122"/>
        <v>MAY-3-CBA</v>
      </c>
      <c r="M616" s="73">
        <f t="shared" si="123"/>
        <v>5.6046871107789942E-2</v>
      </c>
      <c r="N616" s="73">
        <f t="shared" si="124"/>
        <v>-5.8445471799862925E-2</v>
      </c>
      <c r="O616" s="13">
        <f t="shared" si="125"/>
        <v>1911391</v>
      </c>
      <c r="P616" s="13">
        <f t="shared" si="126"/>
        <v>1932701</v>
      </c>
      <c r="Q616" s="13">
        <f t="shared" si="127"/>
        <v>1917728</v>
      </c>
      <c r="R616" s="33">
        <f t="shared" si="128"/>
        <v>3.3153865430988194E-3</v>
      </c>
      <c r="S616" s="33">
        <f t="shared" si="129"/>
        <v>-7.7471890375179209E-3</v>
      </c>
    </row>
    <row r="617" spans="1:19" x14ac:dyDescent="0.25">
      <c r="A617" t="s">
        <v>39</v>
      </c>
      <c r="B617" s="65">
        <v>4</v>
      </c>
      <c r="C617" t="s">
        <v>71</v>
      </c>
      <c r="D617" s="67">
        <v>200</v>
      </c>
      <c r="E617" s="67">
        <v>200</v>
      </c>
      <c r="F617" s="67">
        <v>200</v>
      </c>
      <c r="G617" s="13">
        <f t="shared" si="117"/>
        <v>0</v>
      </c>
      <c r="H617" s="13">
        <f t="shared" si="118"/>
        <v>0</v>
      </c>
      <c r="I617" s="73">
        <f t="shared" si="119"/>
        <v>0</v>
      </c>
      <c r="J617" s="73">
        <f t="shared" si="120"/>
        <v>0</v>
      </c>
      <c r="K617" s="72" t="str">
        <f t="shared" si="121"/>
        <v>SAMPLE</v>
      </c>
      <c r="L617" s="72" t="str">
        <f t="shared" si="122"/>
        <v>MAY-4-SAMPLE</v>
      </c>
      <c r="M617" s="73">
        <f t="shared" si="123"/>
        <v>-2.2499999999999964E-2</v>
      </c>
      <c r="N617" s="73">
        <f t="shared" si="124"/>
        <v>-2.2499999999999964E-2</v>
      </c>
      <c r="O617" s="13">
        <f t="shared" si="125"/>
        <v>1911391</v>
      </c>
      <c r="P617" s="13">
        <f t="shared" si="126"/>
        <v>1932701</v>
      </c>
      <c r="Q617" s="13">
        <f t="shared" si="127"/>
        <v>1917728</v>
      </c>
      <c r="R617" s="33">
        <f t="shared" si="128"/>
        <v>3.3153865430988194E-3</v>
      </c>
      <c r="S617" s="33">
        <f t="shared" si="129"/>
        <v>-7.7471890375179209E-3</v>
      </c>
    </row>
    <row r="618" spans="1:19" x14ac:dyDescent="0.25">
      <c r="A618" t="s">
        <v>39</v>
      </c>
      <c r="B618" s="65">
        <v>4</v>
      </c>
      <c r="C618" t="s">
        <v>71</v>
      </c>
      <c r="D618" s="67">
        <v>300</v>
      </c>
      <c r="E618" s="67">
        <v>300</v>
      </c>
      <c r="F618" s="67">
        <v>300</v>
      </c>
      <c r="G618" s="13">
        <f t="shared" si="117"/>
        <v>0</v>
      </c>
      <c r="H618" s="13">
        <f t="shared" si="118"/>
        <v>0</v>
      </c>
      <c r="I618" s="73">
        <f t="shared" si="119"/>
        <v>0</v>
      </c>
      <c r="J618" s="73">
        <f t="shared" si="120"/>
        <v>0</v>
      </c>
      <c r="K618" s="72" t="str">
        <f t="shared" si="121"/>
        <v>SAMPLE</v>
      </c>
      <c r="L618" s="72" t="str">
        <f t="shared" si="122"/>
        <v>MAY-4-SAMPLE</v>
      </c>
      <c r="M618" s="73">
        <f t="shared" si="123"/>
        <v>-2.2499999999999964E-2</v>
      </c>
      <c r="N618" s="73">
        <f t="shared" si="124"/>
        <v>-2.2499999999999964E-2</v>
      </c>
      <c r="O618" s="13">
        <f t="shared" si="125"/>
        <v>1911391</v>
      </c>
      <c r="P618" s="13">
        <f t="shared" si="126"/>
        <v>1932701</v>
      </c>
      <c r="Q618" s="13">
        <f t="shared" si="127"/>
        <v>1917728</v>
      </c>
      <c r="R618" s="33">
        <f t="shared" si="128"/>
        <v>3.3153865430988194E-3</v>
      </c>
      <c r="S618" s="33">
        <f t="shared" si="129"/>
        <v>-7.7471890375179209E-3</v>
      </c>
    </row>
    <row r="619" spans="1:19" x14ac:dyDescent="0.25">
      <c r="A619" t="s">
        <v>39</v>
      </c>
      <c r="B619" s="65">
        <v>4</v>
      </c>
      <c r="C619" t="s">
        <v>71</v>
      </c>
      <c r="D619" s="67">
        <v>400</v>
      </c>
      <c r="E619" s="67">
        <v>400</v>
      </c>
      <c r="F619" s="67">
        <v>391</v>
      </c>
      <c r="G619" s="13">
        <f t="shared" si="117"/>
        <v>-9</v>
      </c>
      <c r="H619" s="13">
        <f t="shared" si="118"/>
        <v>-9</v>
      </c>
      <c r="I619" s="73">
        <f t="shared" si="119"/>
        <v>-2.2499999999999964E-2</v>
      </c>
      <c r="J619" s="73">
        <f t="shared" si="120"/>
        <v>-2.2499999999999964E-2</v>
      </c>
      <c r="K619" s="72" t="str">
        <f t="shared" si="121"/>
        <v>SAMPLE</v>
      </c>
      <c r="L619" s="72" t="str">
        <f t="shared" si="122"/>
        <v>MAY-4-SAMPLE</v>
      </c>
      <c r="M619" s="73">
        <f t="shared" si="123"/>
        <v>-2.2499999999999964E-2</v>
      </c>
      <c r="N619" s="73">
        <f t="shared" si="124"/>
        <v>-2.2499999999999964E-2</v>
      </c>
      <c r="O619" s="13">
        <f t="shared" si="125"/>
        <v>1911391</v>
      </c>
      <c r="P619" s="13">
        <f t="shared" si="126"/>
        <v>1932701</v>
      </c>
      <c r="Q619" s="13">
        <f t="shared" si="127"/>
        <v>1917728</v>
      </c>
      <c r="R619" s="33">
        <f t="shared" si="128"/>
        <v>3.3153865430988194E-3</v>
      </c>
      <c r="S619" s="33">
        <f t="shared" si="129"/>
        <v>-7.7471890375179209E-3</v>
      </c>
    </row>
    <row r="620" spans="1:19" x14ac:dyDescent="0.25">
      <c r="A620" t="s">
        <v>39</v>
      </c>
      <c r="B620" s="65">
        <v>4</v>
      </c>
      <c r="C620" t="s">
        <v>70</v>
      </c>
      <c r="D620" s="67">
        <v>400</v>
      </c>
      <c r="E620" s="67">
        <v>400</v>
      </c>
      <c r="F620" s="67">
        <v>395</v>
      </c>
      <c r="G620" s="13">
        <f t="shared" si="117"/>
        <v>-5</v>
      </c>
      <c r="H620" s="13">
        <f t="shared" si="118"/>
        <v>-5</v>
      </c>
      <c r="I620" s="73">
        <f t="shared" si="119"/>
        <v>-1.2499999999999956E-2</v>
      </c>
      <c r="J620" s="73">
        <f t="shared" si="120"/>
        <v>-1.2499999999999956E-2</v>
      </c>
      <c r="K620" s="72" t="str">
        <f t="shared" si="121"/>
        <v>CLN</v>
      </c>
      <c r="L620" s="72" t="str">
        <f t="shared" si="122"/>
        <v>MAY-4-CLN</v>
      </c>
      <c r="M620" s="73">
        <f t="shared" si="123"/>
        <v>-0.14083333333333337</v>
      </c>
      <c r="N620" s="73">
        <f t="shared" si="124"/>
        <v>-0.14716887417218549</v>
      </c>
      <c r="O620" s="13">
        <f t="shared" si="125"/>
        <v>1911391</v>
      </c>
      <c r="P620" s="13">
        <f t="shared" si="126"/>
        <v>1932701</v>
      </c>
      <c r="Q620" s="13">
        <f t="shared" si="127"/>
        <v>1917728</v>
      </c>
      <c r="R620" s="33">
        <f t="shared" si="128"/>
        <v>3.3153865430988194E-3</v>
      </c>
      <c r="S620" s="33">
        <f t="shared" si="129"/>
        <v>-7.7471890375179209E-3</v>
      </c>
    </row>
    <row r="621" spans="1:19" x14ac:dyDescent="0.25">
      <c r="A621" t="s">
        <v>39</v>
      </c>
      <c r="B621" s="65">
        <v>4</v>
      </c>
      <c r="C621" t="s">
        <v>70</v>
      </c>
      <c r="D621" s="67">
        <v>300</v>
      </c>
      <c r="E621" s="67">
        <v>302</v>
      </c>
      <c r="F621" s="67">
        <v>287</v>
      </c>
      <c r="G621" s="13">
        <f t="shared" si="117"/>
        <v>-15</v>
      </c>
      <c r="H621" s="13">
        <f t="shared" si="118"/>
        <v>-13</v>
      </c>
      <c r="I621" s="73">
        <f t="shared" si="119"/>
        <v>-4.3333333333333335E-2</v>
      </c>
      <c r="J621" s="73">
        <f t="shared" si="120"/>
        <v>-4.9668874172185462E-2</v>
      </c>
      <c r="K621" s="72" t="str">
        <f t="shared" si="121"/>
        <v>CLN</v>
      </c>
      <c r="L621" s="72" t="str">
        <f t="shared" si="122"/>
        <v>MAY-4-CLN</v>
      </c>
      <c r="M621" s="73">
        <f t="shared" si="123"/>
        <v>-0.14083333333333337</v>
      </c>
      <c r="N621" s="73">
        <f t="shared" si="124"/>
        <v>-0.14716887417218549</v>
      </c>
      <c r="O621" s="13">
        <f t="shared" si="125"/>
        <v>1911391</v>
      </c>
      <c r="P621" s="13">
        <f t="shared" si="126"/>
        <v>1932701</v>
      </c>
      <c r="Q621" s="13">
        <f t="shared" si="127"/>
        <v>1917728</v>
      </c>
      <c r="R621" s="33">
        <f t="shared" si="128"/>
        <v>3.3153865430988194E-3</v>
      </c>
      <c r="S621" s="33">
        <f t="shared" si="129"/>
        <v>-7.7471890375179209E-3</v>
      </c>
    </row>
    <row r="622" spans="1:19" x14ac:dyDescent="0.25">
      <c r="A622" t="s">
        <v>39</v>
      </c>
      <c r="B622" s="65">
        <v>4</v>
      </c>
      <c r="C622" t="s">
        <v>70</v>
      </c>
      <c r="D622" s="67">
        <v>200</v>
      </c>
      <c r="E622" s="67">
        <v>200</v>
      </c>
      <c r="F622" s="67">
        <v>193</v>
      </c>
      <c r="G622" s="13">
        <f t="shared" si="117"/>
        <v>-7</v>
      </c>
      <c r="H622" s="13">
        <f t="shared" si="118"/>
        <v>-7</v>
      </c>
      <c r="I622" s="73">
        <f t="shared" si="119"/>
        <v>-3.5000000000000031E-2</v>
      </c>
      <c r="J622" s="73">
        <f t="shared" si="120"/>
        <v>-3.5000000000000031E-2</v>
      </c>
      <c r="K622" s="72" t="str">
        <f t="shared" si="121"/>
        <v>CLN</v>
      </c>
      <c r="L622" s="72" t="str">
        <f t="shared" si="122"/>
        <v>MAY-4-CLN</v>
      </c>
      <c r="M622" s="73">
        <f t="shared" si="123"/>
        <v>-0.14083333333333337</v>
      </c>
      <c r="N622" s="73">
        <f t="shared" si="124"/>
        <v>-0.14716887417218549</v>
      </c>
      <c r="O622" s="13">
        <f t="shared" si="125"/>
        <v>1911391</v>
      </c>
      <c r="P622" s="13">
        <f t="shared" si="126"/>
        <v>1932701</v>
      </c>
      <c r="Q622" s="13">
        <f t="shared" si="127"/>
        <v>1917728</v>
      </c>
      <c r="R622" s="33">
        <f t="shared" si="128"/>
        <v>3.3153865430988194E-3</v>
      </c>
      <c r="S622" s="33">
        <f t="shared" si="129"/>
        <v>-7.7471890375179209E-3</v>
      </c>
    </row>
    <row r="623" spans="1:19" x14ac:dyDescent="0.25">
      <c r="A623" t="s">
        <v>39</v>
      </c>
      <c r="B623" s="65">
        <v>4</v>
      </c>
      <c r="C623" t="s">
        <v>70</v>
      </c>
      <c r="D623" s="67">
        <v>40</v>
      </c>
      <c r="E623" s="67">
        <v>40</v>
      </c>
      <c r="F623" s="67">
        <v>39</v>
      </c>
      <c r="G623" s="13">
        <f t="shared" si="117"/>
        <v>-1</v>
      </c>
      <c r="H623" s="13">
        <f t="shared" si="118"/>
        <v>-1</v>
      </c>
      <c r="I623" s="73">
        <f t="shared" si="119"/>
        <v>-2.5000000000000022E-2</v>
      </c>
      <c r="J623" s="73">
        <f t="shared" si="120"/>
        <v>-2.5000000000000022E-2</v>
      </c>
      <c r="K623" s="72" t="str">
        <f t="shared" si="121"/>
        <v>CLN</v>
      </c>
      <c r="L623" s="72" t="str">
        <f t="shared" si="122"/>
        <v>MAY-4-CLN</v>
      </c>
      <c r="M623" s="73">
        <f t="shared" si="123"/>
        <v>-0.14083333333333337</v>
      </c>
      <c r="N623" s="73">
        <f t="shared" si="124"/>
        <v>-0.14716887417218549</v>
      </c>
      <c r="O623" s="13">
        <f t="shared" si="125"/>
        <v>1911391</v>
      </c>
      <c r="P623" s="13">
        <f t="shared" si="126"/>
        <v>1932701</v>
      </c>
      <c r="Q623" s="13">
        <f t="shared" si="127"/>
        <v>1917728</v>
      </c>
      <c r="R623" s="33">
        <f t="shared" si="128"/>
        <v>3.3153865430988194E-3</v>
      </c>
      <c r="S623" s="33">
        <f t="shared" si="129"/>
        <v>-7.7471890375179209E-3</v>
      </c>
    </row>
    <row r="624" spans="1:19" x14ac:dyDescent="0.25">
      <c r="A624" t="s">
        <v>39</v>
      </c>
      <c r="B624" s="65">
        <v>4</v>
      </c>
      <c r="C624" t="s">
        <v>70</v>
      </c>
      <c r="D624" s="67">
        <v>40</v>
      </c>
      <c r="E624" s="67">
        <v>40</v>
      </c>
      <c r="F624" s="67">
        <v>39</v>
      </c>
      <c r="G624" s="13">
        <f t="shared" si="117"/>
        <v>-1</v>
      </c>
      <c r="H624" s="13">
        <f t="shared" si="118"/>
        <v>-1</v>
      </c>
      <c r="I624" s="73">
        <f t="shared" si="119"/>
        <v>-2.5000000000000022E-2</v>
      </c>
      <c r="J624" s="73">
        <f t="shared" si="120"/>
        <v>-2.5000000000000022E-2</v>
      </c>
      <c r="K624" s="72" t="str">
        <f t="shared" si="121"/>
        <v>CLN</v>
      </c>
      <c r="L624" s="72" t="str">
        <f t="shared" si="122"/>
        <v>MAY-4-CLN</v>
      </c>
      <c r="M624" s="73">
        <f t="shared" si="123"/>
        <v>-0.14083333333333337</v>
      </c>
      <c r="N624" s="73">
        <f t="shared" si="124"/>
        <v>-0.14716887417218549</v>
      </c>
      <c r="O624" s="13">
        <f t="shared" si="125"/>
        <v>1911391</v>
      </c>
      <c r="P624" s="13">
        <f t="shared" si="126"/>
        <v>1932701</v>
      </c>
      <c r="Q624" s="13">
        <f t="shared" si="127"/>
        <v>1917728</v>
      </c>
      <c r="R624" s="33">
        <f t="shared" si="128"/>
        <v>3.3153865430988194E-3</v>
      </c>
      <c r="S624" s="33">
        <f t="shared" si="129"/>
        <v>-7.7471890375179209E-3</v>
      </c>
    </row>
    <row r="625" spans="1:19" x14ac:dyDescent="0.25">
      <c r="A625" t="s">
        <v>39</v>
      </c>
      <c r="B625" s="65">
        <v>4</v>
      </c>
      <c r="C625" t="s">
        <v>10</v>
      </c>
      <c r="D625" s="67">
        <v>650</v>
      </c>
      <c r="E625" s="67">
        <v>674</v>
      </c>
      <c r="F625" s="67">
        <v>647</v>
      </c>
      <c r="G625" s="13">
        <f t="shared" si="117"/>
        <v>-27</v>
      </c>
      <c r="H625" s="13">
        <f t="shared" si="118"/>
        <v>-3</v>
      </c>
      <c r="I625" s="73">
        <f t="shared" si="119"/>
        <v>-4.6153846153845768E-3</v>
      </c>
      <c r="J625" s="73">
        <f t="shared" si="120"/>
        <v>-4.0059347181008897E-2</v>
      </c>
      <c r="K625" s="72" t="str">
        <f t="shared" si="121"/>
        <v>CNJ2</v>
      </c>
      <c r="L625" s="72" t="str">
        <f t="shared" si="122"/>
        <v>MAY-4-CNJ2</v>
      </c>
      <c r="M625" s="73">
        <f t="shared" si="123"/>
        <v>-6.7936863166420891E-2</v>
      </c>
      <c r="N625" s="73">
        <f t="shared" si="124"/>
        <v>-0.23138630900304247</v>
      </c>
      <c r="O625" s="13">
        <f t="shared" si="125"/>
        <v>1911391</v>
      </c>
      <c r="P625" s="13">
        <f t="shared" si="126"/>
        <v>1932701</v>
      </c>
      <c r="Q625" s="13">
        <f t="shared" si="127"/>
        <v>1917728</v>
      </c>
      <c r="R625" s="33">
        <f t="shared" si="128"/>
        <v>3.3153865430988194E-3</v>
      </c>
      <c r="S625" s="33">
        <f t="shared" si="129"/>
        <v>-7.7471890375179209E-3</v>
      </c>
    </row>
    <row r="626" spans="1:19" x14ac:dyDescent="0.25">
      <c r="A626" t="s">
        <v>39</v>
      </c>
      <c r="B626" s="65">
        <v>4</v>
      </c>
      <c r="C626" t="s">
        <v>10</v>
      </c>
      <c r="D626" s="67">
        <v>375</v>
      </c>
      <c r="E626" s="67">
        <v>385</v>
      </c>
      <c r="F626" s="67">
        <v>375</v>
      </c>
      <c r="G626" s="13">
        <f t="shared" si="117"/>
        <v>-10</v>
      </c>
      <c r="H626" s="13">
        <f t="shared" si="118"/>
        <v>0</v>
      </c>
      <c r="I626" s="73">
        <f t="shared" si="119"/>
        <v>0</v>
      </c>
      <c r="J626" s="73">
        <f t="shared" si="120"/>
        <v>-2.5974025974025983E-2</v>
      </c>
      <c r="K626" s="72" t="str">
        <f t="shared" si="121"/>
        <v>CNJ2</v>
      </c>
      <c r="L626" s="72" t="str">
        <f t="shared" si="122"/>
        <v>MAY-4-CNJ2</v>
      </c>
      <c r="M626" s="73">
        <f t="shared" si="123"/>
        <v>-6.7936863166420891E-2</v>
      </c>
      <c r="N626" s="73">
        <f t="shared" si="124"/>
        <v>-0.23138630900304247</v>
      </c>
      <c r="O626" s="13">
        <f t="shared" si="125"/>
        <v>1911391</v>
      </c>
      <c r="P626" s="13">
        <f t="shared" si="126"/>
        <v>1932701</v>
      </c>
      <c r="Q626" s="13">
        <f t="shared" si="127"/>
        <v>1917728</v>
      </c>
      <c r="R626" s="33">
        <f t="shared" si="128"/>
        <v>3.3153865430988194E-3</v>
      </c>
      <c r="S626" s="33">
        <f t="shared" si="129"/>
        <v>-7.7471890375179209E-3</v>
      </c>
    </row>
    <row r="627" spans="1:19" x14ac:dyDescent="0.25">
      <c r="A627" t="s">
        <v>39</v>
      </c>
      <c r="B627" s="65">
        <v>4</v>
      </c>
      <c r="C627" t="s">
        <v>10</v>
      </c>
      <c r="D627" s="67">
        <v>1530</v>
      </c>
      <c r="E627" s="67">
        <v>1563</v>
      </c>
      <c r="F627" s="67">
        <v>1530</v>
      </c>
      <c r="G627" s="13">
        <f t="shared" si="117"/>
        <v>-33</v>
      </c>
      <c r="H627" s="13">
        <f t="shared" si="118"/>
        <v>0</v>
      </c>
      <c r="I627" s="73">
        <f t="shared" si="119"/>
        <v>0</v>
      </c>
      <c r="J627" s="73">
        <f t="shared" si="120"/>
        <v>-2.1113243761996192E-2</v>
      </c>
      <c r="K627" s="72" t="str">
        <f t="shared" si="121"/>
        <v>CNJ2</v>
      </c>
      <c r="L627" s="72" t="str">
        <f t="shared" si="122"/>
        <v>MAY-4-CNJ2</v>
      </c>
      <c r="M627" s="73">
        <f t="shared" si="123"/>
        <v>-6.7936863166420891E-2</v>
      </c>
      <c r="N627" s="73">
        <f t="shared" si="124"/>
        <v>-0.23138630900304247</v>
      </c>
      <c r="O627" s="13">
        <f t="shared" si="125"/>
        <v>1911391</v>
      </c>
      <c r="P627" s="13">
        <f t="shared" si="126"/>
        <v>1932701</v>
      </c>
      <c r="Q627" s="13">
        <f t="shared" si="127"/>
        <v>1917728</v>
      </c>
      <c r="R627" s="33">
        <f t="shared" si="128"/>
        <v>3.3153865430988194E-3</v>
      </c>
      <c r="S627" s="33">
        <f t="shared" si="129"/>
        <v>-7.7471890375179209E-3</v>
      </c>
    </row>
    <row r="628" spans="1:19" x14ac:dyDescent="0.25">
      <c r="A628" t="s">
        <v>39</v>
      </c>
      <c r="B628" s="65">
        <v>4</v>
      </c>
      <c r="C628" t="s">
        <v>10</v>
      </c>
      <c r="D628" s="67">
        <v>500</v>
      </c>
      <c r="E628" s="67">
        <v>519</v>
      </c>
      <c r="F628" s="67">
        <v>500</v>
      </c>
      <c r="G628" s="13">
        <f t="shared" si="117"/>
        <v>-19</v>
      </c>
      <c r="H628" s="13">
        <f t="shared" si="118"/>
        <v>0</v>
      </c>
      <c r="I628" s="73">
        <f t="shared" si="119"/>
        <v>0</v>
      </c>
      <c r="J628" s="73">
        <f t="shared" si="120"/>
        <v>-3.6608863198458574E-2</v>
      </c>
      <c r="K628" s="72" t="str">
        <f t="shared" si="121"/>
        <v>CNJ2</v>
      </c>
      <c r="L628" s="72" t="str">
        <f t="shared" si="122"/>
        <v>MAY-4-CNJ2</v>
      </c>
      <c r="M628" s="73">
        <f t="shared" si="123"/>
        <v>-6.7936863166420891E-2</v>
      </c>
      <c r="N628" s="73">
        <f t="shared" si="124"/>
        <v>-0.23138630900304247</v>
      </c>
      <c r="O628" s="13">
        <f t="shared" si="125"/>
        <v>1911391</v>
      </c>
      <c r="P628" s="13">
        <f t="shared" si="126"/>
        <v>1932701</v>
      </c>
      <c r="Q628" s="13">
        <f t="shared" si="127"/>
        <v>1917728</v>
      </c>
      <c r="R628" s="33">
        <f t="shared" si="128"/>
        <v>3.3153865430988194E-3</v>
      </c>
      <c r="S628" s="33">
        <f t="shared" si="129"/>
        <v>-7.7471890375179209E-3</v>
      </c>
    </row>
    <row r="629" spans="1:19" x14ac:dyDescent="0.25">
      <c r="A629" t="s">
        <v>39</v>
      </c>
      <c r="B629" s="65">
        <v>4</v>
      </c>
      <c r="C629" t="s">
        <v>10</v>
      </c>
      <c r="D629" s="67">
        <v>579</v>
      </c>
      <c r="E629" s="67">
        <v>576</v>
      </c>
      <c r="F629" s="67">
        <v>576</v>
      </c>
      <c r="G629" s="13">
        <f t="shared" si="117"/>
        <v>0</v>
      </c>
      <c r="H629" s="13">
        <f t="shared" si="118"/>
        <v>-3</v>
      </c>
      <c r="I629" s="73">
        <f t="shared" si="119"/>
        <v>-5.1813471502590858E-3</v>
      </c>
      <c r="J629" s="73">
        <f t="shared" si="120"/>
        <v>0</v>
      </c>
      <c r="K629" s="72" t="str">
        <f t="shared" si="121"/>
        <v>CNJ2</v>
      </c>
      <c r="L629" s="72" t="str">
        <f t="shared" si="122"/>
        <v>MAY-4-CNJ2</v>
      </c>
      <c r="M629" s="73">
        <f t="shared" si="123"/>
        <v>-6.7936863166420891E-2</v>
      </c>
      <c r="N629" s="73">
        <f t="shared" si="124"/>
        <v>-0.23138630900304247</v>
      </c>
      <c r="O629" s="13">
        <f t="shared" si="125"/>
        <v>1911391</v>
      </c>
      <c r="P629" s="13">
        <f t="shared" si="126"/>
        <v>1932701</v>
      </c>
      <c r="Q629" s="13">
        <f t="shared" si="127"/>
        <v>1917728</v>
      </c>
      <c r="R629" s="33">
        <f t="shared" si="128"/>
        <v>3.3153865430988194E-3</v>
      </c>
      <c r="S629" s="33">
        <f t="shared" si="129"/>
        <v>-7.7471890375179209E-3</v>
      </c>
    </row>
    <row r="630" spans="1:19" x14ac:dyDescent="0.25">
      <c r="A630" t="s">
        <v>39</v>
      </c>
      <c r="B630" s="65">
        <v>4</v>
      </c>
      <c r="C630" t="s">
        <v>10</v>
      </c>
      <c r="D630" s="67">
        <v>303</v>
      </c>
      <c r="E630" s="67">
        <v>303</v>
      </c>
      <c r="F630" s="67">
        <v>294</v>
      </c>
      <c r="G630" s="13">
        <f t="shared" si="117"/>
        <v>-9</v>
      </c>
      <c r="H630" s="13">
        <f t="shared" si="118"/>
        <v>-9</v>
      </c>
      <c r="I630" s="73">
        <f t="shared" si="119"/>
        <v>-2.9702970297029729E-2</v>
      </c>
      <c r="J630" s="73">
        <f t="shared" si="120"/>
        <v>-2.9702970297029729E-2</v>
      </c>
      <c r="K630" s="72" t="str">
        <f t="shared" si="121"/>
        <v>CNJ2</v>
      </c>
      <c r="L630" s="72" t="str">
        <f t="shared" si="122"/>
        <v>MAY-4-CNJ2</v>
      </c>
      <c r="M630" s="73">
        <f t="shared" si="123"/>
        <v>-6.7936863166420891E-2</v>
      </c>
      <c r="N630" s="73">
        <f t="shared" si="124"/>
        <v>-0.23138630900304247</v>
      </c>
      <c r="O630" s="13">
        <f t="shared" si="125"/>
        <v>1911391</v>
      </c>
      <c r="P630" s="13">
        <f t="shared" si="126"/>
        <v>1932701</v>
      </c>
      <c r="Q630" s="13">
        <f t="shared" si="127"/>
        <v>1917728</v>
      </c>
      <c r="R630" s="33">
        <f t="shared" si="128"/>
        <v>3.3153865430988194E-3</v>
      </c>
      <c r="S630" s="33">
        <f t="shared" si="129"/>
        <v>-7.7471890375179209E-3</v>
      </c>
    </row>
    <row r="631" spans="1:19" x14ac:dyDescent="0.25">
      <c r="A631" t="s">
        <v>39</v>
      </c>
      <c r="B631" s="65">
        <v>4</v>
      </c>
      <c r="C631" t="s">
        <v>10</v>
      </c>
      <c r="D631" s="67">
        <v>301</v>
      </c>
      <c r="E631" s="67">
        <v>305</v>
      </c>
      <c r="F631" s="67">
        <v>294</v>
      </c>
      <c r="G631" s="13">
        <f t="shared" si="117"/>
        <v>-11</v>
      </c>
      <c r="H631" s="13">
        <f t="shared" si="118"/>
        <v>-7</v>
      </c>
      <c r="I631" s="73">
        <f t="shared" si="119"/>
        <v>-2.3255813953488413E-2</v>
      </c>
      <c r="J631" s="73">
        <f t="shared" si="120"/>
        <v>-3.6065573770491799E-2</v>
      </c>
      <c r="K631" s="72" t="str">
        <f t="shared" si="121"/>
        <v>CNJ2</v>
      </c>
      <c r="L631" s="72" t="str">
        <f t="shared" si="122"/>
        <v>MAY-4-CNJ2</v>
      </c>
      <c r="M631" s="73">
        <f t="shared" si="123"/>
        <v>-6.7936863166420891E-2</v>
      </c>
      <c r="N631" s="73">
        <f t="shared" si="124"/>
        <v>-0.23138630900304247</v>
      </c>
      <c r="O631" s="13">
        <f t="shared" si="125"/>
        <v>1911391</v>
      </c>
      <c r="P631" s="13">
        <f t="shared" si="126"/>
        <v>1932701</v>
      </c>
      <c r="Q631" s="13">
        <f t="shared" si="127"/>
        <v>1917728</v>
      </c>
      <c r="R631" s="33">
        <f t="shared" si="128"/>
        <v>3.3153865430988194E-3</v>
      </c>
      <c r="S631" s="33">
        <f t="shared" si="129"/>
        <v>-7.7471890375179209E-3</v>
      </c>
    </row>
    <row r="632" spans="1:19" x14ac:dyDescent="0.25">
      <c r="A632" t="s">
        <v>39</v>
      </c>
      <c r="B632" s="65">
        <v>4</v>
      </c>
      <c r="C632" t="s">
        <v>10</v>
      </c>
      <c r="D632" s="67">
        <v>210</v>
      </c>
      <c r="E632" s="67">
        <v>213</v>
      </c>
      <c r="F632" s="67">
        <v>210</v>
      </c>
      <c r="G632" s="13">
        <f t="shared" si="117"/>
        <v>-3</v>
      </c>
      <c r="H632" s="13">
        <f t="shared" si="118"/>
        <v>0</v>
      </c>
      <c r="I632" s="73">
        <f t="shared" si="119"/>
        <v>0</v>
      </c>
      <c r="J632" s="73">
        <f t="shared" si="120"/>
        <v>-1.4084507042253502E-2</v>
      </c>
      <c r="K632" s="72" t="str">
        <f t="shared" si="121"/>
        <v>CNJ2</v>
      </c>
      <c r="L632" s="72" t="str">
        <f t="shared" si="122"/>
        <v>MAY-4-CNJ2</v>
      </c>
      <c r="M632" s="73">
        <f t="shared" si="123"/>
        <v>-6.7936863166420891E-2</v>
      </c>
      <c r="N632" s="73">
        <f t="shared" si="124"/>
        <v>-0.23138630900304247</v>
      </c>
      <c r="O632" s="13">
        <f t="shared" si="125"/>
        <v>1911391</v>
      </c>
      <c r="P632" s="13">
        <f t="shared" si="126"/>
        <v>1932701</v>
      </c>
      <c r="Q632" s="13">
        <f t="shared" si="127"/>
        <v>1917728</v>
      </c>
      <c r="R632" s="33">
        <f t="shared" si="128"/>
        <v>3.3153865430988194E-3</v>
      </c>
      <c r="S632" s="33">
        <f t="shared" si="129"/>
        <v>-7.7471890375179209E-3</v>
      </c>
    </row>
    <row r="633" spans="1:19" x14ac:dyDescent="0.25">
      <c r="A633" t="s">
        <v>39</v>
      </c>
      <c r="B633" s="65">
        <v>4</v>
      </c>
      <c r="C633" t="s">
        <v>10</v>
      </c>
      <c r="D633" s="67">
        <v>210</v>
      </c>
      <c r="E633" s="67">
        <v>216</v>
      </c>
      <c r="F633" s="67">
        <v>210</v>
      </c>
      <c r="G633" s="13">
        <f t="shared" si="117"/>
        <v>-6</v>
      </c>
      <c r="H633" s="13">
        <f t="shared" si="118"/>
        <v>0</v>
      </c>
      <c r="I633" s="73">
        <f t="shared" si="119"/>
        <v>0</v>
      </c>
      <c r="J633" s="73">
        <f t="shared" si="120"/>
        <v>-2.777777777777779E-2</v>
      </c>
      <c r="K633" s="72" t="str">
        <f t="shared" si="121"/>
        <v>CNJ2</v>
      </c>
      <c r="L633" s="72" t="str">
        <f t="shared" si="122"/>
        <v>MAY-4-CNJ2</v>
      </c>
      <c r="M633" s="73">
        <f t="shared" si="123"/>
        <v>-6.7936863166420891E-2</v>
      </c>
      <c r="N633" s="73">
        <f t="shared" si="124"/>
        <v>-0.23138630900304247</v>
      </c>
      <c r="O633" s="13">
        <f t="shared" si="125"/>
        <v>1911391</v>
      </c>
      <c r="P633" s="13">
        <f t="shared" si="126"/>
        <v>1932701</v>
      </c>
      <c r="Q633" s="13">
        <f t="shared" si="127"/>
        <v>1917728</v>
      </c>
      <c r="R633" s="33">
        <f t="shared" si="128"/>
        <v>3.3153865430988194E-3</v>
      </c>
      <c r="S633" s="33">
        <f t="shared" si="129"/>
        <v>-7.7471890375179209E-3</v>
      </c>
    </row>
    <row r="634" spans="1:19" x14ac:dyDescent="0.25">
      <c r="A634" t="s">
        <v>39</v>
      </c>
      <c r="B634" s="65">
        <v>4</v>
      </c>
      <c r="C634" t="s">
        <v>10</v>
      </c>
      <c r="D634" s="67">
        <v>579</v>
      </c>
      <c r="E634" s="67">
        <v>576</v>
      </c>
      <c r="F634" s="67">
        <v>576</v>
      </c>
      <c r="G634" s="13">
        <f t="shared" si="117"/>
        <v>0</v>
      </c>
      <c r="H634" s="13">
        <f t="shared" si="118"/>
        <v>-3</v>
      </c>
      <c r="I634" s="73">
        <f t="shared" si="119"/>
        <v>-5.1813471502590858E-3</v>
      </c>
      <c r="J634" s="73">
        <f t="shared" si="120"/>
        <v>0</v>
      </c>
      <c r="K634" s="72" t="str">
        <f t="shared" si="121"/>
        <v>CNJ2</v>
      </c>
      <c r="L634" s="72" t="str">
        <f t="shared" si="122"/>
        <v>MAY-4-CNJ2</v>
      </c>
      <c r="M634" s="73">
        <f t="shared" si="123"/>
        <v>-6.7936863166420891E-2</v>
      </c>
      <c r="N634" s="73">
        <f t="shared" si="124"/>
        <v>-0.23138630900304247</v>
      </c>
      <c r="O634" s="13">
        <f t="shared" si="125"/>
        <v>1911391</v>
      </c>
      <c r="P634" s="13">
        <f t="shared" si="126"/>
        <v>1932701</v>
      </c>
      <c r="Q634" s="13">
        <f t="shared" si="127"/>
        <v>1917728</v>
      </c>
      <c r="R634" s="33">
        <f t="shared" si="128"/>
        <v>3.3153865430988194E-3</v>
      </c>
      <c r="S634" s="33">
        <f t="shared" si="129"/>
        <v>-7.7471890375179209E-3</v>
      </c>
    </row>
    <row r="635" spans="1:19" x14ac:dyDescent="0.25">
      <c r="A635" t="s">
        <v>39</v>
      </c>
      <c r="B635" s="65">
        <v>4</v>
      </c>
      <c r="C635" t="s">
        <v>10</v>
      </c>
      <c r="D635" s="67">
        <v>303</v>
      </c>
      <c r="E635" s="67">
        <v>303</v>
      </c>
      <c r="F635" s="67">
        <v>303</v>
      </c>
      <c r="G635" s="13">
        <f t="shared" si="117"/>
        <v>0</v>
      </c>
      <c r="H635" s="13">
        <f t="shared" si="118"/>
        <v>0</v>
      </c>
      <c r="I635" s="73">
        <f t="shared" si="119"/>
        <v>0</v>
      </c>
      <c r="J635" s="73">
        <f t="shared" si="120"/>
        <v>0</v>
      </c>
      <c r="K635" s="72" t="str">
        <f t="shared" si="121"/>
        <v>CNJ2</v>
      </c>
      <c r="L635" s="72" t="str">
        <f t="shared" si="122"/>
        <v>MAY-4-CNJ2</v>
      </c>
      <c r="M635" s="73">
        <f t="shared" si="123"/>
        <v>-6.7936863166420891E-2</v>
      </c>
      <c r="N635" s="73">
        <f t="shared" si="124"/>
        <v>-0.23138630900304247</v>
      </c>
      <c r="O635" s="13">
        <f t="shared" si="125"/>
        <v>1911391</v>
      </c>
      <c r="P635" s="13">
        <f t="shared" si="126"/>
        <v>1932701</v>
      </c>
      <c r="Q635" s="13">
        <f t="shared" si="127"/>
        <v>1917728</v>
      </c>
      <c r="R635" s="33">
        <f t="shared" si="128"/>
        <v>3.3153865430988194E-3</v>
      </c>
      <c r="S635" s="33">
        <f t="shared" si="129"/>
        <v>-7.7471890375179209E-3</v>
      </c>
    </row>
    <row r="636" spans="1:19" x14ac:dyDescent="0.25">
      <c r="A636" t="s">
        <v>39</v>
      </c>
      <c r="B636" s="65">
        <v>5</v>
      </c>
      <c r="C636" t="s">
        <v>14</v>
      </c>
      <c r="D636" s="68">
        <v>12672</v>
      </c>
      <c r="E636" s="68">
        <v>12754</v>
      </c>
      <c r="F636" s="68">
        <v>12584</v>
      </c>
      <c r="G636" s="13">
        <f t="shared" si="117"/>
        <v>-170</v>
      </c>
      <c r="H636" s="13">
        <f t="shared" si="118"/>
        <v>-88</v>
      </c>
      <c r="I636" s="73">
        <f t="shared" si="119"/>
        <v>-6.9444444444444198E-3</v>
      </c>
      <c r="J636" s="73">
        <f t="shared" si="120"/>
        <v>-1.3329151638701631E-2</v>
      </c>
      <c r="K636" s="72" t="str">
        <f t="shared" si="121"/>
        <v>GM2</v>
      </c>
      <c r="L636" s="72" t="str">
        <f t="shared" si="122"/>
        <v>MAY-5-GM2</v>
      </c>
      <c r="M636" s="73">
        <f t="shared" si="123"/>
        <v>0.32341279227578323</v>
      </c>
      <c r="N636" s="73">
        <f t="shared" si="124"/>
        <v>-0.22913844509815406</v>
      </c>
      <c r="O636" s="13">
        <f t="shared" si="125"/>
        <v>1911391</v>
      </c>
      <c r="P636" s="13">
        <f t="shared" si="126"/>
        <v>1932701</v>
      </c>
      <c r="Q636" s="13">
        <f t="shared" si="127"/>
        <v>1917728</v>
      </c>
      <c r="R636" s="33">
        <f t="shared" si="128"/>
        <v>3.3153865430988194E-3</v>
      </c>
      <c r="S636" s="33">
        <f t="shared" si="129"/>
        <v>-7.7471890375179209E-3</v>
      </c>
    </row>
    <row r="637" spans="1:19" x14ac:dyDescent="0.25">
      <c r="A637" t="s">
        <v>39</v>
      </c>
      <c r="B637" s="65">
        <v>5</v>
      </c>
      <c r="C637" t="s">
        <v>14</v>
      </c>
      <c r="D637" s="68">
        <v>1872</v>
      </c>
      <c r="E637" s="68">
        <v>1872</v>
      </c>
      <c r="F637" s="68">
        <v>1800</v>
      </c>
      <c r="G637" s="13">
        <f t="shared" si="117"/>
        <v>-72</v>
      </c>
      <c r="H637" s="13">
        <f t="shared" si="118"/>
        <v>-72</v>
      </c>
      <c r="I637" s="73">
        <f t="shared" si="119"/>
        <v>-3.8461538461538436E-2</v>
      </c>
      <c r="J637" s="73">
        <f t="shared" si="120"/>
        <v>-3.8461538461538436E-2</v>
      </c>
      <c r="K637" s="72" t="str">
        <f t="shared" si="121"/>
        <v>GM2</v>
      </c>
      <c r="L637" s="72" t="str">
        <f t="shared" si="122"/>
        <v>MAY-5-GM2</v>
      </c>
      <c r="M637" s="73">
        <f t="shared" si="123"/>
        <v>0.32341279227578323</v>
      </c>
      <c r="N637" s="73">
        <f t="shared" si="124"/>
        <v>-0.22913844509815406</v>
      </c>
      <c r="O637" s="13">
        <f t="shared" si="125"/>
        <v>1911391</v>
      </c>
      <c r="P637" s="13">
        <f t="shared" si="126"/>
        <v>1932701</v>
      </c>
      <c r="Q637" s="13">
        <f t="shared" si="127"/>
        <v>1917728</v>
      </c>
      <c r="R637" s="33">
        <f t="shared" si="128"/>
        <v>3.3153865430988194E-3</v>
      </c>
      <c r="S637" s="33">
        <f t="shared" si="129"/>
        <v>-7.7471890375179209E-3</v>
      </c>
    </row>
    <row r="638" spans="1:19" x14ac:dyDescent="0.25">
      <c r="A638" t="s">
        <v>39</v>
      </c>
      <c r="B638" s="65">
        <v>5</v>
      </c>
      <c r="C638" t="s">
        <v>13</v>
      </c>
      <c r="D638" s="68">
        <v>35856</v>
      </c>
      <c r="E638" s="68">
        <v>35745</v>
      </c>
      <c r="F638" s="68">
        <v>35577</v>
      </c>
      <c r="G638" s="13">
        <f t="shared" si="117"/>
        <v>-168</v>
      </c>
      <c r="H638" s="13">
        <f t="shared" si="118"/>
        <v>-279</v>
      </c>
      <c r="I638" s="73">
        <f t="shared" si="119"/>
        <v>-7.7811244979919536E-3</v>
      </c>
      <c r="J638" s="73">
        <f t="shared" si="120"/>
        <v>-4.6999580360889137E-3</v>
      </c>
      <c r="K638" s="72" t="str">
        <f t="shared" si="121"/>
        <v>KALIBENDA</v>
      </c>
      <c r="L638" s="72" t="str">
        <f t="shared" si="122"/>
        <v>MAY-5-KALIBENDA</v>
      </c>
      <c r="M638" s="73">
        <f t="shared" si="123"/>
        <v>7.2541838839677575E-2</v>
      </c>
      <c r="N638" s="73">
        <f t="shared" si="124"/>
        <v>-6.4716742824510454E-2</v>
      </c>
      <c r="O638" s="13">
        <f t="shared" si="125"/>
        <v>1911391</v>
      </c>
      <c r="P638" s="13">
        <f t="shared" si="126"/>
        <v>1932701</v>
      </c>
      <c r="Q638" s="13">
        <f t="shared" si="127"/>
        <v>1917728</v>
      </c>
      <c r="R638" s="33">
        <f t="shared" si="128"/>
        <v>3.3153865430988194E-3</v>
      </c>
      <c r="S638" s="33">
        <f t="shared" si="129"/>
        <v>-7.7471890375179209E-3</v>
      </c>
    </row>
    <row r="639" spans="1:19" x14ac:dyDescent="0.25">
      <c r="A639" t="s">
        <v>39</v>
      </c>
      <c r="B639" s="65">
        <v>5</v>
      </c>
      <c r="C639" t="s">
        <v>14</v>
      </c>
      <c r="D639" s="68">
        <v>32688</v>
      </c>
      <c r="E639" s="68">
        <v>33024</v>
      </c>
      <c r="F639" s="68">
        <v>32688</v>
      </c>
      <c r="G639" s="13">
        <f t="shared" si="117"/>
        <v>-336</v>
      </c>
      <c r="H639" s="13">
        <f t="shared" si="118"/>
        <v>0</v>
      </c>
      <c r="I639" s="73">
        <f t="shared" si="119"/>
        <v>0</v>
      </c>
      <c r="J639" s="73">
        <f t="shared" si="120"/>
        <v>-1.0174418604651181E-2</v>
      </c>
      <c r="K639" s="72" t="str">
        <f t="shared" si="121"/>
        <v>GM2</v>
      </c>
      <c r="L639" s="72" t="str">
        <f t="shared" si="122"/>
        <v>MAY-5-GM2</v>
      </c>
      <c r="M639" s="73">
        <f t="shared" si="123"/>
        <v>0.32341279227578323</v>
      </c>
      <c r="N639" s="73">
        <f t="shared" si="124"/>
        <v>-0.22913844509815406</v>
      </c>
      <c r="O639" s="13">
        <f t="shared" si="125"/>
        <v>1911391</v>
      </c>
      <c r="P639" s="13">
        <f t="shared" si="126"/>
        <v>1932701</v>
      </c>
      <c r="Q639" s="13">
        <f t="shared" si="127"/>
        <v>1917728</v>
      </c>
      <c r="R639" s="33">
        <f t="shared" si="128"/>
        <v>3.3153865430988194E-3</v>
      </c>
      <c r="S639" s="33">
        <f t="shared" si="129"/>
        <v>-7.7471890375179209E-3</v>
      </c>
    </row>
    <row r="640" spans="1:19" x14ac:dyDescent="0.25">
      <c r="A640" t="s">
        <v>39</v>
      </c>
      <c r="B640" s="65">
        <v>5</v>
      </c>
      <c r="C640" t="s">
        <v>14</v>
      </c>
      <c r="D640" s="68">
        <v>19296</v>
      </c>
      <c r="E640" s="68">
        <v>19298</v>
      </c>
      <c r="F640" s="68">
        <v>19296</v>
      </c>
      <c r="G640" s="13">
        <f t="shared" si="117"/>
        <v>-2</v>
      </c>
      <c r="H640" s="13">
        <f t="shared" si="118"/>
        <v>0</v>
      </c>
      <c r="I640" s="73">
        <f t="shared" si="119"/>
        <v>0</v>
      </c>
      <c r="J640" s="73">
        <f t="shared" si="120"/>
        <v>-1.0363768266141715E-4</v>
      </c>
      <c r="K640" s="72" t="str">
        <f t="shared" si="121"/>
        <v>GM2</v>
      </c>
      <c r="L640" s="72" t="str">
        <f t="shared" si="122"/>
        <v>MAY-5-GM2</v>
      </c>
      <c r="M640" s="73">
        <f t="shared" si="123"/>
        <v>0.32341279227578323</v>
      </c>
      <c r="N640" s="73">
        <f t="shared" si="124"/>
        <v>-0.22913844509815406</v>
      </c>
      <c r="O640" s="13">
        <f t="shared" si="125"/>
        <v>1911391</v>
      </c>
      <c r="P640" s="13">
        <f t="shared" si="126"/>
        <v>1932701</v>
      </c>
      <c r="Q640" s="13">
        <f t="shared" si="127"/>
        <v>1917728</v>
      </c>
      <c r="R640" s="33">
        <f t="shared" si="128"/>
        <v>3.3153865430988194E-3</v>
      </c>
      <c r="S640" s="33">
        <f t="shared" si="129"/>
        <v>-7.7471890375179209E-3</v>
      </c>
    </row>
    <row r="641" spans="1:19" x14ac:dyDescent="0.25">
      <c r="A641" t="s">
        <v>39</v>
      </c>
      <c r="B641" s="65">
        <v>5</v>
      </c>
      <c r="C641" t="s">
        <v>14</v>
      </c>
      <c r="D641" s="68">
        <v>19296</v>
      </c>
      <c r="E641" s="68">
        <v>19361</v>
      </c>
      <c r="F641" s="68">
        <v>19188</v>
      </c>
      <c r="G641" s="13">
        <f t="shared" si="117"/>
        <v>-173</v>
      </c>
      <c r="H641" s="13">
        <f t="shared" si="118"/>
        <v>-108</v>
      </c>
      <c r="I641" s="73">
        <f t="shared" si="119"/>
        <v>-5.5970149253731227E-3</v>
      </c>
      <c r="J641" s="73">
        <f t="shared" si="120"/>
        <v>-8.9354888693765622E-3</v>
      </c>
      <c r="K641" s="72" t="str">
        <f t="shared" si="121"/>
        <v>GM2</v>
      </c>
      <c r="L641" s="72" t="str">
        <f t="shared" si="122"/>
        <v>MAY-5-GM2</v>
      </c>
      <c r="M641" s="73">
        <f t="shared" si="123"/>
        <v>0.32341279227578323</v>
      </c>
      <c r="N641" s="73">
        <f t="shared" si="124"/>
        <v>-0.22913844509815406</v>
      </c>
      <c r="O641" s="13">
        <f t="shared" si="125"/>
        <v>1911391</v>
      </c>
      <c r="P641" s="13">
        <f t="shared" si="126"/>
        <v>1932701</v>
      </c>
      <c r="Q641" s="13">
        <f t="shared" si="127"/>
        <v>1917728</v>
      </c>
      <c r="R641" s="33">
        <f t="shared" si="128"/>
        <v>3.3153865430988194E-3</v>
      </c>
      <c r="S641" s="33">
        <f t="shared" si="129"/>
        <v>-7.7471890375179209E-3</v>
      </c>
    </row>
    <row r="642" spans="1:19" x14ac:dyDescent="0.25">
      <c r="A642" t="s">
        <v>39</v>
      </c>
      <c r="B642" s="65">
        <v>5</v>
      </c>
      <c r="C642" t="s">
        <v>14</v>
      </c>
      <c r="D642" s="68">
        <v>19008</v>
      </c>
      <c r="E642" s="68">
        <v>19320</v>
      </c>
      <c r="F642" s="68">
        <v>19008</v>
      </c>
      <c r="G642" s="13">
        <f t="shared" ref="G642:G705" si="130">F642-E642</f>
        <v>-312</v>
      </c>
      <c r="H642" s="13">
        <f t="shared" ref="H642:H705" si="131">F642-D642</f>
        <v>0</v>
      </c>
      <c r="I642" s="73">
        <f t="shared" ref="I642:I705" si="132">F642/D642-1</f>
        <v>0</v>
      </c>
      <c r="J642" s="73">
        <f t="shared" ref="J642:J705" si="133">F642/E642-1</f>
        <v>-1.6149068322981353E-2</v>
      </c>
      <c r="K642" s="72" t="str">
        <f t="shared" ref="K642:K705" si="134">CLEAN(SUBSTITUTE(C642," ",""))</f>
        <v>GM2</v>
      </c>
      <c r="L642" s="72" t="str">
        <f t="shared" ref="L642:L705" si="135">A642&amp;"-"&amp;B642&amp;"-"&amp;K642</f>
        <v>MAY-5-GM2</v>
      </c>
      <c r="M642" s="73">
        <f t="shared" ref="M642:M705" si="136">SUMIF($L$2:$L$1396,L642,$I$2:$I$1396)</f>
        <v>0.32341279227578323</v>
      </c>
      <c r="N642" s="73">
        <f t="shared" ref="N642:N705" si="137">SUMIF($L$2:$L$1396,L642,$J$2:$J$1396)</f>
        <v>-0.22913844509815406</v>
      </c>
      <c r="O642" s="13">
        <f t="shared" ref="O642:O705" si="138">SUMIF($A$2:$A$1396,A642,$D$2:$D$1396)</f>
        <v>1911391</v>
      </c>
      <c r="P642" s="13">
        <f t="shared" ref="P642:P705" si="139">SUMIF($A$2:$A$1396,A642,$E$2:$E$1396)</f>
        <v>1932701</v>
      </c>
      <c r="Q642" s="13">
        <f t="shared" ref="Q642:Q705" si="140">SUMIF($A$2:$A$1396,A642,$F$2:$F$1396)</f>
        <v>1917728</v>
      </c>
      <c r="R642" s="33">
        <f t="shared" ref="R642:R705" si="141">Q642/O642-1</f>
        <v>3.3153865430988194E-3</v>
      </c>
      <c r="S642" s="33">
        <f t="shared" ref="S642:S705" si="142">Q642/P642-1</f>
        <v>-7.7471890375179209E-3</v>
      </c>
    </row>
    <row r="643" spans="1:19" x14ac:dyDescent="0.25">
      <c r="A643" t="s">
        <v>39</v>
      </c>
      <c r="B643" s="65">
        <v>5</v>
      </c>
      <c r="C643" t="s">
        <v>11</v>
      </c>
      <c r="D643" s="67">
        <v>20412</v>
      </c>
      <c r="E643" s="67">
        <v>20994</v>
      </c>
      <c r="F643" s="67">
        <v>20883</v>
      </c>
      <c r="G643" s="13">
        <f t="shared" si="130"/>
        <v>-111</v>
      </c>
      <c r="H643" s="13">
        <f t="shared" si="131"/>
        <v>471</v>
      </c>
      <c r="I643" s="73">
        <f t="shared" si="132"/>
        <v>2.3074661963550902E-2</v>
      </c>
      <c r="J643" s="73">
        <f t="shared" si="133"/>
        <v>-5.2872249214060973E-3</v>
      </c>
      <c r="K643" s="72" t="str">
        <f t="shared" si="134"/>
        <v>MAJA1</v>
      </c>
      <c r="L643" s="72" t="str">
        <f t="shared" si="135"/>
        <v>MAY-5-MAJA1</v>
      </c>
      <c r="M643" s="73">
        <f t="shared" si="136"/>
        <v>0.15843480634501828</v>
      </c>
      <c r="N643" s="73">
        <f t="shared" si="137"/>
        <v>-7.8928658970187637E-2</v>
      </c>
      <c r="O643" s="13">
        <f t="shared" si="138"/>
        <v>1911391</v>
      </c>
      <c r="P643" s="13">
        <f t="shared" si="139"/>
        <v>1932701</v>
      </c>
      <c r="Q643" s="13">
        <f t="shared" si="140"/>
        <v>1917728</v>
      </c>
      <c r="R643" s="33">
        <f t="shared" si="141"/>
        <v>3.3153865430988194E-3</v>
      </c>
      <c r="S643" s="33">
        <f t="shared" si="142"/>
        <v>-7.7471890375179209E-3</v>
      </c>
    </row>
    <row r="644" spans="1:19" x14ac:dyDescent="0.25">
      <c r="A644" t="s">
        <v>39</v>
      </c>
      <c r="B644" s="65">
        <v>5</v>
      </c>
      <c r="C644" t="s">
        <v>11</v>
      </c>
      <c r="D644" s="67">
        <v>7560</v>
      </c>
      <c r="E644" s="67">
        <v>7782</v>
      </c>
      <c r="F644" s="67">
        <v>7722</v>
      </c>
      <c r="G644" s="13">
        <f t="shared" si="130"/>
        <v>-60</v>
      </c>
      <c r="H644" s="13">
        <f t="shared" si="131"/>
        <v>162</v>
      </c>
      <c r="I644" s="73">
        <f t="shared" si="132"/>
        <v>2.1428571428571352E-2</v>
      </c>
      <c r="J644" s="73">
        <f t="shared" si="133"/>
        <v>-7.7101002313030298E-3</v>
      </c>
      <c r="K644" s="72" t="str">
        <f t="shared" si="134"/>
        <v>MAJA1</v>
      </c>
      <c r="L644" s="72" t="str">
        <f t="shared" si="135"/>
        <v>MAY-5-MAJA1</v>
      </c>
      <c r="M644" s="73">
        <f t="shared" si="136"/>
        <v>0.15843480634501828</v>
      </c>
      <c r="N644" s="73">
        <f t="shared" si="137"/>
        <v>-7.8928658970187637E-2</v>
      </c>
      <c r="O644" s="13">
        <f t="shared" si="138"/>
        <v>1911391</v>
      </c>
      <c r="P644" s="13">
        <f t="shared" si="139"/>
        <v>1932701</v>
      </c>
      <c r="Q644" s="13">
        <f t="shared" si="140"/>
        <v>1917728</v>
      </c>
      <c r="R644" s="33">
        <f t="shared" si="141"/>
        <v>3.3153865430988194E-3</v>
      </c>
      <c r="S644" s="33">
        <f t="shared" si="142"/>
        <v>-7.7471890375179209E-3</v>
      </c>
    </row>
    <row r="645" spans="1:19" x14ac:dyDescent="0.25">
      <c r="A645" t="s">
        <v>39</v>
      </c>
      <c r="B645" s="65">
        <v>5</v>
      </c>
      <c r="C645" t="s">
        <v>11</v>
      </c>
      <c r="D645" s="67">
        <v>13392</v>
      </c>
      <c r="E645" s="67">
        <v>13785</v>
      </c>
      <c r="F645" s="67">
        <v>13680</v>
      </c>
      <c r="G645" s="13">
        <f t="shared" si="130"/>
        <v>-105</v>
      </c>
      <c r="H645" s="13">
        <f t="shared" si="131"/>
        <v>288</v>
      </c>
      <c r="I645" s="73">
        <f t="shared" si="132"/>
        <v>2.1505376344086002E-2</v>
      </c>
      <c r="J645" s="73">
        <f t="shared" si="133"/>
        <v>-7.6169749727965641E-3</v>
      </c>
      <c r="K645" s="72" t="str">
        <f t="shared" si="134"/>
        <v>MAJA1</v>
      </c>
      <c r="L645" s="72" t="str">
        <f t="shared" si="135"/>
        <v>MAY-5-MAJA1</v>
      </c>
      <c r="M645" s="73">
        <f t="shared" si="136"/>
        <v>0.15843480634501828</v>
      </c>
      <c r="N645" s="73">
        <f t="shared" si="137"/>
        <v>-7.8928658970187637E-2</v>
      </c>
      <c r="O645" s="13">
        <f t="shared" si="138"/>
        <v>1911391</v>
      </c>
      <c r="P645" s="13">
        <f t="shared" si="139"/>
        <v>1932701</v>
      </c>
      <c r="Q645" s="13">
        <f t="shared" si="140"/>
        <v>1917728</v>
      </c>
      <c r="R645" s="33">
        <f t="shared" si="141"/>
        <v>3.3153865430988194E-3</v>
      </c>
      <c r="S645" s="33">
        <f t="shared" si="142"/>
        <v>-7.7471890375179209E-3</v>
      </c>
    </row>
    <row r="646" spans="1:19" x14ac:dyDescent="0.25">
      <c r="A646" t="s">
        <v>39</v>
      </c>
      <c r="B646" s="65">
        <v>5</v>
      </c>
      <c r="C646" t="s">
        <v>11</v>
      </c>
      <c r="D646" s="67">
        <v>1080</v>
      </c>
      <c r="E646" s="67">
        <v>1112</v>
      </c>
      <c r="F646" s="67">
        <v>1086</v>
      </c>
      <c r="G646" s="13">
        <f t="shared" si="130"/>
        <v>-26</v>
      </c>
      <c r="H646" s="13">
        <f t="shared" si="131"/>
        <v>6</v>
      </c>
      <c r="I646" s="73">
        <f t="shared" si="132"/>
        <v>5.5555555555555358E-3</v>
      </c>
      <c r="J646" s="73">
        <f t="shared" si="133"/>
        <v>-2.3381294964028743E-2</v>
      </c>
      <c r="K646" s="72" t="str">
        <f t="shared" si="134"/>
        <v>MAJA1</v>
      </c>
      <c r="L646" s="72" t="str">
        <f t="shared" si="135"/>
        <v>MAY-5-MAJA1</v>
      </c>
      <c r="M646" s="73">
        <f t="shared" si="136"/>
        <v>0.15843480634501828</v>
      </c>
      <c r="N646" s="73">
        <f t="shared" si="137"/>
        <v>-7.8928658970187637E-2</v>
      </c>
      <c r="O646" s="13">
        <f t="shared" si="138"/>
        <v>1911391</v>
      </c>
      <c r="P646" s="13">
        <f t="shared" si="139"/>
        <v>1932701</v>
      </c>
      <c r="Q646" s="13">
        <f t="shared" si="140"/>
        <v>1917728</v>
      </c>
      <c r="R646" s="33">
        <f t="shared" si="141"/>
        <v>3.3153865430988194E-3</v>
      </c>
      <c r="S646" s="33">
        <f t="shared" si="142"/>
        <v>-7.7471890375179209E-3</v>
      </c>
    </row>
    <row r="647" spans="1:19" x14ac:dyDescent="0.25">
      <c r="A647" t="s">
        <v>39</v>
      </c>
      <c r="B647" s="65">
        <v>5</v>
      </c>
      <c r="C647" t="s">
        <v>13</v>
      </c>
      <c r="D647" s="68">
        <v>67932</v>
      </c>
      <c r="E647" s="68">
        <v>69971</v>
      </c>
      <c r="F647" s="68">
        <v>69720</v>
      </c>
      <c r="G647" s="13">
        <f t="shared" si="130"/>
        <v>-251</v>
      </c>
      <c r="H647" s="13">
        <f t="shared" si="131"/>
        <v>1788</v>
      </c>
      <c r="I647" s="73">
        <f t="shared" si="132"/>
        <v>2.632043808514406E-2</v>
      </c>
      <c r="J647" s="73">
        <f t="shared" si="133"/>
        <v>-3.5872004115991007E-3</v>
      </c>
      <c r="K647" s="72" t="str">
        <f t="shared" si="134"/>
        <v>KALIBENDA</v>
      </c>
      <c r="L647" s="72" t="str">
        <f t="shared" si="135"/>
        <v>MAY-5-KALIBENDA</v>
      </c>
      <c r="M647" s="73">
        <f t="shared" si="136"/>
        <v>7.2541838839677575E-2</v>
      </c>
      <c r="N647" s="73">
        <f t="shared" si="137"/>
        <v>-6.4716742824510454E-2</v>
      </c>
      <c r="O647" s="13">
        <f t="shared" si="138"/>
        <v>1911391</v>
      </c>
      <c r="P647" s="13">
        <f t="shared" si="139"/>
        <v>1932701</v>
      </c>
      <c r="Q647" s="13">
        <f t="shared" si="140"/>
        <v>1917728</v>
      </c>
      <c r="R647" s="33">
        <f t="shared" si="141"/>
        <v>3.3153865430988194E-3</v>
      </c>
      <c r="S647" s="33">
        <f t="shared" si="142"/>
        <v>-7.7471890375179209E-3</v>
      </c>
    </row>
    <row r="648" spans="1:19" x14ac:dyDescent="0.25">
      <c r="A648" t="s">
        <v>39</v>
      </c>
      <c r="B648" s="65">
        <v>5</v>
      </c>
      <c r="C648" t="s">
        <v>13</v>
      </c>
      <c r="D648" s="68">
        <v>2376</v>
      </c>
      <c r="E648" s="68">
        <v>2448</v>
      </c>
      <c r="F648" s="68">
        <v>2436</v>
      </c>
      <c r="G648" s="13">
        <f t="shared" si="130"/>
        <v>-12</v>
      </c>
      <c r="H648" s="13">
        <f t="shared" si="131"/>
        <v>60</v>
      </c>
      <c r="I648" s="73">
        <f t="shared" si="132"/>
        <v>2.5252525252525304E-2</v>
      </c>
      <c r="J648" s="73">
        <f t="shared" si="133"/>
        <v>-4.9019607843137081E-3</v>
      </c>
      <c r="K648" s="72" t="str">
        <f t="shared" si="134"/>
        <v>KALIBENDA</v>
      </c>
      <c r="L648" s="72" t="str">
        <f t="shared" si="135"/>
        <v>MAY-5-KALIBENDA</v>
      </c>
      <c r="M648" s="73">
        <f t="shared" si="136"/>
        <v>7.2541838839677575E-2</v>
      </c>
      <c r="N648" s="73">
        <f t="shared" si="137"/>
        <v>-6.4716742824510454E-2</v>
      </c>
      <c r="O648" s="13">
        <f t="shared" si="138"/>
        <v>1911391</v>
      </c>
      <c r="P648" s="13">
        <f t="shared" si="139"/>
        <v>1932701</v>
      </c>
      <c r="Q648" s="13">
        <f t="shared" si="140"/>
        <v>1917728</v>
      </c>
      <c r="R648" s="33">
        <f t="shared" si="141"/>
        <v>3.3153865430988194E-3</v>
      </c>
      <c r="S648" s="33">
        <f t="shared" si="142"/>
        <v>-7.7471890375179209E-3</v>
      </c>
    </row>
    <row r="649" spans="1:19" x14ac:dyDescent="0.25">
      <c r="A649" t="s">
        <v>39</v>
      </c>
      <c r="B649" s="65">
        <v>5</v>
      </c>
      <c r="C649" t="s">
        <v>11</v>
      </c>
      <c r="D649" s="67">
        <v>12744</v>
      </c>
      <c r="E649" s="67">
        <v>13142</v>
      </c>
      <c r="F649" s="67">
        <v>13041</v>
      </c>
      <c r="G649" s="13">
        <f t="shared" si="130"/>
        <v>-101</v>
      </c>
      <c r="H649" s="13">
        <f t="shared" si="131"/>
        <v>297</v>
      </c>
      <c r="I649" s="73">
        <f t="shared" si="132"/>
        <v>2.3305084745762761E-2</v>
      </c>
      <c r="J649" s="73">
        <f t="shared" si="133"/>
        <v>-7.6852838228580467E-3</v>
      </c>
      <c r="K649" s="72" t="str">
        <f t="shared" si="134"/>
        <v>MAJA1</v>
      </c>
      <c r="L649" s="72" t="str">
        <f t="shared" si="135"/>
        <v>MAY-5-MAJA1</v>
      </c>
      <c r="M649" s="73">
        <f t="shared" si="136"/>
        <v>0.15843480634501828</v>
      </c>
      <c r="N649" s="73">
        <f t="shared" si="137"/>
        <v>-7.8928658970187637E-2</v>
      </c>
      <c r="O649" s="13">
        <f t="shared" si="138"/>
        <v>1911391</v>
      </c>
      <c r="P649" s="13">
        <f t="shared" si="139"/>
        <v>1932701</v>
      </c>
      <c r="Q649" s="13">
        <f t="shared" si="140"/>
        <v>1917728</v>
      </c>
      <c r="R649" s="33">
        <f t="shared" si="141"/>
        <v>3.3153865430988194E-3</v>
      </c>
      <c r="S649" s="33">
        <f t="shared" si="142"/>
        <v>-7.7471890375179209E-3</v>
      </c>
    </row>
    <row r="650" spans="1:19" x14ac:dyDescent="0.25">
      <c r="A650" t="s">
        <v>39</v>
      </c>
      <c r="B650" s="65">
        <v>5</v>
      </c>
      <c r="C650" t="s">
        <v>11</v>
      </c>
      <c r="D650" s="67">
        <v>2376</v>
      </c>
      <c r="E650" s="67">
        <v>2448</v>
      </c>
      <c r="F650" s="67">
        <v>2427</v>
      </c>
      <c r="G650" s="13">
        <f t="shared" si="130"/>
        <v>-21</v>
      </c>
      <c r="H650" s="13">
        <f t="shared" si="131"/>
        <v>51</v>
      </c>
      <c r="I650" s="73">
        <f t="shared" si="132"/>
        <v>2.1464646464646409E-2</v>
      </c>
      <c r="J650" s="73">
        <f t="shared" si="133"/>
        <v>-8.5784313725489891E-3</v>
      </c>
      <c r="K650" s="72" t="str">
        <f t="shared" si="134"/>
        <v>MAJA1</v>
      </c>
      <c r="L650" s="72" t="str">
        <f t="shared" si="135"/>
        <v>MAY-5-MAJA1</v>
      </c>
      <c r="M650" s="73">
        <f t="shared" si="136"/>
        <v>0.15843480634501828</v>
      </c>
      <c r="N650" s="73">
        <f t="shared" si="137"/>
        <v>-7.8928658970187637E-2</v>
      </c>
      <c r="O650" s="13">
        <f t="shared" si="138"/>
        <v>1911391</v>
      </c>
      <c r="P650" s="13">
        <f t="shared" si="139"/>
        <v>1932701</v>
      </c>
      <c r="Q650" s="13">
        <f t="shared" si="140"/>
        <v>1917728</v>
      </c>
      <c r="R650" s="33">
        <f t="shared" si="141"/>
        <v>3.3153865430988194E-3</v>
      </c>
      <c r="S650" s="33">
        <f t="shared" si="142"/>
        <v>-7.7471890375179209E-3</v>
      </c>
    </row>
    <row r="651" spans="1:19" x14ac:dyDescent="0.25">
      <c r="A651" t="s">
        <v>39</v>
      </c>
      <c r="B651" s="65">
        <v>5</v>
      </c>
      <c r="C651" t="s">
        <v>11</v>
      </c>
      <c r="D651" s="67">
        <v>16740</v>
      </c>
      <c r="E651" s="67">
        <v>17230</v>
      </c>
      <c r="F651" s="67">
        <v>16944</v>
      </c>
      <c r="G651" s="13">
        <f t="shared" si="130"/>
        <v>-286</v>
      </c>
      <c r="H651" s="13">
        <f t="shared" si="131"/>
        <v>204</v>
      </c>
      <c r="I651" s="73">
        <f t="shared" si="132"/>
        <v>1.2186379928315505E-2</v>
      </c>
      <c r="J651" s="73">
        <f t="shared" si="133"/>
        <v>-1.6598955310504926E-2</v>
      </c>
      <c r="K651" s="72" t="str">
        <f t="shared" si="134"/>
        <v>MAJA1</v>
      </c>
      <c r="L651" s="72" t="str">
        <f t="shared" si="135"/>
        <v>MAY-5-MAJA1</v>
      </c>
      <c r="M651" s="73">
        <f t="shared" si="136"/>
        <v>0.15843480634501828</v>
      </c>
      <c r="N651" s="73">
        <f t="shared" si="137"/>
        <v>-7.8928658970187637E-2</v>
      </c>
      <c r="O651" s="13">
        <f t="shared" si="138"/>
        <v>1911391</v>
      </c>
      <c r="P651" s="13">
        <f t="shared" si="139"/>
        <v>1932701</v>
      </c>
      <c r="Q651" s="13">
        <f t="shared" si="140"/>
        <v>1917728</v>
      </c>
      <c r="R651" s="33">
        <f t="shared" si="141"/>
        <v>3.3153865430988194E-3</v>
      </c>
      <c r="S651" s="33">
        <f t="shared" si="142"/>
        <v>-7.7471890375179209E-3</v>
      </c>
    </row>
    <row r="652" spans="1:19" x14ac:dyDescent="0.25">
      <c r="A652" t="s">
        <v>39</v>
      </c>
      <c r="B652" s="65">
        <v>5</v>
      </c>
      <c r="C652" t="s">
        <v>11</v>
      </c>
      <c r="D652" s="67">
        <v>1404</v>
      </c>
      <c r="E652" s="67">
        <v>1449</v>
      </c>
      <c r="F652" s="67">
        <v>1446</v>
      </c>
      <c r="G652" s="13">
        <f t="shared" si="130"/>
        <v>-3</v>
      </c>
      <c r="H652" s="13">
        <f t="shared" si="131"/>
        <v>42</v>
      </c>
      <c r="I652" s="73">
        <f t="shared" si="132"/>
        <v>2.9914529914529808E-2</v>
      </c>
      <c r="J652" s="73">
        <f t="shared" si="133"/>
        <v>-2.0703933747412417E-3</v>
      </c>
      <c r="K652" s="72" t="str">
        <f t="shared" si="134"/>
        <v>MAJA1</v>
      </c>
      <c r="L652" s="72" t="str">
        <f t="shared" si="135"/>
        <v>MAY-5-MAJA1</v>
      </c>
      <c r="M652" s="73">
        <f t="shared" si="136"/>
        <v>0.15843480634501828</v>
      </c>
      <c r="N652" s="73">
        <f t="shared" si="137"/>
        <v>-7.8928658970187637E-2</v>
      </c>
      <c r="O652" s="13">
        <f t="shared" si="138"/>
        <v>1911391</v>
      </c>
      <c r="P652" s="13">
        <f t="shared" si="139"/>
        <v>1932701</v>
      </c>
      <c r="Q652" s="13">
        <f t="shared" si="140"/>
        <v>1917728</v>
      </c>
      <c r="R652" s="33">
        <f t="shared" si="141"/>
        <v>3.3153865430988194E-3</v>
      </c>
      <c r="S652" s="33">
        <f t="shared" si="142"/>
        <v>-7.7471890375179209E-3</v>
      </c>
    </row>
    <row r="653" spans="1:19" x14ac:dyDescent="0.25">
      <c r="A653" t="s">
        <v>39</v>
      </c>
      <c r="B653" s="65">
        <v>5</v>
      </c>
      <c r="C653" t="s">
        <v>14</v>
      </c>
      <c r="D653" s="68">
        <v>19584</v>
      </c>
      <c r="E653" s="68">
        <v>20180</v>
      </c>
      <c r="F653" s="68">
        <v>19464</v>
      </c>
      <c r="G653" s="13">
        <f t="shared" si="130"/>
        <v>-716</v>
      </c>
      <c r="H653" s="13">
        <f t="shared" si="131"/>
        <v>-120</v>
      </c>
      <c r="I653" s="73">
        <f t="shared" si="132"/>
        <v>-6.1274509803921351E-3</v>
      </c>
      <c r="J653" s="73">
        <f t="shared" si="133"/>
        <v>-3.5480673934588647E-2</v>
      </c>
      <c r="K653" s="72" t="str">
        <f t="shared" si="134"/>
        <v>GM2</v>
      </c>
      <c r="L653" s="72" t="str">
        <f t="shared" si="135"/>
        <v>MAY-5-GM2</v>
      </c>
      <c r="M653" s="73">
        <f t="shared" si="136"/>
        <v>0.32341279227578323</v>
      </c>
      <c r="N653" s="73">
        <f t="shared" si="137"/>
        <v>-0.22913844509815406</v>
      </c>
      <c r="O653" s="13">
        <f t="shared" si="138"/>
        <v>1911391</v>
      </c>
      <c r="P653" s="13">
        <f t="shared" si="139"/>
        <v>1932701</v>
      </c>
      <c r="Q653" s="13">
        <f t="shared" si="140"/>
        <v>1917728</v>
      </c>
      <c r="R653" s="33">
        <f t="shared" si="141"/>
        <v>3.3153865430988194E-3</v>
      </c>
      <c r="S653" s="33">
        <f t="shared" si="142"/>
        <v>-7.7471890375179209E-3</v>
      </c>
    </row>
    <row r="654" spans="1:19" x14ac:dyDescent="0.25">
      <c r="A654" t="s">
        <v>39</v>
      </c>
      <c r="B654" s="65">
        <v>5</v>
      </c>
      <c r="C654" t="s">
        <v>14</v>
      </c>
      <c r="D654" s="68">
        <v>16308</v>
      </c>
      <c r="E654" s="68">
        <v>16806</v>
      </c>
      <c r="F654" s="68">
        <v>16557</v>
      </c>
      <c r="G654" s="13">
        <f t="shared" si="130"/>
        <v>-249</v>
      </c>
      <c r="H654" s="13">
        <f t="shared" si="131"/>
        <v>249</v>
      </c>
      <c r="I654" s="73">
        <f t="shared" si="132"/>
        <v>1.5268579838116247E-2</v>
      </c>
      <c r="J654" s="73">
        <f t="shared" si="133"/>
        <v>-1.4816137093895065E-2</v>
      </c>
      <c r="K654" s="72" t="str">
        <f t="shared" si="134"/>
        <v>GM2</v>
      </c>
      <c r="L654" s="72" t="str">
        <f t="shared" si="135"/>
        <v>MAY-5-GM2</v>
      </c>
      <c r="M654" s="73">
        <f t="shared" si="136"/>
        <v>0.32341279227578323</v>
      </c>
      <c r="N654" s="73">
        <f t="shared" si="137"/>
        <v>-0.22913844509815406</v>
      </c>
      <c r="O654" s="13">
        <f t="shared" si="138"/>
        <v>1911391</v>
      </c>
      <c r="P654" s="13">
        <f t="shared" si="139"/>
        <v>1932701</v>
      </c>
      <c r="Q654" s="13">
        <f t="shared" si="140"/>
        <v>1917728</v>
      </c>
      <c r="R654" s="33">
        <f t="shared" si="141"/>
        <v>3.3153865430988194E-3</v>
      </c>
      <c r="S654" s="33">
        <f t="shared" si="142"/>
        <v>-7.7471890375179209E-3</v>
      </c>
    </row>
    <row r="655" spans="1:19" x14ac:dyDescent="0.25">
      <c r="A655" t="s">
        <v>39</v>
      </c>
      <c r="B655" s="65">
        <v>5</v>
      </c>
      <c r="C655" t="s">
        <v>14</v>
      </c>
      <c r="D655" s="68">
        <v>1188</v>
      </c>
      <c r="E655" s="68">
        <v>1224</v>
      </c>
      <c r="F655" s="68">
        <v>1215</v>
      </c>
      <c r="G655" s="13">
        <f t="shared" si="130"/>
        <v>-9</v>
      </c>
      <c r="H655" s="13">
        <f t="shared" si="131"/>
        <v>27</v>
      </c>
      <c r="I655" s="73">
        <f t="shared" si="132"/>
        <v>2.2727272727272707E-2</v>
      </c>
      <c r="J655" s="73">
        <f t="shared" si="133"/>
        <v>-7.3529411764705621E-3</v>
      </c>
      <c r="K655" s="72" t="str">
        <f t="shared" si="134"/>
        <v>GM2</v>
      </c>
      <c r="L655" s="72" t="str">
        <f t="shared" si="135"/>
        <v>MAY-5-GM2</v>
      </c>
      <c r="M655" s="73">
        <f t="shared" si="136"/>
        <v>0.32341279227578323</v>
      </c>
      <c r="N655" s="73">
        <f t="shared" si="137"/>
        <v>-0.22913844509815406</v>
      </c>
      <c r="O655" s="13">
        <f t="shared" si="138"/>
        <v>1911391</v>
      </c>
      <c r="P655" s="13">
        <f t="shared" si="139"/>
        <v>1932701</v>
      </c>
      <c r="Q655" s="13">
        <f t="shared" si="140"/>
        <v>1917728</v>
      </c>
      <c r="R655" s="33">
        <f t="shared" si="141"/>
        <v>3.3153865430988194E-3</v>
      </c>
      <c r="S655" s="33">
        <f t="shared" si="142"/>
        <v>-7.7471890375179209E-3</v>
      </c>
    </row>
    <row r="656" spans="1:19" x14ac:dyDescent="0.25">
      <c r="A656" t="s">
        <v>39</v>
      </c>
      <c r="B656" s="65">
        <v>5</v>
      </c>
      <c r="C656" t="s">
        <v>14</v>
      </c>
      <c r="D656" s="68">
        <v>9612</v>
      </c>
      <c r="E656" s="68">
        <v>9971</v>
      </c>
      <c r="F656" s="68">
        <v>9849</v>
      </c>
      <c r="G656" s="13">
        <f t="shared" si="130"/>
        <v>-122</v>
      </c>
      <c r="H656" s="13">
        <f t="shared" si="131"/>
        <v>237</v>
      </c>
      <c r="I656" s="73">
        <f t="shared" si="132"/>
        <v>2.4656679151061178E-2</v>
      </c>
      <c r="J656" s="73">
        <f t="shared" si="133"/>
        <v>-1.223548290041121E-2</v>
      </c>
      <c r="K656" s="72" t="str">
        <f t="shared" si="134"/>
        <v>GM2</v>
      </c>
      <c r="L656" s="72" t="str">
        <f t="shared" si="135"/>
        <v>MAY-5-GM2</v>
      </c>
      <c r="M656" s="73">
        <f t="shared" si="136"/>
        <v>0.32341279227578323</v>
      </c>
      <c r="N656" s="73">
        <f t="shared" si="137"/>
        <v>-0.22913844509815406</v>
      </c>
      <c r="O656" s="13">
        <f t="shared" si="138"/>
        <v>1911391</v>
      </c>
      <c r="P656" s="13">
        <f t="shared" si="139"/>
        <v>1932701</v>
      </c>
      <c r="Q656" s="13">
        <f t="shared" si="140"/>
        <v>1917728</v>
      </c>
      <c r="R656" s="33">
        <f t="shared" si="141"/>
        <v>3.3153865430988194E-3</v>
      </c>
      <c r="S656" s="33">
        <f t="shared" si="142"/>
        <v>-7.7471890375179209E-3</v>
      </c>
    </row>
    <row r="657" spans="1:19" x14ac:dyDescent="0.25">
      <c r="A657" t="s">
        <v>39</v>
      </c>
      <c r="B657" s="65">
        <v>5</v>
      </c>
      <c r="C657" t="s">
        <v>14</v>
      </c>
      <c r="D657" s="68">
        <v>540</v>
      </c>
      <c r="E657" s="68">
        <v>555</v>
      </c>
      <c r="F657" s="68">
        <v>552</v>
      </c>
      <c r="G657" s="13">
        <f t="shared" si="130"/>
        <v>-3</v>
      </c>
      <c r="H657" s="13">
        <f t="shared" si="131"/>
        <v>12</v>
      </c>
      <c r="I657" s="73">
        <f t="shared" si="132"/>
        <v>2.2222222222222143E-2</v>
      </c>
      <c r="J657" s="73">
        <f t="shared" si="133"/>
        <v>-5.4054054054053502E-3</v>
      </c>
      <c r="K657" s="72" t="str">
        <f t="shared" si="134"/>
        <v>GM2</v>
      </c>
      <c r="L657" s="72" t="str">
        <f t="shared" si="135"/>
        <v>MAY-5-GM2</v>
      </c>
      <c r="M657" s="73">
        <f t="shared" si="136"/>
        <v>0.32341279227578323</v>
      </c>
      <c r="N657" s="73">
        <f t="shared" si="137"/>
        <v>-0.22913844509815406</v>
      </c>
      <c r="O657" s="13">
        <f t="shared" si="138"/>
        <v>1911391</v>
      </c>
      <c r="P657" s="13">
        <f t="shared" si="139"/>
        <v>1932701</v>
      </c>
      <c r="Q657" s="13">
        <f t="shared" si="140"/>
        <v>1917728</v>
      </c>
      <c r="R657" s="33">
        <f t="shared" si="141"/>
        <v>3.3153865430988194E-3</v>
      </c>
      <c r="S657" s="33">
        <f t="shared" si="142"/>
        <v>-7.7471890375179209E-3</v>
      </c>
    </row>
    <row r="658" spans="1:19" x14ac:dyDescent="0.25">
      <c r="A658" t="s">
        <v>39</v>
      </c>
      <c r="B658" s="65">
        <v>5</v>
      </c>
      <c r="C658" t="s">
        <v>14</v>
      </c>
      <c r="D658" s="68">
        <v>25056</v>
      </c>
      <c r="E658" s="68">
        <v>25823</v>
      </c>
      <c r="F658" s="68">
        <v>25692</v>
      </c>
      <c r="G658" s="13">
        <f t="shared" si="130"/>
        <v>-131</v>
      </c>
      <c r="H658" s="13">
        <f t="shared" si="131"/>
        <v>636</v>
      </c>
      <c r="I658" s="73">
        <f t="shared" si="132"/>
        <v>2.5383141762452155E-2</v>
      </c>
      <c r="J658" s="73">
        <f t="shared" si="133"/>
        <v>-5.072996940711727E-3</v>
      </c>
      <c r="K658" s="72" t="str">
        <f t="shared" si="134"/>
        <v>GM2</v>
      </c>
      <c r="L658" s="72" t="str">
        <f t="shared" si="135"/>
        <v>MAY-5-GM2</v>
      </c>
      <c r="M658" s="73">
        <f t="shared" si="136"/>
        <v>0.32341279227578323</v>
      </c>
      <c r="N658" s="73">
        <f t="shared" si="137"/>
        <v>-0.22913844509815406</v>
      </c>
      <c r="O658" s="13">
        <f t="shared" si="138"/>
        <v>1911391</v>
      </c>
      <c r="P658" s="13">
        <f t="shared" si="139"/>
        <v>1932701</v>
      </c>
      <c r="Q658" s="13">
        <f t="shared" si="140"/>
        <v>1917728</v>
      </c>
      <c r="R658" s="33">
        <f t="shared" si="141"/>
        <v>3.3153865430988194E-3</v>
      </c>
      <c r="S658" s="33">
        <f t="shared" si="142"/>
        <v>-7.7471890375179209E-3</v>
      </c>
    </row>
    <row r="659" spans="1:19" x14ac:dyDescent="0.25">
      <c r="A659" t="s">
        <v>39</v>
      </c>
      <c r="B659" s="65">
        <v>5</v>
      </c>
      <c r="C659" t="s">
        <v>14</v>
      </c>
      <c r="D659" s="68">
        <v>1080</v>
      </c>
      <c r="E659" s="68">
        <v>1116</v>
      </c>
      <c r="F659" s="68">
        <v>1113</v>
      </c>
      <c r="G659" s="13">
        <f t="shared" si="130"/>
        <v>-3</v>
      </c>
      <c r="H659" s="13">
        <f t="shared" si="131"/>
        <v>33</v>
      </c>
      <c r="I659" s="73">
        <f t="shared" si="132"/>
        <v>3.0555555555555447E-2</v>
      </c>
      <c r="J659" s="73">
        <f t="shared" si="133"/>
        <v>-2.6881720430107503E-3</v>
      </c>
      <c r="K659" s="72" t="str">
        <f t="shared" si="134"/>
        <v>GM2</v>
      </c>
      <c r="L659" s="72" t="str">
        <f t="shared" si="135"/>
        <v>MAY-5-GM2</v>
      </c>
      <c r="M659" s="73">
        <f t="shared" si="136"/>
        <v>0.32341279227578323</v>
      </c>
      <c r="N659" s="73">
        <f t="shared" si="137"/>
        <v>-0.22913844509815406</v>
      </c>
      <c r="O659" s="13">
        <f t="shared" si="138"/>
        <v>1911391</v>
      </c>
      <c r="P659" s="13">
        <f t="shared" si="139"/>
        <v>1932701</v>
      </c>
      <c r="Q659" s="13">
        <f t="shared" si="140"/>
        <v>1917728</v>
      </c>
      <c r="R659" s="33">
        <f t="shared" si="141"/>
        <v>3.3153865430988194E-3</v>
      </c>
      <c r="S659" s="33">
        <f t="shared" si="142"/>
        <v>-7.7471890375179209E-3</v>
      </c>
    </row>
    <row r="660" spans="1:19" x14ac:dyDescent="0.25">
      <c r="A660" t="s">
        <v>39</v>
      </c>
      <c r="B660" s="65">
        <v>5</v>
      </c>
      <c r="C660" t="s">
        <v>14</v>
      </c>
      <c r="D660" s="68">
        <v>12636</v>
      </c>
      <c r="E660" s="68">
        <v>13036</v>
      </c>
      <c r="F660" s="68">
        <v>13017</v>
      </c>
      <c r="G660" s="13">
        <f t="shared" si="130"/>
        <v>-19</v>
      </c>
      <c r="H660" s="13">
        <f t="shared" si="131"/>
        <v>381</v>
      </c>
      <c r="I660" s="73">
        <f t="shared" si="132"/>
        <v>3.0151946818613551E-2</v>
      </c>
      <c r="J660" s="73">
        <f t="shared" si="133"/>
        <v>-1.4575023013194688E-3</v>
      </c>
      <c r="K660" s="72" t="str">
        <f t="shared" si="134"/>
        <v>GM2</v>
      </c>
      <c r="L660" s="72" t="str">
        <f t="shared" si="135"/>
        <v>MAY-5-GM2</v>
      </c>
      <c r="M660" s="73">
        <f t="shared" si="136"/>
        <v>0.32341279227578323</v>
      </c>
      <c r="N660" s="73">
        <f t="shared" si="137"/>
        <v>-0.22913844509815406</v>
      </c>
      <c r="O660" s="13">
        <f t="shared" si="138"/>
        <v>1911391</v>
      </c>
      <c r="P660" s="13">
        <f t="shared" si="139"/>
        <v>1932701</v>
      </c>
      <c r="Q660" s="13">
        <f t="shared" si="140"/>
        <v>1917728</v>
      </c>
      <c r="R660" s="33">
        <f t="shared" si="141"/>
        <v>3.3153865430988194E-3</v>
      </c>
      <c r="S660" s="33">
        <f t="shared" si="142"/>
        <v>-7.7471890375179209E-3</v>
      </c>
    </row>
    <row r="661" spans="1:19" x14ac:dyDescent="0.25">
      <c r="A661" t="s">
        <v>39</v>
      </c>
      <c r="B661" s="65">
        <v>5</v>
      </c>
      <c r="C661" t="s">
        <v>14</v>
      </c>
      <c r="D661" s="68">
        <v>1080</v>
      </c>
      <c r="E661" s="68">
        <v>1112</v>
      </c>
      <c r="F661" s="68">
        <v>1110</v>
      </c>
      <c r="G661" s="13">
        <f t="shared" si="130"/>
        <v>-2</v>
      </c>
      <c r="H661" s="13">
        <f t="shared" si="131"/>
        <v>30</v>
      </c>
      <c r="I661" s="73">
        <f t="shared" si="132"/>
        <v>2.7777777777777679E-2</v>
      </c>
      <c r="J661" s="73">
        <f t="shared" si="133"/>
        <v>-1.7985611510791255E-3</v>
      </c>
      <c r="K661" s="72" t="str">
        <f t="shared" si="134"/>
        <v>GM2</v>
      </c>
      <c r="L661" s="72" t="str">
        <f t="shared" si="135"/>
        <v>MAY-5-GM2</v>
      </c>
      <c r="M661" s="73">
        <f t="shared" si="136"/>
        <v>0.32341279227578323</v>
      </c>
      <c r="N661" s="73">
        <f t="shared" si="137"/>
        <v>-0.22913844509815406</v>
      </c>
      <c r="O661" s="13">
        <f t="shared" si="138"/>
        <v>1911391</v>
      </c>
      <c r="P661" s="13">
        <f t="shared" si="139"/>
        <v>1932701</v>
      </c>
      <c r="Q661" s="13">
        <f t="shared" si="140"/>
        <v>1917728</v>
      </c>
      <c r="R661" s="33">
        <f t="shared" si="141"/>
        <v>3.3153865430988194E-3</v>
      </c>
      <c r="S661" s="33">
        <f t="shared" si="142"/>
        <v>-7.7471890375179209E-3</v>
      </c>
    </row>
    <row r="662" spans="1:19" x14ac:dyDescent="0.25">
      <c r="A662" t="s">
        <v>39</v>
      </c>
      <c r="B662" s="65">
        <v>5</v>
      </c>
      <c r="C662" t="s">
        <v>14</v>
      </c>
      <c r="D662" s="68">
        <v>12744</v>
      </c>
      <c r="E662" s="68">
        <v>13262</v>
      </c>
      <c r="F662" s="68">
        <v>13113</v>
      </c>
      <c r="G662" s="13">
        <f t="shared" si="130"/>
        <v>-149</v>
      </c>
      <c r="H662" s="13">
        <f t="shared" si="131"/>
        <v>369</v>
      </c>
      <c r="I662" s="73">
        <f t="shared" si="132"/>
        <v>2.8954802259887114E-2</v>
      </c>
      <c r="J662" s="73">
        <f t="shared" si="133"/>
        <v>-1.1235107826873758E-2</v>
      </c>
      <c r="K662" s="72" t="str">
        <f t="shared" si="134"/>
        <v>GM2</v>
      </c>
      <c r="L662" s="72" t="str">
        <f t="shared" si="135"/>
        <v>MAY-5-GM2</v>
      </c>
      <c r="M662" s="73">
        <f t="shared" si="136"/>
        <v>0.32341279227578323</v>
      </c>
      <c r="N662" s="73">
        <f t="shared" si="137"/>
        <v>-0.22913844509815406</v>
      </c>
      <c r="O662" s="13">
        <f t="shared" si="138"/>
        <v>1911391</v>
      </c>
      <c r="P662" s="13">
        <f t="shared" si="139"/>
        <v>1932701</v>
      </c>
      <c r="Q662" s="13">
        <f t="shared" si="140"/>
        <v>1917728</v>
      </c>
      <c r="R662" s="33">
        <f t="shared" si="141"/>
        <v>3.3153865430988194E-3</v>
      </c>
      <c r="S662" s="33">
        <f t="shared" si="142"/>
        <v>-7.7471890375179209E-3</v>
      </c>
    </row>
    <row r="663" spans="1:19" x14ac:dyDescent="0.25">
      <c r="A663" t="s">
        <v>39</v>
      </c>
      <c r="B663" s="65">
        <v>5</v>
      </c>
      <c r="C663" t="s">
        <v>14</v>
      </c>
      <c r="D663" s="68">
        <v>1188</v>
      </c>
      <c r="E663" s="68">
        <v>1224</v>
      </c>
      <c r="F663" s="68">
        <v>1224</v>
      </c>
      <c r="G663" s="13">
        <f t="shared" si="130"/>
        <v>0</v>
      </c>
      <c r="H663" s="13">
        <f t="shared" si="131"/>
        <v>36</v>
      </c>
      <c r="I663" s="73">
        <f t="shared" si="132"/>
        <v>3.0303030303030276E-2</v>
      </c>
      <c r="J663" s="73">
        <f t="shared" si="133"/>
        <v>0</v>
      </c>
      <c r="K663" s="72" t="str">
        <f t="shared" si="134"/>
        <v>GM2</v>
      </c>
      <c r="L663" s="72" t="str">
        <f t="shared" si="135"/>
        <v>MAY-5-GM2</v>
      </c>
      <c r="M663" s="73">
        <f t="shared" si="136"/>
        <v>0.32341279227578323</v>
      </c>
      <c r="N663" s="73">
        <f t="shared" si="137"/>
        <v>-0.22913844509815406</v>
      </c>
      <c r="O663" s="13">
        <f t="shared" si="138"/>
        <v>1911391</v>
      </c>
      <c r="P663" s="13">
        <f t="shared" si="139"/>
        <v>1932701</v>
      </c>
      <c r="Q663" s="13">
        <f t="shared" si="140"/>
        <v>1917728</v>
      </c>
      <c r="R663" s="33">
        <f t="shared" si="141"/>
        <v>3.3153865430988194E-3</v>
      </c>
      <c r="S663" s="33">
        <f t="shared" si="142"/>
        <v>-7.7471890375179209E-3</v>
      </c>
    </row>
    <row r="664" spans="1:19" x14ac:dyDescent="0.25">
      <c r="A664" t="s">
        <v>39</v>
      </c>
      <c r="B664" s="65">
        <v>5</v>
      </c>
      <c r="C664" t="s">
        <v>14</v>
      </c>
      <c r="D664" s="68">
        <v>12528</v>
      </c>
      <c r="E664" s="68">
        <v>12933</v>
      </c>
      <c r="F664" s="68">
        <v>12846</v>
      </c>
      <c r="G664" s="13">
        <f t="shared" si="130"/>
        <v>-87</v>
      </c>
      <c r="H664" s="13">
        <f t="shared" si="131"/>
        <v>318</v>
      </c>
      <c r="I664" s="73">
        <f t="shared" si="132"/>
        <v>2.5383141762452155E-2</v>
      </c>
      <c r="J664" s="73">
        <f t="shared" si="133"/>
        <v>-6.7269774994200837E-3</v>
      </c>
      <c r="K664" s="72" t="str">
        <f t="shared" si="134"/>
        <v>GM2</v>
      </c>
      <c r="L664" s="72" t="str">
        <f t="shared" si="135"/>
        <v>MAY-5-GM2</v>
      </c>
      <c r="M664" s="73">
        <f t="shared" si="136"/>
        <v>0.32341279227578323</v>
      </c>
      <c r="N664" s="73">
        <f t="shared" si="137"/>
        <v>-0.22913844509815406</v>
      </c>
      <c r="O664" s="13">
        <f t="shared" si="138"/>
        <v>1911391</v>
      </c>
      <c r="P664" s="13">
        <f t="shared" si="139"/>
        <v>1932701</v>
      </c>
      <c r="Q664" s="13">
        <f t="shared" si="140"/>
        <v>1917728</v>
      </c>
      <c r="R664" s="33">
        <f t="shared" si="141"/>
        <v>3.3153865430988194E-3</v>
      </c>
      <c r="S664" s="33">
        <f t="shared" si="142"/>
        <v>-7.7471890375179209E-3</v>
      </c>
    </row>
    <row r="665" spans="1:19" x14ac:dyDescent="0.25">
      <c r="A665" t="s">
        <v>39</v>
      </c>
      <c r="B665" s="65">
        <v>5</v>
      </c>
      <c r="C665" t="s">
        <v>14</v>
      </c>
      <c r="D665" s="68">
        <v>1620</v>
      </c>
      <c r="E665" s="68">
        <v>1693</v>
      </c>
      <c r="F665" s="68">
        <v>1665</v>
      </c>
      <c r="G665" s="13">
        <f t="shared" si="130"/>
        <v>-28</v>
      </c>
      <c r="H665" s="13">
        <f t="shared" si="131"/>
        <v>45</v>
      </c>
      <c r="I665" s="73">
        <f t="shared" si="132"/>
        <v>2.7777777777777679E-2</v>
      </c>
      <c r="J665" s="73">
        <f t="shared" si="133"/>
        <v>-1.6538688718251593E-2</v>
      </c>
      <c r="K665" s="72" t="str">
        <f t="shared" si="134"/>
        <v>GM2</v>
      </c>
      <c r="L665" s="72" t="str">
        <f t="shared" si="135"/>
        <v>MAY-5-GM2</v>
      </c>
      <c r="M665" s="73">
        <f t="shared" si="136"/>
        <v>0.32341279227578323</v>
      </c>
      <c r="N665" s="73">
        <f t="shared" si="137"/>
        <v>-0.22913844509815406</v>
      </c>
      <c r="O665" s="13">
        <f t="shared" si="138"/>
        <v>1911391</v>
      </c>
      <c r="P665" s="13">
        <f t="shared" si="139"/>
        <v>1932701</v>
      </c>
      <c r="Q665" s="13">
        <f t="shared" si="140"/>
        <v>1917728</v>
      </c>
      <c r="R665" s="33">
        <f t="shared" si="141"/>
        <v>3.3153865430988194E-3</v>
      </c>
      <c r="S665" s="33">
        <f t="shared" si="142"/>
        <v>-7.7471890375179209E-3</v>
      </c>
    </row>
    <row r="666" spans="1:19" x14ac:dyDescent="0.25">
      <c r="A666" t="s">
        <v>39</v>
      </c>
      <c r="B666" s="65">
        <v>5</v>
      </c>
      <c r="C666" t="s">
        <v>14</v>
      </c>
      <c r="D666" s="68">
        <v>8640</v>
      </c>
      <c r="E666" s="68">
        <v>8903</v>
      </c>
      <c r="F666" s="68">
        <v>8814</v>
      </c>
      <c r="G666" s="13">
        <f t="shared" si="130"/>
        <v>-89</v>
      </c>
      <c r="H666" s="13">
        <f t="shared" si="131"/>
        <v>174</v>
      </c>
      <c r="I666" s="73">
        <f t="shared" si="132"/>
        <v>2.0138888888888928E-2</v>
      </c>
      <c r="J666" s="73">
        <f t="shared" si="133"/>
        <v>-9.9966303493204123E-3</v>
      </c>
      <c r="K666" s="72" t="str">
        <f t="shared" si="134"/>
        <v>GM2</v>
      </c>
      <c r="L666" s="72" t="str">
        <f t="shared" si="135"/>
        <v>MAY-5-GM2</v>
      </c>
      <c r="M666" s="73">
        <f t="shared" si="136"/>
        <v>0.32341279227578323</v>
      </c>
      <c r="N666" s="73">
        <f t="shared" si="137"/>
        <v>-0.22913844509815406</v>
      </c>
      <c r="O666" s="13">
        <f t="shared" si="138"/>
        <v>1911391</v>
      </c>
      <c r="P666" s="13">
        <f t="shared" si="139"/>
        <v>1932701</v>
      </c>
      <c r="Q666" s="13">
        <f t="shared" si="140"/>
        <v>1917728</v>
      </c>
      <c r="R666" s="33">
        <f t="shared" si="141"/>
        <v>3.3153865430988194E-3</v>
      </c>
      <c r="S666" s="33">
        <f t="shared" si="142"/>
        <v>-7.7471890375179209E-3</v>
      </c>
    </row>
    <row r="667" spans="1:19" x14ac:dyDescent="0.25">
      <c r="A667" t="s">
        <v>39</v>
      </c>
      <c r="B667" s="65">
        <v>5</v>
      </c>
      <c r="C667" t="s">
        <v>14</v>
      </c>
      <c r="D667" s="68">
        <v>2592</v>
      </c>
      <c r="E667" s="68">
        <v>2670</v>
      </c>
      <c r="F667" s="68">
        <v>2664</v>
      </c>
      <c r="G667" s="13">
        <f t="shared" si="130"/>
        <v>-6</v>
      </c>
      <c r="H667" s="13">
        <f t="shared" si="131"/>
        <v>72</v>
      </c>
      <c r="I667" s="73">
        <f t="shared" si="132"/>
        <v>2.7777777777777679E-2</v>
      </c>
      <c r="J667" s="73">
        <f t="shared" si="133"/>
        <v>-2.2471910112359383E-3</v>
      </c>
      <c r="K667" s="72" t="str">
        <f t="shared" si="134"/>
        <v>GM2</v>
      </c>
      <c r="L667" s="72" t="str">
        <f t="shared" si="135"/>
        <v>MAY-5-GM2</v>
      </c>
      <c r="M667" s="73">
        <f t="shared" si="136"/>
        <v>0.32341279227578323</v>
      </c>
      <c r="N667" s="73">
        <f t="shared" si="137"/>
        <v>-0.22913844509815406</v>
      </c>
      <c r="O667" s="13">
        <f t="shared" si="138"/>
        <v>1911391</v>
      </c>
      <c r="P667" s="13">
        <f t="shared" si="139"/>
        <v>1932701</v>
      </c>
      <c r="Q667" s="13">
        <f t="shared" si="140"/>
        <v>1917728</v>
      </c>
      <c r="R667" s="33">
        <f t="shared" si="141"/>
        <v>3.3153865430988194E-3</v>
      </c>
      <c r="S667" s="33">
        <f t="shared" si="142"/>
        <v>-7.7471890375179209E-3</v>
      </c>
    </row>
    <row r="668" spans="1:19" x14ac:dyDescent="0.25">
      <c r="A668" t="s">
        <v>39</v>
      </c>
      <c r="B668" s="65">
        <v>5</v>
      </c>
      <c r="C668" t="s">
        <v>14</v>
      </c>
      <c r="D668" s="68">
        <v>19008</v>
      </c>
      <c r="E668" s="68">
        <v>19591</v>
      </c>
      <c r="F668" s="68">
        <v>19416</v>
      </c>
      <c r="G668" s="13">
        <f t="shared" si="130"/>
        <v>-175</v>
      </c>
      <c r="H668" s="13">
        <f t="shared" si="131"/>
        <v>408</v>
      </c>
      <c r="I668" s="73">
        <f t="shared" si="132"/>
        <v>2.1464646464646409E-2</v>
      </c>
      <c r="J668" s="73">
        <f t="shared" si="133"/>
        <v>-8.9326731662497938E-3</v>
      </c>
      <c r="K668" s="72" t="str">
        <f t="shared" si="134"/>
        <v>GM2</v>
      </c>
      <c r="L668" s="72" t="str">
        <f t="shared" si="135"/>
        <v>MAY-5-GM2</v>
      </c>
      <c r="M668" s="73">
        <f t="shared" si="136"/>
        <v>0.32341279227578323</v>
      </c>
      <c r="N668" s="73">
        <f t="shared" si="137"/>
        <v>-0.22913844509815406</v>
      </c>
      <c r="O668" s="13">
        <f t="shared" si="138"/>
        <v>1911391</v>
      </c>
      <c r="P668" s="13">
        <f t="shared" si="139"/>
        <v>1932701</v>
      </c>
      <c r="Q668" s="13">
        <f t="shared" si="140"/>
        <v>1917728</v>
      </c>
      <c r="R668" s="33">
        <f t="shared" si="141"/>
        <v>3.3153865430988194E-3</v>
      </c>
      <c r="S668" s="33">
        <f t="shared" si="142"/>
        <v>-7.7471890375179209E-3</v>
      </c>
    </row>
    <row r="669" spans="1:19" x14ac:dyDescent="0.25">
      <c r="A669" t="s">
        <v>39</v>
      </c>
      <c r="B669" s="65">
        <v>5</v>
      </c>
      <c r="C669" t="s">
        <v>10</v>
      </c>
      <c r="D669" s="68">
        <v>60070</v>
      </c>
      <c r="E669" s="68">
        <v>60670</v>
      </c>
      <c r="F669" s="68">
        <v>60070</v>
      </c>
      <c r="G669" s="13">
        <f t="shared" si="130"/>
        <v>-600</v>
      </c>
      <c r="H669" s="13">
        <f t="shared" si="131"/>
        <v>0</v>
      </c>
      <c r="I669" s="73">
        <f t="shared" si="132"/>
        <v>0</v>
      </c>
      <c r="J669" s="73">
        <f t="shared" si="133"/>
        <v>-9.8895665073347461E-3</v>
      </c>
      <c r="K669" s="72" t="str">
        <f t="shared" si="134"/>
        <v>CNJ2</v>
      </c>
      <c r="L669" s="72" t="str">
        <f t="shared" si="135"/>
        <v>MAY-5-CNJ2</v>
      </c>
      <c r="M669" s="73">
        <f t="shared" si="136"/>
        <v>0</v>
      </c>
      <c r="N669" s="73">
        <f t="shared" si="137"/>
        <v>-3.0044852616673223E-2</v>
      </c>
      <c r="O669" s="13">
        <f t="shared" si="138"/>
        <v>1911391</v>
      </c>
      <c r="P669" s="13">
        <f t="shared" si="139"/>
        <v>1932701</v>
      </c>
      <c r="Q669" s="13">
        <f t="shared" si="140"/>
        <v>1917728</v>
      </c>
      <c r="R669" s="33">
        <f t="shared" si="141"/>
        <v>3.3153865430988194E-3</v>
      </c>
      <c r="S669" s="33">
        <f t="shared" si="142"/>
        <v>-7.7471890375179209E-3</v>
      </c>
    </row>
    <row r="670" spans="1:19" x14ac:dyDescent="0.25">
      <c r="A670" t="s">
        <v>39</v>
      </c>
      <c r="B670" s="65">
        <v>5</v>
      </c>
      <c r="C670" t="s">
        <v>10</v>
      </c>
      <c r="D670" s="68">
        <v>18425</v>
      </c>
      <c r="E670" s="68">
        <v>18804</v>
      </c>
      <c r="F670" s="68">
        <v>18425</v>
      </c>
      <c r="G670" s="13">
        <f t="shared" si="130"/>
        <v>-379</v>
      </c>
      <c r="H670" s="13">
        <f t="shared" si="131"/>
        <v>0</v>
      </c>
      <c r="I670" s="73">
        <f t="shared" si="132"/>
        <v>0</v>
      </c>
      <c r="J670" s="73">
        <f t="shared" si="133"/>
        <v>-2.0155286109338477E-2</v>
      </c>
      <c r="K670" s="72" t="str">
        <f t="shared" si="134"/>
        <v>CNJ2</v>
      </c>
      <c r="L670" s="72" t="str">
        <f t="shared" si="135"/>
        <v>MAY-5-CNJ2</v>
      </c>
      <c r="M670" s="73">
        <f t="shared" si="136"/>
        <v>0</v>
      </c>
      <c r="N670" s="73">
        <f t="shared" si="137"/>
        <v>-3.0044852616673223E-2</v>
      </c>
      <c r="O670" s="13">
        <f t="shared" si="138"/>
        <v>1911391</v>
      </c>
      <c r="P670" s="13">
        <f t="shared" si="139"/>
        <v>1932701</v>
      </c>
      <c r="Q670" s="13">
        <f t="shared" si="140"/>
        <v>1917728</v>
      </c>
      <c r="R670" s="33">
        <f t="shared" si="141"/>
        <v>3.3153865430988194E-3</v>
      </c>
      <c r="S670" s="33">
        <f t="shared" si="142"/>
        <v>-7.7471890375179209E-3</v>
      </c>
    </row>
    <row r="671" spans="1:19" x14ac:dyDescent="0.25">
      <c r="A671" t="s">
        <v>39</v>
      </c>
      <c r="B671" s="65">
        <v>5</v>
      </c>
      <c r="C671" t="s">
        <v>10</v>
      </c>
      <c r="D671" s="68">
        <v>2000</v>
      </c>
      <c r="E671" s="68">
        <v>2000</v>
      </c>
      <c r="F671" s="68">
        <v>2000</v>
      </c>
      <c r="G671" s="13">
        <f t="shared" si="130"/>
        <v>0</v>
      </c>
      <c r="H671" s="13">
        <f t="shared" si="131"/>
        <v>0</v>
      </c>
      <c r="I671" s="73">
        <f t="shared" si="132"/>
        <v>0</v>
      </c>
      <c r="J671" s="73">
        <f t="shared" si="133"/>
        <v>0</v>
      </c>
      <c r="K671" s="72" t="str">
        <f t="shared" si="134"/>
        <v>CNJ2</v>
      </c>
      <c r="L671" s="72" t="str">
        <f t="shared" si="135"/>
        <v>MAY-5-CNJ2</v>
      </c>
      <c r="M671" s="73">
        <f t="shared" si="136"/>
        <v>0</v>
      </c>
      <c r="N671" s="73">
        <f t="shared" si="137"/>
        <v>-3.0044852616673223E-2</v>
      </c>
      <c r="O671" s="13">
        <f t="shared" si="138"/>
        <v>1911391</v>
      </c>
      <c r="P671" s="13">
        <f t="shared" si="139"/>
        <v>1932701</v>
      </c>
      <c r="Q671" s="13">
        <f t="shared" si="140"/>
        <v>1917728</v>
      </c>
      <c r="R671" s="33">
        <f t="shared" si="141"/>
        <v>3.3153865430988194E-3</v>
      </c>
      <c r="S671" s="33">
        <f t="shared" si="142"/>
        <v>-7.7471890375179209E-3</v>
      </c>
    </row>
    <row r="672" spans="1:19" x14ac:dyDescent="0.25">
      <c r="A672" t="s">
        <v>39</v>
      </c>
      <c r="B672" s="65">
        <v>5</v>
      </c>
      <c r="C672" t="s">
        <v>10</v>
      </c>
      <c r="D672" s="68">
        <v>3355</v>
      </c>
      <c r="E672" s="68">
        <v>3355</v>
      </c>
      <c r="F672" s="68">
        <v>3355</v>
      </c>
      <c r="G672" s="13">
        <f t="shared" si="130"/>
        <v>0</v>
      </c>
      <c r="H672" s="13">
        <f t="shared" si="131"/>
        <v>0</v>
      </c>
      <c r="I672" s="73">
        <f t="shared" si="132"/>
        <v>0</v>
      </c>
      <c r="J672" s="73">
        <f t="shared" si="133"/>
        <v>0</v>
      </c>
      <c r="K672" s="72" t="str">
        <f t="shared" si="134"/>
        <v>CNJ2</v>
      </c>
      <c r="L672" s="72" t="str">
        <f t="shared" si="135"/>
        <v>MAY-5-CNJ2</v>
      </c>
      <c r="M672" s="73">
        <f t="shared" si="136"/>
        <v>0</v>
      </c>
      <c r="N672" s="73">
        <f t="shared" si="137"/>
        <v>-3.0044852616673223E-2</v>
      </c>
      <c r="O672" s="13">
        <f t="shared" si="138"/>
        <v>1911391</v>
      </c>
      <c r="P672" s="13">
        <f t="shared" si="139"/>
        <v>1932701</v>
      </c>
      <c r="Q672" s="13">
        <f t="shared" si="140"/>
        <v>1917728</v>
      </c>
      <c r="R672" s="33">
        <f t="shared" si="141"/>
        <v>3.3153865430988194E-3</v>
      </c>
      <c r="S672" s="33">
        <f t="shared" si="142"/>
        <v>-7.7471890375179209E-3</v>
      </c>
    </row>
    <row r="673" spans="1:19" x14ac:dyDescent="0.25">
      <c r="A673" t="s">
        <v>39</v>
      </c>
      <c r="B673" s="65">
        <v>5</v>
      </c>
      <c r="C673" t="s">
        <v>13</v>
      </c>
      <c r="D673" s="68">
        <v>2400</v>
      </c>
      <c r="E673" s="68">
        <v>2495</v>
      </c>
      <c r="F673" s="68">
        <v>2439</v>
      </c>
      <c r="G673" s="13">
        <f t="shared" si="130"/>
        <v>-56</v>
      </c>
      <c r="H673" s="13">
        <f t="shared" si="131"/>
        <v>39</v>
      </c>
      <c r="I673" s="73">
        <f t="shared" si="132"/>
        <v>1.6250000000000098E-2</v>
      </c>
      <c r="J673" s="73">
        <f t="shared" si="133"/>
        <v>-2.2444889779559163E-2</v>
      </c>
      <c r="K673" s="72" t="str">
        <f t="shared" si="134"/>
        <v>KALIBENDA</v>
      </c>
      <c r="L673" s="72" t="str">
        <f t="shared" si="135"/>
        <v>MAY-5-KALIBENDA</v>
      </c>
      <c r="M673" s="73">
        <f t="shared" si="136"/>
        <v>7.2541838839677575E-2</v>
      </c>
      <c r="N673" s="73">
        <f t="shared" si="137"/>
        <v>-6.4716742824510454E-2</v>
      </c>
      <c r="O673" s="13">
        <f t="shared" si="138"/>
        <v>1911391</v>
      </c>
      <c r="P673" s="13">
        <f t="shared" si="139"/>
        <v>1932701</v>
      </c>
      <c r="Q673" s="13">
        <f t="shared" si="140"/>
        <v>1917728</v>
      </c>
      <c r="R673" s="33">
        <f t="shared" si="141"/>
        <v>3.3153865430988194E-3</v>
      </c>
      <c r="S673" s="33">
        <f t="shared" si="142"/>
        <v>-7.7471890375179209E-3</v>
      </c>
    </row>
    <row r="674" spans="1:19" x14ac:dyDescent="0.25">
      <c r="A674" t="s">
        <v>39</v>
      </c>
      <c r="B674" s="65">
        <v>5</v>
      </c>
      <c r="C674" t="s">
        <v>13</v>
      </c>
      <c r="D674" s="68">
        <v>2400</v>
      </c>
      <c r="E674" s="68">
        <v>2400</v>
      </c>
      <c r="F674" s="68">
        <v>2382</v>
      </c>
      <c r="G674" s="13">
        <f t="shared" si="130"/>
        <v>-18</v>
      </c>
      <c r="H674" s="13">
        <f t="shared" si="131"/>
        <v>-18</v>
      </c>
      <c r="I674" s="73">
        <f t="shared" si="132"/>
        <v>-7.4999999999999512E-3</v>
      </c>
      <c r="J674" s="73">
        <f t="shared" si="133"/>
        <v>-7.4999999999999512E-3</v>
      </c>
      <c r="K674" s="72" t="str">
        <f t="shared" si="134"/>
        <v>KALIBENDA</v>
      </c>
      <c r="L674" s="72" t="str">
        <f t="shared" si="135"/>
        <v>MAY-5-KALIBENDA</v>
      </c>
      <c r="M674" s="73">
        <f t="shared" si="136"/>
        <v>7.2541838839677575E-2</v>
      </c>
      <c r="N674" s="73">
        <f t="shared" si="137"/>
        <v>-6.4716742824510454E-2</v>
      </c>
      <c r="O674" s="13">
        <f t="shared" si="138"/>
        <v>1911391</v>
      </c>
      <c r="P674" s="13">
        <f t="shared" si="139"/>
        <v>1932701</v>
      </c>
      <c r="Q674" s="13">
        <f t="shared" si="140"/>
        <v>1917728</v>
      </c>
      <c r="R674" s="33">
        <f t="shared" si="141"/>
        <v>3.3153865430988194E-3</v>
      </c>
      <c r="S674" s="33">
        <f t="shared" si="142"/>
        <v>-7.7471890375179209E-3</v>
      </c>
    </row>
    <row r="675" spans="1:19" x14ac:dyDescent="0.25">
      <c r="A675" t="s">
        <v>39</v>
      </c>
      <c r="B675" s="65">
        <v>5</v>
      </c>
      <c r="C675" t="s">
        <v>13</v>
      </c>
      <c r="D675" s="68">
        <v>2400</v>
      </c>
      <c r="E675" s="68">
        <v>2502</v>
      </c>
      <c r="F675" s="68">
        <v>2448</v>
      </c>
      <c r="G675" s="13">
        <f t="shared" si="130"/>
        <v>-54</v>
      </c>
      <c r="H675" s="13">
        <f t="shared" si="131"/>
        <v>48</v>
      </c>
      <c r="I675" s="73">
        <f t="shared" si="132"/>
        <v>2.0000000000000018E-2</v>
      </c>
      <c r="J675" s="73">
        <f t="shared" si="133"/>
        <v>-2.1582733812949617E-2</v>
      </c>
      <c r="K675" s="72" t="str">
        <f t="shared" si="134"/>
        <v>KALIBENDA</v>
      </c>
      <c r="L675" s="72" t="str">
        <f t="shared" si="135"/>
        <v>MAY-5-KALIBENDA</v>
      </c>
      <c r="M675" s="73">
        <f t="shared" si="136"/>
        <v>7.2541838839677575E-2</v>
      </c>
      <c r="N675" s="73">
        <f t="shared" si="137"/>
        <v>-6.4716742824510454E-2</v>
      </c>
      <c r="O675" s="13">
        <f t="shared" si="138"/>
        <v>1911391</v>
      </c>
      <c r="P675" s="13">
        <f t="shared" si="139"/>
        <v>1932701</v>
      </c>
      <c r="Q675" s="13">
        <f t="shared" si="140"/>
        <v>1917728</v>
      </c>
      <c r="R675" s="33">
        <f t="shared" si="141"/>
        <v>3.3153865430988194E-3</v>
      </c>
      <c r="S675" s="33">
        <f t="shared" si="142"/>
        <v>-7.7471890375179209E-3</v>
      </c>
    </row>
    <row r="676" spans="1:19" x14ac:dyDescent="0.25">
      <c r="A676" t="s">
        <v>39</v>
      </c>
      <c r="B676" s="65">
        <v>5</v>
      </c>
      <c r="C676" t="s">
        <v>15</v>
      </c>
      <c r="D676" s="68">
        <v>2400</v>
      </c>
      <c r="E676" s="68">
        <v>2490</v>
      </c>
      <c r="F676" s="68">
        <v>2442</v>
      </c>
      <c r="G676" s="13">
        <f t="shared" si="130"/>
        <v>-48</v>
      </c>
      <c r="H676" s="13">
        <f t="shared" si="131"/>
        <v>42</v>
      </c>
      <c r="I676" s="73">
        <f t="shared" si="132"/>
        <v>1.7500000000000071E-2</v>
      </c>
      <c r="J676" s="73">
        <f t="shared" si="133"/>
        <v>-1.927710843373498E-2</v>
      </c>
      <c r="K676" s="72" t="str">
        <f t="shared" si="134"/>
        <v>CHAWAN</v>
      </c>
      <c r="L676" s="72" t="str">
        <f t="shared" si="135"/>
        <v>MAY-5-CHAWAN</v>
      </c>
      <c r="M676" s="73">
        <f t="shared" si="136"/>
        <v>4.2083333333333472E-2</v>
      </c>
      <c r="N676" s="73">
        <f t="shared" si="137"/>
        <v>-3.4100826382452931E-2</v>
      </c>
      <c r="O676" s="13">
        <f t="shared" si="138"/>
        <v>1911391</v>
      </c>
      <c r="P676" s="13">
        <f t="shared" si="139"/>
        <v>1932701</v>
      </c>
      <c r="Q676" s="13">
        <f t="shared" si="140"/>
        <v>1917728</v>
      </c>
      <c r="R676" s="33">
        <f t="shared" si="141"/>
        <v>3.3153865430988194E-3</v>
      </c>
      <c r="S676" s="33">
        <f t="shared" si="142"/>
        <v>-7.7471890375179209E-3</v>
      </c>
    </row>
    <row r="677" spans="1:19" x14ac:dyDescent="0.25">
      <c r="A677" t="s">
        <v>39</v>
      </c>
      <c r="B677" s="65">
        <v>5</v>
      </c>
      <c r="C677" t="s">
        <v>15</v>
      </c>
      <c r="D677" s="68">
        <v>2400</v>
      </c>
      <c r="E677" s="68">
        <v>2496</v>
      </c>
      <c r="F677" s="68">
        <v>2459</v>
      </c>
      <c r="G677" s="13">
        <f t="shared" si="130"/>
        <v>-37</v>
      </c>
      <c r="H677" s="13">
        <f t="shared" si="131"/>
        <v>59</v>
      </c>
      <c r="I677" s="73">
        <f t="shared" si="132"/>
        <v>2.4583333333333401E-2</v>
      </c>
      <c r="J677" s="73">
        <f t="shared" si="133"/>
        <v>-1.4823717948717952E-2</v>
      </c>
      <c r="K677" s="72" t="str">
        <f t="shared" si="134"/>
        <v>CHAWAN</v>
      </c>
      <c r="L677" s="72" t="str">
        <f t="shared" si="135"/>
        <v>MAY-5-CHAWAN</v>
      </c>
      <c r="M677" s="73">
        <f t="shared" si="136"/>
        <v>4.2083333333333472E-2</v>
      </c>
      <c r="N677" s="73">
        <f t="shared" si="137"/>
        <v>-3.4100826382452931E-2</v>
      </c>
      <c r="O677" s="13">
        <f t="shared" si="138"/>
        <v>1911391</v>
      </c>
      <c r="P677" s="13">
        <f t="shared" si="139"/>
        <v>1932701</v>
      </c>
      <c r="Q677" s="13">
        <f t="shared" si="140"/>
        <v>1917728</v>
      </c>
      <c r="R677" s="33">
        <f t="shared" si="141"/>
        <v>3.3153865430988194E-3</v>
      </c>
      <c r="S677" s="33">
        <f t="shared" si="142"/>
        <v>-7.7471890375179209E-3</v>
      </c>
    </row>
    <row r="678" spans="1:19" x14ac:dyDescent="0.25">
      <c r="A678" t="s">
        <v>39</v>
      </c>
      <c r="B678" s="65">
        <v>5</v>
      </c>
      <c r="C678" t="s">
        <v>16</v>
      </c>
      <c r="D678" s="68">
        <v>1200</v>
      </c>
      <c r="E678" s="68">
        <v>1199</v>
      </c>
      <c r="F678" s="68">
        <v>1159</v>
      </c>
      <c r="G678" s="13">
        <f t="shared" si="130"/>
        <v>-40</v>
      </c>
      <c r="H678" s="13">
        <f t="shared" si="131"/>
        <v>-41</v>
      </c>
      <c r="I678" s="73">
        <f t="shared" si="132"/>
        <v>-3.4166666666666679E-2</v>
      </c>
      <c r="J678" s="73">
        <f t="shared" si="133"/>
        <v>-3.3361134278565463E-2</v>
      </c>
      <c r="K678" s="72" t="str">
        <f t="shared" si="134"/>
        <v>ANUGERAH</v>
      </c>
      <c r="L678" s="72" t="str">
        <f t="shared" si="135"/>
        <v>MAY-5-ANUGERAH</v>
      </c>
      <c r="M678" s="73">
        <f t="shared" si="136"/>
        <v>-1.8333333333333313E-2</v>
      </c>
      <c r="N678" s="73">
        <f t="shared" si="137"/>
        <v>-5.5815023612968084E-2</v>
      </c>
      <c r="O678" s="13">
        <f t="shared" si="138"/>
        <v>1911391</v>
      </c>
      <c r="P678" s="13">
        <f t="shared" si="139"/>
        <v>1932701</v>
      </c>
      <c r="Q678" s="13">
        <f t="shared" si="140"/>
        <v>1917728</v>
      </c>
      <c r="R678" s="33">
        <f t="shared" si="141"/>
        <v>3.3153865430988194E-3</v>
      </c>
      <c r="S678" s="33">
        <f t="shared" si="142"/>
        <v>-7.7471890375179209E-3</v>
      </c>
    </row>
    <row r="679" spans="1:19" x14ac:dyDescent="0.25">
      <c r="A679" t="s">
        <v>39</v>
      </c>
      <c r="B679" s="65">
        <v>5</v>
      </c>
      <c r="C679" t="s">
        <v>16</v>
      </c>
      <c r="D679" s="68">
        <v>1200</v>
      </c>
      <c r="E679" s="68">
        <v>1247</v>
      </c>
      <c r="F679" s="68">
        <v>1219</v>
      </c>
      <c r="G679" s="13">
        <f t="shared" si="130"/>
        <v>-28</v>
      </c>
      <c r="H679" s="13">
        <f t="shared" si="131"/>
        <v>19</v>
      </c>
      <c r="I679" s="73">
        <f t="shared" si="132"/>
        <v>1.5833333333333366E-2</v>
      </c>
      <c r="J679" s="73">
        <f t="shared" si="133"/>
        <v>-2.2453889334402621E-2</v>
      </c>
      <c r="K679" s="72" t="str">
        <f t="shared" si="134"/>
        <v>ANUGERAH</v>
      </c>
      <c r="L679" s="72" t="str">
        <f t="shared" si="135"/>
        <v>MAY-5-ANUGERAH</v>
      </c>
      <c r="M679" s="73">
        <f t="shared" si="136"/>
        <v>-1.8333333333333313E-2</v>
      </c>
      <c r="N679" s="73">
        <f t="shared" si="137"/>
        <v>-5.5815023612968084E-2</v>
      </c>
      <c r="O679" s="13">
        <f t="shared" si="138"/>
        <v>1911391</v>
      </c>
      <c r="P679" s="13">
        <f t="shared" si="139"/>
        <v>1932701</v>
      </c>
      <c r="Q679" s="13">
        <f t="shared" si="140"/>
        <v>1917728</v>
      </c>
      <c r="R679" s="33">
        <f t="shared" si="141"/>
        <v>3.3153865430988194E-3</v>
      </c>
      <c r="S679" s="33">
        <f t="shared" si="142"/>
        <v>-7.7471890375179209E-3</v>
      </c>
    </row>
    <row r="680" spans="1:19" x14ac:dyDescent="0.25">
      <c r="A680" t="s">
        <v>40</v>
      </c>
      <c r="B680" s="65">
        <v>1</v>
      </c>
      <c r="C680" t="s">
        <v>13</v>
      </c>
      <c r="D680" s="67">
        <v>42120</v>
      </c>
      <c r="E680" s="67">
        <v>42121</v>
      </c>
      <c r="F680" s="67">
        <v>41937</v>
      </c>
      <c r="G680" s="13">
        <f t="shared" si="130"/>
        <v>-184</v>
      </c>
      <c r="H680" s="13">
        <f t="shared" si="131"/>
        <v>-183</v>
      </c>
      <c r="I680" s="73">
        <f t="shared" si="132"/>
        <v>-4.3447293447292923E-3</v>
      </c>
      <c r="J680" s="73">
        <f t="shared" si="133"/>
        <v>-4.3683673227131736E-3</v>
      </c>
      <c r="K680" s="72" t="str">
        <f t="shared" si="134"/>
        <v>KALIBENDA</v>
      </c>
      <c r="L680" s="72" t="str">
        <f t="shared" si="135"/>
        <v>JUNE-1-KALIBENDA</v>
      </c>
      <c r="M680" s="73">
        <f t="shared" si="136"/>
        <v>-1.0413823649117693E-2</v>
      </c>
      <c r="N680" s="73">
        <f t="shared" si="137"/>
        <v>-1.0437461627101574E-2</v>
      </c>
      <c r="O680" s="13">
        <f t="shared" si="138"/>
        <v>952253</v>
      </c>
      <c r="P680" s="13">
        <f t="shared" si="139"/>
        <v>960304</v>
      </c>
      <c r="Q680" s="13">
        <f t="shared" si="140"/>
        <v>950257</v>
      </c>
      <c r="R680" s="33">
        <f t="shared" si="141"/>
        <v>-2.0960816085641154E-3</v>
      </c>
      <c r="S680" s="33">
        <f t="shared" si="142"/>
        <v>-1.0462311934554047E-2</v>
      </c>
    </row>
    <row r="681" spans="1:19" x14ac:dyDescent="0.25">
      <c r="A681" t="s">
        <v>40</v>
      </c>
      <c r="B681" s="65">
        <v>1</v>
      </c>
      <c r="C681" t="s">
        <v>13</v>
      </c>
      <c r="D681" s="67">
        <v>12852</v>
      </c>
      <c r="E681" s="67">
        <v>12852</v>
      </c>
      <c r="F681" s="67">
        <v>12795</v>
      </c>
      <c r="G681" s="13">
        <f t="shared" si="130"/>
        <v>-57</v>
      </c>
      <c r="H681" s="13">
        <f t="shared" si="131"/>
        <v>-57</v>
      </c>
      <c r="I681" s="73">
        <f t="shared" si="132"/>
        <v>-4.4351073762838311E-3</v>
      </c>
      <c r="J681" s="73">
        <f t="shared" si="133"/>
        <v>-4.4351073762838311E-3</v>
      </c>
      <c r="K681" s="72" t="str">
        <f t="shared" si="134"/>
        <v>KALIBENDA</v>
      </c>
      <c r="L681" s="72" t="str">
        <f t="shared" si="135"/>
        <v>JUNE-1-KALIBENDA</v>
      </c>
      <c r="M681" s="73">
        <f t="shared" si="136"/>
        <v>-1.0413823649117693E-2</v>
      </c>
      <c r="N681" s="73">
        <f t="shared" si="137"/>
        <v>-1.0437461627101574E-2</v>
      </c>
      <c r="O681" s="13">
        <f t="shared" si="138"/>
        <v>952253</v>
      </c>
      <c r="P681" s="13">
        <f t="shared" si="139"/>
        <v>960304</v>
      </c>
      <c r="Q681" s="13">
        <f t="shared" si="140"/>
        <v>950257</v>
      </c>
      <c r="R681" s="33">
        <f t="shared" si="141"/>
        <v>-2.0960816085641154E-3</v>
      </c>
      <c r="S681" s="33">
        <f t="shared" si="142"/>
        <v>-1.0462311934554047E-2</v>
      </c>
    </row>
    <row r="682" spans="1:19" x14ac:dyDescent="0.25">
      <c r="A682" t="s">
        <v>40</v>
      </c>
      <c r="B682" s="65">
        <v>1</v>
      </c>
      <c r="C682" t="s">
        <v>13</v>
      </c>
      <c r="D682" s="67">
        <v>1836</v>
      </c>
      <c r="E682" s="67">
        <v>1836</v>
      </c>
      <c r="F682" s="67">
        <v>1833</v>
      </c>
      <c r="G682" s="13">
        <f t="shared" si="130"/>
        <v>-3</v>
      </c>
      <c r="H682" s="13">
        <f t="shared" si="131"/>
        <v>-3</v>
      </c>
      <c r="I682" s="73">
        <f t="shared" si="132"/>
        <v>-1.6339869281045694E-3</v>
      </c>
      <c r="J682" s="73">
        <f t="shared" si="133"/>
        <v>-1.6339869281045694E-3</v>
      </c>
      <c r="K682" s="72" t="str">
        <f t="shared" si="134"/>
        <v>KALIBENDA</v>
      </c>
      <c r="L682" s="72" t="str">
        <f t="shared" si="135"/>
        <v>JUNE-1-KALIBENDA</v>
      </c>
      <c r="M682" s="73">
        <f t="shared" si="136"/>
        <v>-1.0413823649117693E-2</v>
      </c>
      <c r="N682" s="73">
        <f t="shared" si="137"/>
        <v>-1.0437461627101574E-2</v>
      </c>
      <c r="O682" s="13">
        <f t="shared" si="138"/>
        <v>952253</v>
      </c>
      <c r="P682" s="13">
        <f t="shared" si="139"/>
        <v>960304</v>
      </c>
      <c r="Q682" s="13">
        <f t="shared" si="140"/>
        <v>950257</v>
      </c>
      <c r="R682" s="33">
        <f t="shared" si="141"/>
        <v>-2.0960816085641154E-3</v>
      </c>
      <c r="S682" s="33">
        <f t="shared" si="142"/>
        <v>-1.0462311934554047E-2</v>
      </c>
    </row>
    <row r="683" spans="1:19" x14ac:dyDescent="0.25">
      <c r="A683" t="s">
        <v>40</v>
      </c>
      <c r="B683" s="65">
        <v>1</v>
      </c>
      <c r="C683" t="s">
        <v>14</v>
      </c>
      <c r="D683" s="67">
        <v>5940</v>
      </c>
      <c r="E683" s="67">
        <v>6124</v>
      </c>
      <c r="F683" s="67">
        <v>6006</v>
      </c>
      <c r="G683" s="13">
        <f t="shared" si="130"/>
        <v>-118</v>
      </c>
      <c r="H683" s="13">
        <f t="shared" si="131"/>
        <v>66</v>
      </c>
      <c r="I683" s="73">
        <f t="shared" si="132"/>
        <v>1.1111111111111072E-2</v>
      </c>
      <c r="J683" s="73">
        <f t="shared" si="133"/>
        <v>-1.9268451992161983E-2</v>
      </c>
      <c r="K683" s="72" t="str">
        <f t="shared" si="134"/>
        <v>GM2</v>
      </c>
      <c r="L683" s="72" t="str">
        <f t="shared" si="135"/>
        <v>JUNE-1-GM2</v>
      </c>
      <c r="M683" s="73">
        <f t="shared" si="136"/>
        <v>0.33533919486015573</v>
      </c>
      <c r="N683" s="73">
        <f t="shared" si="137"/>
        <v>-0.49705405886431719</v>
      </c>
      <c r="O683" s="13">
        <f t="shared" si="138"/>
        <v>952253</v>
      </c>
      <c r="P683" s="13">
        <f t="shared" si="139"/>
        <v>960304</v>
      </c>
      <c r="Q683" s="13">
        <f t="shared" si="140"/>
        <v>950257</v>
      </c>
      <c r="R683" s="33">
        <f t="shared" si="141"/>
        <v>-2.0960816085641154E-3</v>
      </c>
      <c r="S683" s="33">
        <f t="shared" si="142"/>
        <v>-1.0462311934554047E-2</v>
      </c>
    </row>
    <row r="684" spans="1:19" x14ac:dyDescent="0.25">
      <c r="A684" t="s">
        <v>40</v>
      </c>
      <c r="B684" s="65">
        <v>1</v>
      </c>
      <c r="C684" t="s">
        <v>14</v>
      </c>
      <c r="D684" s="67">
        <v>1080</v>
      </c>
      <c r="E684" s="67">
        <v>1116</v>
      </c>
      <c r="F684" s="67">
        <v>1083</v>
      </c>
      <c r="G684" s="13">
        <f t="shared" si="130"/>
        <v>-33</v>
      </c>
      <c r="H684" s="13">
        <f t="shared" si="131"/>
        <v>3</v>
      </c>
      <c r="I684" s="73">
        <f t="shared" si="132"/>
        <v>2.7777777777777679E-3</v>
      </c>
      <c r="J684" s="73">
        <f t="shared" si="133"/>
        <v>-2.9569892473118253E-2</v>
      </c>
      <c r="K684" s="72" t="str">
        <f t="shared" si="134"/>
        <v>GM2</v>
      </c>
      <c r="L684" s="72" t="str">
        <f t="shared" si="135"/>
        <v>JUNE-1-GM2</v>
      </c>
      <c r="M684" s="73">
        <f t="shared" si="136"/>
        <v>0.33533919486015573</v>
      </c>
      <c r="N684" s="73">
        <f t="shared" si="137"/>
        <v>-0.49705405886431719</v>
      </c>
      <c r="O684" s="13">
        <f t="shared" si="138"/>
        <v>952253</v>
      </c>
      <c r="P684" s="13">
        <f t="shared" si="139"/>
        <v>960304</v>
      </c>
      <c r="Q684" s="13">
        <f t="shared" si="140"/>
        <v>950257</v>
      </c>
      <c r="R684" s="33">
        <f t="shared" si="141"/>
        <v>-2.0960816085641154E-3</v>
      </c>
      <c r="S684" s="33">
        <f t="shared" si="142"/>
        <v>-1.0462311934554047E-2</v>
      </c>
    </row>
    <row r="685" spans="1:19" x14ac:dyDescent="0.25">
      <c r="A685" t="s">
        <v>40</v>
      </c>
      <c r="B685" s="65">
        <v>1</v>
      </c>
      <c r="C685" t="s">
        <v>11</v>
      </c>
      <c r="D685" s="67">
        <v>6696</v>
      </c>
      <c r="E685" s="67">
        <v>6893</v>
      </c>
      <c r="F685" s="67">
        <v>6792</v>
      </c>
      <c r="G685" s="13">
        <f t="shared" si="130"/>
        <v>-101</v>
      </c>
      <c r="H685" s="13">
        <f t="shared" si="131"/>
        <v>96</v>
      </c>
      <c r="I685" s="73">
        <f t="shared" si="132"/>
        <v>1.4336917562723928E-2</v>
      </c>
      <c r="J685" s="73">
        <f t="shared" si="133"/>
        <v>-1.4652546061221572E-2</v>
      </c>
      <c r="K685" s="72" t="str">
        <f t="shared" si="134"/>
        <v>MAJA1</v>
      </c>
      <c r="L685" s="72" t="str">
        <f t="shared" si="135"/>
        <v>JUNE-1-MAJA1</v>
      </c>
      <c r="M685" s="73">
        <f t="shared" si="136"/>
        <v>0.17941338872197221</v>
      </c>
      <c r="N685" s="73">
        <f t="shared" si="137"/>
        <v>-0.14065273139169199</v>
      </c>
      <c r="O685" s="13">
        <f t="shared" si="138"/>
        <v>952253</v>
      </c>
      <c r="P685" s="13">
        <f t="shared" si="139"/>
        <v>960304</v>
      </c>
      <c r="Q685" s="13">
        <f t="shared" si="140"/>
        <v>950257</v>
      </c>
      <c r="R685" s="33">
        <f t="shared" si="141"/>
        <v>-2.0960816085641154E-3</v>
      </c>
      <c r="S685" s="33">
        <f t="shared" si="142"/>
        <v>-1.0462311934554047E-2</v>
      </c>
    </row>
    <row r="686" spans="1:19" x14ac:dyDescent="0.25">
      <c r="A686" t="s">
        <v>40</v>
      </c>
      <c r="B686" s="65">
        <v>1</v>
      </c>
      <c r="C686" t="s">
        <v>11</v>
      </c>
      <c r="D686" s="67">
        <v>1620</v>
      </c>
      <c r="E686" s="67">
        <v>1670</v>
      </c>
      <c r="F686" s="67">
        <v>1644</v>
      </c>
      <c r="G686" s="13">
        <f t="shared" si="130"/>
        <v>-26</v>
      </c>
      <c r="H686" s="13">
        <f t="shared" si="131"/>
        <v>24</v>
      </c>
      <c r="I686" s="73">
        <f t="shared" si="132"/>
        <v>1.4814814814814836E-2</v>
      </c>
      <c r="J686" s="73">
        <f t="shared" si="133"/>
        <v>-1.5568862275449069E-2</v>
      </c>
      <c r="K686" s="72" t="str">
        <f t="shared" si="134"/>
        <v>MAJA1</v>
      </c>
      <c r="L686" s="72" t="str">
        <f t="shared" si="135"/>
        <v>JUNE-1-MAJA1</v>
      </c>
      <c r="M686" s="73">
        <f t="shared" si="136"/>
        <v>0.17941338872197221</v>
      </c>
      <c r="N686" s="73">
        <f t="shared" si="137"/>
        <v>-0.14065273139169199</v>
      </c>
      <c r="O686" s="13">
        <f t="shared" si="138"/>
        <v>952253</v>
      </c>
      <c r="P686" s="13">
        <f t="shared" si="139"/>
        <v>960304</v>
      </c>
      <c r="Q686" s="13">
        <f t="shared" si="140"/>
        <v>950257</v>
      </c>
      <c r="R686" s="33">
        <f t="shared" si="141"/>
        <v>-2.0960816085641154E-3</v>
      </c>
      <c r="S686" s="33">
        <f t="shared" si="142"/>
        <v>-1.0462311934554047E-2</v>
      </c>
    </row>
    <row r="687" spans="1:19" x14ac:dyDescent="0.25">
      <c r="A687" t="s">
        <v>40</v>
      </c>
      <c r="B687" s="65">
        <v>1</v>
      </c>
      <c r="C687" t="s">
        <v>11</v>
      </c>
      <c r="D687" s="67">
        <v>3996</v>
      </c>
      <c r="E687" s="67">
        <v>4130</v>
      </c>
      <c r="F687" s="67">
        <v>4146</v>
      </c>
      <c r="G687" s="13">
        <f t="shared" si="130"/>
        <v>16</v>
      </c>
      <c r="H687" s="13">
        <f t="shared" si="131"/>
        <v>150</v>
      </c>
      <c r="I687" s="73">
        <f t="shared" si="132"/>
        <v>3.7537537537537524E-2</v>
      </c>
      <c r="J687" s="73">
        <f t="shared" si="133"/>
        <v>3.8740920096851372E-3</v>
      </c>
      <c r="K687" s="72" t="str">
        <f t="shared" si="134"/>
        <v>MAJA1</v>
      </c>
      <c r="L687" s="72" t="str">
        <f t="shared" si="135"/>
        <v>JUNE-1-MAJA1</v>
      </c>
      <c r="M687" s="73">
        <f t="shared" si="136"/>
        <v>0.17941338872197221</v>
      </c>
      <c r="N687" s="73">
        <f t="shared" si="137"/>
        <v>-0.14065273139169199</v>
      </c>
      <c r="O687" s="13">
        <f t="shared" si="138"/>
        <v>952253</v>
      </c>
      <c r="P687" s="13">
        <f t="shared" si="139"/>
        <v>960304</v>
      </c>
      <c r="Q687" s="13">
        <f t="shared" si="140"/>
        <v>950257</v>
      </c>
      <c r="R687" s="33">
        <f t="shared" si="141"/>
        <v>-2.0960816085641154E-3</v>
      </c>
      <c r="S687" s="33">
        <f t="shared" si="142"/>
        <v>-1.0462311934554047E-2</v>
      </c>
    </row>
    <row r="688" spans="1:19" x14ac:dyDescent="0.25">
      <c r="A688" t="s">
        <v>40</v>
      </c>
      <c r="B688" s="65">
        <v>1</v>
      </c>
      <c r="C688" t="s">
        <v>11</v>
      </c>
      <c r="D688" s="67">
        <v>1080</v>
      </c>
      <c r="E688" s="67">
        <v>1116</v>
      </c>
      <c r="F688" s="67">
        <v>1110</v>
      </c>
      <c r="G688" s="13">
        <f t="shared" si="130"/>
        <v>-6</v>
      </c>
      <c r="H688" s="13">
        <f t="shared" si="131"/>
        <v>30</v>
      </c>
      <c r="I688" s="73">
        <f t="shared" si="132"/>
        <v>2.7777777777777679E-2</v>
      </c>
      <c r="J688" s="73">
        <f t="shared" si="133"/>
        <v>-5.3763440860215006E-3</v>
      </c>
      <c r="K688" s="72" t="str">
        <f t="shared" si="134"/>
        <v>MAJA1</v>
      </c>
      <c r="L688" s="72" t="str">
        <f t="shared" si="135"/>
        <v>JUNE-1-MAJA1</v>
      </c>
      <c r="M688" s="73">
        <f t="shared" si="136"/>
        <v>0.17941338872197221</v>
      </c>
      <c r="N688" s="73">
        <f t="shared" si="137"/>
        <v>-0.14065273139169199</v>
      </c>
      <c r="O688" s="13">
        <f t="shared" si="138"/>
        <v>952253</v>
      </c>
      <c r="P688" s="13">
        <f t="shared" si="139"/>
        <v>960304</v>
      </c>
      <c r="Q688" s="13">
        <f t="shared" si="140"/>
        <v>950257</v>
      </c>
      <c r="R688" s="33">
        <f t="shared" si="141"/>
        <v>-2.0960816085641154E-3</v>
      </c>
      <c r="S688" s="33">
        <f t="shared" si="142"/>
        <v>-1.0462311934554047E-2</v>
      </c>
    </row>
    <row r="689" spans="1:19" x14ac:dyDescent="0.25">
      <c r="A689" t="s">
        <v>40</v>
      </c>
      <c r="B689" s="65">
        <v>1</v>
      </c>
      <c r="C689" t="s">
        <v>11</v>
      </c>
      <c r="D689" s="67">
        <v>23328</v>
      </c>
      <c r="E689" s="67">
        <v>24050</v>
      </c>
      <c r="F689" s="67">
        <v>23562</v>
      </c>
      <c r="G689" s="13">
        <f t="shared" si="130"/>
        <v>-488</v>
      </c>
      <c r="H689" s="13">
        <f t="shared" si="131"/>
        <v>234</v>
      </c>
      <c r="I689" s="73">
        <f t="shared" si="132"/>
        <v>1.0030864197530853E-2</v>
      </c>
      <c r="J689" s="73">
        <f t="shared" si="133"/>
        <v>-2.0291060291060314E-2</v>
      </c>
      <c r="K689" s="72" t="str">
        <f t="shared" si="134"/>
        <v>MAJA1</v>
      </c>
      <c r="L689" s="72" t="str">
        <f t="shared" si="135"/>
        <v>JUNE-1-MAJA1</v>
      </c>
      <c r="M689" s="73">
        <f t="shared" si="136"/>
        <v>0.17941338872197221</v>
      </c>
      <c r="N689" s="73">
        <f t="shared" si="137"/>
        <v>-0.14065273139169199</v>
      </c>
      <c r="O689" s="13">
        <f t="shared" si="138"/>
        <v>952253</v>
      </c>
      <c r="P689" s="13">
        <f t="shared" si="139"/>
        <v>960304</v>
      </c>
      <c r="Q689" s="13">
        <f t="shared" si="140"/>
        <v>950257</v>
      </c>
      <c r="R689" s="33">
        <f t="shared" si="141"/>
        <v>-2.0960816085641154E-3</v>
      </c>
      <c r="S689" s="33">
        <f t="shared" si="142"/>
        <v>-1.0462311934554047E-2</v>
      </c>
    </row>
    <row r="690" spans="1:19" x14ac:dyDescent="0.25">
      <c r="A690" t="s">
        <v>40</v>
      </c>
      <c r="B690" s="65">
        <v>1</v>
      </c>
      <c r="C690" t="s">
        <v>11</v>
      </c>
      <c r="D690" s="67">
        <v>1296</v>
      </c>
      <c r="E690" s="67">
        <v>1338</v>
      </c>
      <c r="F690" s="67">
        <v>1308</v>
      </c>
      <c r="G690" s="13">
        <f t="shared" si="130"/>
        <v>-30</v>
      </c>
      <c r="H690" s="13">
        <f t="shared" si="131"/>
        <v>12</v>
      </c>
      <c r="I690" s="73">
        <f t="shared" si="132"/>
        <v>9.2592592592593004E-3</v>
      </c>
      <c r="J690" s="73">
        <f t="shared" si="133"/>
        <v>-2.2421524663677084E-2</v>
      </c>
      <c r="K690" s="72" t="str">
        <f t="shared" si="134"/>
        <v>MAJA1</v>
      </c>
      <c r="L690" s="72" t="str">
        <f t="shared" si="135"/>
        <v>JUNE-1-MAJA1</v>
      </c>
      <c r="M690" s="73">
        <f t="shared" si="136"/>
        <v>0.17941338872197221</v>
      </c>
      <c r="N690" s="73">
        <f t="shared" si="137"/>
        <v>-0.14065273139169199</v>
      </c>
      <c r="O690" s="13">
        <f t="shared" si="138"/>
        <v>952253</v>
      </c>
      <c r="P690" s="13">
        <f t="shared" si="139"/>
        <v>960304</v>
      </c>
      <c r="Q690" s="13">
        <f t="shared" si="140"/>
        <v>950257</v>
      </c>
      <c r="R690" s="33">
        <f t="shared" si="141"/>
        <v>-2.0960816085641154E-3</v>
      </c>
      <c r="S690" s="33">
        <f t="shared" si="142"/>
        <v>-1.0462311934554047E-2</v>
      </c>
    </row>
    <row r="691" spans="1:19" x14ac:dyDescent="0.25">
      <c r="A691" t="s">
        <v>40</v>
      </c>
      <c r="B691" s="65">
        <v>1</v>
      </c>
      <c r="C691" t="s">
        <v>11</v>
      </c>
      <c r="D691" s="67">
        <v>29484</v>
      </c>
      <c r="E691" s="67">
        <v>30379</v>
      </c>
      <c r="F691" s="67">
        <v>30030</v>
      </c>
      <c r="G691" s="13">
        <f t="shared" si="130"/>
        <v>-349</v>
      </c>
      <c r="H691" s="13">
        <f t="shared" si="131"/>
        <v>546</v>
      </c>
      <c r="I691" s="73">
        <f t="shared" si="132"/>
        <v>1.8518518518518601E-2</v>
      </c>
      <c r="J691" s="73">
        <f t="shared" si="133"/>
        <v>-1.148819908489418E-2</v>
      </c>
      <c r="K691" s="72" t="str">
        <f t="shared" si="134"/>
        <v>MAJA1</v>
      </c>
      <c r="L691" s="72" t="str">
        <f t="shared" si="135"/>
        <v>JUNE-1-MAJA1</v>
      </c>
      <c r="M691" s="73">
        <f t="shared" si="136"/>
        <v>0.17941338872197221</v>
      </c>
      <c r="N691" s="73">
        <f t="shared" si="137"/>
        <v>-0.14065273139169199</v>
      </c>
      <c r="O691" s="13">
        <f t="shared" si="138"/>
        <v>952253</v>
      </c>
      <c r="P691" s="13">
        <f t="shared" si="139"/>
        <v>960304</v>
      </c>
      <c r="Q691" s="13">
        <f t="shared" si="140"/>
        <v>950257</v>
      </c>
      <c r="R691" s="33">
        <f t="shared" si="141"/>
        <v>-2.0960816085641154E-3</v>
      </c>
      <c r="S691" s="33">
        <f t="shared" si="142"/>
        <v>-1.0462311934554047E-2</v>
      </c>
    </row>
    <row r="692" spans="1:19" x14ac:dyDescent="0.25">
      <c r="A692" t="s">
        <v>40</v>
      </c>
      <c r="B692" s="65">
        <v>1</v>
      </c>
      <c r="C692" t="s">
        <v>11</v>
      </c>
      <c r="D692" s="67">
        <v>1512</v>
      </c>
      <c r="E692" s="67">
        <v>1557</v>
      </c>
      <c r="F692" s="67">
        <v>1542</v>
      </c>
      <c r="G692" s="13">
        <f t="shared" si="130"/>
        <v>-15</v>
      </c>
      <c r="H692" s="13">
        <f t="shared" si="131"/>
        <v>30</v>
      </c>
      <c r="I692" s="73">
        <f t="shared" si="132"/>
        <v>1.9841269841269771E-2</v>
      </c>
      <c r="J692" s="73">
        <f t="shared" si="133"/>
        <v>-9.6339113680153909E-3</v>
      </c>
      <c r="K692" s="72" t="str">
        <f t="shared" si="134"/>
        <v>MAJA1</v>
      </c>
      <c r="L692" s="72" t="str">
        <f t="shared" si="135"/>
        <v>JUNE-1-MAJA1</v>
      </c>
      <c r="M692" s="73">
        <f t="shared" si="136"/>
        <v>0.17941338872197221</v>
      </c>
      <c r="N692" s="73">
        <f t="shared" si="137"/>
        <v>-0.14065273139169199</v>
      </c>
      <c r="O692" s="13">
        <f t="shared" si="138"/>
        <v>952253</v>
      </c>
      <c r="P692" s="13">
        <f t="shared" si="139"/>
        <v>960304</v>
      </c>
      <c r="Q692" s="13">
        <f t="shared" si="140"/>
        <v>950257</v>
      </c>
      <c r="R692" s="33">
        <f t="shared" si="141"/>
        <v>-2.0960816085641154E-3</v>
      </c>
      <c r="S692" s="33">
        <f t="shared" si="142"/>
        <v>-1.0462311934554047E-2</v>
      </c>
    </row>
    <row r="693" spans="1:19" x14ac:dyDescent="0.25">
      <c r="A693" t="s">
        <v>40</v>
      </c>
      <c r="B693" s="65">
        <v>1</v>
      </c>
      <c r="C693" t="s">
        <v>11</v>
      </c>
      <c r="D693" s="67">
        <v>14364</v>
      </c>
      <c r="E693" s="67">
        <v>14793</v>
      </c>
      <c r="F693" s="67">
        <v>14517</v>
      </c>
      <c r="G693" s="13">
        <f t="shared" si="130"/>
        <v>-276</v>
      </c>
      <c r="H693" s="13">
        <f t="shared" si="131"/>
        <v>153</v>
      </c>
      <c r="I693" s="73">
        <f t="shared" si="132"/>
        <v>1.065162907268169E-2</v>
      </c>
      <c r="J693" s="73">
        <f t="shared" si="133"/>
        <v>-1.8657473129182756E-2</v>
      </c>
      <c r="K693" s="72" t="str">
        <f t="shared" si="134"/>
        <v>MAJA1</v>
      </c>
      <c r="L693" s="72" t="str">
        <f t="shared" si="135"/>
        <v>JUNE-1-MAJA1</v>
      </c>
      <c r="M693" s="73">
        <f t="shared" si="136"/>
        <v>0.17941338872197221</v>
      </c>
      <c r="N693" s="73">
        <f t="shared" si="137"/>
        <v>-0.14065273139169199</v>
      </c>
      <c r="O693" s="13">
        <f t="shared" si="138"/>
        <v>952253</v>
      </c>
      <c r="P693" s="13">
        <f t="shared" si="139"/>
        <v>960304</v>
      </c>
      <c r="Q693" s="13">
        <f t="shared" si="140"/>
        <v>950257</v>
      </c>
      <c r="R693" s="33">
        <f t="shared" si="141"/>
        <v>-2.0960816085641154E-3</v>
      </c>
      <c r="S693" s="33">
        <f t="shared" si="142"/>
        <v>-1.0462311934554047E-2</v>
      </c>
    </row>
    <row r="694" spans="1:19" x14ac:dyDescent="0.25">
      <c r="A694" t="s">
        <v>40</v>
      </c>
      <c r="B694" s="65">
        <v>1</v>
      </c>
      <c r="C694" t="s">
        <v>11</v>
      </c>
      <c r="D694" s="67">
        <v>1728</v>
      </c>
      <c r="E694" s="67">
        <v>1788</v>
      </c>
      <c r="F694" s="67">
        <v>1767</v>
      </c>
      <c r="G694" s="13">
        <f t="shared" si="130"/>
        <v>-21</v>
      </c>
      <c r="H694" s="13">
        <f t="shared" si="131"/>
        <v>39</v>
      </c>
      <c r="I694" s="73">
        <f t="shared" si="132"/>
        <v>2.256944444444442E-2</v>
      </c>
      <c r="J694" s="73">
        <f t="shared" si="133"/>
        <v>-1.1744966442952975E-2</v>
      </c>
      <c r="K694" s="72" t="str">
        <f t="shared" si="134"/>
        <v>MAJA1</v>
      </c>
      <c r="L694" s="72" t="str">
        <f t="shared" si="135"/>
        <v>JUNE-1-MAJA1</v>
      </c>
      <c r="M694" s="73">
        <f t="shared" si="136"/>
        <v>0.17941338872197221</v>
      </c>
      <c r="N694" s="73">
        <f t="shared" si="137"/>
        <v>-0.14065273139169199</v>
      </c>
      <c r="O694" s="13">
        <f t="shared" si="138"/>
        <v>952253</v>
      </c>
      <c r="P694" s="13">
        <f t="shared" si="139"/>
        <v>960304</v>
      </c>
      <c r="Q694" s="13">
        <f t="shared" si="140"/>
        <v>950257</v>
      </c>
      <c r="R694" s="33">
        <f t="shared" si="141"/>
        <v>-2.0960816085641154E-3</v>
      </c>
      <c r="S694" s="33">
        <f t="shared" si="142"/>
        <v>-1.0462311934554047E-2</v>
      </c>
    </row>
    <row r="695" spans="1:19" x14ac:dyDescent="0.25">
      <c r="A695" t="s">
        <v>40</v>
      </c>
      <c r="B695" s="65">
        <v>1</v>
      </c>
      <c r="C695" t="s">
        <v>14</v>
      </c>
      <c r="D695" s="67">
        <v>21492</v>
      </c>
      <c r="E695" s="67">
        <v>22147</v>
      </c>
      <c r="F695" s="67">
        <v>21903</v>
      </c>
      <c r="G695" s="13">
        <f t="shared" si="130"/>
        <v>-244</v>
      </c>
      <c r="H695" s="13">
        <f t="shared" si="131"/>
        <v>411</v>
      </c>
      <c r="I695" s="73">
        <f t="shared" si="132"/>
        <v>1.9123394751535461E-2</v>
      </c>
      <c r="J695" s="73">
        <f t="shared" si="133"/>
        <v>-1.1017293538628237E-2</v>
      </c>
      <c r="K695" s="72" t="str">
        <f t="shared" si="134"/>
        <v>GM2</v>
      </c>
      <c r="L695" s="72" t="str">
        <f t="shared" si="135"/>
        <v>JUNE-1-GM2</v>
      </c>
      <c r="M695" s="73">
        <f t="shared" si="136"/>
        <v>0.33533919486015573</v>
      </c>
      <c r="N695" s="73">
        <f t="shared" si="137"/>
        <v>-0.49705405886431719</v>
      </c>
      <c r="O695" s="13">
        <f t="shared" si="138"/>
        <v>952253</v>
      </c>
      <c r="P695" s="13">
        <f t="shared" si="139"/>
        <v>960304</v>
      </c>
      <c r="Q695" s="13">
        <f t="shared" si="140"/>
        <v>950257</v>
      </c>
      <c r="R695" s="33">
        <f t="shared" si="141"/>
        <v>-2.0960816085641154E-3</v>
      </c>
      <c r="S695" s="33">
        <f t="shared" si="142"/>
        <v>-1.0462311934554047E-2</v>
      </c>
    </row>
    <row r="696" spans="1:19" x14ac:dyDescent="0.25">
      <c r="A696" t="s">
        <v>40</v>
      </c>
      <c r="B696" s="65">
        <v>1</v>
      </c>
      <c r="C696" t="s">
        <v>14</v>
      </c>
      <c r="D696" s="67">
        <v>1944</v>
      </c>
      <c r="E696" s="67">
        <v>2004</v>
      </c>
      <c r="F696" s="67">
        <v>1977</v>
      </c>
      <c r="G696" s="13">
        <f t="shared" si="130"/>
        <v>-27</v>
      </c>
      <c r="H696" s="13">
        <f t="shared" si="131"/>
        <v>33</v>
      </c>
      <c r="I696" s="73">
        <f t="shared" si="132"/>
        <v>1.6975308641975273E-2</v>
      </c>
      <c r="J696" s="73">
        <f t="shared" si="133"/>
        <v>-1.3473053892215536E-2</v>
      </c>
      <c r="K696" s="72" t="str">
        <f t="shared" si="134"/>
        <v>GM2</v>
      </c>
      <c r="L696" s="72" t="str">
        <f t="shared" si="135"/>
        <v>JUNE-1-GM2</v>
      </c>
      <c r="M696" s="73">
        <f t="shared" si="136"/>
        <v>0.33533919486015573</v>
      </c>
      <c r="N696" s="73">
        <f t="shared" si="137"/>
        <v>-0.49705405886431719</v>
      </c>
      <c r="O696" s="13">
        <f t="shared" si="138"/>
        <v>952253</v>
      </c>
      <c r="P696" s="13">
        <f t="shared" si="139"/>
        <v>960304</v>
      </c>
      <c r="Q696" s="13">
        <f t="shared" si="140"/>
        <v>950257</v>
      </c>
      <c r="R696" s="33">
        <f t="shared" si="141"/>
        <v>-2.0960816085641154E-3</v>
      </c>
      <c r="S696" s="33">
        <f t="shared" si="142"/>
        <v>-1.0462311934554047E-2</v>
      </c>
    </row>
    <row r="697" spans="1:19" x14ac:dyDescent="0.25">
      <c r="A697" t="s">
        <v>40</v>
      </c>
      <c r="B697" s="65">
        <v>1</v>
      </c>
      <c r="C697" t="s">
        <v>14</v>
      </c>
      <c r="D697" s="67">
        <v>16956</v>
      </c>
      <c r="E697" s="67">
        <v>17471</v>
      </c>
      <c r="F697" s="67">
        <v>17322</v>
      </c>
      <c r="G697" s="13">
        <f t="shared" si="130"/>
        <v>-149</v>
      </c>
      <c r="H697" s="13">
        <f t="shared" si="131"/>
        <v>366</v>
      </c>
      <c r="I697" s="73">
        <f t="shared" si="132"/>
        <v>2.1585279547063019E-2</v>
      </c>
      <c r="J697" s="73">
        <f t="shared" si="133"/>
        <v>-8.5284185221223829E-3</v>
      </c>
      <c r="K697" s="72" t="str">
        <f t="shared" si="134"/>
        <v>GM2</v>
      </c>
      <c r="L697" s="72" t="str">
        <f t="shared" si="135"/>
        <v>JUNE-1-GM2</v>
      </c>
      <c r="M697" s="73">
        <f t="shared" si="136"/>
        <v>0.33533919486015573</v>
      </c>
      <c r="N697" s="73">
        <f t="shared" si="137"/>
        <v>-0.49705405886431719</v>
      </c>
      <c r="O697" s="13">
        <f t="shared" si="138"/>
        <v>952253</v>
      </c>
      <c r="P697" s="13">
        <f t="shared" si="139"/>
        <v>960304</v>
      </c>
      <c r="Q697" s="13">
        <f t="shared" si="140"/>
        <v>950257</v>
      </c>
      <c r="R697" s="33">
        <f t="shared" si="141"/>
        <v>-2.0960816085641154E-3</v>
      </c>
      <c r="S697" s="33">
        <f t="shared" si="142"/>
        <v>-1.0462311934554047E-2</v>
      </c>
    </row>
    <row r="698" spans="1:19" x14ac:dyDescent="0.25">
      <c r="A698" t="s">
        <v>40</v>
      </c>
      <c r="B698" s="65">
        <v>1</v>
      </c>
      <c r="C698" t="s">
        <v>14</v>
      </c>
      <c r="D698" s="67">
        <v>1080</v>
      </c>
      <c r="E698" s="67">
        <v>1116</v>
      </c>
      <c r="F698" s="67">
        <v>1107</v>
      </c>
      <c r="G698" s="13">
        <f t="shared" si="130"/>
        <v>-9</v>
      </c>
      <c r="H698" s="13">
        <f t="shared" si="131"/>
        <v>27</v>
      </c>
      <c r="I698" s="73">
        <f t="shared" si="132"/>
        <v>2.4999999999999911E-2</v>
      </c>
      <c r="J698" s="73">
        <f t="shared" si="133"/>
        <v>-8.0645161290322509E-3</v>
      </c>
      <c r="K698" s="72" t="str">
        <f t="shared" si="134"/>
        <v>GM2</v>
      </c>
      <c r="L698" s="72" t="str">
        <f t="shared" si="135"/>
        <v>JUNE-1-GM2</v>
      </c>
      <c r="M698" s="73">
        <f t="shared" si="136"/>
        <v>0.33533919486015573</v>
      </c>
      <c r="N698" s="73">
        <f t="shared" si="137"/>
        <v>-0.49705405886431719</v>
      </c>
      <c r="O698" s="13">
        <f t="shared" si="138"/>
        <v>952253</v>
      </c>
      <c r="P698" s="13">
        <f t="shared" si="139"/>
        <v>960304</v>
      </c>
      <c r="Q698" s="13">
        <f t="shared" si="140"/>
        <v>950257</v>
      </c>
      <c r="R698" s="33">
        <f t="shared" si="141"/>
        <v>-2.0960816085641154E-3</v>
      </c>
      <c r="S698" s="33">
        <f t="shared" si="142"/>
        <v>-1.0462311934554047E-2</v>
      </c>
    </row>
    <row r="699" spans="1:19" x14ac:dyDescent="0.25">
      <c r="A699" t="s">
        <v>40</v>
      </c>
      <c r="B699" s="65">
        <v>1</v>
      </c>
      <c r="C699" t="s">
        <v>14</v>
      </c>
      <c r="D699" s="67">
        <v>9504</v>
      </c>
      <c r="E699" s="67">
        <v>9801</v>
      </c>
      <c r="F699" s="67">
        <v>9615</v>
      </c>
      <c r="G699" s="13">
        <f t="shared" si="130"/>
        <v>-186</v>
      </c>
      <c r="H699" s="13">
        <f t="shared" si="131"/>
        <v>111</v>
      </c>
      <c r="I699" s="73">
        <f t="shared" si="132"/>
        <v>1.1679292929293039E-2</v>
      </c>
      <c r="J699" s="73">
        <f t="shared" si="133"/>
        <v>-1.8977655341291699E-2</v>
      </c>
      <c r="K699" s="72" t="str">
        <f t="shared" si="134"/>
        <v>GM2</v>
      </c>
      <c r="L699" s="72" t="str">
        <f t="shared" si="135"/>
        <v>JUNE-1-GM2</v>
      </c>
      <c r="M699" s="73">
        <f t="shared" si="136"/>
        <v>0.33533919486015573</v>
      </c>
      <c r="N699" s="73">
        <f t="shared" si="137"/>
        <v>-0.49705405886431719</v>
      </c>
      <c r="O699" s="13">
        <f t="shared" si="138"/>
        <v>952253</v>
      </c>
      <c r="P699" s="13">
        <f t="shared" si="139"/>
        <v>960304</v>
      </c>
      <c r="Q699" s="13">
        <f t="shared" si="140"/>
        <v>950257</v>
      </c>
      <c r="R699" s="33">
        <f t="shared" si="141"/>
        <v>-2.0960816085641154E-3</v>
      </c>
      <c r="S699" s="33">
        <f t="shared" si="142"/>
        <v>-1.0462311934554047E-2</v>
      </c>
    </row>
    <row r="700" spans="1:19" x14ac:dyDescent="0.25">
      <c r="A700" t="s">
        <v>40</v>
      </c>
      <c r="B700" s="65">
        <v>1</v>
      </c>
      <c r="C700" t="s">
        <v>14</v>
      </c>
      <c r="D700" s="67">
        <v>1620</v>
      </c>
      <c r="E700" s="67">
        <v>1668</v>
      </c>
      <c r="F700" s="67">
        <v>1638</v>
      </c>
      <c r="G700" s="13">
        <f t="shared" si="130"/>
        <v>-30</v>
      </c>
      <c r="H700" s="13">
        <f t="shared" si="131"/>
        <v>18</v>
      </c>
      <c r="I700" s="73">
        <f t="shared" si="132"/>
        <v>1.1111111111111072E-2</v>
      </c>
      <c r="J700" s="73">
        <f t="shared" si="133"/>
        <v>-1.7985611510791366E-2</v>
      </c>
      <c r="K700" s="72" t="str">
        <f t="shared" si="134"/>
        <v>GM2</v>
      </c>
      <c r="L700" s="72" t="str">
        <f t="shared" si="135"/>
        <v>JUNE-1-GM2</v>
      </c>
      <c r="M700" s="73">
        <f t="shared" si="136"/>
        <v>0.33533919486015573</v>
      </c>
      <c r="N700" s="73">
        <f t="shared" si="137"/>
        <v>-0.49705405886431719</v>
      </c>
      <c r="O700" s="13">
        <f t="shared" si="138"/>
        <v>952253</v>
      </c>
      <c r="P700" s="13">
        <f t="shared" si="139"/>
        <v>960304</v>
      </c>
      <c r="Q700" s="13">
        <f t="shared" si="140"/>
        <v>950257</v>
      </c>
      <c r="R700" s="33">
        <f t="shared" si="141"/>
        <v>-2.0960816085641154E-3</v>
      </c>
      <c r="S700" s="33">
        <f t="shared" si="142"/>
        <v>-1.0462311934554047E-2</v>
      </c>
    </row>
    <row r="701" spans="1:19" x14ac:dyDescent="0.25">
      <c r="A701" t="s">
        <v>40</v>
      </c>
      <c r="B701" s="65">
        <v>1</v>
      </c>
      <c r="C701" t="s">
        <v>14</v>
      </c>
      <c r="D701" s="67">
        <v>10368</v>
      </c>
      <c r="E701" s="67">
        <v>10555</v>
      </c>
      <c r="F701" s="67">
        <v>10371</v>
      </c>
      <c r="G701" s="13">
        <f t="shared" si="130"/>
        <v>-184</v>
      </c>
      <c r="H701" s="13">
        <f t="shared" si="131"/>
        <v>3</v>
      </c>
      <c r="I701" s="73">
        <f t="shared" si="132"/>
        <v>2.8935185185186008E-4</v>
      </c>
      <c r="J701" s="73">
        <f t="shared" si="133"/>
        <v>-1.7432496447181478E-2</v>
      </c>
      <c r="K701" s="72" t="str">
        <f t="shared" si="134"/>
        <v>GM2</v>
      </c>
      <c r="L701" s="72" t="str">
        <f t="shared" si="135"/>
        <v>JUNE-1-GM2</v>
      </c>
      <c r="M701" s="73">
        <f t="shared" si="136"/>
        <v>0.33533919486015573</v>
      </c>
      <c r="N701" s="73">
        <f t="shared" si="137"/>
        <v>-0.49705405886431719</v>
      </c>
      <c r="O701" s="13">
        <f t="shared" si="138"/>
        <v>952253</v>
      </c>
      <c r="P701" s="13">
        <f t="shared" si="139"/>
        <v>960304</v>
      </c>
      <c r="Q701" s="13">
        <f t="shared" si="140"/>
        <v>950257</v>
      </c>
      <c r="R701" s="33">
        <f t="shared" si="141"/>
        <v>-2.0960816085641154E-3</v>
      </c>
      <c r="S701" s="33">
        <f t="shared" si="142"/>
        <v>-1.0462311934554047E-2</v>
      </c>
    </row>
    <row r="702" spans="1:19" x14ac:dyDescent="0.25">
      <c r="A702" t="s">
        <v>40</v>
      </c>
      <c r="B702" s="65">
        <v>1</v>
      </c>
      <c r="C702" t="s">
        <v>14</v>
      </c>
      <c r="D702" s="67">
        <v>1728</v>
      </c>
      <c r="E702" s="67">
        <v>1782</v>
      </c>
      <c r="F702" s="67">
        <v>1740</v>
      </c>
      <c r="G702" s="13">
        <f t="shared" si="130"/>
        <v>-42</v>
      </c>
      <c r="H702" s="13">
        <f t="shared" si="131"/>
        <v>12</v>
      </c>
      <c r="I702" s="73">
        <f t="shared" si="132"/>
        <v>6.9444444444444198E-3</v>
      </c>
      <c r="J702" s="73">
        <f t="shared" si="133"/>
        <v>-2.3569023569023573E-2</v>
      </c>
      <c r="K702" s="72" t="str">
        <f t="shared" si="134"/>
        <v>GM2</v>
      </c>
      <c r="L702" s="72" t="str">
        <f t="shared" si="135"/>
        <v>JUNE-1-GM2</v>
      </c>
      <c r="M702" s="73">
        <f t="shared" si="136"/>
        <v>0.33533919486015573</v>
      </c>
      <c r="N702" s="73">
        <f t="shared" si="137"/>
        <v>-0.49705405886431719</v>
      </c>
      <c r="O702" s="13">
        <f t="shared" si="138"/>
        <v>952253</v>
      </c>
      <c r="P702" s="13">
        <f t="shared" si="139"/>
        <v>960304</v>
      </c>
      <c r="Q702" s="13">
        <f t="shared" si="140"/>
        <v>950257</v>
      </c>
      <c r="R702" s="33">
        <f t="shared" si="141"/>
        <v>-2.0960816085641154E-3</v>
      </c>
      <c r="S702" s="33">
        <f t="shared" si="142"/>
        <v>-1.0462311934554047E-2</v>
      </c>
    </row>
    <row r="703" spans="1:19" x14ac:dyDescent="0.25">
      <c r="A703" t="s">
        <v>40</v>
      </c>
      <c r="B703" s="65">
        <v>1</v>
      </c>
      <c r="C703" t="s">
        <v>14</v>
      </c>
      <c r="D703" s="67">
        <v>2772</v>
      </c>
      <c r="E703" s="67">
        <v>2772</v>
      </c>
      <c r="F703" s="67">
        <v>2740</v>
      </c>
      <c r="G703" s="13">
        <f t="shared" si="130"/>
        <v>-32</v>
      </c>
      <c r="H703" s="13">
        <f t="shared" si="131"/>
        <v>-32</v>
      </c>
      <c r="I703" s="73">
        <f t="shared" si="132"/>
        <v>-1.1544011544011523E-2</v>
      </c>
      <c r="J703" s="73">
        <f t="shared" si="133"/>
        <v>-1.1544011544011523E-2</v>
      </c>
      <c r="K703" s="72" t="str">
        <f t="shared" si="134"/>
        <v>GM2</v>
      </c>
      <c r="L703" s="72" t="str">
        <f t="shared" si="135"/>
        <v>JUNE-1-GM2</v>
      </c>
      <c r="M703" s="73">
        <f t="shared" si="136"/>
        <v>0.33533919486015573</v>
      </c>
      <c r="N703" s="73">
        <f t="shared" si="137"/>
        <v>-0.49705405886431719</v>
      </c>
      <c r="O703" s="13">
        <f t="shared" si="138"/>
        <v>952253</v>
      </c>
      <c r="P703" s="13">
        <f t="shared" si="139"/>
        <v>960304</v>
      </c>
      <c r="Q703" s="13">
        <f t="shared" si="140"/>
        <v>950257</v>
      </c>
      <c r="R703" s="33">
        <f t="shared" si="141"/>
        <v>-2.0960816085641154E-3</v>
      </c>
      <c r="S703" s="33">
        <f t="shared" si="142"/>
        <v>-1.0462311934554047E-2</v>
      </c>
    </row>
    <row r="704" spans="1:19" x14ac:dyDescent="0.25">
      <c r="A704" t="s">
        <v>40</v>
      </c>
      <c r="B704" s="65">
        <v>1</v>
      </c>
      <c r="C704" t="s">
        <v>14</v>
      </c>
      <c r="D704" s="67">
        <v>2088</v>
      </c>
      <c r="E704" s="67">
        <v>2088</v>
      </c>
      <c r="F704" s="67">
        <v>2085</v>
      </c>
      <c r="G704" s="13">
        <f t="shared" si="130"/>
        <v>-3</v>
      </c>
      <c r="H704" s="13">
        <f t="shared" si="131"/>
        <v>-3</v>
      </c>
      <c r="I704" s="73">
        <f t="shared" si="132"/>
        <v>-1.4367816091953589E-3</v>
      </c>
      <c r="J704" s="73">
        <f t="shared" si="133"/>
        <v>-1.4367816091953589E-3</v>
      </c>
      <c r="K704" s="72" t="str">
        <f t="shared" si="134"/>
        <v>GM2</v>
      </c>
      <c r="L704" s="72" t="str">
        <f t="shared" si="135"/>
        <v>JUNE-1-GM2</v>
      </c>
      <c r="M704" s="73">
        <f t="shared" si="136"/>
        <v>0.33533919486015573</v>
      </c>
      <c r="N704" s="73">
        <f t="shared" si="137"/>
        <v>-0.49705405886431719</v>
      </c>
      <c r="O704" s="13">
        <f t="shared" si="138"/>
        <v>952253</v>
      </c>
      <c r="P704" s="13">
        <f t="shared" si="139"/>
        <v>960304</v>
      </c>
      <c r="Q704" s="13">
        <f t="shared" si="140"/>
        <v>950257</v>
      </c>
      <c r="R704" s="33">
        <f t="shared" si="141"/>
        <v>-2.0960816085641154E-3</v>
      </c>
      <c r="S704" s="33">
        <f t="shared" si="142"/>
        <v>-1.0462311934554047E-2</v>
      </c>
    </row>
    <row r="705" spans="1:19" x14ac:dyDescent="0.25">
      <c r="A705" t="s">
        <v>40</v>
      </c>
      <c r="B705" s="65">
        <v>1</v>
      </c>
      <c r="C705" t="s">
        <v>14</v>
      </c>
      <c r="D705" s="67">
        <v>1404</v>
      </c>
      <c r="E705" s="67">
        <v>1405</v>
      </c>
      <c r="F705" s="67">
        <v>1399</v>
      </c>
      <c r="G705" s="13">
        <f t="shared" si="130"/>
        <v>-6</v>
      </c>
      <c r="H705" s="13">
        <f t="shared" si="131"/>
        <v>-5</v>
      </c>
      <c r="I705" s="73">
        <f t="shared" si="132"/>
        <v>-3.5612535612535856E-3</v>
      </c>
      <c r="J705" s="73">
        <f t="shared" si="133"/>
        <v>-4.270462633451988E-3</v>
      </c>
      <c r="K705" s="72" t="str">
        <f t="shared" si="134"/>
        <v>GM2</v>
      </c>
      <c r="L705" s="72" t="str">
        <f t="shared" si="135"/>
        <v>JUNE-1-GM2</v>
      </c>
      <c r="M705" s="73">
        <f t="shared" si="136"/>
        <v>0.33533919486015573</v>
      </c>
      <c r="N705" s="73">
        <f t="shared" si="137"/>
        <v>-0.49705405886431719</v>
      </c>
      <c r="O705" s="13">
        <f t="shared" si="138"/>
        <v>952253</v>
      </c>
      <c r="P705" s="13">
        <f t="shared" si="139"/>
        <v>960304</v>
      </c>
      <c r="Q705" s="13">
        <f t="shared" si="140"/>
        <v>950257</v>
      </c>
      <c r="R705" s="33">
        <f t="shared" si="141"/>
        <v>-2.0960816085641154E-3</v>
      </c>
      <c r="S705" s="33">
        <f t="shared" si="142"/>
        <v>-1.0462311934554047E-2</v>
      </c>
    </row>
    <row r="706" spans="1:19" x14ac:dyDescent="0.25">
      <c r="A706" t="s">
        <v>40</v>
      </c>
      <c r="B706" s="65">
        <v>1</v>
      </c>
      <c r="C706" t="s">
        <v>14</v>
      </c>
      <c r="D706" s="67">
        <v>1260</v>
      </c>
      <c r="E706" s="67">
        <v>1260</v>
      </c>
      <c r="F706" s="67">
        <v>1257</v>
      </c>
      <c r="G706" s="13">
        <f t="shared" ref="G706:G769" si="143">F706-E706</f>
        <v>-3</v>
      </c>
      <c r="H706" s="13">
        <f t="shared" ref="H706:H769" si="144">F706-D706</f>
        <v>-3</v>
      </c>
      <c r="I706" s="73">
        <f t="shared" ref="I706:I769" si="145">F706/D706-1</f>
        <v>-2.3809523809523725E-3</v>
      </c>
      <c r="J706" s="73">
        <f t="shared" ref="J706:J769" si="146">F706/E706-1</f>
        <v>-2.3809523809523725E-3</v>
      </c>
      <c r="K706" s="72" t="str">
        <f t="shared" ref="K706:K769" si="147">CLEAN(SUBSTITUTE(C706," ",""))</f>
        <v>GM2</v>
      </c>
      <c r="L706" s="72" t="str">
        <f t="shared" ref="L706:L769" si="148">A706&amp;"-"&amp;B706&amp;"-"&amp;K706</f>
        <v>JUNE-1-GM2</v>
      </c>
      <c r="M706" s="73">
        <f t="shared" ref="M706:M769" si="149">SUMIF($L$2:$L$1396,L706,$I$2:$I$1396)</f>
        <v>0.33533919486015573</v>
      </c>
      <c r="N706" s="73">
        <f t="shared" ref="N706:N769" si="150">SUMIF($L$2:$L$1396,L706,$J$2:$J$1396)</f>
        <v>-0.49705405886431719</v>
      </c>
      <c r="O706" s="13">
        <f t="shared" ref="O706:O769" si="151">SUMIF($A$2:$A$1396,A706,$D$2:$D$1396)</f>
        <v>952253</v>
      </c>
      <c r="P706" s="13">
        <f t="shared" ref="P706:P769" si="152">SUMIF($A$2:$A$1396,A706,$E$2:$E$1396)</f>
        <v>960304</v>
      </c>
      <c r="Q706" s="13">
        <f t="shared" ref="Q706:Q769" si="153">SUMIF($A$2:$A$1396,A706,$F$2:$F$1396)</f>
        <v>950257</v>
      </c>
      <c r="R706" s="33">
        <f t="shared" ref="R706:R769" si="154">Q706/O706-1</f>
        <v>-2.0960816085641154E-3</v>
      </c>
      <c r="S706" s="33">
        <f t="shared" ref="S706:S769" si="155">Q706/P706-1</f>
        <v>-1.0462311934554047E-2</v>
      </c>
    </row>
    <row r="707" spans="1:19" x14ac:dyDescent="0.25">
      <c r="A707" t="s">
        <v>40</v>
      </c>
      <c r="B707" s="65">
        <v>1</v>
      </c>
      <c r="C707" t="s">
        <v>14</v>
      </c>
      <c r="D707" s="67">
        <v>9792</v>
      </c>
      <c r="E707" s="67">
        <v>10108</v>
      </c>
      <c r="F707" s="67">
        <v>9888</v>
      </c>
      <c r="G707" s="13">
        <f t="shared" si="143"/>
        <v>-220</v>
      </c>
      <c r="H707" s="13">
        <f t="shared" si="144"/>
        <v>96</v>
      </c>
      <c r="I707" s="73">
        <f t="shared" si="145"/>
        <v>9.8039215686274161E-3</v>
      </c>
      <c r="J707" s="73">
        <f t="shared" si="146"/>
        <v>-2.1764938662445554E-2</v>
      </c>
      <c r="K707" s="72" t="str">
        <f t="shared" si="147"/>
        <v>GM2</v>
      </c>
      <c r="L707" s="72" t="str">
        <f t="shared" si="148"/>
        <v>JUNE-1-GM2</v>
      </c>
      <c r="M707" s="73">
        <f t="shared" si="149"/>
        <v>0.33533919486015573</v>
      </c>
      <c r="N707" s="73">
        <f t="shared" si="150"/>
        <v>-0.49705405886431719</v>
      </c>
      <c r="O707" s="13">
        <f t="shared" si="151"/>
        <v>952253</v>
      </c>
      <c r="P707" s="13">
        <f t="shared" si="152"/>
        <v>960304</v>
      </c>
      <c r="Q707" s="13">
        <f t="shared" si="153"/>
        <v>950257</v>
      </c>
      <c r="R707" s="33">
        <f t="shared" si="154"/>
        <v>-2.0960816085641154E-3</v>
      </c>
      <c r="S707" s="33">
        <f t="shared" si="155"/>
        <v>-1.0462311934554047E-2</v>
      </c>
    </row>
    <row r="708" spans="1:19" x14ac:dyDescent="0.25">
      <c r="A708" t="s">
        <v>40</v>
      </c>
      <c r="B708" s="65">
        <v>1</v>
      </c>
      <c r="C708" t="s">
        <v>14</v>
      </c>
      <c r="D708" s="67">
        <v>21744</v>
      </c>
      <c r="E708" s="67">
        <v>22180</v>
      </c>
      <c r="F708" s="67">
        <v>21912</v>
      </c>
      <c r="G708" s="13">
        <f t="shared" si="143"/>
        <v>-268</v>
      </c>
      <c r="H708" s="13">
        <f t="shared" si="144"/>
        <v>168</v>
      </c>
      <c r="I708" s="73">
        <f t="shared" si="145"/>
        <v>7.7262693156732176E-3</v>
      </c>
      <c r="J708" s="73">
        <f t="shared" si="146"/>
        <v>-1.2082957619476975E-2</v>
      </c>
      <c r="K708" s="72" t="str">
        <f t="shared" si="147"/>
        <v>GM2</v>
      </c>
      <c r="L708" s="72" t="str">
        <f t="shared" si="148"/>
        <v>JUNE-1-GM2</v>
      </c>
      <c r="M708" s="73">
        <f t="shared" si="149"/>
        <v>0.33533919486015573</v>
      </c>
      <c r="N708" s="73">
        <f t="shared" si="150"/>
        <v>-0.49705405886431719</v>
      </c>
      <c r="O708" s="13">
        <f t="shared" si="151"/>
        <v>952253</v>
      </c>
      <c r="P708" s="13">
        <f t="shared" si="152"/>
        <v>960304</v>
      </c>
      <c r="Q708" s="13">
        <f t="shared" si="153"/>
        <v>950257</v>
      </c>
      <c r="R708" s="33">
        <f t="shared" si="154"/>
        <v>-2.0960816085641154E-3</v>
      </c>
      <c r="S708" s="33">
        <f t="shared" si="155"/>
        <v>-1.0462311934554047E-2</v>
      </c>
    </row>
    <row r="709" spans="1:19" x14ac:dyDescent="0.25">
      <c r="A709" t="s">
        <v>40</v>
      </c>
      <c r="B709" s="65">
        <v>1</v>
      </c>
      <c r="C709" t="s">
        <v>14</v>
      </c>
      <c r="D709" s="67">
        <v>8928</v>
      </c>
      <c r="E709" s="67">
        <v>9010</v>
      </c>
      <c r="F709" s="67">
        <v>8956</v>
      </c>
      <c r="G709" s="13">
        <f t="shared" si="143"/>
        <v>-54</v>
      </c>
      <c r="H709" s="13">
        <f t="shared" si="144"/>
        <v>28</v>
      </c>
      <c r="I709" s="73">
        <f t="shared" si="145"/>
        <v>3.1362007168458383E-3</v>
      </c>
      <c r="J709" s="73">
        <f t="shared" si="146"/>
        <v>-5.9933407325194477E-3</v>
      </c>
      <c r="K709" s="72" t="str">
        <f t="shared" si="147"/>
        <v>GM2</v>
      </c>
      <c r="L709" s="72" t="str">
        <f t="shared" si="148"/>
        <v>JUNE-1-GM2</v>
      </c>
      <c r="M709" s="73">
        <f t="shared" si="149"/>
        <v>0.33533919486015573</v>
      </c>
      <c r="N709" s="73">
        <f t="shared" si="150"/>
        <v>-0.49705405886431719</v>
      </c>
      <c r="O709" s="13">
        <f t="shared" si="151"/>
        <v>952253</v>
      </c>
      <c r="P709" s="13">
        <f t="shared" si="152"/>
        <v>960304</v>
      </c>
      <c r="Q709" s="13">
        <f t="shared" si="153"/>
        <v>950257</v>
      </c>
      <c r="R709" s="33">
        <f t="shared" si="154"/>
        <v>-2.0960816085641154E-3</v>
      </c>
      <c r="S709" s="33">
        <f t="shared" si="155"/>
        <v>-1.0462311934554047E-2</v>
      </c>
    </row>
    <row r="710" spans="1:19" x14ac:dyDescent="0.25">
      <c r="A710" t="s">
        <v>40</v>
      </c>
      <c r="B710" s="65">
        <v>1</v>
      </c>
      <c r="C710" t="s">
        <v>14</v>
      </c>
      <c r="D710" s="67">
        <v>14400</v>
      </c>
      <c r="E710" s="67">
        <v>14777</v>
      </c>
      <c r="F710" s="67">
        <v>14344</v>
      </c>
      <c r="G710" s="13">
        <f t="shared" si="143"/>
        <v>-433</v>
      </c>
      <c r="H710" s="13">
        <f t="shared" si="144"/>
        <v>-56</v>
      </c>
      <c r="I710" s="73">
        <f t="shared" si="145"/>
        <v>-3.8888888888889417E-3</v>
      </c>
      <c r="J710" s="73">
        <f t="shared" si="146"/>
        <v>-2.930229410570484E-2</v>
      </c>
      <c r="K710" s="72" t="str">
        <f t="shared" si="147"/>
        <v>GM2</v>
      </c>
      <c r="L710" s="72" t="str">
        <f t="shared" si="148"/>
        <v>JUNE-1-GM2</v>
      </c>
      <c r="M710" s="73">
        <f t="shared" si="149"/>
        <v>0.33533919486015573</v>
      </c>
      <c r="N710" s="73">
        <f t="shared" si="150"/>
        <v>-0.49705405886431719</v>
      </c>
      <c r="O710" s="13">
        <f t="shared" si="151"/>
        <v>952253</v>
      </c>
      <c r="P710" s="13">
        <f t="shared" si="152"/>
        <v>960304</v>
      </c>
      <c r="Q710" s="13">
        <f t="shared" si="153"/>
        <v>950257</v>
      </c>
      <c r="R710" s="33">
        <f t="shared" si="154"/>
        <v>-2.0960816085641154E-3</v>
      </c>
      <c r="S710" s="33">
        <f t="shared" si="155"/>
        <v>-1.0462311934554047E-2</v>
      </c>
    </row>
    <row r="711" spans="1:19" x14ac:dyDescent="0.25">
      <c r="A711" t="s">
        <v>40</v>
      </c>
      <c r="B711" s="65">
        <v>1</v>
      </c>
      <c r="C711" t="s">
        <v>14</v>
      </c>
      <c r="D711" s="67">
        <v>9360</v>
      </c>
      <c r="E711" s="67">
        <v>9533</v>
      </c>
      <c r="F711" s="67">
        <v>9140</v>
      </c>
      <c r="G711" s="13">
        <f t="shared" si="143"/>
        <v>-393</v>
      </c>
      <c r="H711" s="13">
        <f t="shared" si="144"/>
        <v>-220</v>
      </c>
      <c r="I711" s="73">
        <f t="shared" si="145"/>
        <v>-2.3504273504273532E-2</v>
      </c>
      <c r="J711" s="73">
        <f t="shared" si="146"/>
        <v>-4.1225217664953351E-2</v>
      </c>
      <c r="K711" s="72" t="str">
        <f t="shared" si="147"/>
        <v>GM2</v>
      </c>
      <c r="L711" s="72" t="str">
        <f t="shared" si="148"/>
        <v>JUNE-1-GM2</v>
      </c>
      <c r="M711" s="73">
        <f t="shared" si="149"/>
        <v>0.33533919486015573</v>
      </c>
      <c r="N711" s="73">
        <f t="shared" si="150"/>
        <v>-0.49705405886431719</v>
      </c>
      <c r="O711" s="13">
        <f t="shared" si="151"/>
        <v>952253</v>
      </c>
      <c r="P711" s="13">
        <f t="shared" si="152"/>
        <v>960304</v>
      </c>
      <c r="Q711" s="13">
        <f t="shared" si="153"/>
        <v>950257</v>
      </c>
      <c r="R711" s="33">
        <f t="shared" si="154"/>
        <v>-2.0960816085641154E-3</v>
      </c>
      <c r="S711" s="33">
        <f t="shared" si="155"/>
        <v>-1.0462311934554047E-2</v>
      </c>
    </row>
    <row r="712" spans="1:19" x14ac:dyDescent="0.25">
      <c r="A712" t="s">
        <v>40</v>
      </c>
      <c r="B712" s="65">
        <v>1</v>
      </c>
      <c r="C712" t="s">
        <v>14</v>
      </c>
      <c r="D712" s="67">
        <v>3780</v>
      </c>
      <c r="E712" s="67">
        <v>3911</v>
      </c>
      <c r="F712" s="67">
        <v>3822</v>
      </c>
      <c r="G712" s="13">
        <f t="shared" si="143"/>
        <v>-89</v>
      </c>
      <c r="H712" s="13">
        <f t="shared" si="144"/>
        <v>42</v>
      </c>
      <c r="I712" s="73">
        <f t="shared" si="145"/>
        <v>1.1111111111111072E-2</v>
      </c>
      <c r="J712" s="73">
        <f t="shared" si="146"/>
        <v>-2.2756328304781359E-2</v>
      </c>
      <c r="K712" s="72" t="str">
        <f t="shared" si="147"/>
        <v>GM2</v>
      </c>
      <c r="L712" s="72" t="str">
        <f t="shared" si="148"/>
        <v>JUNE-1-GM2</v>
      </c>
      <c r="M712" s="73">
        <f t="shared" si="149"/>
        <v>0.33533919486015573</v>
      </c>
      <c r="N712" s="73">
        <f t="shared" si="150"/>
        <v>-0.49705405886431719</v>
      </c>
      <c r="O712" s="13">
        <f t="shared" si="151"/>
        <v>952253</v>
      </c>
      <c r="P712" s="13">
        <f t="shared" si="152"/>
        <v>960304</v>
      </c>
      <c r="Q712" s="13">
        <f t="shared" si="153"/>
        <v>950257</v>
      </c>
      <c r="R712" s="33">
        <f t="shared" si="154"/>
        <v>-2.0960816085641154E-3</v>
      </c>
      <c r="S712" s="33">
        <f t="shared" si="155"/>
        <v>-1.0462311934554047E-2</v>
      </c>
    </row>
    <row r="713" spans="1:19" x14ac:dyDescent="0.25">
      <c r="A713" t="s">
        <v>40</v>
      </c>
      <c r="B713" s="65">
        <v>1</v>
      </c>
      <c r="C713" t="s">
        <v>14</v>
      </c>
      <c r="D713" s="67">
        <v>1404</v>
      </c>
      <c r="E713" s="67">
        <v>1446</v>
      </c>
      <c r="F713" s="67">
        <v>1407</v>
      </c>
      <c r="G713" s="13">
        <f t="shared" si="143"/>
        <v>-39</v>
      </c>
      <c r="H713" s="13">
        <f t="shared" si="144"/>
        <v>3</v>
      </c>
      <c r="I713" s="73">
        <f t="shared" si="145"/>
        <v>2.1367521367521292E-3</v>
      </c>
      <c r="J713" s="73">
        <f t="shared" si="146"/>
        <v>-2.6970954356846488E-2</v>
      </c>
      <c r="K713" s="72" t="str">
        <f t="shared" si="147"/>
        <v>GM2</v>
      </c>
      <c r="L713" s="72" t="str">
        <f t="shared" si="148"/>
        <v>JUNE-1-GM2</v>
      </c>
      <c r="M713" s="73">
        <f t="shared" si="149"/>
        <v>0.33533919486015573</v>
      </c>
      <c r="N713" s="73">
        <f t="shared" si="150"/>
        <v>-0.49705405886431719</v>
      </c>
      <c r="O713" s="13">
        <f t="shared" si="151"/>
        <v>952253</v>
      </c>
      <c r="P713" s="13">
        <f t="shared" si="152"/>
        <v>960304</v>
      </c>
      <c r="Q713" s="13">
        <f t="shared" si="153"/>
        <v>950257</v>
      </c>
      <c r="R713" s="33">
        <f t="shared" si="154"/>
        <v>-2.0960816085641154E-3</v>
      </c>
      <c r="S713" s="33">
        <f t="shared" si="155"/>
        <v>-1.0462311934554047E-2</v>
      </c>
    </row>
    <row r="714" spans="1:19" x14ac:dyDescent="0.25">
      <c r="A714" t="s">
        <v>40</v>
      </c>
      <c r="B714" s="65">
        <v>1</v>
      </c>
      <c r="C714" t="s">
        <v>14</v>
      </c>
      <c r="D714" s="67">
        <v>3456</v>
      </c>
      <c r="E714" s="67">
        <v>3574</v>
      </c>
      <c r="F714" s="67">
        <v>3537</v>
      </c>
      <c r="G714" s="13">
        <f t="shared" si="143"/>
        <v>-37</v>
      </c>
      <c r="H714" s="13">
        <f t="shared" si="144"/>
        <v>81</v>
      </c>
      <c r="I714" s="73">
        <f t="shared" si="145"/>
        <v>2.34375E-2</v>
      </c>
      <c r="J714" s="73">
        <f t="shared" si="146"/>
        <v>-1.0352546166759957E-2</v>
      </c>
      <c r="K714" s="72" t="str">
        <f t="shared" si="147"/>
        <v>GM2</v>
      </c>
      <c r="L714" s="72" t="str">
        <f t="shared" si="148"/>
        <v>JUNE-1-GM2</v>
      </c>
      <c r="M714" s="73">
        <f t="shared" si="149"/>
        <v>0.33533919486015573</v>
      </c>
      <c r="N714" s="73">
        <f t="shared" si="150"/>
        <v>-0.49705405886431719</v>
      </c>
      <c r="O714" s="13">
        <f t="shared" si="151"/>
        <v>952253</v>
      </c>
      <c r="P714" s="13">
        <f t="shared" si="152"/>
        <v>960304</v>
      </c>
      <c r="Q714" s="13">
        <f t="shared" si="153"/>
        <v>950257</v>
      </c>
      <c r="R714" s="33">
        <f t="shared" si="154"/>
        <v>-2.0960816085641154E-3</v>
      </c>
      <c r="S714" s="33">
        <f t="shared" si="155"/>
        <v>-1.0462311934554047E-2</v>
      </c>
    </row>
    <row r="715" spans="1:19" x14ac:dyDescent="0.25">
      <c r="A715" t="s">
        <v>40</v>
      </c>
      <c r="B715" s="65">
        <v>1</v>
      </c>
      <c r="C715" t="s">
        <v>14</v>
      </c>
      <c r="D715" s="67">
        <v>1404</v>
      </c>
      <c r="E715" s="67">
        <v>1446</v>
      </c>
      <c r="F715" s="67">
        <v>1434</v>
      </c>
      <c r="G715" s="13">
        <f t="shared" si="143"/>
        <v>-12</v>
      </c>
      <c r="H715" s="13">
        <f t="shared" si="144"/>
        <v>30</v>
      </c>
      <c r="I715" s="73">
        <f t="shared" si="145"/>
        <v>2.1367521367521292E-2</v>
      </c>
      <c r="J715" s="73">
        <f t="shared" si="146"/>
        <v>-8.2987551867219622E-3</v>
      </c>
      <c r="K715" s="72" t="str">
        <f t="shared" si="147"/>
        <v>GM2</v>
      </c>
      <c r="L715" s="72" t="str">
        <f t="shared" si="148"/>
        <v>JUNE-1-GM2</v>
      </c>
      <c r="M715" s="73">
        <f t="shared" si="149"/>
        <v>0.33533919486015573</v>
      </c>
      <c r="N715" s="73">
        <f t="shared" si="150"/>
        <v>-0.49705405886431719</v>
      </c>
      <c r="O715" s="13">
        <f t="shared" si="151"/>
        <v>952253</v>
      </c>
      <c r="P715" s="13">
        <f t="shared" si="152"/>
        <v>960304</v>
      </c>
      <c r="Q715" s="13">
        <f t="shared" si="153"/>
        <v>950257</v>
      </c>
      <c r="R715" s="33">
        <f t="shared" si="154"/>
        <v>-2.0960816085641154E-3</v>
      </c>
      <c r="S715" s="33">
        <f t="shared" si="155"/>
        <v>-1.0462311934554047E-2</v>
      </c>
    </row>
    <row r="716" spans="1:19" x14ac:dyDescent="0.25">
      <c r="A716" t="s">
        <v>40</v>
      </c>
      <c r="B716" s="65">
        <v>1</v>
      </c>
      <c r="C716" t="s">
        <v>14</v>
      </c>
      <c r="D716" s="67">
        <v>11556</v>
      </c>
      <c r="E716" s="67">
        <v>11908</v>
      </c>
      <c r="F716" s="67">
        <v>11724</v>
      </c>
      <c r="G716" s="13">
        <f t="shared" si="143"/>
        <v>-184</v>
      </c>
      <c r="H716" s="13">
        <f t="shared" si="144"/>
        <v>168</v>
      </c>
      <c r="I716" s="73">
        <f t="shared" si="145"/>
        <v>1.4537902388369606E-2</v>
      </c>
      <c r="J716" s="73">
        <f t="shared" si="146"/>
        <v>-1.5451797111185717E-2</v>
      </c>
      <c r="K716" s="72" t="str">
        <f t="shared" si="147"/>
        <v>GM2</v>
      </c>
      <c r="L716" s="72" t="str">
        <f t="shared" si="148"/>
        <v>JUNE-1-GM2</v>
      </c>
      <c r="M716" s="73">
        <f t="shared" si="149"/>
        <v>0.33533919486015573</v>
      </c>
      <c r="N716" s="73">
        <f t="shared" si="150"/>
        <v>-0.49705405886431719</v>
      </c>
      <c r="O716" s="13">
        <f t="shared" si="151"/>
        <v>952253</v>
      </c>
      <c r="P716" s="13">
        <f t="shared" si="152"/>
        <v>960304</v>
      </c>
      <c r="Q716" s="13">
        <f t="shared" si="153"/>
        <v>950257</v>
      </c>
      <c r="R716" s="33">
        <f t="shared" si="154"/>
        <v>-2.0960816085641154E-3</v>
      </c>
      <c r="S716" s="33">
        <f t="shared" si="155"/>
        <v>-1.0462311934554047E-2</v>
      </c>
    </row>
    <row r="717" spans="1:19" x14ac:dyDescent="0.25">
      <c r="A717" t="s">
        <v>40</v>
      </c>
      <c r="B717" s="65">
        <v>1</v>
      </c>
      <c r="C717" t="s">
        <v>14</v>
      </c>
      <c r="D717" s="67">
        <v>1080</v>
      </c>
      <c r="E717" s="67">
        <v>1146</v>
      </c>
      <c r="F717" s="67">
        <v>1080</v>
      </c>
      <c r="G717" s="13">
        <f t="shared" si="143"/>
        <v>-66</v>
      </c>
      <c r="H717" s="13">
        <f t="shared" si="144"/>
        <v>0</v>
      </c>
      <c r="I717" s="73">
        <f t="shared" si="145"/>
        <v>0</v>
      </c>
      <c r="J717" s="73">
        <f t="shared" si="146"/>
        <v>-5.759162303664922E-2</v>
      </c>
      <c r="K717" s="72" t="str">
        <f t="shared" si="147"/>
        <v>GM2</v>
      </c>
      <c r="L717" s="72" t="str">
        <f t="shared" si="148"/>
        <v>JUNE-1-GM2</v>
      </c>
      <c r="M717" s="73">
        <f t="shared" si="149"/>
        <v>0.33533919486015573</v>
      </c>
      <c r="N717" s="73">
        <f t="shared" si="150"/>
        <v>-0.49705405886431719</v>
      </c>
      <c r="O717" s="13">
        <f t="shared" si="151"/>
        <v>952253</v>
      </c>
      <c r="P717" s="13">
        <f t="shared" si="152"/>
        <v>960304</v>
      </c>
      <c r="Q717" s="13">
        <f t="shared" si="153"/>
        <v>950257</v>
      </c>
      <c r="R717" s="33">
        <f t="shared" si="154"/>
        <v>-2.0960816085641154E-3</v>
      </c>
      <c r="S717" s="33">
        <f t="shared" si="155"/>
        <v>-1.0462311934554047E-2</v>
      </c>
    </row>
    <row r="718" spans="1:19" x14ac:dyDescent="0.25">
      <c r="A718" t="s">
        <v>40</v>
      </c>
      <c r="B718" s="65">
        <v>1</v>
      </c>
      <c r="C718" t="s">
        <v>14</v>
      </c>
      <c r="D718" s="67">
        <v>4860</v>
      </c>
      <c r="E718" s="67">
        <v>5013</v>
      </c>
      <c r="F718" s="67">
        <v>4962</v>
      </c>
      <c r="G718" s="13">
        <f t="shared" si="143"/>
        <v>-51</v>
      </c>
      <c r="H718" s="13">
        <f t="shared" si="144"/>
        <v>102</v>
      </c>
      <c r="I718" s="73">
        <f t="shared" si="145"/>
        <v>2.0987654320987703E-2</v>
      </c>
      <c r="J718" s="73">
        <f t="shared" si="146"/>
        <v>-1.0173548773189656E-2</v>
      </c>
      <c r="K718" s="72" t="str">
        <f t="shared" si="147"/>
        <v>GM2</v>
      </c>
      <c r="L718" s="72" t="str">
        <f t="shared" si="148"/>
        <v>JUNE-1-GM2</v>
      </c>
      <c r="M718" s="73">
        <f t="shared" si="149"/>
        <v>0.33533919486015573</v>
      </c>
      <c r="N718" s="73">
        <f t="shared" si="150"/>
        <v>-0.49705405886431719</v>
      </c>
      <c r="O718" s="13">
        <f t="shared" si="151"/>
        <v>952253</v>
      </c>
      <c r="P718" s="13">
        <f t="shared" si="152"/>
        <v>960304</v>
      </c>
      <c r="Q718" s="13">
        <f t="shared" si="153"/>
        <v>950257</v>
      </c>
      <c r="R718" s="33">
        <f t="shared" si="154"/>
        <v>-2.0960816085641154E-3</v>
      </c>
      <c r="S718" s="33">
        <f t="shared" si="155"/>
        <v>-1.0462311934554047E-2</v>
      </c>
    </row>
    <row r="719" spans="1:19" x14ac:dyDescent="0.25">
      <c r="A719" t="s">
        <v>40</v>
      </c>
      <c r="B719" s="65">
        <v>1</v>
      </c>
      <c r="C719" t="s">
        <v>14</v>
      </c>
      <c r="D719" s="67">
        <v>16308</v>
      </c>
      <c r="E719" s="67">
        <v>16806</v>
      </c>
      <c r="F719" s="67">
        <v>16557</v>
      </c>
      <c r="G719" s="13">
        <f t="shared" si="143"/>
        <v>-249</v>
      </c>
      <c r="H719" s="13">
        <f t="shared" si="144"/>
        <v>249</v>
      </c>
      <c r="I719" s="73">
        <f t="shared" si="145"/>
        <v>1.5268579838116247E-2</v>
      </c>
      <c r="J719" s="73">
        <f t="shared" si="146"/>
        <v>-1.4816137093895065E-2</v>
      </c>
      <c r="K719" s="72" t="str">
        <f t="shared" si="147"/>
        <v>GM2</v>
      </c>
      <c r="L719" s="72" t="str">
        <f t="shared" si="148"/>
        <v>JUNE-1-GM2</v>
      </c>
      <c r="M719" s="73">
        <f t="shared" si="149"/>
        <v>0.33533919486015573</v>
      </c>
      <c r="N719" s="73">
        <f t="shared" si="150"/>
        <v>-0.49705405886431719</v>
      </c>
      <c r="O719" s="13">
        <f t="shared" si="151"/>
        <v>952253</v>
      </c>
      <c r="P719" s="13">
        <f t="shared" si="152"/>
        <v>960304</v>
      </c>
      <c r="Q719" s="13">
        <f t="shared" si="153"/>
        <v>950257</v>
      </c>
      <c r="R719" s="33">
        <f t="shared" si="154"/>
        <v>-2.0960816085641154E-3</v>
      </c>
      <c r="S719" s="33">
        <f t="shared" si="155"/>
        <v>-1.0462311934554047E-2</v>
      </c>
    </row>
    <row r="720" spans="1:19" x14ac:dyDescent="0.25">
      <c r="A720" t="s">
        <v>40</v>
      </c>
      <c r="B720" s="65">
        <v>1</v>
      </c>
      <c r="C720" t="s">
        <v>14</v>
      </c>
      <c r="D720" s="67">
        <v>1188</v>
      </c>
      <c r="E720" s="67">
        <v>1224</v>
      </c>
      <c r="F720" s="67">
        <v>1215</v>
      </c>
      <c r="G720" s="13">
        <f t="shared" si="143"/>
        <v>-9</v>
      </c>
      <c r="H720" s="13">
        <f t="shared" si="144"/>
        <v>27</v>
      </c>
      <c r="I720" s="73">
        <f t="shared" si="145"/>
        <v>2.2727272727272707E-2</v>
      </c>
      <c r="J720" s="73">
        <f t="shared" si="146"/>
        <v>-7.3529411764705621E-3</v>
      </c>
      <c r="K720" s="72" t="str">
        <f t="shared" si="147"/>
        <v>GM2</v>
      </c>
      <c r="L720" s="72" t="str">
        <f t="shared" si="148"/>
        <v>JUNE-1-GM2</v>
      </c>
      <c r="M720" s="73">
        <f t="shared" si="149"/>
        <v>0.33533919486015573</v>
      </c>
      <c r="N720" s="73">
        <f t="shared" si="150"/>
        <v>-0.49705405886431719</v>
      </c>
      <c r="O720" s="13">
        <f t="shared" si="151"/>
        <v>952253</v>
      </c>
      <c r="P720" s="13">
        <f t="shared" si="152"/>
        <v>960304</v>
      </c>
      <c r="Q720" s="13">
        <f t="shared" si="153"/>
        <v>950257</v>
      </c>
      <c r="R720" s="33">
        <f t="shared" si="154"/>
        <v>-2.0960816085641154E-3</v>
      </c>
      <c r="S720" s="33">
        <f t="shared" si="155"/>
        <v>-1.0462311934554047E-2</v>
      </c>
    </row>
    <row r="721" spans="1:19" x14ac:dyDescent="0.25">
      <c r="A721" t="s">
        <v>40</v>
      </c>
      <c r="B721" s="65">
        <v>1</v>
      </c>
      <c r="C721" t="s">
        <v>14</v>
      </c>
      <c r="D721" s="67">
        <v>9612</v>
      </c>
      <c r="E721" s="67">
        <v>9971</v>
      </c>
      <c r="F721" s="67">
        <v>9849</v>
      </c>
      <c r="G721" s="13">
        <f t="shared" si="143"/>
        <v>-122</v>
      </c>
      <c r="H721" s="13">
        <f t="shared" si="144"/>
        <v>237</v>
      </c>
      <c r="I721" s="73">
        <f t="shared" si="145"/>
        <v>2.4656679151061178E-2</v>
      </c>
      <c r="J721" s="73">
        <f t="shared" si="146"/>
        <v>-1.223548290041121E-2</v>
      </c>
      <c r="K721" s="72" t="str">
        <f t="shared" si="147"/>
        <v>GM2</v>
      </c>
      <c r="L721" s="72" t="str">
        <f t="shared" si="148"/>
        <v>JUNE-1-GM2</v>
      </c>
      <c r="M721" s="73">
        <f t="shared" si="149"/>
        <v>0.33533919486015573</v>
      </c>
      <c r="N721" s="73">
        <f t="shared" si="150"/>
        <v>-0.49705405886431719</v>
      </c>
      <c r="O721" s="13">
        <f t="shared" si="151"/>
        <v>952253</v>
      </c>
      <c r="P721" s="13">
        <f t="shared" si="152"/>
        <v>960304</v>
      </c>
      <c r="Q721" s="13">
        <f t="shared" si="153"/>
        <v>950257</v>
      </c>
      <c r="R721" s="33">
        <f t="shared" si="154"/>
        <v>-2.0960816085641154E-3</v>
      </c>
      <c r="S721" s="33">
        <f t="shared" si="155"/>
        <v>-1.0462311934554047E-2</v>
      </c>
    </row>
    <row r="722" spans="1:19" x14ac:dyDescent="0.25">
      <c r="A722" t="s">
        <v>40</v>
      </c>
      <c r="B722" s="65">
        <v>1</v>
      </c>
      <c r="C722" t="s">
        <v>14</v>
      </c>
      <c r="D722" s="67">
        <v>540</v>
      </c>
      <c r="E722" s="67">
        <v>555</v>
      </c>
      <c r="F722" s="67">
        <v>552</v>
      </c>
      <c r="G722" s="13">
        <f t="shared" si="143"/>
        <v>-3</v>
      </c>
      <c r="H722" s="13">
        <f t="shared" si="144"/>
        <v>12</v>
      </c>
      <c r="I722" s="73">
        <f t="shared" si="145"/>
        <v>2.2222222222222143E-2</v>
      </c>
      <c r="J722" s="73">
        <f t="shared" si="146"/>
        <v>-5.4054054054053502E-3</v>
      </c>
      <c r="K722" s="72" t="str">
        <f t="shared" si="147"/>
        <v>GM2</v>
      </c>
      <c r="L722" s="72" t="str">
        <f t="shared" si="148"/>
        <v>JUNE-1-GM2</v>
      </c>
      <c r="M722" s="73">
        <f t="shared" si="149"/>
        <v>0.33533919486015573</v>
      </c>
      <c r="N722" s="73">
        <f t="shared" si="150"/>
        <v>-0.49705405886431719</v>
      </c>
      <c r="O722" s="13">
        <f t="shared" si="151"/>
        <v>952253</v>
      </c>
      <c r="P722" s="13">
        <f t="shared" si="152"/>
        <v>960304</v>
      </c>
      <c r="Q722" s="13">
        <f t="shared" si="153"/>
        <v>950257</v>
      </c>
      <c r="R722" s="33">
        <f t="shared" si="154"/>
        <v>-2.0960816085641154E-3</v>
      </c>
      <c r="S722" s="33">
        <f t="shared" si="155"/>
        <v>-1.0462311934554047E-2</v>
      </c>
    </row>
    <row r="723" spans="1:19" x14ac:dyDescent="0.25">
      <c r="A723" t="s">
        <v>40</v>
      </c>
      <c r="B723" s="65">
        <v>1</v>
      </c>
      <c r="C723" t="s">
        <v>14</v>
      </c>
      <c r="D723" s="67">
        <v>25056</v>
      </c>
      <c r="E723" s="67">
        <v>25823</v>
      </c>
      <c r="F723" s="67">
        <v>25692</v>
      </c>
      <c r="G723" s="13">
        <f t="shared" si="143"/>
        <v>-131</v>
      </c>
      <c r="H723" s="13">
        <f t="shared" si="144"/>
        <v>636</v>
      </c>
      <c r="I723" s="73">
        <f t="shared" si="145"/>
        <v>2.5383141762452155E-2</v>
      </c>
      <c r="J723" s="73">
        <f t="shared" si="146"/>
        <v>-5.072996940711727E-3</v>
      </c>
      <c r="K723" s="72" t="str">
        <f t="shared" si="147"/>
        <v>GM2</v>
      </c>
      <c r="L723" s="72" t="str">
        <f t="shared" si="148"/>
        <v>JUNE-1-GM2</v>
      </c>
      <c r="M723" s="73">
        <f t="shared" si="149"/>
        <v>0.33533919486015573</v>
      </c>
      <c r="N723" s="73">
        <f t="shared" si="150"/>
        <v>-0.49705405886431719</v>
      </c>
      <c r="O723" s="13">
        <f t="shared" si="151"/>
        <v>952253</v>
      </c>
      <c r="P723" s="13">
        <f t="shared" si="152"/>
        <v>960304</v>
      </c>
      <c r="Q723" s="13">
        <f t="shared" si="153"/>
        <v>950257</v>
      </c>
      <c r="R723" s="33">
        <f t="shared" si="154"/>
        <v>-2.0960816085641154E-3</v>
      </c>
      <c r="S723" s="33">
        <f t="shared" si="155"/>
        <v>-1.0462311934554047E-2</v>
      </c>
    </row>
    <row r="724" spans="1:19" x14ac:dyDescent="0.25">
      <c r="A724" t="s">
        <v>40</v>
      </c>
      <c r="B724" s="65">
        <v>1</v>
      </c>
      <c r="C724" t="s">
        <v>14</v>
      </c>
      <c r="D724" s="67">
        <v>1080</v>
      </c>
      <c r="E724" s="67">
        <v>1116</v>
      </c>
      <c r="F724" s="67">
        <v>1113</v>
      </c>
      <c r="G724" s="13">
        <f t="shared" si="143"/>
        <v>-3</v>
      </c>
      <c r="H724" s="13">
        <f t="shared" si="144"/>
        <v>33</v>
      </c>
      <c r="I724" s="73">
        <f t="shared" si="145"/>
        <v>3.0555555555555447E-2</v>
      </c>
      <c r="J724" s="73">
        <f t="shared" si="146"/>
        <v>-2.6881720430107503E-3</v>
      </c>
      <c r="K724" s="72" t="str">
        <f t="shared" si="147"/>
        <v>GM2</v>
      </c>
      <c r="L724" s="72" t="str">
        <f t="shared" si="148"/>
        <v>JUNE-1-GM2</v>
      </c>
      <c r="M724" s="73">
        <f t="shared" si="149"/>
        <v>0.33533919486015573</v>
      </c>
      <c r="N724" s="73">
        <f t="shared" si="150"/>
        <v>-0.49705405886431719</v>
      </c>
      <c r="O724" s="13">
        <f t="shared" si="151"/>
        <v>952253</v>
      </c>
      <c r="P724" s="13">
        <f t="shared" si="152"/>
        <v>960304</v>
      </c>
      <c r="Q724" s="13">
        <f t="shared" si="153"/>
        <v>950257</v>
      </c>
      <c r="R724" s="33">
        <f t="shared" si="154"/>
        <v>-2.0960816085641154E-3</v>
      </c>
      <c r="S724" s="33">
        <f t="shared" si="155"/>
        <v>-1.0462311934554047E-2</v>
      </c>
    </row>
    <row r="725" spans="1:19" x14ac:dyDescent="0.25">
      <c r="A725" t="s">
        <v>40</v>
      </c>
      <c r="B725" s="65">
        <v>1</v>
      </c>
      <c r="C725" t="s">
        <v>10</v>
      </c>
      <c r="D725" s="67">
        <v>1255</v>
      </c>
      <c r="E725" s="67">
        <v>1255</v>
      </c>
      <c r="F725" s="67">
        <v>1250</v>
      </c>
      <c r="G725" s="13">
        <f t="shared" si="143"/>
        <v>-5</v>
      </c>
      <c r="H725" s="13">
        <f t="shared" si="144"/>
        <v>-5</v>
      </c>
      <c r="I725" s="73">
        <f t="shared" si="145"/>
        <v>-3.9840637450199168E-3</v>
      </c>
      <c r="J725" s="73">
        <f t="shared" si="146"/>
        <v>-3.9840637450199168E-3</v>
      </c>
      <c r="K725" s="72" t="str">
        <f t="shared" si="147"/>
        <v>CNJ2</v>
      </c>
      <c r="L725" s="72" t="str">
        <f t="shared" si="148"/>
        <v>JUNE-1-CNJ2</v>
      </c>
      <c r="M725" s="73">
        <f t="shared" si="149"/>
        <v>-9.936444697400848E-3</v>
      </c>
      <c r="N725" s="73">
        <f t="shared" si="150"/>
        <v>-0.14512717832255273</v>
      </c>
      <c r="O725" s="13">
        <f t="shared" si="151"/>
        <v>952253</v>
      </c>
      <c r="P725" s="13">
        <f t="shared" si="152"/>
        <v>960304</v>
      </c>
      <c r="Q725" s="13">
        <f t="shared" si="153"/>
        <v>950257</v>
      </c>
      <c r="R725" s="33">
        <f t="shared" si="154"/>
        <v>-2.0960816085641154E-3</v>
      </c>
      <c r="S725" s="33">
        <f t="shared" si="155"/>
        <v>-1.0462311934554047E-2</v>
      </c>
    </row>
    <row r="726" spans="1:19" x14ac:dyDescent="0.25">
      <c r="A726" t="s">
        <v>40</v>
      </c>
      <c r="B726" s="65">
        <v>1</v>
      </c>
      <c r="C726" t="s">
        <v>10</v>
      </c>
      <c r="D726" s="67">
        <v>590</v>
      </c>
      <c r="E726" s="67">
        <v>590</v>
      </c>
      <c r="F726" s="67">
        <v>590</v>
      </c>
      <c r="G726" s="13">
        <f t="shared" si="143"/>
        <v>0</v>
      </c>
      <c r="H726" s="13">
        <f t="shared" si="144"/>
        <v>0</v>
      </c>
      <c r="I726" s="73">
        <f t="shared" si="145"/>
        <v>0</v>
      </c>
      <c r="J726" s="73">
        <f t="shared" si="146"/>
        <v>0</v>
      </c>
      <c r="K726" s="72" t="str">
        <f t="shared" si="147"/>
        <v>CNJ2</v>
      </c>
      <c r="L726" s="72" t="str">
        <f t="shared" si="148"/>
        <v>JUNE-1-CNJ2</v>
      </c>
      <c r="M726" s="73">
        <f t="shared" si="149"/>
        <v>-9.936444697400848E-3</v>
      </c>
      <c r="N726" s="73">
        <f t="shared" si="150"/>
        <v>-0.14512717832255273</v>
      </c>
      <c r="O726" s="13">
        <f t="shared" si="151"/>
        <v>952253</v>
      </c>
      <c r="P726" s="13">
        <f t="shared" si="152"/>
        <v>960304</v>
      </c>
      <c r="Q726" s="13">
        <f t="shared" si="153"/>
        <v>950257</v>
      </c>
      <c r="R726" s="33">
        <f t="shared" si="154"/>
        <v>-2.0960816085641154E-3</v>
      </c>
      <c r="S726" s="33">
        <f t="shared" si="155"/>
        <v>-1.0462311934554047E-2</v>
      </c>
    </row>
    <row r="727" spans="1:19" x14ac:dyDescent="0.25">
      <c r="A727" t="s">
        <v>40</v>
      </c>
      <c r="B727" s="65">
        <v>1</v>
      </c>
      <c r="C727" t="s">
        <v>10</v>
      </c>
      <c r="D727" s="67">
        <v>305</v>
      </c>
      <c r="E727" s="67">
        <v>305</v>
      </c>
      <c r="F727" s="67">
        <v>305</v>
      </c>
      <c r="G727" s="13">
        <f t="shared" si="143"/>
        <v>0</v>
      </c>
      <c r="H727" s="13">
        <f t="shared" si="144"/>
        <v>0</v>
      </c>
      <c r="I727" s="73">
        <f t="shared" si="145"/>
        <v>0</v>
      </c>
      <c r="J727" s="73">
        <f t="shared" si="146"/>
        <v>0</v>
      </c>
      <c r="K727" s="72" t="str">
        <f t="shared" si="147"/>
        <v>CNJ2</v>
      </c>
      <c r="L727" s="72" t="str">
        <f t="shared" si="148"/>
        <v>JUNE-1-CNJ2</v>
      </c>
      <c r="M727" s="73">
        <f t="shared" si="149"/>
        <v>-9.936444697400848E-3</v>
      </c>
      <c r="N727" s="73">
        <f t="shared" si="150"/>
        <v>-0.14512717832255273</v>
      </c>
      <c r="O727" s="13">
        <f t="shared" si="151"/>
        <v>952253</v>
      </c>
      <c r="P727" s="13">
        <f t="shared" si="152"/>
        <v>960304</v>
      </c>
      <c r="Q727" s="13">
        <f t="shared" si="153"/>
        <v>950257</v>
      </c>
      <c r="R727" s="33">
        <f t="shared" si="154"/>
        <v>-2.0960816085641154E-3</v>
      </c>
      <c r="S727" s="33">
        <f t="shared" si="155"/>
        <v>-1.0462311934554047E-2</v>
      </c>
    </row>
    <row r="728" spans="1:19" x14ac:dyDescent="0.25">
      <c r="A728" t="s">
        <v>40</v>
      </c>
      <c r="B728" s="65">
        <v>1</v>
      </c>
      <c r="C728" t="s">
        <v>10</v>
      </c>
      <c r="D728" s="67">
        <v>2235</v>
      </c>
      <c r="E728" s="67">
        <v>2265</v>
      </c>
      <c r="F728" s="67">
        <v>2235</v>
      </c>
      <c r="G728" s="13">
        <f t="shared" si="143"/>
        <v>-30</v>
      </c>
      <c r="H728" s="13">
        <f t="shared" si="144"/>
        <v>0</v>
      </c>
      <c r="I728" s="73">
        <f t="shared" si="145"/>
        <v>0</v>
      </c>
      <c r="J728" s="73">
        <f t="shared" si="146"/>
        <v>-1.3245033112582738E-2</v>
      </c>
      <c r="K728" s="72" t="str">
        <f t="shared" si="147"/>
        <v>CNJ2</v>
      </c>
      <c r="L728" s="72" t="str">
        <f t="shared" si="148"/>
        <v>JUNE-1-CNJ2</v>
      </c>
      <c r="M728" s="73">
        <f t="shared" si="149"/>
        <v>-9.936444697400848E-3</v>
      </c>
      <c r="N728" s="73">
        <f t="shared" si="150"/>
        <v>-0.14512717832255273</v>
      </c>
      <c r="O728" s="13">
        <f t="shared" si="151"/>
        <v>952253</v>
      </c>
      <c r="P728" s="13">
        <f t="shared" si="152"/>
        <v>960304</v>
      </c>
      <c r="Q728" s="13">
        <f t="shared" si="153"/>
        <v>950257</v>
      </c>
      <c r="R728" s="33">
        <f t="shared" si="154"/>
        <v>-2.0960816085641154E-3</v>
      </c>
      <c r="S728" s="33">
        <f t="shared" si="155"/>
        <v>-1.0462311934554047E-2</v>
      </c>
    </row>
    <row r="729" spans="1:19" x14ac:dyDescent="0.25">
      <c r="A729" t="s">
        <v>40</v>
      </c>
      <c r="B729" s="65">
        <v>1</v>
      </c>
      <c r="C729" t="s">
        <v>10</v>
      </c>
      <c r="D729" s="67">
        <v>17775</v>
      </c>
      <c r="E729" s="67">
        <v>17970</v>
      </c>
      <c r="F729" s="67">
        <v>17775</v>
      </c>
      <c r="G729" s="13">
        <f t="shared" si="143"/>
        <v>-195</v>
      </c>
      <c r="H729" s="13">
        <f t="shared" si="144"/>
        <v>0</v>
      </c>
      <c r="I729" s="73">
        <f t="shared" si="145"/>
        <v>0</v>
      </c>
      <c r="J729" s="73">
        <f t="shared" si="146"/>
        <v>-1.0851419031719489E-2</v>
      </c>
      <c r="K729" s="72" t="str">
        <f t="shared" si="147"/>
        <v>CNJ2</v>
      </c>
      <c r="L729" s="72" t="str">
        <f t="shared" si="148"/>
        <v>JUNE-1-CNJ2</v>
      </c>
      <c r="M729" s="73">
        <f t="shared" si="149"/>
        <v>-9.936444697400848E-3</v>
      </c>
      <c r="N729" s="73">
        <f t="shared" si="150"/>
        <v>-0.14512717832255273</v>
      </c>
      <c r="O729" s="13">
        <f t="shared" si="151"/>
        <v>952253</v>
      </c>
      <c r="P729" s="13">
        <f t="shared" si="152"/>
        <v>960304</v>
      </c>
      <c r="Q729" s="13">
        <f t="shared" si="153"/>
        <v>950257</v>
      </c>
      <c r="R729" s="33">
        <f t="shared" si="154"/>
        <v>-2.0960816085641154E-3</v>
      </c>
      <c r="S729" s="33">
        <f t="shared" si="155"/>
        <v>-1.0462311934554047E-2</v>
      </c>
    </row>
    <row r="730" spans="1:19" x14ac:dyDescent="0.25">
      <c r="A730" t="s">
        <v>40</v>
      </c>
      <c r="B730" s="65">
        <v>1</v>
      </c>
      <c r="C730" t="s">
        <v>10</v>
      </c>
      <c r="D730" s="67">
        <v>2390</v>
      </c>
      <c r="E730" s="67">
        <v>2450</v>
      </c>
      <c r="F730" s="67">
        <v>2390</v>
      </c>
      <c r="G730" s="13">
        <f t="shared" si="143"/>
        <v>-60</v>
      </c>
      <c r="H730" s="13">
        <f t="shared" si="144"/>
        <v>0</v>
      </c>
      <c r="I730" s="73">
        <f t="shared" si="145"/>
        <v>0</v>
      </c>
      <c r="J730" s="73">
        <f t="shared" si="146"/>
        <v>-2.4489795918367308E-2</v>
      </c>
      <c r="K730" s="72" t="str">
        <f t="shared" si="147"/>
        <v>CNJ2</v>
      </c>
      <c r="L730" s="72" t="str">
        <f t="shared" si="148"/>
        <v>JUNE-1-CNJ2</v>
      </c>
      <c r="M730" s="73">
        <f t="shared" si="149"/>
        <v>-9.936444697400848E-3</v>
      </c>
      <c r="N730" s="73">
        <f t="shared" si="150"/>
        <v>-0.14512717832255273</v>
      </c>
      <c r="O730" s="13">
        <f t="shared" si="151"/>
        <v>952253</v>
      </c>
      <c r="P730" s="13">
        <f t="shared" si="152"/>
        <v>960304</v>
      </c>
      <c r="Q730" s="13">
        <f t="shared" si="153"/>
        <v>950257</v>
      </c>
      <c r="R730" s="33">
        <f t="shared" si="154"/>
        <v>-2.0960816085641154E-3</v>
      </c>
      <c r="S730" s="33">
        <f t="shared" si="155"/>
        <v>-1.0462311934554047E-2</v>
      </c>
    </row>
    <row r="731" spans="1:19" x14ac:dyDescent="0.25">
      <c r="A731" t="s">
        <v>40</v>
      </c>
      <c r="B731" s="65">
        <v>1</v>
      </c>
      <c r="C731" t="s">
        <v>10</v>
      </c>
      <c r="D731" s="67">
        <v>90</v>
      </c>
      <c r="E731" s="67">
        <v>90</v>
      </c>
      <c r="F731" s="67">
        <v>90</v>
      </c>
      <c r="G731" s="13">
        <f t="shared" si="143"/>
        <v>0</v>
      </c>
      <c r="H731" s="13">
        <f t="shared" si="144"/>
        <v>0</v>
      </c>
      <c r="I731" s="73">
        <f t="shared" si="145"/>
        <v>0</v>
      </c>
      <c r="J731" s="73">
        <f t="shared" si="146"/>
        <v>0</v>
      </c>
      <c r="K731" s="72" t="str">
        <f t="shared" si="147"/>
        <v>CNJ2</v>
      </c>
      <c r="L731" s="72" t="str">
        <f t="shared" si="148"/>
        <v>JUNE-1-CNJ2</v>
      </c>
      <c r="M731" s="73">
        <f t="shared" si="149"/>
        <v>-9.936444697400848E-3</v>
      </c>
      <c r="N731" s="73">
        <f t="shared" si="150"/>
        <v>-0.14512717832255273</v>
      </c>
      <c r="O731" s="13">
        <f t="shared" si="151"/>
        <v>952253</v>
      </c>
      <c r="P731" s="13">
        <f t="shared" si="152"/>
        <v>960304</v>
      </c>
      <c r="Q731" s="13">
        <f t="shared" si="153"/>
        <v>950257</v>
      </c>
      <c r="R731" s="33">
        <f t="shared" si="154"/>
        <v>-2.0960816085641154E-3</v>
      </c>
      <c r="S731" s="33">
        <f t="shared" si="155"/>
        <v>-1.0462311934554047E-2</v>
      </c>
    </row>
    <row r="732" spans="1:19" x14ac:dyDescent="0.25">
      <c r="A732" t="s">
        <v>40</v>
      </c>
      <c r="B732" s="65">
        <v>1</v>
      </c>
      <c r="C732" t="s">
        <v>10</v>
      </c>
      <c r="D732" s="67">
        <v>60</v>
      </c>
      <c r="E732" s="67">
        <v>60</v>
      </c>
      <c r="F732" s="67">
        <v>60</v>
      </c>
      <c r="G732" s="13">
        <f t="shared" si="143"/>
        <v>0</v>
      </c>
      <c r="H732" s="13">
        <f t="shared" si="144"/>
        <v>0</v>
      </c>
      <c r="I732" s="73">
        <f t="shared" si="145"/>
        <v>0</v>
      </c>
      <c r="J732" s="73">
        <f t="shared" si="146"/>
        <v>0</v>
      </c>
      <c r="K732" s="72" t="str">
        <f t="shared" si="147"/>
        <v>CNJ2</v>
      </c>
      <c r="L732" s="72" t="str">
        <f t="shared" si="148"/>
        <v>JUNE-1-CNJ2</v>
      </c>
      <c r="M732" s="73">
        <f t="shared" si="149"/>
        <v>-9.936444697400848E-3</v>
      </c>
      <c r="N732" s="73">
        <f t="shared" si="150"/>
        <v>-0.14512717832255273</v>
      </c>
      <c r="O732" s="13">
        <f t="shared" si="151"/>
        <v>952253</v>
      </c>
      <c r="P732" s="13">
        <f t="shared" si="152"/>
        <v>960304</v>
      </c>
      <c r="Q732" s="13">
        <f t="shared" si="153"/>
        <v>950257</v>
      </c>
      <c r="R732" s="33">
        <f t="shared" si="154"/>
        <v>-2.0960816085641154E-3</v>
      </c>
      <c r="S732" s="33">
        <f t="shared" si="155"/>
        <v>-1.0462311934554047E-2</v>
      </c>
    </row>
    <row r="733" spans="1:19" x14ac:dyDescent="0.25">
      <c r="A733" t="s">
        <v>40</v>
      </c>
      <c r="B733" s="65">
        <v>1</v>
      </c>
      <c r="C733" t="s">
        <v>10</v>
      </c>
      <c r="D733" s="67">
        <v>3390</v>
      </c>
      <c r="E733" s="67">
        <v>3390</v>
      </c>
      <c r="F733" s="67">
        <v>3390</v>
      </c>
      <c r="G733" s="13">
        <f t="shared" si="143"/>
        <v>0</v>
      </c>
      <c r="H733" s="13">
        <f t="shared" si="144"/>
        <v>0</v>
      </c>
      <c r="I733" s="73">
        <f t="shared" si="145"/>
        <v>0</v>
      </c>
      <c r="J733" s="73">
        <f t="shared" si="146"/>
        <v>0</v>
      </c>
      <c r="K733" s="72" t="str">
        <f t="shared" si="147"/>
        <v>CNJ2</v>
      </c>
      <c r="L733" s="72" t="str">
        <f t="shared" si="148"/>
        <v>JUNE-1-CNJ2</v>
      </c>
      <c r="M733" s="73">
        <f t="shared" si="149"/>
        <v>-9.936444697400848E-3</v>
      </c>
      <c r="N733" s="73">
        <f t="shared" si="150"/>
        <v>-0.14512717832255273</v>
      </c>
      <c r="O733" s="13">
        <f t="shared" si="151"/>
        <v>952253</v>
      </c>
      <c r="P733" s="13">
        <f t="shared" si="152"/>
        <v>960304</v>
      </c>
      <c r="Q733" s="13">
        <f t="shared" si="153"/>
        <v>950257</v>
      </c>
      <c r="R733" s="33">
        <f t="shared" si="154"/>
        <v>-2.0960816085641154E-3</v>
      </c>
      <c r="S733" s="33">
        <f t="shared" si="155"/>
        <v>-1.0462311934554047E-2</v>
      </c>
    </row>
    <row r="734" spans="1:19" x14ac:dyDescent="0.25">
      <c r="A734" t="s">
        <v>40</v>
      </c>
      <c r="B734" s="65">
        <v>1</v>
      </c>
      <c r="C734" t="s">
        <v>10</v>
      </c>
      <c r="D734" s="67">
        <v>710</v>
      </c>
      <c r="E734" s="67">
        <v>730</v>
      </c>
      <c r="F734" s="67">
        <v>710</v>
      </c>
      <c r="G734" s="13">
        <f t="shared" si="143"/>
        <v>-20</v>
      </c>
      <c r="H734" s="13">
        <f t="shared" si="144"/>
        <v>0</v>
      </c>
      <c r="I734" s="73">
        <f t="shared" si="145"/>
        <v>0</v>
      </c>
      <c r="J734" s="73">
        <f t="shared" si="146"/>
        <v>-2.7397260273972601E-2</v>
      </c>
      <c r="K734" s="72" t="str">
        <f t="shared" si="147"/>
        <v>CNJ2</v>
      </c>
      <c r="L734" s="72" t="str">
        <f t="shared" si="148"/>
        <v>JUNE-1-CNJ2</v>
      </c>
      <c r="M734" s="73">
        <f t="shared" si="149"/>
        <v>-9.936444697400848E-3</v>
      </c>
      <c r="N734" s="73">
        <f t="shared" si="150"/>
        <v>-0.14512717832255273</v>
      </c>
      <c r="O734" s="13">
        <f t="shared" si="151"/>
        <v>952253</v>
      </c>
      <c r="P734" s="13">
        <f t="shared" si="152"/>
        <v>960304</v>
      </c>
      <c r="Q734" s="13">
        <f t="shared" si="153"/>
        <v>950257</v>
      </c>
      <c r="R734" s="33">
        <f t="shared" si="154"/>
        <v>-2.0960816085641154E-3</v>
      </c>
      <c r="S734" s="33">
        <f t="shared" si="155"/>
        <v>-1.0462311934554047E-2</v>
      </c>
    </row>
    <row r="735" spans="1:19" x14ac:dyDescent="0.25">
      <c r="A735" t="s">
        <v>40</v>
      </c>
      <c r="B735" s="65">
        <v>1</v>
      </c>
      <c r="C735" t="s">
        <v>10</v>
      </c>
      <c r="D735" s="67">
        <v>840</v>
      </c>
      <c r="E735" s="67">
        <v>840</v>
      </c>
      <c r="F735" s="67">
        <v>835</v>
      </c>
      <c r="G735" s="13">
        <f t="shared" si="143"/>
        <v>-5</v>
      </c>
      <c r="H735" s="13">
        <f t="shared" si="144"/>
        <v>-5</v>
      </c>
      <c r="I735" s="73">
        <f t="shared" si="145"/>
        <v>-5.9523809523809312E-3</v>
      </c>
      <c r="J735" s="73">
        <f t="shared" si="146"/>
        <v>-5.9523809523809312E-3</v>
      </c>
      <c r="K735" s="72" t="str">
        <f t="shared" si="147"/>
        <v>CNJ2</v>
      </c>
      <c r="L735" s="72" t="str">
        <f t="shared" si="148"/>
        <v>JUNE-1-CNJ2</v>
      </c>
      <c r="M735" s="73">
        <f t="shared" si="149"/>
        <v>-9.936444697400848E-3</v>
      </c>
      <c r="N735" s="73">
        <f t="shared" si="150"/>
        <v>-0.14512717832255273</v>
      </c>
      <c r="O735" s="13">
        <f t="shared" si="151"/>
        <v>952253</v>
      </c>
      <c r="P735" s="13">
        <f t="shared" si="152"/>
        <v>960304</v>
      </c>
      <c r="Q735" s="13">
        <f t="shared" si="153"/>
        <v>950257</v>
      </c>
      <c r="R735" s="33">
        <f t="shared" si="154"/>
        <v>-2.0960816085641154E-3</v>
      </c>
      <c r="S735" s="33">
        <f t="shared" si="155"/>
        <v>-1.0462311934554047E-2</v>
      </c>
    </row>
    <row r="736" spans="1:19" x14ac:dyDescent="0.25">
      <c r="A736" t="s">
        <v>40</v>
      </c>
      <c r="B736" s="65">
        <v>1</v>
      </c>
      <c r="C736" t="s">
        <v>10</v>
      </c>
      <c r="D736" s="67">
        <v>75</v>
      </c>
      <c r="E736" s="67">
        <v>75</v>
      </c>
      <c r="F736" s="67">
        <v>75</v>
      </c>
      <c r="G736" s="13">
        <f t="shared" si="143"/>
        <v>0</v>
      </c>
      <c r="H736" s="13">
        <f t="shared" si="144"/>
        <v>0</v>
      </c>
      <c r="I736" s="73">
        <f t="shared" si="145"/>
        <v>0</v>
      </c>
      <c r="J736" s="73">
        <f t="shared" si="146"/>
        <v>0</v>
      </c>
      <c r="K736" s="72" t="str">
        <f t="shared" si="147"/>
        <v>CNJ2</v>
      </c>
      <c r="L736" s="72" t="str">
        <f t="shared" si="148"/>
        <v>JUNE-1-CNJ2</v>
      </c>
      <c r="M736" s="73">
        <f t="shared" si="149"/>
        <v>-9.936444697400848E-3</v>
      </c>
      <c r="N736" s="73">
        <f t="shared" si="150"/>
        <v>-0.14512717832255273</v>
      </c>
      <c r="O736" s="13">
        <f t="shared" si="151"/>
        <v>952253</v>
      </c>
      <c r="P736" s="13">
        <f t="shared" si="152"/>
        <v>960304</v>
      </c>
      <c r="Q736" s="13">
        <f t="shared" si="153"/>
        <v>950257</v>
      </c>
      <c r="R736" s="33">
        <f t="shared" si="154"/>
        <v>-2.0960816085641154E-3</v>
      </c>
      <c r="S736" s="33">
        <f t="shared" si="155"/>
        <v>-1.0462311934554047E-2</v>
      </c>
    </row>
    <row r="737" spans="1:19" x14ac:dyDescent="0.25">
      <c r="A737" t="s">
        <v>40</v>
      </c>
      <c r="B737" s="65">
        <v>1</v>
      </c>
      <c r="C737" t="s">
        <v>10</v>
      </c>
      <c r="D737" s="67">
        <v>120</v>
      </c>
      <c r="E737" s="67">
        <v>120</v>
      </c>
      <c r="F737" s="67">
        <v>120</v>
      </c>
      <c r="G737" s="13">
        <f t="shared" si="143"/>
        <v>0</v>
      </c>
      <c r="H737" s="13">
        <f t="shared" si="144"/>
        <v>0</v>
      </c>
      <c r="I737" s="73">
        <f t="shared" si="145"/>
        <v>0</v>
      </c>
      <c r="J737" s="73">
        <f t="shared" si="146"/>
        <v>0</v>
      </c>
      <c r="K737" s="72" t="str">
        <f t="shared" si="147"/>
        <v>CNJ2</v>
      </c>
      <c r="L737" s="72" t="str">
        <f t="shared" si="148"/>
        <v>JUNE-1-CNJ2</v>
      </c>
      <c r="M737" s="73">
        <f t="shared" si="149"/>
        <v>-9.936444697400848E-3</v>
      </c>
      <c r="N737" s="73">
        <f t="shared" si="150"/>
        <v>-0.14512717832255273</v>
      </c>
      <c r="O737" s="13">
        <f t="shared" si="151"/>
        <v>952253</v>
      </c>
      <c r="P737" s="13">
        <f t="shared" si="152"/>
        <v>960304</v>
      </c>
      <c r="Q737" s="13">
        <f t="shared" si="153"/>
        <v>950257</v>
      </c>
      <c r="R737" s="33">
        <f t="shared" si="154"/>
        <v>-2.0960816085641154E-3</v>
      </c>
      <c r="S737" s="33">
        <f t="shared" si="155"/>
        <v>-1.0462311934554047E-2</v>
      </c>
    </row>
    <row r="738" spans="1:19" x14ac:dyDescent="0.25">
      <c r="A738" t="s">
        <v>40</v>
      </c>
      <c r="B738" s="65">
        <v>1</v>
      </c>
      <c r="C738" t="s">
        <v>10</v>
      </c>
      <c r="D738" s="67">
        <v>160</v>
      </c>
      <c r="E738" s="67">
        <v>160</v>
      </c>
      <c r="F738" s="67">
        <v>160</v>
      </c>
      <c r="G738" s="13">
        <f t="shared" si="143"/>
        <v>0</v>
      </c>
      <c r="H738" s="13">
        <f t="shared" si="144"/>
        <v>0</v>
      </c>
      <c r="I738" s="73">
        <f t="shared" si="145"/>
        <v>0</v>
      </c>
      <c r="J738" s="73">
        <f t="shared" si="146"/>
        <v>0</v>
      </c>
      <c r="K738" s="72" t="str">
        <f t="shared" si="147"/>
        <v>CNJ2</v>
      </c>
      <c r="L738" s="72" t="str">
        <f t="shared" si="148"/>
        <v>JUNE-1-CNJ2</v>
      </c>
      <c r="M738" s="73">
        <f t="shared" si="149"/>
        <v>-9.936444697400848E-3</v>
      </c>
      <c r="N738" s="73">
        <f t="shared" si="150"/>
        <v>-0.14512717832255273</v>
      </c>
      <c r="O738" s="13">
        <f t="shared" si="151"/>
        <v>952253</v>
      </c>
      <c r="P738" s="13">
        <f t="shared" si="152"/>
        <v>960304</v>
      </c>
      <c r="Q738" s="13">
        <f t="shared" si="153"/>
        <v>950257</v>
      </c>
      <c r="R738" s="33">
        <f t="shared" si="154"/>
        <v>-2.0960816085641154E-3</v>
      </c>
      <c r="S738" s="33">
        <f t="shared" si="155"/>
        <v>-1.0462311934554047E-2</v>
      </c>
    </row>
    <row r="739" spans="1:19" x14ac:dyDescent="0.25">
      <c r="A739" t="s">
        <v>40</v>
      </c>
      <c r="B739" s="65">
        <v>1</v>
      </c>
      <c r="C739" t="s">
        <v>17</v>
      </c>
      <c r="D739" s="67">
        <v>5000</v>
      </c>
      <c r="E739" s="67">
        <v>5040</v>
      </c>
      <c r="F739" s="67">
        <v>5000</v>
      </c>
      <c r="G739" s="13">
        <f t="shared" si="143"/>
        <v>-40</v>
      </c>
      <c r="H739" s="13">
        <f t="shared" si="144"/>
        <v>0</v>
      </c>
      <c r="I739" s="73">
        <f t="shared" si="145"/>
        <v>0</v>
      </c>
      <c r="J739" s="73">
        <f t="shared" si="146"/>
        <v>-7.9365079365079083E-3</v>
      </c>
      <c r="K739" s="72" t="str">
        <f t="shared" si="147"/>
        <v>CBA</v>
      </c>
      <c r="L739" s="72" t="str">
        <f t="shared" si="148"/>
        <v>JUNE-1-CBA</v>
      </c>
      <c r="M739" s="73">
        <f t="shared" si="149"/>
        <v>0</v>
      </c>
      <c r="N739" s="73">
        <f t="shared" si="150"/>
        <v>-7.9365079365079083E-3</v>
      </c>
      <c r="O739" s="13">
        <f t="shared" si="151"/>
        <v>952253</v>
      </c>
      <c r="P739" s="13">
        <f t="shared" si="152"/>
        <v>960304</v>
      </c>
      <c r="Q739" s="13">
        <f t="shared" si="153"/>
        <v>950257</v>
      </c>
      <c r="R739" s="33">
        <f t="shared" si="154"/>
        <v>-2.0960816085641154E-3</v>
      </c>
      <c r="S739" s="33">
        <f t="shared" si="155"/>
        <v>-1.0462311934554047E-2</v>
      </c>
    </row>
    <row r="740" spans="1:19" x14ac:dyDescent="0.25">
      <c r="A740" t="s">
        <v>40</v>
      </c>
      <c r="B740" s="65">
        <v>1</v>
      </c>
      <c r="C740" t="s">
        <v>15</v>
      </c>
      <c r="D740" s="67">
        <v>71</v>
      </c>
      <c r="E740" s="67">
        <v>71</v>
      </c>
      <c r="F740" s="67">
        <v>71</v>
      </c>
      <c r="G740" s="13">
        <f t="shared" si="143"/>
        <v>0</v>
      </c>
      <c r="H740" s="13">
        <f t="shared" si="144"/>
        <v>0</v>
      </c>
      <c r="I740" s="73">
        <f t="shared" si="145"/>
        <v>0</v>
      </c>
      <c r="J740" s="73">
        <f t="shared" si="146"/>
        <v>0</v>
      </c>
      <c r="K740" s="72" t="str">
        <f t="shared" si="147"/>
        <v>CHAWAN</v>
      </c>
      <c r="L740" s="72" t="str">
        <f t="shared" si="148"/>
        <v>JUNE-1-CHAWAN</v>
      </c>
      <c r="M740" s="73">
        <f t="shared" si="149"/>
        <v>0</v>
      </c>
      <c r="N740" s="73">
        <f t="shared" si="150"/>
        <v>0</v>
      </c>
      <c r="O740" s="13">
        <f t="shared" si="151"/>
        <v>952253</v>
      </c>
      <c r="P740" s="13">
        <f t="shared" si="152"/>
        <v>960304</v>
      </c>
      <c r="Q740" s="13">
        <f t="shared" si="153"/>
        <v>950257</v>
      </c>
      <c r="R740" s="33">
        <f t="shared" si="154"/>
        <v>-2.0960816085641154E-3</v>
      </c>
      <c r="S740" s="33">
        <f t="shared" si="155"/>
        <v>-1.0462311934554047E-2</v>
      </c>
    </row>
    <row r="741" spans="1:19" x14ac:dyDescent="0.25">
      <c r="A741" t="s">
        <v>40</v>
      </c>
      <c r="B741" s="65">
        <v>1</v>
      </c>
      <c r="C741" t="s">
        <v>15</v>
      </c>
      <c r="D741" s="67">
        <v>71</v>
      </c>
      <c r="E741" s="67">
        <v>71</v>
      </c>
      <c r="F741" s="67">
        <v>71</v>
      </c>
      <c r="G741" s="13">
        <f t="shared" si="143"/>
        <v>0</v>
      </c>
      <c r="H741" s="13">
        <f t="shared" si="144"/>
        <v>0</v>
      </c>
      <c r="I741" s="73">
        <f t="shared" si="145"/>
        <v>0</v>
      </c>
      <c r="J741" s="73">
        <f t="shared" si="146"/>
        <v>0</v>
      </c>
      <c r="K741" s="72" t="str">
        <f t="shared" si="147"/>
        <v>CHAWAN</v>
      </c>
      <c r="L741" s="72" t="str">
        <f t="shared" si="148"/>
        <v>JUNE-1-CHAWAN</v>
      </c>
      <c r="M741" s="73">
        <f t="shared" si="149"/>
        <v>0</v>
      </c>
      <c r="N741" s="73">
        <f t="shared" si="150"/>
        <v>0</v>
      </c>
      <c r="O741" s="13">
        <f t="shared" si="151"/>
        <v>952253</v>
      </c>
      <c r="P741" s="13">
        <f t="shared" si="152"/>
        <v>960304</v>
      </c>
      <c r="Q741" s="13">
        <f t="shared" si="153"/>
        <v>950257</v>
      </c>
      <c r="R741" s="33">
        <f t="shared" si="154"/>
        <v>-2.0960816085641154E-3</v>
      </c>
      <c r="S741" s="33">
        <f t="shared" si="155"/>
        <v>-1.0462311934554047E-2</v>
      </c>
    </row>
    <row r="742" spans="1:19" x14ac:dyDescent="0.25">
      <c r="A742" t="s">
        <v>40</v>
      </c>
      <c r="B742" s="65">
        <v>1</v>
      </c>
      <c r="C742" t="s">
        <v>15</v>
      </c>
      <c r="D742" s="67">
        <v>135</v>
      </c>
      <c r="E742" s="67">
        <v>135</v>
      </c>
      <c r="F742" s="67">
        <v>135</v>
      </c>
      <c r="G742" s="13">
        <f t="shared" si="143"/>
        <v>0</v>
      </c>
      <c r="H742" s="13">
        <f t="shared" si="144"/>
        <v>0</v>
      </c>
      <c r="I742" s="73">
        <f t="shared" si="145"/>
        <v>0</v>
      </c>
      <c r="J742" s="73">
        <f t="shared" si="146"/>
        <v>0</v>
      </c>
      <c r="K742" s="72" t="str">
        <f t="shared" si="147"/>
        <v>CHAWAN</v>
      </c>
      <c r="L742" s="72" t="str">
        <f t="shared" si="148"/>
        <v>JUNE-1-CHAWAN</v>
      </c>
      <c r="M742" s="73">
        <f t="shared" si="149"/>
        <v>0</v>
      </c>
      <c r="N742" s="73">
        <f t="shared" si="150"/>
        <v>0</v>
      </c>
      <c r="O742" s="13">
        <f t="shared" si="151"/>
        <v>952253</v>
      </c>
      <c r="P742" s="13">
        <f t="shared" si="152"/>
        <v>960304</v>
      </c>
      <c r="Q742" s="13">
        <f t="shared" si="153"/>
        <v>950257</v>
      </c>
      <c r="R742" s="33">
        <f t="shared" si="154"/>
        <v>-2.0960816085641154E-3</v>
      </c>
      <c r="S742" s="33">
        <f t="shared" si="155"/>
        <v>-1.0462311934554047E-2</v>
      </c>
    </row>
    <row r="743" spans="1:19" x14ac:dyDescent="0.25">
      <c r="A743" t="s">
        <v>40</v>
      </c>
      <c r="B743" s="65">
        <v>1</v>
      </c>
      <c r="C743" t="s">
        <v>15</v>
      </c>
      <c r="D743" s="67">
        <v>135</v>
      </c>
      <c r="E743" s="67">
        <v>135</v>
      </c>
      <c r="F743" s="67">
        <v>135</v>
      </c>
      <c r="G743" s="13">
        <f t="shared" si="143"/>
        <v>0</v>
      </c>
      <c r="H743" s="13">
        <f t="shared" si="144"/>
        <v>0</v>
      </c>
      <c r="I743" s="73">
        <f t="shared" si="145"/>
        <v>0</v>
      </c>
      <c r="J743" s="73">
        <f t="shared" si="146"/>
        <v>0</v>
      </c>
      <c r="K743" s="72" t="str">
        <f t="shared" si="147"/>
        <v>CHAWAN</v>
      </c>
      <c r="L743" s="72" t="str">
        <f t="shared" si="148"/>
        <v>JUNE-1-CHAWAN</v>
      </c>
      <c r="M743" s="73">
        <f t="shared" si="149"/>
        <v>0</v>
      </c>
      <c r="N743" s="73">
        <f t="shared" si="150"/>
        <v>0</v>
      </c>
      <c r="O743" s="13">
        <f t="shared" si="151"/>
        <v>952253</v>
      </c>
      <c r="P743" s="13">
        <f t="shared" si="152"/>
        <v>960304</v>
      </c>
      <c r="Q743" s="13">
        <f t="shared" si="153"/>
        <v>950257</v>
      </c>
      <c r="R743" s="33">
        <f t="shared" si="154"/>
        <v>-2.0960816085641154E-3</v>
      </c>
      <c r="S743" s="33">
        <f t="shared" si="155"/>
        <v>-1.0462311934554047E-2</v>
      </c>
    </row>
    <row r="744" spans="1:19" x14ac:dyDescent="0.25">
      <c r="A744" t="s">
        <v>40</v>
      </c>
      <c r="B744" s="65">
        <v>1</v>
      </c>
      <c r="C744" t="s">
        <v>15</v>
      </c>
      <c r="D744" s="67">
        <v>26</v>
      </c>
      <c r="E744" s="67">
        <v>26</v>
      </c>
      <c r="F744" s="67">
        <v>26</v>
      </c>
      <c r="G744" s="13">
        <f t="shared" si="143"/>
        <v>0</v>
      </c>
      <c r="H744" s="13">
        <f t="shared" si="144"/>
        <v>0</v>
      </c>
      <c r="I744" s="73">
        <f t="shared" si="145"/>
        <v>0</v>
      </c>
      <c r="J744" s="73">
        <f t="shared" si="146"/>
        <v>0</v>
      </c>
      <c r="K744" s="72" t="str">
        <f t="shared" si="147"/>
        <v>CHAWAN</v>
      </c>
      <c r="L744" s="72" t="str">
        <f t="shared" si="148"/>
        <v>JUNE-1-CHAWAN</v>
      </c>
      <c r="M744" s="73">
        <f t="shared" si="149"/>
        <v>0</v>
      </c>
      <c r="N744" s="73">
        <f t="shared" si="150"/>
        <v>0</v>
      </c>
      <c r="O744" s="13">
        <f t="shared" si="151"/>
        <v>952253</v>
      </c>
      <c r="P744" s="13">
        <f t="shared" si="152"/>
        <v>960304</v>
      </c>
      <c r="Q744" s="13">
        <f t="shared" si="153"/>
        <v>950257</v>
      </c>
      <c r="R744" s="33">
        <f t="shared" si="154"/>
        <v>-2.0960816085641154E-3</v>
      </c>
      <c r="S744" s="33">
        <f t="shared" si="155"/>
        <v>-1.0462311934554047E-2</v>
      </c>
    </row>
    <row r="745" spans="1:19" x14ac:dyDescent="0.25">
      <c r="A745" t="s">
        <v>40</v>
      </c>
      <c r="B745" s="65">
        <v>1</v>
      </c>
      <c r="C745" t="s">
        <v>15</v>
      </c>
      <c r="D745" s="67">
        <v>26</v>
      </c>
      <c r="E745" s="67">
        <v>26</v>
      </c>
      <c r="F745" s="67">
        <v>26</v>
      </c>
      <c r="G745" s="13">
        <f t="shared" si="143"/>
        <v>0</v>
      </c>
      <c r="H745" s="13">
        <f t="shared" si="144"/>
        <v>0</v>
      </c>
      <c r="I745" s="73">
        <f t="shared" si="145"/>
        <v>0</v>
      </c>
      <c r="J745" s="73">
        <f t="shared" si="146"/>
        <v>0</v>
      </c>
      <c r="K745" s="72" t="str">
        <f t="shared" si="147"/>
        <v>CHAWAN</v>
      </c>
      <c r="L745" s="72" t="str">
        <f t="shared" si="148"/>
        <v>JUNE-1-CHAWAN</v>
      </c>
      <c r="M745" s="73">
        <f t="shared" si="149"/>
        <v>0</v>
      </c>
      <c r="N745" s="73">
        <f t="shared" si="150"/>
        <v>0</v>
      </c>
      <c r="O745" s="13">
        <f t="shared" si="151"/>
        <v>952253</v>
      </c>
      <c r="P745" s="13">
        <f t="shared" si="152"/>
        <v>960304</v>
      </c>
      <c r="Q745" s="13">
        <f t="shared" si="153"/>
        <v>950257</v>
      </c>
      <c r="R745" s="33">
        <f t="shared" si="154"/>
        <v>-2.0960816085641154E-3</v>
      </c>
      <c r="S745" s="33">
        <f t="shared" si="155"/>
        <v>-1.0462311934554047E-2</v>
      </c>
    </row>
    <row r="746" spans="1:19" x14ac:dyDescent="0.25">
      <c r="A746" t="s">
        <v>40</v>
      </c>
      <c r="B746" s="65">
        <v>1</v>
      </c>
      <c r="C746" t="s">
        <v>15</v>
      </c>
      <c r="D746" s="67">
        <v>53</v>
      </c>
      <c r="E746" s="67">
        <v>53</v>
      </c>
      <c r="F746" s="67">
        <v>53</v>
      </c>
      <c r="G746" s="13">
        <f t="shared" si="143"/>
        <v>0</v>
      </c>
      <c r="H746" s="13">
        <f t="shared" si="144"/>
        <v>0</v>
      </c>
      <c r="I746" s="73">
        <f t="shared" si="145"/>
        <v>0</v>
      </c>
      <c r="J746" s="73">
        <f t="shared" si="146"/>
        <v>0</v>
      </c>
      <c r="K746" s="72" t="str">
        <f t="shared" si="147"/>
        <v>CHAWAN</v>
      </c>
      <c r="L746" s="72" t="str">
        <f t="shared" si="148"/>
        <v>JUNE-1-CHAWAN</v>
      </c>
      <c r="M746" s="73">
        <f t="shared" si="149"/>
        <v>0</v>
      </c>
      <c r="N746" s="73">
        <f t="shared" si="150"/>
        <v>0</v>
      </c>
      <c r="O746" s="13">
        <f t="shared" si="151"/>
        <v>952253</v>
      </c>
      <c r="P746" s="13">
        <f t="shared" si="152"/>
        <v>960304</v>
      </c>
      <c r="Q746" s="13">
        <f t="shared" si="153"/>
        <v>950257</v>
      </c>
      <c r="R746" s="33">
        <f t="shared" si="154"/>
        <v>-2.0960816085641154E-3</v>
      </c>
      <c r="S746" s="33">
        <f t="shared" si="155"/>
        <v>-1.0462311934554047E-2</v>
      </c>
    </row>
    <row r="747" spans="1:19" x14ac:dyDescent="0.25">
      <c r="A747" t="s">
        <v>40</v>
      </c>
      <c r="B747" s="65">
        <v>1</v>
      </c>
      <c r="C747" t="s">
        <v>15</v>
      </c>
      <c r="D747" s="67">
        <v>53</v>
      </c>
      <c r="E747" s="67">
        <v>53</v>
      </c>
      <c r="F747" s="67">
        <v>53</v>
      </c>
      <c r="G747" s="13">
        <f t="shared" si="143"/>
        <v>0</v>
      </c>
      <c r="H747" s="13">
        <f t="shared" si="144"/>
        <v>0</v>
      </c>
      <c r="I747" s="73">
        <f t="shared" si="145"/>
        <v>0</v>
      </c>
      <c r="J747" s="73">
        <f t="shared" si="146"/>
        <v>0</v>
      </c>
      <c r="K747" s="72" t="str">
        <f t="shared" si="147"/>
        <v>CHAWAN</v>
      </c>
      <c r="L747" s="72" t="str">
        <f t="shared" si="148"/>
        <v>JUNE-1-CHAWAN</v>
      </c>
      <c r="M747" s="73">
        <f t="shared" si="149"/>
        <v>0</v>
      </c>
      <c r="N747" s="73">
        <f t="shared" si="150"/>
        <v>0</v>
      </c>
      <c r="O747" s="13">
        <f t="shared" si="151"/>
        <v>952253</v>
      </c>
      <c r="P747" s="13">
        <f t="shared" si="152"/>
        <v>960304</v>
      </c>
      <c r="Q747" s="13">
        <f t="shared" si="153"/>
        <v>950257</v>
      </c>
      <c r="R747" s="33">
        <f t="shared" si="154"/>
        <v>-2.0960816085641154E-3</v>
      </c>
      <c r="S747" s="33">
        <f t="shared" si="155"/>
        <v>-1.0462311934554047E-2</v>
      </c>
    </row>
    <row r="748" spans="1:19" x14ac:dyDescent="0.25">
      <c r="A748" t="s">
        <v>40</v>
      </c>
      <c r="B748" s="65">
        <v>1</v>
      </c>
      <c r="C748" t="s">
        <v>15</v>
      </c>
      <c r="D748" s="67">
        <v>29</v>
      </c>
      <c r="E748" s="67">
        <v>29</v>
      </c>
      <c r="F748" s="67">
        <v>29</v>
      </c>
      <c r="G748" s="13">
        <f t="shared" si="143"/>
        <v>0</v>
      </c>
      <c r="H748" s="13">
        <f t="shared" si="144"/>
        <v>0</v>
      </c>
      <c r="I748" s="73">
        <f t="shared" si="145"/>
        <v>0</v>
      </c>
      <c r="J748" s="73">
        <f t="shared" si="146"/>
        <v>0</v>
      </c>
      <c r="K748" s="72" t="str">
        <f t="shared" si="147"/>
        <v>CHAWAN</v>
      </c>
      <c r="L748" s="72" t="str">
        <f t="shared" si="148"/>
        <v>JUNE-1-CHAWAN</v>
      </c>
      <c r="M748" s="73">
        <f t="shared" si="149"/>
        <v>0</v>
      </c>
      <c r="N748" s="73">
        <f t="shared" si="150"/>
        <v>0</v>
      </c>
      <c r="O748" s="13">
        <f t="shared" si="151"/>
        <v>952253</v>
      </c>
      <c r="P748" s="13">
        <f t="shared" si="152"/>
        <v>960304</v>
      </c>
      <c r="Q748" s="13">
        <f t="shared" si="153"/>
        <v>950257</v>
      </c>
      <c r="R748" s="33">
        <f t="shared" si="154"/>
        <v>-2.0960816085641154E-3</v>
      </c>
      <c r="S748" s="33">
        <f t="shared" si="155"/>
        <v>-1.0462311934554047E-2</v>
      </c>
    </row>
    <row r="749" spans="1:19" x14ac:dyDescent="0.25">
      <c r="A749" t="s">
        <v>40</v>
      </c>
      <c r="B749" s="65">
        <v>1</v>
      </c>
      <c r="C749" t="s">
        <v>15</v>
      </c>
      <c r="D749" s="67">
        <v>29</v>
      </c>
      <c r="E749" s="67">
        <v>29</v>
      </c>
      <c r="F749" s="67">
        <v>29</v>
      </c>
      <c r="G749" s="13">
        <f t="shared" si="143"/>
        <v>0</v>
      </c>
      <c r="H749" s="13">
        <f t="shared" si="144"/>
        <v>0</v>
      </c>
      <c r="I749" s="73">
        <f t="shared" si="145"/>
        <v>0</v>
      </c>
      <c r="J749" s="73">
        <f t="shared" si="146"/>
        <v>0</v>
      </c>
      <c r="K749" s="72" t="str">
        <f t="shared" si="147"/>
        <v>CHAWAN</v>
      </c>
      <c r="L749" s="72" t="str">
        <f t="shared" si="148"/>
        <v>JUNE-1-CHAWAN</v>
      </c>
      <c r="M749" s="73">
        <f t="shared" si="149"/>
        <v>0</v>
      </c>
      <c r="N749" s="73">
        <f t="shared" si="150"/>
        <v>0</v>
      </c>
      <c r="O749" s="13">
        <f t="shared" si="151"/>
        <v>952253</v>
      </c>
      <c r="P749" s="13">
        <f t="shared" si="152"/>
        <v>960304</v>
      </c>
      <c r="Q749" s="13">
        <f t="shared" si="153"/>
        <v>950257</v>
      </c>
      <c r="R749" s="33">
        <f t="shared" si="154"/>
        <v>-2.0960816085641154E-3</v>
      </c>
      <c r="S749" s="33">
        <f t="shared" si="155"/>
        <v>-1.0462311934554047E-2</v>
      </c>
    </row>
    <row r="750" spans="1:19" x14ac:dyDescent="0.25">
      <c r="A750" t="s">
        <v>40</v>
      </c>
      <c r="B750" s="65">
        <v>1</v>
      </c>
      <c r="C750" t="s">
        <v>10</v>
      </c>
      <c r="D750" s="67">
        <v>354</v>
      </c>
      <c r="E750" s="67">
        <v>354</v>
      </c>
      <c r="F750" s="67">
        <v>354</v>
      </c>
      <c r="G750" s="13">
        <f t="shared" si="143"/>
        <v>0</v>
      </c>
      <c r="H750" s="13">
        <f t="shared" si="144"/>
        <v>0</v>
      </c>
      <c r="I750" s="73">
        <f t="shared" si="145"/>
        <v>0</v>
      </c>
      <c r="J750" s="73">
        <f t="shared" si="146"/>
        <v>0</v>
      </c>
      <c r="K750" s="72" t="str">
        <f t="shared" si="147"/>
        <v>CNJ2</v>
      </c>
      <c r="L750" s="72" t="str">
        <f t="shared" si="148"/>
        <v>JUNE-1-CNJ2</v>
      </c>
      <c r="M750" s="73">
        <f t="shared" si="149"/>
        <v>-9.936444697400848E-3</v>
      </c>
      <c r="N750" s="73">
        <f t="shared" si="150"/>
        <v>-0.14512717832255273</v>
      </c>
      <c r="O750" s="13">
        <f t="shared" si="151"/>
        <v>952253</v>
      </c>
      <c r="P750" s="13">
        <f t="shared" si="152"/>
        <v>960304</v>
      </c>
      <c r="Q750" s="13">
        <f t="shared" si="153"/>
        <v>950257</v>
      </c>
      <c r="R750" s="33">
        <f t="shared" si="154"/>
        <v>-2.0960816085641154E-3</v>
      </c>
      <c r="S750" s="33">
        <f t="shared" si="155"/>
        <v>-1.0462311934554047E-2</v>
      </c>
    </row>
    <row r="751" spans="1:19" x14ac:dyDescent="0.25">
      <c r="A751" t="s">
        <v>40</v>
      </c>
      <c r="B751" s="65">
        <v>1</v>
      </c>
      <c r="C751" t="s">
        <v>10</v>
      </c>
      <c r="D751" s="67">
        <v>141</v>
      </c>
      <c r="E751" s="67">
        <v>141</v>
      </c>
      <c r="F751" s="67">
        <v>141</v>
      </c>
      <c r="G751" s="13">
        <f t="shared" si="143"/>
        <v>0</v>
      </c>
      <c r="H751" s="13">
        <f t="shared" si="144"/>
        <v>0</v>
      </c>
      <c r="I751" s="73">
        <f t="shared" si="145"/>
        <v>0</v>
      </c>
      <c r="J751" s="73">
        <f t="shared" si="146"/>
        <v>0</v>
      </c>
      <c r="K751" s="72" t="str">
        <f t="shared" si="147"/>
        <v>CNJ2</v>
      </c>
      <c r="L751" s="72" t="str">
        <f t="shared" si="148"/>
        <v>JUNE-1-CNJ2</v>
      </c>
      <c r="M751" s="73">
        <f t="shared" si="149"/>
        <v>-9.936444697400848E-3</v>
      </c>
      <c r="N751" s="73">
        <f t="shared" si="150"/>
        <v>-0.14512717832255273</v>
      </c>
      <c r="O751" s="13">
        <f t="shared" si="151"/>
        <v>952253</v>
      </c>
      <c r="P751" s="13">
        <f t="shared" si="152"/>
        <v>960304</v>
      </c>
      <c r="Q751" s="13">
        <f t="shared" si="153"/>
        <v>950257</v>
      </c>
      <c r="R751" s="33">
        <f t="shared" si="154"/>
        <v>-2.0960816085641154E-3</v>
      </c>
      <c r="S751" s="33">
        <f t="shared" si="155"/>
        <v>-1.0462311934554047E-2</v>
      </c>
    </row>
    <row r="752" spans="1:19" x14ac:dyDescent="0.25">
      <c r="A752" t="s">
        <v>40</v>
      </c>
      <c r="B752" s="65">
        <v>1</v>
      </c>
      <c r="C752" t="s">
        <v>10</v>
      </c>
      <c r="D752" s="67">
        <v>96</v>
      </c>
      <c r="E752" s="67">
        <v>96</v>
      </c>
      <c r="F752" s="67">
        <v>96</v>
      </c>
      <c r="G752" s="13">
        <f t="shared" si="143"/>
        <v>0</v>
      </c>
      <c r="H752" s="13">
        <f t="shared" si="144"/>
        <v>0</v>
      </c>
      <c r="I752" s="73">
        <f t="shared" si="145"/>
        <v>0</v>
      </c>
      <c r="J752" s="73">
        <f t="shared" si="146"/>
        <v>0</v>
      </c>
      <c r="K752" s="72" t="str">
        <f t="shared" si="147"/>
        <v>CNJ2</v>
      </c>
      <c r="L752" s="72" t="str">
        <f t="shared" si="148"/>
        <v>JUNE-1-CNJ2</v>
      </c>
      <c r="M752" s="73">
        <f t="shared" si="149"/>
        <v>-9.936444697400848E-3</v>
      </c>
      <c r="N752" s="73">
        <f t="shared" si="150"/>
        <v>-0.14512717832255273</v>
      </c>
      <c r="O752" s="13">
        <f t="shared" si="151"/>
        <v>952253</v>
      </c>
      <c r="P752" s="13">
        <f t="shared" si="152"/>
        <v>960304</v>
      </c>
      <c r="Q752" s="13">
        <f t="shared" si="153"/>
        <v>950257</v>
      </c>
      <c r="R752" s="33">
        <f t="shared" si="154"/>
        <v>-2.0960816085641154E-3</v>
      </c>
      <c r="S752" s="33">
        <f t="shared" si="155"/>
        <v>-1.0462311934554047E-2</v>
      </c>
    </row>
    <row r="753" spans="1:19" x14ac:dyDescent="0.25">
      <c r="A753" t="s">
        <v>40</v>
      </c>
      <c r="B753" s="65">
        <v>1</v>
      </c>
      <c r="C753" t="s">
        <v>10</v>
      </c>
      <c r="D753" s="67">
        <v>102</v>
      </c>
      <c r="E753" s="67">
        <v>102</v>
      </c>
      <c r="F753" s="67">
        <v>102</v>
      </c>
      <c r="G753" s="13">
        <f t="shared" si="143"/>
        <v>0</v>
      </c>
      <c r="H753" s="13">
        <f t="shared" si="144"/>
        <v>0</v>
      </c>
      <c r="I753" s="73">
        <f t="shared" si="145"/>
        <v>0</v>
      </c>
      <c r="J753" s="73">
        <f t="shared" si="146"/>
        <v>0</v>
      </c>
      <c r="K753" s="72" t="str">
        <f t="shared" si="147"/>
        <v>CNJ2</v>
      </c>
      <c r="L753" s="72" t="str">
        <f t="shared" si="148"/>
        <v>JUNE-1-CNJ2</v>
      </c>
      <c r="M753" s="73">
        <f t="shared" si="149"/>
        <v>-9.936444697400848E-3</v>
      </c>
      <c r="N753" s="73">
        <f t="shared" si="150"/>
        <v>-0.14512717832255273</v>
      </c>
      <c r="O753" s="13">
        <f t="shared" si="151"/>
        <v>952253</v>
      </c>
      <c r="P753" s="13">
        <f t="shared" si="152"/>
        <v>960304</v>
      </c>
      <c r="Q753" s="13">
        <f t="shared" si="153"/>
        <v>950257</v>
      </c>
      <c r="R753" s="33">
        <f t="shared" si="154"/>
        <v>-2.0960816085641154E-3</v>
      </c>
      <c r="S753" s="33">
        <f t="shared" si="155"/>
        <v>-1.0462311934554047E-2</v>
      </c>
    </row>
    <row r="754" spans="1:19" x14ac:dyDescent="0.25">
      <c r="A754" t="s">
        <v>40</v>
      </c>
      <c r="B754" s="65">
        <v>1</v>
      </c>
      <c r="C754" t="s">
        <v>10</v>
      </c>
      <c r="D754" s="67">
        <v>354</v>
      </c>
      <c r="E754" s="67">
        <v>354</v>
      </c>
      <c r="F754" s="67">
        <v>354</v>
      </c>
      <c r="G754" s="13">
        <f t="shared" si="143"/>
        <v>0</v>
      </c>
      <c r="H754" s="13">
        <f t="shared" si="144"/>
        <v>0</v>
      </c>
      <c r="I754" s="73">
        <f t="shared" si="145"/>
        <v>0</v>
      </c>
      <c r="J754" s="73">
        <f t="shared" si="146"/>
        <v>0</v>
      </c>
      <c r="K754" s="72" t="str">
        <f t="shared" si="147"/>
        <v>CNJ2</v>
      </c>
      <c r="L754" s="72" t="str">
        <f t="shared" si="148"/>
        <v>JUNE-1-CNJ2</v>
      </c>
      <c r="M754" s="73">
        <f t="shared" si="149"/>
        <v>-9.936444697400848E-3</v>
      </c>
      <c r="N754" s="73">
        <f t="shared" si="150"/>
        <v>-0.14512717832255273</v>
      </c>
      <c r="O754" s="13">
        <f t="shared" si="151"/>
        <v>952253</v>
      </c>
      <c r="P754" s="13">
        <f t="shared" si="152"/>
        <v>960304</v>
      </c>
      <c r="Q754" s="13">
        <f t="shared" si="153"/>
        <v>950257</v>
      </c>
      <c r="R754" s="33">
        <f t="shared" si="154"/>
        <v>-2.0960816085641154E-3</v>
      </c>
      <c r="S754" s="33">
        <f t="shared" si="155"/>
        <v>-1.0462311934554047E-2</v>
      </c>
    </row>
    <row r="755" spans="1:19" x14ac:dyDescent="0.25">
      <c r="A755" t="s">
        <v>40</v>
      </c>
      <c r="B755" s="65">
        <v>1</v>
      </c>
      <c r="C755" t="s">
        <v>10</v>
      </c>
      <c r="D755" s="67">
        <v>141</v>
      </c>
      <c r="E755" s="67">
        <v>141</v>
      </c>
      <c r="F755" s="67">
        <v>141</v>
      </c>
      <c r="G755" s="13">
        <f t="shared" si="143"/>
        <v>0</v>
      </c>
      <c r="H755" s="13">
        <f t="shared" si="144"/>
        <v>0</v>
      </c>
      <c r="I755" s="73">
        <f t="shared" si="145"/>
        <v>0</v>
      </c>
      <c r="J755" s="73">
        <f t="shared" si="146"/>
        <v>0</v>
      </c>
      <c r="K755" s="72" t="str">
        <f t="shared" si="147"/>
        <v>CNJ2</v>
      </c>
      <c r="L755" s="72" t="str">
        <f t="shared" si="148"/>
        <v>JUNE-1-CNJ2</v>
      </c>
      <c r="M755" s="73">
        <f t="shared" si="149"/>
        <v>-9.936444697400848E-3</v>
      </c>
      <c r="N755" s="73">
        <f t="shared" si="150"/>
        <v>-0.14512717832255273</v>
      </c>
      <c r="O755" s="13">
        <f t="shared" si="151"/>
        <v>952253</v>
      </c>
      <c r="P755" s="13">
        <f t="shared" si="152"/>
        <v>960304</v>
      </c>
      <c r="Q755" s="13">
        <f t="shared" si="153"/>
        <v>950257</v>
      </c>
      <c r="R755" s="33">
        <f t="shared" si="154"/>
        <v>-2.0960816085641154E-3</v>
      </c>
      <c r="S755" s="33">
        <f t="shared" si="155"/>
        <v>-1.0462311934554047E-2</v>
      </c>
    </row>
    <row r="756" spans="1:19" x14ac:dyDescent="0.25">
      <c r="A756" t="s">
        <v>40</v>
      </c>
      <c r="B756" s="65">
        <v>1</v>
      </c>
      <c r="C756" t="s">
        <v>10</v>
      </c>
      <c r="D756" s="67">
        <v>96</v>
      </c>
      <c r="E756" s="67">
        <v>96</v>
      </c>
      <c r="F756" s="67">
        <v>96</v>
      </c>
      <c r="G756" s="13">
        <f t="shared" si="143"/>
        <v>0</v>
      </c>
      <c r="H756" s="13">
        <f t="shared" si="144"/>
        <v>0</v>
      </c>
      <c r="I756" s="73">
        <f t="shared" si="145"/>
        <v>0</v>
      </c>
      <c r="J756" s="73">
        <f t="shared" si="146"/>
        <v>0</v>
      </c>
      <c r="K756" s="72" t="str">
        <f t="shared" si="147"/>
        <v>CNJ2</v>
      </c>
      <c r="L756" s="72" t="str">
        <f t="shared" si="148"/>
        <v>JUNE-1-CNJ2</v>
      </c>
      <c r="M756" s="73">
        <f t="shared" si="149"/>
        <v>-9.936444697400848E-3</v>
      </c>
      <c r="N756" s="73">
        <f t="shared" si="150"/>
        <v>-0.14512717832255273</v>
      </c>
      <c r="O756" s="13">
        <f t="shared" si="151"/>
        <v>952253</v>
      </c>
      <c r="P756" s="13">
        <f t="shared" si="152"/>
        <v>960304</v>
      </c>
      <c r="Q756" s="13">
        <f t="shared" si="153"/>
        <v>950257</v>
      </c>
      <c r="R756" s="33">
        <f t="shared" si="154"/>
        <v>-2.0960816085641154E-3</v>
      </c>
      <c r="S756" s="33">
        <f t="shared" si="155"/>
        <v>-1.0462311934554047E-2</v>
      </c>
    </row>
    <row r="757" spans="1:19" x14ac:dyDescent="0.25">
      <c r="A757" t="s">
        <v>40</v>
      </c>
      <c r="B757" s="65">
        <v>1</v>
      </c>
      <c r="C757" t="s">
        <v>10</v>
      </c>
      <c r="D757" s="67">
        <v>102</v>
      </c>
      <c r="E757" s="67">
        <v>102</v>
      </c>
      <c r="F757" s="67">
        <v>102</v>
      </c>
      <c r="G757" s="13">
        <f t="shared" si="143"/>
        <v>0</v>
      </c>
      <c r="H757" s="13">
        <f t="shared" si="144"/>
        <v>0</v>
      </c>
      <c r="I757" s="73">
        <f t="shared" si="145"/>
        <v>0</v>
      </c>
      <c r="J757" s="73">
        <f t="shared" si="146"/>
        <v>0</v>
      </c>
      <c r="K757" s="72" t="str">
        <f t="shared" si="147"/>
        <v>CNJ2</v>
      </c>
      <c r="L757" s="72" t="str">
        <f t="shared" si="148"/>
        <v>JUNE-1-CNJ2</v>
      </c>
      <c r="M757" s="73">
        <f t="shared" si="149"/>
        <v>-9.936444697400848E-3</v>
      </c>
      <c r="N757" s="73">
        <f t="shared" si="150"/>
        <v>-0.14512717832255273</v>
      </c>
      <c r="O757" s="13">
        <f t="shared" si="151"/>
        <v>952253</v>
      </c>
      <c r="P757" s="13">
        <f t="shared" si="152"/>
        <v>960304</v>
      </c>
      <c r="Q757" s="13">
        <f t="shared" si="153"/>
        <v>950257</v>
      </c>
      <c r="R757" s="33">
        <f t="shared" si="154"/>
        <v>-2.0960816085641154E-3</v>
      </c>
      <c r="S757" s="33">
        <f t="shared" si="155"/>
        <v>-1.0462311934554047E-2</v>
      </c>
    </row>
    <row r="758" spans="1:19" x14ac:dyDescent="0.25">
      <c r="A758" t="s">
        <v>40</v>
      </c>
      <c r="B758" s="65">
        <v>1</v>
      </c>
      <c r="C758" t="s">
        <v>15</v>
      </c>
      <c r="D758" s="67">
        <v>468</v>
      </c>
      <c r="E758" s="67">
        <v>468</v>
      </c>
      <c r="F758" s="67">
        <v>468</v>
      </c>
      <c r="G758" s="13">
        <f t="shared" si="143"/>
        <v>0</v>
      </c>
      <c r="H758" s="13">
        <f t="shared" si="144"/>
        <v>0</v>
      </c>
      <c r="I758" s="73">
        <f t="shared" si="145"/>
        <v>0</v>
      </c>
      <c r="J758" s="73">
        <f t="shared" si="146"/>
        <v>0</v>
      </c>
      <c r="K758" s="72" t="str">
        <f t="shared" si="147"/>
        <v>CHAWAN</v>
      </c>
      <c r="L758" s="72" t="str">
        <f t="shared" si="148"/>
        <v>JUNE-1-CHAWAN</v>
      </c>
      <c r="M758" s="73">
        <f t="shared" si="149"/>
        <v>0</v>
      </c>
      <c r="N758" s="73">
        <f t="shared" si="150"/>
        <v>0</v>
      </c>
      <c r="O758" s="13">
        <f t="shared" si="151"/>
        <v>952253</v>
      </c>
      <c r="P758" s="13">
        <f t="shared" si="152"/>
        <v>960304</v>
      </c>
      <c r="Q758" s="13">
        <f t="shared" si="153"/>
        <v>950257</v>
      </c>
      <c r="R758" s="33">
        <f t="shared" si="154"/>
        <v>-2.0960816085641154E-3</v>
      </c>
      <c r="S758" s="33">
        <f t="shared" si="155"/>
        <v>-1.0462311934554047E-2</v>
      </c>
    </row>
    <row r="759" spans="1:19" x14ac:dyDescent="0.25">
      <c r="A759" t="s">
        <v>40</v>
      </c>
      <c r="B759" s="65">
        <v>1</v>
      </c>
      <c r="C759" t="s">
        <v>15</v>
      </c>
      <c r="D759" s="67">
        <v>468</v>
      </c>
      <c r="E759" s="67">
        <v>468</v>
      </c>
      <c r="F759" s="67">
        <v>468</v>
      </c>
      <c r="G759" s="13">
        <f t="shared" si="143"/>
        <v>0</v>
      </c>
      <c r="H759" s="13">
        <f t="shared" si="144"/>
        <v>0</v>
      </c>
      <c r="I759" s="73">
        <f t="shared" si="145"/>
        <v>0</v>
      </c>
      <c r="J759" s="73">
        <f t="shared" si="146"/>
        <v>0</v>
      </c>
      <c r="K759" s="72" t="str">
        <f t="shared" si="147"/>
        <v>CHAWAN</v>
      </c>
      <c r="L759" s="72" t="str">
        <f t="shared" si="148"/>
        <v>JUNE-1-CHAWAN</v>
      </c>
      <c r="M759" s="73">
        <f t="shared" si="149"/>
        <v>0</v>
      </c>
      <c r="N759" s="73">
        <f t="shared" si="150"/>
        <v>0</v>
      </c>
      <c r="O759" s="13">
        <f t="shared" si="151"/>
        <v>952253</v>
      </c>
      <c r="P759" s="13">
        <f t="shared" si="152"/>
        <v>960304</v>
      </c>
      <c r="Q759" s="13">
        <f t="shared" si="153"/>
        <v>950257</v>
      </c>
      <c r="R759" s="33">
        <f t="shared" si="154"/>
        <v>-2.0960816085641154E-3</v>
      </c>
      <c r="S759" s="33">
        <f t="shared" si="155"/>
        <v>-1.0462311934554047E-2</v>
      </c>
    </row>
    <row r="760" spans="1:19" x14ac:dyDescent="0.25">
      <c r="A760" t="s">
        <v>40</v>
      </c>
      <c r="B760" s="65">
        <v>1</v>
      </c>
      <c r="C760" t="s">
        <v>15</v>
      </c>
      <c r="D760" s="67">
        <v>594</v>
      </c>
      <c r="E760" s="67">
        <v>594</v>
      </c>
      <c r="F760" s="67">
        <v>594</v>
      </c>
      <c r="G760" s="13">
        <f t="shared" si="143"/>
        <v>0</v>
      </c>
      <c r="H760" s="13">
        <f t="shared" si="144"/>
        <v>0</v>
      </c>
      <c r="I760" s="73">
        <f t="shared" si="145"/>
        <v>0</v>
      </c>
      <c r="J760" s="73">
        <f t="shared" si="146"/>
        <v>0</v>
      </c>
      <c r="K760" s="72" t="str">
        <f t="shared" si="147"/>
        <v>CHAWAN</v>
      </c>
      <c r="L760" s="72" t="str">
        <f t="shared" si="148"/>
        <v>JUNE-1-CHAWAN</v>
      </c>
      <c r="M760" s="73">
        <f t="shared" si="149"/>
        <v>0</v>
      </c>
      <c r="N760" s="73">
        <f t="shared" si="150"/>
        <v>0</v>
      </c>
      <c r="O760" s="13">
        <f t="shared" si="151"/>
        <v>952253</v>
      </c>
      <c r="P760" s="13">
        <f t="shared" si="152"/>
        <v>960304</v>
      </c>
      <c r="Q760" s="13">
        <f t="shared" si="153"/>
        <v>950257</v>
      </c>
      <c r="R760" s="33">
        <f t="shared" si="154"/>
        <v>-2.0960816085641154E-3</v>
      </c>
      <c r="S760" s="33">
        <f t="shared" si="155"/>
        <v>-1.0462311934554047E-2</v>
      </c>
    </row>
    <row r="761" spans="1:19" x14ac:dyDescent="0.25">
      <c r="A761" t="s">
        <v>40</v>
      </c>
      <c r="B761" s="65">
        <v>1</v>
      </c>
      <c r="C761" t="s">
        <v>15</v>
      </c>
      <c r="D761" s="67">
        <v>594</v>
      </c>
      <c r="E761" s="67">
        <v>594</v>
      </c>
      <c r="F761" s="67">
        <v>594</v>
      </c>
      <c r="G761" s="13">
        <f t="shared" si="143"/>
        <v>0</v>
      </c>
      <c r="H761" s="13">
        <f t="shared" si="144"/>
        <v>0</v>
      </c>
      <c r="I761" s="73">
        <f t="shared" si="145"/>
        <v>0</v>
      </c>
      <c r="J761" s="73">
        <f t="shared" si="146"/>
        <v>0</v>
      </c>
      <c r="K761" s="72" t="str">
        <f t="shared" si="147"/>
        <v>CHAWAN</v>
      </c>
      <c r="L761" s="72" t="str">
        <f t="shared" si="148"/>
        <v>JUNE-1-CHAWAN</v>
      </c>
      <c r="M761" s="73">
        <f t="shared" si="149"/>
        <v>0</v>
      </c>
      <c r="N761" s="73">
        <f t="shared" si="150"/>
        <v>0</v>
      </c>
      <c r="O761" s="13">
        <f t="shared" si="151"/>
        <v>952253</v>
      </c>
      <c r="P761" s="13">
        <f t="shared" si="152"/>
        <v>960304</v>
      </c>
      <c r="Q761" s="13">
        <f t="shared" si="153"/>
        <v>950257</v>
      </c>
      <c r="R761" s="33">
        <f t="shared" si="154"/>
        <v>-2.0960816085641154E-3</v>
      </c>
      <c r="S761" s="33">
        <f t="shared" si="155"/>
        <v>-1.0462311934554047E-2</v>
      </c>
    </row>
    <row r="762" spans="1:19" x14ac:dyDescent="0.25">
      <c r="A762" t="s">
        <v>40</v>
      </c>
      <c r="B762" s="65">
        <v>1</v>
      </c>
      <c r="C762" t="s">
        <v>15</v>
      </c>
      <c r="D762" s="67">
        <v>468</v>
      </c>
      <c r="E762" s="67">
        <v>468</v>
      </c>
      <c r="F762" s="67">
        <v>468</v>
      </c>
      <c r="G762" s="13">
        <f t="shared" si="143"/>
        <v>0</v>
      </c>
      <c r="H762" s="13">
        <f t="shared" si="144"/>
        <v>0</v>
      </c>
      <c r="I762" s="73">
        <f t="shared" si="145"/>
        <v>0</v>
      </c>
      <c r="J762" s="73">
        <f t="shared" si="146"/>
        <v>0</v>
      </c>
      <c r="K762" s="72" t="str">
        <f t="shared" si="147"/>
        <v>CHAWAN</v>
      </c>
      <c r="L762" s="72" t="str">
        <f t="shared" si="148"/>
        <v>JUNE-1-CHAWAN</v>
      </c>
      <c r="M762" s="73">
        <f t="shared" si="149"/>
        <v>0</v>
      </c>
      <c r="N762" s="73">
        <f t="shared" si="150"/>
        <v>0</v>
      </c>
      <c r="O762" s="13">
        <f t="shared" si="151"/>
        <v>952253</v>
      </c>
      <c r="P762" s="13">
        <f t="shared" si="152"/>
        <v>960304</v>
      </c>
      <c r="Q762" s="13">
        <f t="shared" si="153"/>
        <v>950257</v>
      </c>
      <c r="R762" s="33">
        <f t="shared" si="154"/>
        <v>-2.0960816085641154E-3</v>
      </c>
      <c r="S762" s="33">
        <f t="shared" si="155"/>
        <v>-1.0462311934554047E-2</v>
      </c>
    </row>
    <row r="763" spans="1:19" x14ac:dyDescent="0.25">
      <c r="A763" t="s">
        <v>40</v>
      </c>
      <c r="B763" s="65">
        <v>1</v>
      </c>
      <c r="C763" t="s">
        <v>15</v>
      </c>
      <c r="D763" s="67">
        <v>594</v>
      </c>
      <c r="E763" s="67">
        <v>594</v>
      </c>
      <c r="F763" s="67">
        <v>594</v>
      </c>
      <c r="G763" s="13">
        <f t="shared" si="143"/>
        <v>0</v>
      </c>
      <c r="H763" s="13">
        <f t="shared" si="144"/>
        <v>0</v>
      </c>
      <c r="I763" s="73">
        <f t="shared" si="145"/>
        <v>0</v>
      </c>
      <c r="J763" s="73">
        <f t="shared" si="146"/>
        <v>0</v>
      </c>
      <c r="K763" s="72" t="str">
        <f t="shared" si="147"/>
        <v>CHAWAN</v>
      </c>
      <c r="L763" s="72" t="str">
        <f t="shared" si="148"/>
        <v>JUNE-1-CHAWAN</v>
      </c>
      <c r="M763" s="73">
        <f t="shared" si="149"/>
        <v>0</v>
      </c>
      <c r="N763" s="73">
        <f t="shared" si="150"/>
        <v>0</v>
      </c>
      <c r="O763" s="13">
        <f t="shared" si="151"/>
        <v>952253</v>
      </c>
      <c r="P763" s="13">
        <f t="shared" si="152"/>
        <v>960304</v>
      </c>
      <c r="Q763" s="13">
        <f t="shared" si="153"/>
        <v>950257</v>
      </c>
      <c r="R763" s="33">
        <f t="shared" si="154"/>
        <v>-2.0960816085641154E-3</v>
      </c>
      <c r="S763" s="33">
        <f t="shared" si="155"/>
        <v>-1.0462311934554047E-2</v>
      </c>
    </row>
    <row r="764" spans="1:19" x14ac:dyDescent="0.25">
      <c r="A764" t="s">
        <v>40</v>
      </c>
      <c r="B764" s="65">
        <v>1</v>
      </c>
      <c r="C764" t="s">
        <v>15</v>
      </c>
      <c r="D764" s="67">
        <v>594</v>
      </c>
      <c r="E764" s="67">
        <v>594</v>
      </c>
      <c r="F764" s="67">
        <v>594</v>
      </c>
      <c r="G764" s="13">
        <f t="shared" si="143"/>
        <v>0</v>
      </c>
      <c r="H764" s="13">
        <f t="shared" si="144"/>
        <v>0</v>
      </c>
      <c r="I764" s="73">
        <f t="shared" si="145"/>
        <v>0</v>
      </c>
      <c r="J764" s="73">
        <f t="shared" si="146"/>
        <v>0</v>
      </c>
      <c r="K764" s="72" t="str">
        <f t="shared" si="147"/>
        <v>CHAWAN</v>
      </c>
      <c r="L764" s="72" t="str">
        <f t="shared" si="148"/>
        <v>JUNE-1-CHAWAN</v>
      </c>
      <c r="M764" s="73">
        <f t="shared" si="149"/>
        <v>0</v>
      </c>
      <c r="N764" s="73">
        <f t="shared" si="150"/>
        <v>0</v>
      </c>
      <c r="O764" s="13">
        <f t="shared" si="151"/>
        <v>952253</v>
      </c>
      <c r="P764" s="13">
        <f t="shared" si="152"/>
        <v>960304</v>
      </c>
      <c r="Q764" s="13">
        <f t="shared" si="153"/>
        <v>950257</v>
      </c>
      <c r="R764" s="33">
        <f t="shared" si="154"/>
        <v>-2.0960816085641154E-3</v>
      </c>
      <c r="S764" s="33">
        <f t="shared" si="155"/>
        <v>-1.0462311934554047E-2</v>
      </c>
    </row>
    <row r="765" spans="1:19" x14ac:dyDescent="0.25">
      <c r="A765" t="s">
        <v>40</v>
      </c>
      <c r="B765" s="65">
        <v>1</v>
      </c>
      <c r="C765" t="s">
        <v>10</v>
      </c>
      <c r="D765" s="67">
        <v>3750</v>
      </c>
      <c r="E765" s="67">
        <v>3750</v>
      </c>
      <c r="F765" s="67">
        <v>3750</v>
      </c>
      <c r="G765" s="13">
        <f t="shared" si="143"/>
        <v>0</v>
      </c>
      <c r="H765" s="13">
        <f t="shared" si="144"/>
        <v>0</v>
      </c>
      <c r="I765" s="73">
        <f t="shared" si="145"/>
        <v>0</v>
      </c>
      <c r="J765" s="73">
        <f t="shared" si="146"/>
        <v>0</v>
      </c>
      <c r="K765" s="72" t="str">
        <f t="shared" si="147"/>
        <v>CNJ2</v>
      </c>
      <c r="L765" s="72" t="str">
        <f t="shared" si="148"/>
        <v>JUNE-1-CNJ2</v>
      </c>
      <c r="M765" s="73">
        <f t="shared" si="149"/>
        <v>-9.936444697400848E-3</v>
      </c>
      <c r="N765" s="73">
        <f t="shared" si="150"/>
        <v>-0.14512717832255273</v>
      </c>
      <c r="O765" s="13">
        <f t="shared" si="151"/>
        <v>952253</v>
      </c>
      <c r="P765" s="13">
        <f t="shared" si="152"/>
        <v>960304</v>
      </c>
      <c r="Q765" s="13">
        <f t="shared" si="153"/>
        <v>950257</v>
      </c>
      <c r="R765" s="33">
        <f t="shared" si="154"/>
        <v>-2.0960816085641154E-3</v>
      </c>
      <c r="S765" s="33">
        <f t="shared" si="155"/>
        <v>-1.0462311934554047E-2</v>
      </c>
    </row>
    <row r="766" spans="1:19" x14ac:dyDescent="0.25">
      <c r="A766" t="s">
        <v>40</v>
      </c>
      <c r="B766" s="65">
        <v>1</v>
      </c>
      <c r="C766" t="s">
        <v>10</v>
      </c>
      <c r="D766" s="67">
        <v>3750</v>
      </c>
      <c r="E766" s="67">
        <v>3986</v>
      </c>
      <c r="F766" s="67">
        <v>3750</v>
      </c>
      <c r="G766" s="13">
        <f t="shared" si="143"/>
        <v>-236</v>
      </c>
      <c r="H766" s="13">
        <f t="shared" si="144"/>
        <v>0</v>
      </c>
      <c r="I766" s="73">
        <f t="shared" si="145"/>
        <v>0</v>
      </c>
      <c r="J766" s="73">
        <f t="shared" si="146"/>
        <v>-5.9207225288509746E-2</v>
      </c>
      <c r="K766" s="72" t="str">
        <f t="shared" si="147"/>
        <v>CNJ2</v>
      </c>
      <c r="L766" s="72" t="str">
        <f t="shared" si="148"/>
        <v>JUNE-1-CNJ2</v>
      </c>
      <c r="M766" s="73">
        <f t="shared" si="149"/>
        <v>-9.936444697400848E-3</v>
      </c>
      <c r="N766" s="73">
        <f t="shared" si="150"/>
        <v>-0.14512717832255273</v>
      </c>
      <c r="O766" s="13">
        <f t="shared" si="151"/>
        <v>952253</v>
      </c>
      <c r="P766" s="13">
        <f t="shared" si="152"/>
        <v>960304</v>
      </c>
      <c r="Q766" s="13">
        <f t="shared" si="153"/>
        <v>950257</v>
      </c>
      <c r="R766" s="33">
        <f t="shared" si="154"/>
        <v>-2.0960816085641154E-3</v>
      </c>
      <c r="S766" s="33">
        <f t="shared" si="155"/>
        <v>-1.0462311934554047E-2</v>
      </c>
    </row>
    <row r="767" spans="1:19" x14ac:dyDescent="0.25">
      <c r="A767" t="s">
        <v>40</v>
      </c>
      <c r="B767" s="65">
        <v>1</v>
      </c>
      <c r="C767" t="s">
        <v>11</v>
      </c>
      <c r="D767" s="67">
        <v>1037</v>
      </c>
      <c r="E767" s="67">
        <v>1042</v>
      </c>
      <c r="F767" s="67">
        <v>1035</v>
      </c>
      <c r="G767" s="13">
        <f t="shared" si="143"/>
        <v>-7</v>
      </c>
      <c r="H767" s="13">
        <f t="shared" si="144"/>
        <v>-2</v>
      </c>
      <c r="I767" s="73">
        <f t="shared" si="145"/>
        <v>-1.9286403085824189E-3</v>
      </c>
      <c r="J767" s="73">
        <f t="shared" si="146"/>
        <v>-6.7178502879078339E-3</v>
      </c>
      <c r="K767" s="72" t="str">
        <f t="shared" si="147"/>
        <v>MAJA1</v>
      </c>
      <c r="L767" s="72" t="str">
        <f t="shared" si="148"/>
        <v>JUNE-1-MAJA1</v>
      </c>
      <c r="M767" s="73">
        <f t="shared" si="149"/>
        <v>0.17941338872197221</v>
      </c>
      <c r="N767" s="73">
        <f t="shared" si="150"/>
        <v>-0.14065273139169199</v>
      </c>
      <c r="O767" s="13">
        <f t="shared" si="151"/>
        <v>952253</v>
      </c>
      <c r="P767" s="13">
        <f t="shared" si="152"/>
        <v>960304</v>
      </c>
      <c r="Q767" s="13">
        <f t="shared" si="153"/>
        <v>950257</v>
      </c>
      <c r="R767" s="33">
        <f t="shared" si="154"/>
        <v>-2.0960816085641154E-3</v>
      </c>
      <c r="S767" s="33">
        <f t="shared" si="155"/>
        <v>-1.0462311934554047E-2</v>
      </c>
    </row>
    <row r="768" spans="1:19" x14ac:dyDescent="0.25">
      <c r="A768" t="s">
        <v>40</v>
      </c>
      <c r="B768" s="65">
        <v>1</v>
      </c>
      <c r="C768" t="s">
        <v>11</v>
      </c>
      <c r="D768" s="67">
        <v>2002</v>
      </c>
      <c r="E768" s="67">
        <v>2006</v>
      </c>
      <c r="F768" s="67">
        <v>1994</v>
      </c>
      <c r="G768" s="13">
        <f t="shared" si="143"/>
        <v>-12</v>
      </c>
      <c r="H768" s="13">
        <f t="shared" si="144"/>
        <v>-8</v>
      </c>
      <c r="I768" s="73">
        <f t="shared" si="145"/>
        <v>-3.9960039960039717E-3</v>
      </c>
      <c r="J768" s="73">
        <f t="shared" si="146"/>
        <v>-5.9820538384844912E-3</v>
      </c>
      <c r="K768" s="72" t="str">
        <f t="shared" si="147"/>
        <v>MAJA1</v>
      </c>
      <c r="L768" s="72" t="str">
        <f t="shared" si="148"/>
        <v>JUNE-1-MAJA1</v>
      </c>
      <c r="M768" s="73">
        <f t="shared" si="149"/>
        <v>0.17941338872197221</v>
      </c>
      <c r="N768" s="73">
        <f t="shared" si="150"/>
        <v>-0.14065273139169199</v>
      </c>
      <c r="O768" s="13">
        <f t="shared" si="151"/>
        <v>952253</v>
      </c>
      <c r="P768" s="13">
        <f t="shared" si="152"/>
        <v>960304</v>
      </c>
      <c r="Q768" s="13">
        <f t="shared" si="153"/>
        <v>950257</v>
      </c>
      <c r="R768" s="33">
        <f t="shared" si="154"/>
        <v>-2.0960816085641154E-3</v>
      </c>
      <c r="S768" s="33">
        <f t="shared" si="155"/>
        <v>-1.0462311934554047E-2</v>
      </c>
    </row>
    <row r="769" spans="1:19" x14ac:dyDescent="0.25">
      <c r="A769" t="s">
        <v>40</v>
      </c>
      <c r="B769" s="65">
        <v>1</v>
      </c>
      <c r="C769" t="s">
        <v>11</v>
      </c>
      <c r="D769" s="67">
        <v>1002</v>
      </c>
      <c r="E769" s="67">
        <v>1004</v>
      </c>
      <c r="F769" s="67">
        <v>1002</v>
      </c>
      <c r="G769" s="13">
        <f t="shared" si="143"/>
        <v>-2</v>
      </c>
      <c r="H769" s="13">
        <f t="shared" si="144"/>
        <v>0</v>
      </c>
      <c r="I769" s="73">
        <f t="shared" si="145"/>
        <v>0</v>
      </c>
      <c r="J769" s="73">
        <f t="shared" si="146"/>
        <v>-1.9920318725099584E-3</v>
      </c>
      <c r="K769" s="72" t="str">
        <f t="shared" si="147"/>
        <v>MAJA1</v>
      </c>
      <c r="L769" s="72" t="str">
        <f t="shared" si="148"/>
        <v>JUNE-1-MAJA1</v>
      </c>
      <c r="M769" s="73">
        <f t="shared" si="149"/>
        <v>0.17941338872197221</v>
      </c>
      <c r="N769" s="73">
        <f t="shared" si="150"/>
        <v>-0.14065273139169199</v>
      </c>
      <c r="O769" s="13">
        <f t="shared" si="151"/>
        <v>952253</v>
      </c>
      <c r="P769" s="13">
        <f t="shared" si="152"/>
        <v>960304</v>
      </c>
      <c r="Q769" s="13">
        <f t="shared" si="153"/>
        <v>950257</v>
      </c>
      <c r="R769" s="33">
        <f t="shared" si="154"/>
        <v>-2.0960816085641154E-3</v>
      </c>
      <c r="S769" s="33">
        <f t="shared" si="155"/>
        <v>-1.0462311934554047E-2</v>
      </c>
    </row>
    <row r="770" spans="1:19" x14ac:dyDescent="0.25">
      <c r="A770" t="s">
        <v>40</v>
      </c>
      <c r="B770" s="65">
        <v>1</v>
      </c>
      <c r="C770" t="s">
        <v>70</v>
      </c>
      <c r="D770" s="67">
        <v>1000</v>
      </c>
      <c r="E770" s="67">
        <v>1007</v>
      </c>
      <c r="F770" s="67">
        <v>1000</v>
      </c>
      <c r="G770" s="13">
        <f t="shared" ref="G770:G833" si="156">F770-E770</f>
        <v>-7</v>
      </c>
      <c r="H770" s="13">
        <f t="shared" ref="H770:H833" si="157">F770-D770</f>
        <v>0</v>
      </c>
      <c r="I770" s="73">
        <f t="shared" ref="I770:I833" si="158">F770/D770-1</f>
        <v>0</v>
      </c>
      <c r="J770" s="73">
        <f t="shared" ref="J770:J833" si="159">F770/E770-1</f>
        <v>-6.9513406156901381E-3</v>
      </c>
      <c r="K770" s="72" t="str">
        <f t="shared" ref="K770:K833" si="160">CLEAN(SUBSTITUTE(C770," ",""))</f>
        <v>CLN</v>
      </c>
      <c r="L770" s="72" t="str">
        <f t="shared" ref="L770:L833" si="161">A770&amp;"-"&amp;B770&amp;"-"&amp;K770</f>
        <v>JUNE-1-CLN</v>
      </c>
      <c r="M770" s="73">
        <f t="shared" ref="M770:M833" si="162">SUMIF($L$2:$L$1396,L770,$I$2:$I$1396)</f>
        <v>0</v>
      </c>
      <c r="N770" s="73">
        <f t="shared" ref="N770:N833" si="163">SUMIF($L$2:$L$1396,L770,$J$2:$J$1396)</f>
        <v>-6.9513406156901381E-3</v>
      </c>
      <c r="O770" s="13">
        <f t="shared" ref="O770:O833" si="164">SUMIF($A$2:$A$1396,A770,$D$2:$D$1396)</f>
        <v>952253</v>
      </c>
      <c r="P770" s="13">
        <f t="shared" ref="P770:P833" si="165">SUMIF($A$2:$A$1396,A770,$E$2:$E$1396)</f>
        <v>960304</v>
      </c>
      <c r="Q770" s="13">
        <f t="shared" ref="Q770:Q833" si="166">SUMIF($A$2:$A$1396,A770,$F$2:$F$1396)</f>
        <v>950257</v>
      </c>
      <c r="R770" s="33">
        <f t="shared" ref="R770:R833" si="167">Q770/O770-1</f>
        <v>-2.0960816085641154E-3</v>
      </c>
      <c r="S770" s="33">
        <f t="shared" ref="S770:S833" si="168">Q770/P770-1</f>
        <v>-1.0462311934554047E-2</v>
      </c>
    </row>
    <row r="771" spans="1:19" x14ac:dyDescent="0.25">
      <c r="A771" t="s">
        <v>40</v>
      </c>
      <c r="B771" s="65">
        <v>1</v>
      </c>
      <c r="C771" t="s">
        <v>16</v>
      </c>
      <c r="D771" s="67">
        <v>450</v>
      </c>
      <c r="E771" s="67">
        <v>458</v>
      </c>
      <c r="F771" s="67">
        <v>458</v>
      </c>
      <c r="G771" s="13">
        <f t="shared" si="156"/>
        <v>0</v>
      </c>
      <c r="H771" s="13">
        <f t="shared" si="157"/>
        <v>8</v>
      </c>
      <c r="I771" s="73">
        <f t="shared" si="158"/>
        <v>1.777777777777767E-2</v>
      </c>
      <c r="J771" s="73">
        <f t="shared" si="159"/>
        <v>0</v>
      </c>
      <c r="K771" s="72" t="str">
        <f t="shared" si="160"/>
        <v>ANUGERAH</v>
      </c>
      <c r="L771" s="72" t="str">
        <f t="shared" si="161"/>
        <v>JUNE-1-ANUGERAH</v>
      </c>
      <c r="M771" s="73">
        <f t="shared" si="162"/>
        <v>0.10444444444444434</v>
      </c>
      <c r="N771" s="73">
        <f t="shared" si="163"/>
        <v>-7.7873718294657279E-2</v>
      </c>
      <c r="O771" s="13">
        <f t="shared" si="164"/>
        <v>952253</v>
      </c>
      <c r="P771" s="13">
        <f t="shared" si="165"/>
        <v>960304</v>
      </c>
      <c r="Q771" s="13">
        <f t="shared" si="166"/>
        <v>950257</v>
      </c>
      <c r="R771" s="33">
        <f t="shared" si="167"/>
        <v>-2.0960816085641154E-3</v>
      </c>
      <c r="S771" s="33">
        <f t="shared" si="168"/>
        <v>-1.0462311934554047E-2</v>
      </c>
    </row>
    <row r="772" spans="1:19" x14ac:dyDescent="0.25">
      <c r="A772" t="s">
        <v>40</v>
      </c>
      <c r="B772" s="65">
        <v>1</v>
      </c>
      <c r="C772" t="s">
        <v>16</v>
      </c>
      <c r="D772" s="67">
        <v>1050</v>
      </c>
      <c r="E772" s="67">
        <v>1090</v>
      </c>
      <c r="F772" s="67">
        <v>1050</v>
      </c>
      <c r="G772" s="13">
        <f t="shared" si="156"/>
        <v>-40</v>
      </c>
      <c r="H772" s="13">
        <f t="shared" si="157"/>
        <v>0</v>
      </c>
      <c r="I772" s="73">
        <f t="shared" si="158"/>
        <v>0</v>
      </c>
      <c r="J772" s="73">
        <f t="shared" si="159"/>
        <v>-3.669724770642202E-2</v>
      </c>
      <c r="K772" s="72" t="str">
        <f t="shared" si="160"/>
        <v>ANUGERAH</v>
      </c>
      <c r="L772" s="72" t="str">
        <f t="shared" si="161"/>
        <v>JUNE-1-ANUGERAH</v>
      </c>
      <c r="M772" s="73">
        <f t="shared" si="162"/>
        <v>0.10444444444444434</v>
      </c>
      <c r="N772" s="73">
        <f t="shared" si="163"/>
        <v>-7.7873718294657279E-2</v>
      </c>
      <c r="O772" s="13">
        <f t="shared" si="164"/>
        <v>952253</v>
      </c>
      <c r="P772" s="13">
        <f t="shared" si="165"/>
        <v>960304</v>
      </c>
      <c r="Q772" s="13">
        <f t="shared" si="166"/>
        <v>950257</v>
      </c>
      <c r="R772" s="33">
        <f t="shared" si="167"/>
        <v>-2.0960816085641154E-3</v>
      </c>
      <c r="S772" s="33">
        <f t="shared" si="168"/>
        <v>-1.0462311934554047E-2</v>
      </c>
    </row>
    <row r="773" spans="1:19" x14ac:dyDescent="0.25">
      <c r="A773" t="s">
        <v>40</v>
      </c>
      <c r="B773" s="65">
        <v>1</v>
      </c>
      <c r="C773" t="s">
        <v>16</v>
      </c>
      <c r="D773" s="67">
        <v>450</v>
      </c>
      <c r="E773" s="67">
        <v>510</v>
      </c>
      <c r="F773" s="67">
        <v>489</v>
      </c>
      <c r="G773" s="13">
        <f t="shared" si="156"/>
        <v>-21</v>
      </c>
      <c r="H773" s="13">
        <f t="shared" si="157"/>
        <v>39</v>
      </c>
      <c r="I773" s="73">
        <f t="shared" si="158"/>
        <v>8.666666666666667E-2</v>
      </c>
      <c r="J773" s="73">
        <f t="shared" si="159"/>
        <v>-4.1176470588235259E-2</v>
      </c>
      <c r="K773" s="72" t="str">
        <f t="shared" si="160"/>
        <v>ANUGERAH</v>
      </c>
      <c r="L773" s="72" t="str">
        <f t="shared" si="161"/>
        <v>JUNE-1-ANUGERAH</v>
      </c>
      <c r="M773" s="73">
        <f t="shared" si="162"/>
        <v>0.10444444444444434</v>
      </c>
      <c r="N773" s="73">
        <f t="shared" si="163"/>
        <v>-7.7873718294657279E-2</v>
      </c>
      <c r="O773" s="13">
        <f t="shared" si="164"/>
        <v>952253</v>
      </c>
      <c r="P773" s="13">
        <f t="shared" si="165"/>
        <v>960304</v>
      </c>
      <c r="Q773" s="13">
        <f t="shared" si="166"/>
        <v>950257</v>
      </c>
      <c r="R773" s="33">
        <f t="shared" si="167"/>
        <v>-2.0960816085641154E-3</v>
      </c>
      <c r="S773" s="33">
        <f t="shared" si="168"/>
        <v>-1.0462311934554047E-2</v>
      </c>
    </row>
    <row r="774" spans="1:19" x14ac:dyDescent="0.25">
      <c r="A774" t="s">
        <v>40</v>
      </c>
      <c r="B774" s="65">
        <v>1</v>
      </c>
      <c r="C774" t="s">
        <v>16</v>
      </c>
      <c r="D774" s="67">
        <v>1050</v>
      </c>
      <c r="E774" s="67">
        <v>1050</v>
      </c>
      <c r="F774" s="67">
        <v>1050</v>
      </c>
      <c r="G774" s="13">
        <f t="shared" si="156"/>
        <v>0</v>
      </c>
      <c r="H774" s="13">
        <f t="shared" si="157"/>
        <v>0</v>
      </c>
      <c r="I774" s="73">
        <f t="shared" si="158"/>
        <v>0</v>
      </c>
      <c r="J774" s="73">
        <f t="shared" si="159"/>
        <v>0</v>
      </c>
      <c r="K774" s="72" t="str">
        <f t="shared" si="160"/>
        <v>ANUGERAH</v>
      </c>
      <c r="L774" s="72" t="str">
        <f t="shared" si="161"/>
        <v>JUNE-1-ANUGERAH</v>
      </c>
      <c r="M774" s="73">
        <f t="shared" si="162"/>
        <v>0.10444444444444434</v>
      </c>
      <c r="N774" s="73">
        <f t="shared" si="163"/>
        <v>-7.7873718294657279E-2</v>
      </c>
      <c r="O774" s="13">
        <f t="shared" si="164"/>
        <v>952253</v>
      </c>
      <c r="P774" s="13">
        <f t="shared" si="165"/>
        <v>960304</v>
      </c>
      <c r="Q774" s="13">
        <f t="shared" si="166"/>
        <v>950257</v>
      </c>
      <c r="R774" s="33">
        <f t="shared" si="167"/>
        <v>-2.0960816085641154E-3</v>
      </c>
      <c r="S774" s="33">
        <f t="shared" si="168"/>
        <v>-1.0462311934554047E-2</v>
      </c>
    </row>
    <row r="775" spans="1:19" x14ac:dyDescent="0.25">
      <c r="A775" t="s">
        <v>40</v>
      </c>
      <c r="B775" s="65">
        <v>2</v>
      </c>
      <c r="C775" t="s">
        <v>10</v>
      </c>
      <c r="D775" s="67">
        <v>50</v>
      </c>
      <c r="E775" s="67">
        <v>50</v>
      </c>
      <c r="F775" s="67">
        <v>50</v>
      </c>
      <c r="G775" s="13">
        <f t="shared" si="156"/>
        <v>0</v>
      </c>
      <c r="H775" s="13">
        <f t="shared" si="157"/>
        <v>0</v>
      </c>
      <c r="I775" s="73">
        <f t="shared" si="158"/>
        <v>0</v>
      </c>
      <c r="J775" s="73">
        <f t="shared" si="159"/>
        <v>0</v>
      </c>
      <c r="K775" s="72" t="str">
        <f t="shared" si="160"/>
        <v>CNJ2</v>
      </c>
      <c r="L775" s="72" t="str">
        <f t="shared" si="161"/>
        <v>JUNE-2-CNJ2</v>
      </c>
      <c r="M775" s="73">
        <f t="shared" si="162"/>
        <v>1.4366412213740465E-2</v>
      </c>
      <c r="N775" s="73">
        <f t="shared" si="163"/>
        <v>-0.10621064305633054</v>
      </c>
      <c r="O775" s="13">
        <f t="shared" si="164"/>
        <v>952253</v>
      </c>
      <c r="P775" s="13">
        <f t="shared" si="165"/>
        <v>960304</v>
      </c>
      <c r="Q775" s="13">
        <f t="shared" si="166"/>
        <v>950257</v>
      </c>
      <c r="R775" s="33">
        <f t="shared" si="167"/>
        <v>-2.0960816085641154E-3</v>
      </c>
      <c r="S775" s="33">
        <f t="shared" si="168"/>
        <v>-1.0462311934554047E-2</v>
      </c>
    </row>
    <row r="776" spans="1:19" x14ac:dyDescent="0.25">
      <c r="A776" t="s">
        <v>40</v>
      </c>
      <c r="B776" s="65">
        <v>2</v>
      </c>
      <c r="C776" t="s">
        <v>10</v>
      </c>
      <c r="D776" s="67">
        <v>16575</v>
      </c>
      <c r="E776" s="67">
        <v>16745</v>
      </c>
      <c r="F776" s="67">
        <v>16575</v>
      </c>
      <c r="G776" s="13">
        <f t="shared" si="156"/>
        <v>-170</v>
      </c>
      <c r="H776" s="13">
        <f t="shared" si="157"/>
        <v>0</v>
      </c>
      <c r="I776" s="73">
        <f t="shared" si="158"/>
        <v>0</v>
      </c>
      <c r="J776" s="73">
        <f t="shared" si="159"/>
        <v>-1.0152284263959421E-2</v>
      </c>
      <c r="K776" s="72" t="str">
        <f t="shared" si="160"/>
        <v>CNJ2</v>
      </c>
      <c r="L776" s="72" t="str">
        <f t="shared" si="161"/>
        <v>JUNE-2-CNJ2</v>
      </c>
      <c r="M776" s="73">
        <f t="shared" si="162"/>
        <v>1.4366412213740465E-2</v>
      </c>
      <c r="N776" s="73">
        <f t="shared" si="163"/>
        <v>-0.10621064305633054</v>
      </c>
      <c r="O776" s="13">
        <f t="shared" si="164"/>
        <v>952253</v>
      </c>
      <c r="P776" s="13">
        <f t="shared" si="165"/>
        <v>960304</v>
      </c>
      <c r="Q776" s="13">
        <f t="shared" si="166"/>
        <v>950257</v>
      </c>
      <c r="R776" s="33">
        <f t="shared" si="167"/>
        <v>-2.0960816085641154E-3</v>
      </c>
      <c r="S776" s="33">
        <f t="shared" si="168"/>
        <v>-1.0462311934554047E-2</v>
      </c>
    </row>
    <row r="777" spans="1:19" x14ac:dyDescent="0.25">
      <c r="A777" t="s">
        <v>40</v>
      </c>
      <c r="B777" s="65">
        <v>2</v>
      </c>
      <c r="C777" t="s">
        <v>10</v>
      </c>
      <c r="D777" s="67">
        <v>5920</v>
      </c>
      <c r="E777" s="67">
        <v>6090</v>
      </c>
      <c r="F777" s="67">
        <v>5920</v>
      </c>
      <c r="G777" s="13">
        <f t="shared" si="156"/>
        <v>-170</v>
      </c>
      <c r="H777" s="13">
        <f t="shared" si="157"/>
        <v>0</v>
      </c>
      <c r="I777" s="73">
        <f t="shared" si="158"/>
        <v>0</v>
      </c>
      <c r="J777" s="73">
        <f t="shared" si="159"/>
        <v>-2.7914614121510639E-2</v>
      </c>
      <c r="K777" s="72" t="str">
        <f t="shared" si="160"/>
        <v>CNJ2</v>
      </c>
      <c r="L777" s="72" t="str">
        <f t="shared" si="161"/>
        <v>JUNE-2-CNJ2</v>
      </c>
      <c r="M777" s="73">
        <f t="shared" si="162"/>
        <v>1.4366412213740465E-2</v>
      </c>
      <c r="N777" s="73">
        <f t="shared" si="163"/>
        <v>-0.10621064305633054</v>
      </c>
      <c r="O777" s="13">
        <f t="shared" si="164"/>
        <v>952253</v>
      </c>
      <c r="P777" s="13">
        <f t="shared" si="165"/>
        <v>960304</v>
      </c>
      <c r="Q777" s="13">
        <f t="shared" si="166"/>
        <v>950257</v>
      </c>
      <c r="R777" s="33">
        <f t="shared" si="167"/>
        <v>-2.0960816085641154E-3</v>
      </c>
      <c r="S777" s="33">
        <f t="shared" si="168"/>
        <v>-1.0462311934554047E-2</v>
      </c>
    </row>
    <row r="778" spans="1:19" x14ac:dyDescent="0.25">
      <c r="A778" t="s">
        <v>40</v>
      </c>
      <c r="B778" s="65">
        <v>2</v>
      </c>
      <c r="C778" t="s">
        <v>10</v>
      </c>
      <c r="D778" s="67">
        <v>4845</v>
      </c>
      <c r="E778" s="67">
        <v>4845</v>
      </c>
      <c r="F778" s="67">
        <v>4845</v>
      </c>
      <c r="G778" s="13">
        <f t="shared" si="156"/>
        <v>0</v>
      </c>
      <c r="H778" s="13">
        <f t="shared" si="157"/>
        <v>0</v>
      </c>
      <c r="I778" s="73">
        <f t="shared" si="158"/>
        <v>0</v>
      </c>
      <c r="J778" s="73">
        <f t="shared" si="159"/>
        <v>0</v>
      </c>
      <c r="K778" s="72" t="str">
        <f t="shared" si="160"/>
        <v>CNJ2</v>
      </c>
      <c r="L778" s="72" t="str">
        <f t="shared" si="161"/>
        <v>JUNE-2-CNJ2</v>
      </c>
      <c r="M778" s="73">
        <f t="shared" si="162"/>
        <v>1.4366412213740465E-2</v>
      </c>
      <c r="N778" s="73">
        <f t="shared" si="163"/>
        <v>-0.10621064305633054</v>
      </c>
      <c r="O778" s="13">
        <f t="shared" si="164"/>
        <v>952253</v>
      </c>
      <c r="P778" s="13">
        <f t="shared" si="165"/>
        <v>960304</v>
      </c>
      <c r="Q778" s="13">
        <f t="shared" si="166"/>
        <v>950257</v>
      </c>
      <c r="R778" s="33">
        <f t="shared" si="167"/>
        <v>-2.0960816085641154E-3</v>
      </c>
      <c r="S778" s="33">
        <f t="shared" si="168"/>
        <v>-1.0462311934554047E-2</v>
      </c>
    </row>
    <row r="779" spans="1:19" x14ac:dyDescent="0.25">
      <c r="A779" t="s">
        <v>40</v>
      </c>
      <c r="B779" s="65">
        <v>2</v>
      </c>
      <c r="C779" t="s">
        <v>10</v>
      </c>
      <c r="D779" s="67">
        <v>1645</v>
      </c>
      <c r="E779" s="67">
        <v>1645</v>
      </c>
      <c r="F779" s="67">
        <v>1645</v>
      </c>
      <c r="G779" s="13">
        <f t="shared" si="156"/>
        <v>0</v>
      </c>
      <c r="H779" s="13">
        <f t="shared" si="157"/>
        <v>0</v>
      </c>
      <c r="I779" s="73">
        <f t="shared" si="158"/>
        <v>0</v>
      </c>
      <c r="J779" s="73">
        <f t="shared" si="159"/>
        <v>0</v>
      </c>
      <c r="K779" s="72" t="str">
        <f t="shared" si="160"/>
        <v>CNJ2</v>
      </c>
      <c r="L779" s="72" t="str">
        <f t="shared" si="161"/>
        <v>JUNE-2-CNJ2</v>
      </c>
      <c r="M779" s="73">
        <f t="shared" si="162"/>
        <v>1.4366412213740465E-2</v>
      </c>
      <c r="N779" s="73">
        <f t="shared" si="163"/>
        <v>-0.10621064305633054</v>
      </c>
      <c r="O779" s="13">
        <f t="shared" si="164"/>
        <v>952253</v>
      </c>
      <c r="P779" s="13">
        <f t="shared" si="165"/>
        <v>960304</v>
      </c>
      <c r="Q779" s="13">
        <f t="shared" si="166"/>
        <v>950257</v>
      </c>
      <c r="R779" s="33">
        <f t="shared" si="167"/>
        <v>-2.0960816085641154E-3</v>
      </c>
      <c r="S779" s="33">
        <f t="shared" si="168"/>
        <v>-1.0462311934554047E-2</v>
      </c>
    </row>
    <row r="780" spans="1:19" x14ac:dyDescent="0.25">
      <c r="A780" t="s">
        <v>40</v>
      </c>
      <c r="B780" s="65">
        <v>2</v>
      </c>
      <c r="C780" t="s">
        <v>10</v>
      </c>
      <c r="D780" s="67">
        <v>465</v>
      </c>
      <c r="E780" s="67">
        <v>465</v>
      </c>
      <c r="F780" s="67">
        <v>465</v>
      </c>
      <c r="G780" s="13">
        <f t="shared" si="156"/>
        <v>0</v>
      </c>
      <c r="H780" s="13">
        <f t="shared" si="157"/>
        <v>0</v>
      </c>
      <c r="I780" s="73">
        <f t="shared" si="158"/>
        <v>0</v>
      </c>
      <c r="J780" s="73">
        <f t="shared" si="159"/>
        <v>0</v>
      </c>
      <c r="K780" s="72" t="str">
        <f t="shared" si="160"/>
        <v>CNJ2</v>
      </c>
      <c r="L780" s="72" t="str">
        <f t="shared" si="161"/>
        <v>JUNE-2-CNJ2</v>
      </c>
      <c r="M780" s="73">
        <f t="shared" si="162"/>
        <v>1.4366412213740465E-2</v>
      </c>
      <c r="N780" s="73">
        <f t="shared" si="163"/>
        <v>-0.10621064305633054</v>
      </c>
      <c r="O780" s="13">
        <f t="shared" si="164"/>
        <v>952253</v>
      </c>
      <c r="P780" s="13">
        <f t="shared" si="165"/>
        <v>960304</v>
      </c>
      <c r="Q780" s="13">
        <f t="shared" si="166"/>
        <v>950257</v>
      </c>
      <c r="R780" s="33">
        <f t="shared" si="167"/>
        <v>-2.0960816085641154E-3</v>
      </c>
      <c r="S780" s="33">
        <f t="shared" si="168"/>
        <v>-1.0462311934554047E-2</v>
      </c>
    </row>
    <row r="781" spans="1:19" x14ac:dyDescent="0.25">
      <c r="A781" t="s">
        <v>40</v>
      </c>
      <c r="B781" s="65">
        <v>2</v>
      </c>
      <c r="C781" t="s">
        <v>10</v>
      </c>
      <c r="D781" s="67">
        <v>1310</v>
      </c>
      <c r="E781" s="67">
        <v>1310</v>
      </c>
      <c r="F781" s="67">
        <v>1300</v>
      </c>
      <c r="G781" s="13">
        <f t="shared" si="156"/>
        <v>-10</v>
      </c>
      <c r="H781" s="13">
        <f t="shared" si="157"/>
        <v>-10</v>
      </c>
      <c r="I781" s="73">
        <f t="shared" si="158"/>
        <v>-7.6335877862595547E-3</v>
      </c>
      <c r="J781" s="73">
        <f t="shared" si="159"/>
        <v>-7.6335877862595547E-3</v>
      </c>
      <c r="K781" s="72" t="str">
        <f t="shared" si="160"/>
        <v>CNJ2</v>
      </c>
      <c r="L781" s="72" t="str">
        <f t="shared" si="161"/>
        <v>JUNE-2-CNJ2</v>
      </c>
      <c r="M781" s="73">
        <f t="shared" si="162"/>
        <v>1.4366412213740465E-2</v>
      </c>
      <c r="N781" s="73">
        <f t="shared" si="163"/>
        <v>-0.10621064305633054</v>
      </c>
      <c r="O781" s="13">
        <f t="shared" si="164"/>
        <v>952253</v>
      </c>
      <c r="P781" s="13">
        <f t="shared" si="165"/>
        <v>960304</v>
      </c>
      <c r="Q781" s="13">
        <f t="shared" si="166"/>
        <v>950257</v>
      </c>
      <c r="R781" s="33">
        <f t="shared" si="167"/>
        <v>-2.0960816085641154E-3</v>
      </c>
      <c r="S781" s="33">
        <f t="shared" si="168"/>
        <v>-1.0462311934554047E-2</v>
      </c>
    </row>
    <row r="782" spans="1:19" x14ac:dyDescent="0.25">
      <c r="A782" t="s">
        <v>40</v>
      </c>
      <c r="B782" s="65">
        <v>2</v>
      </c>
      <c r="C782" t="s">
        <v>10</v>
      </c>
      <c r="D782" s="67">
        <v>75</v>
      </c>
      <c r="E782" s="67">
        <v>75</v>
      </c>
      <c r="F782" s="67">
        <v>75</v>
      </c>
      <c r="G782" s="13">
        <f t="shared" si="156"/>
        <v>0</v>
      </c>
      <c r="H782" s="13">
        <f t="shared" si="157"/>
        <v>0</v>
      </c>
      <c r="I782" s="73">
        <f t="shared" si="158"/>
        <v>0</v>
      </c>
      <c r="J782" s="73">
        <f t="shared" si="159"/>
        <v>0</v>
      </c>
      <c r="K782" s="72" t="str">
        <f t="shared" si="160"/>
        <v>CNJ2</v>
      </c>
      <c r="L782" s="72" t="str">
        <f t="shared" si="161"/>
        <v>JUNE-2-CNJ2</v>
      </c>
      <c r="M782" s="73">
        <f t="shared" si="162"/>
        <v>1.4366412213740465E-2</v>
      </c>
      <c r="N782" s="73">
        <f t="shared" si="163"/>
        <v>-0.10621064305633054</v>
      </c>
      <c r="O782" s="13">
        <f t="shared" si="164"/>
        <v>952253</v>
      </c>
      <c r="P782" s="13">
        <f t="shared" si="165"/>
        <v>960304</v>
      </c>
      <c r="Q782" s="13">
        <f t="shared" si="166"/>
        <v>950257</v>
      </c>
      <c r="R782" s="33">
        <f t="shared" si="167"/>
        <v>-2.0960816085641154E-3</v>
      </c>
      <c r="S782" s="33">
        <f t="shared" si="168"/>
        <v>-1.0462311934554047E-2</v>
      </c>
    </row>
    <row r="783" spans="1:19" x14ac:dyDescent="0.25">
      <c r="A783" t="s">
        <v>40</v>
      </c>
      <c r="B783" s="65">
        <v>2</v>
      </c>
      <c r="C783" t="s">
        <v>10</v>
      </c>
      <c r="D783" s="67">
        <v>4015</v>
      </c>
      <c r="E783" s="67">
        <v>4015</v>
      </c>
      <c r="F783" s="67">
        <v>4015</v>
      </c>
      <c r="G783" s="13">
        <f t="shared" si="156"/>
        <v>0</v>
      </c>
      <c r="H783" s="13">
        <f t="shared" si="157"/>
        <v>0</v>
      </c>
      <c r="I783" s="73">
        <f t="shared" si="158"/>
        <v>0</v>
      </c>
      <c r="J783" s="73">
        <f t="shared" si="159"/>
        <v>0</v>
      </c>
      <c r="K783" s="72" t="str">
        <f t="shared" si="160"/>
        <v>CNJ2</v>
      </c>
      <c r="L783" s="72" t="str">
        <f t="shared" si="161"/>
        <v>JUNE-2-CNJ2</v>
      </c>
      <c r="M783" s="73">
        <f t="shared" si="162"/>
        <v>1.4366412213740465E-2</v>
      </c>
      <c r="N783" s="73">
        <f t="shared" si="163"/>
        <v>-0.10621064305633054</v>
      </c>
      <c r="O783" s="13">
        <f t="shared" si="164"/>
        <v>952253</v>
      </c>
      <c r="P783" s="13">
        <f t="shared" si="165"/>
        <v>960304</v>
      </c>
      <c r="Q783" s="13">
        <f t="shared" si="166"/>
        <v>950257</v>
      </c>
      <c r="R783" s="33">
        <f t="shared" si="167"/>
        <v>-2.0960816085641154E-3</v>
      </c>
      <c r="S783" s="33">
        <f t="shared" si="168"/>
        <v>-1.0462311934554047E-2</v>
      </c>
    </row>
    <row r="784" spans="1:19" x14ac:dyDescent="0.25">
      <c r="A784" t="s">
        <v>40</v>
      </c>
      <c r="B784" s="65">
        <v>2</v>
      </c>
      <c r="C784" t="s">
        <v>16</v>
      </c>
      <c r="D784" s="67">
        <v>4000</v>
      </c>
      <c r="E784" s="67">
        <v>4053</v>
      </c>
      <c r="F784" s="67">
        <v>3900</v>
      </c>
      <c r="G784" s="13">
        <f t="shared" si="156"/>
        <v>-153</v>
      </c>
      <c r="H784" s="13">
        <f t="shared" si="157"/>
        <v>-100</v>
      </c>
      <c r="I784" s="73">
        <f t="shared" si="158"/>
        <v>-2.5000000000000022E-2</v>
      </c>
      <c r="J784" s="73">
        <f t="shared" si="159"/>
        <v>-3.774981495188745E-2</v>
      </c>
      <c r="K784" s="72" t="str">
        <f t="shared" si="160"/>
        <v>ANUGERAH</v>
      </c>
      <c r="L784" s="72" t="str">
        <f t="shared" si="161"/>
        <v>JUNE-2-ANUGERAH</v>
      </c>
      <c r="M784" s="73">
        <f t="shared" si="162"/>
        <v>-0.14124999999999999</v>
      </c>
      <c r="N784" s="73">
        <f t="shared" si="163"/>
        <v>-0.11717689828522082</v>
      </c>
      <c r="O784" s="13">
        <f t="shared" si="164"/>
        <v>952253</v>
      </c>
      <c r="P784" s="13">
        <f t="shared" si="165"/>
        <v>960304</v>
      </c>
      <c r="Q784" s="13">
        <f t="shared" si="166"/>
        <v>950257</v>
      </c>
      <c r="R784" s="33">
        <f t="shared" si="167"/>
        <v>-2.0960816085641154E-3</v>
      </c>
      <c r="S784" s="33">
        <f t="shared" si="168"/>
        <v>-1.0462311934554047E-2</v>
      </c>
    </row>
    <row r="785" spans="1:19" x14ac:dyDescent="0.25">
      <c r="A785" t="s">
        <v>40</v>
      </c>
      <c r="B785" s="65">
        <v>2</v>
      </c>
      <c r="C785" t="s">
        <v>11</v>
      </c>
      <c r="D785" s="67">
        <v>1000</v>
      </c>
      <c r="E785" s="67">
        <v>1005</v>
      </c>
      <c r="F785" s="67">
        <v>1000</v>
      </c>
      <c r="G785" s="13">
        <f t="shared" si="156"/>
        <v>-5</v>
      </c>
      <c r="H785" s="13">
        <f t="shared" si="157"/>
        <v>0</v>
      </c>
      <c r="I785" s="73">
        <f t="shared" si="158"/>
        <v>0</v>
      </c>
      <c r="J785" s="73">
        <f t="shared" si="159"/>
        <v>-4.9751243781094301E-3</v>
      </c>
      <c r="K785" s="72" t="str">
        <f t="shared" si="160"/>
        <v>MAJA1</v>
      </c>
      <c r="L785" s="72" t="str">
        <f t="shared" si="161"/>
        <v>JUNE-2-MAJA1</v>
      </c>
      <c r="M785" s="73">
        <f t="shared" si="162"/>
        <v>0</v>
      </c>
      <c r="N785" s="73">
        <f t="shared" si="163"/>
        <v>-3.1205484071655798E-2</v>
      </c>
      <c r="O785" s="13">
        <f t="shared" si="164"/>
        <v>952253</v>
      </c>
      <c r="P785" s="13">
        <f t="shared" si="165"/>
        <v>960304</v>
      </c>
      <c r="Q785" s="13">
        <f t="shared" si="166"/>
        <v>950257</v>
      </c>
      <c r="R785" s="33">
        <f t="shared" si="167"/>
        <v>-2.0960816085641154E-3</v>
      </c>
      <c r="S785" s="33">
        <f t="shared" si="168"/>
        <v>-1.0462311934554047E-2</v>
      </c>
    </row>
    <row r="786" spans="1:19" x14ac:dyDescent="0.25">
      <c r="A786" t="s">
        <v>40</v>
      </c>
      <c r="B786" s="65">
        <v>2</v>
      </c>
      <c r="C786" t="s">
        <v>11</v>
      </c>
      <c r="D786" s="67">
        <v>100</v>
      </c>
      <c r="E786" s="67">
        <v>102</v>
      </c>
      <c r="F786" s="67">
        <v>100</v>
      </c>
      <c r="G786" s="13">
        <f t="shared" si="156"/>
        <v>-2</v>
      </c>
      <c r="H786" s="13">
        <f t="shared" si="157"/>
        <v>0</v>
      </c>
      <c r="I786" s="73">
        <f t="shared" si="158"/>
        <v>0</v>
      </c>
      <c r="J786" s="73">
        <f t="shared" si="159"/>
        <v>-1.9607843137254943E-2</v>
      </c>
      <c r="K786" s="72" t="str">
        <f t="shared" si="160"/>
        <v>MAJA1</v>
      </c>
      <c r="L786" s="72" t="str">
        <f t="shared" si="161"/>
        <v>JUNE-2-MAJA1</v>
      </c>
      <c r="M786" s="73">
        <f t="shared" si="162"/>
        <v>0</v>
      </c>
      <c r="N786" s="73">
        <f t="shared" si="163"/>
        <v>-3.1205484071655798E-2</v>
      </c>
      <c r="O786" s="13">
        <f t="shared" si="164"/>
        <v>952253</v>
      </c>
      <c r="P786" s="13">
        <f t="shared" si="165"/>
        <v>960304</v>
      </c>
      <c r="Q786" s="13">
        <f t="shared" si="166"/>
        <v>950257</v>
      </c>
      <c r="R786" s="33">
        <f t="shared" si="167"/>
        <v>-2.0960816085641154E-3</v>
      </c>
      <c r="S786" s="33">
        <f t="shared" si="168"/>
        <v>-1.0462311934554047E-2</v>
      </c>
    </row>
    <row r="787" spans="1:19" x14ac:dyDescent="0.25">
      <c r="A787" t="s">
        <v>40</v>
      </c>
      <c r="B787" s="65">
        <v>2</v>
      </c>
      <c r="C787" t="s">
        <v>11</v>
      </c>
      <c r="D787" s="67">
        <v>600</v>
      </c>
      <c r="E787" s="67">
        <v>604</v>
      </c>
      <c r="F787" s="67">
        <v>600</v>
      </c>
      <c r="G787" s="13">
        <f t="shared" si="156"/>
        <v>-4</v>
      </c>
      <c r="H787" s="13">
        <f t="shared" si="157"/>
        <v>0</v>
      </c>
      <c r="I787" s="73">
        <f t="shared" si="158"/>
        <v>0</v>
      </c>
      <c r="J787" s="73">
        <f t="shared" si="159"/>
        <v>-6.6225165562914245E-3</v>
      </c>
      <c r="K787" s="72" t="str">
        <f t="shared" si="160"/>
        <v>MAJA1</v>
      </c>
      <c r="L787" s="72" t="str">
        <f t="shared" si="161"/>
        <v>JUNE-2-MAJA1</v>
      </c>
      <c r="M787" s="73">
        <f t="shared" si="162"/>
        <v>0</v>
      </c>
      <c r="N787" s="73">
        <f t="shared" si="163"/>
        <v>-3.1205484071655798E-2</v>
      </c>
      <c r="O787" s="13">
        <f t="shared" si="164"/>
        <v>952253</v>
      </c>
      <c r="P787" s="13">
        <f t="shared" si="165"/>
        <v>960304</v>
      </c>
      <c r="Q787" s="13">
        <f t="shared" si="166"/>
        <v>950257</v>
      </c>
      <c r="R787" s="33">
        <f t="shared" si="167"/>
        <v>-2.0960816085641154E-3</v>
      </c>
      <c r="S787" s="33">
        <f t="shared" si="168"/>
        <v>-1.0462311934554047E-2</v>
      </c>
    </row>
    <row r="788" spans="1:19" x14ac:dyDescent="0.25">
      <c r="A788" t="s">
        <v>40</v>
      </c>
      <c r="B788" s="65">
        <v>2</v>
      </c>
      <c r="C788" t="s">
        <v>10</v>
      </c>
      <c r="D788" s="67">
        <v>3000</v>
      </c>
      <c r="E788" s="67">
        <v>3070</v>
      </c>
      <c r="F788" s="67">
        <v>3066</v>
      </c>
      <c r="G788" s="13">
        <f t="shared" si="156"/>
        <v>-4</v>
      </c>
      <c r="H788" s="13">
        <f t="shared" si="157"/>
        <v>66</v>
      </c>
      <c r="I788" s="73">
        <f t="shared" si="158"/>
        <v>2.200000000000002E-2</v>
      </c>
      <c r="J788" s="73">
        <f t="shared" si="159"/>
        <v>-1.3029315960911836E-3</v>
      </c>
      <c r="K788" s="72" t="str">
        <f t="shared" si="160"/>
        <v>CNJ2</v>
      </c>
      <c r="L788" s="72" t="str">
        <f t="shared" si="161"/>
        <v>JUNE-2-CNJ2</v>
      </c>
      <c r="M788" s="73">
        <f t="shared" si="162"/>
        <v>1.4366412213740465E-2</v>
      </c>
      <c r="N788" s="73">
        <f t="shared" si="163"/>
        <v>-0.10621064305633054</v>
      </c>
      <c r="O788" s="13">
        <f t="shared" si="164"/>
        <v>952253</v>
      </c>
      <c r="P788" s="13">
        <f t="shared" si="165"/>
        <v>960304</v>
      </c>
      <c r="Q788" s="13">
        <f t="shared" si="166"/>
        <v>950257</v>
      </c>
      <c r="R788" s="33">
        <f t="shared" si="167"/>
        <v>-2.0960816085641154E-3</v>
      </c>
      <c r="S788" s="33">
        <f t="shared" si="168"/>
        <v>-1.0462311934554047E-2</v>
      </c>
    </row>
    <row r="789" spans="1:19" x14ac:dyDescent="0.25">
      <c r="A789" t="s">
        <v>40</v>
      </c>
      <c r="B789" s="65">
        <v>2</v>
      </c>
      <c r="C789" t="s">
        <v>17</v>
      </c>
      <c r="D789" s="67">
        <v>5000</v>
      </c>
      <c r="E789" s="67">
        <v>5040</v>
      </c>
      <c r="F789" s="67">
        <v>5000</v>
      </c>
      <c r="G789" s="13">
        <f t="shared" si="156"/>
        <v>-40</v>
      </c>
      <c r="H789" s="13">
        <f t="shared" si="157"/>
        <v>0</v>
      </c>
      <c r="I789" s="73">
        <f t="shared" si="158"/>
        <v>0</v>
      </c>
      <c r="J789" s="73">
        <f t="shared" si="159"/>
        <v>-7.9365079365079083E-3</v>
      </c>
      <c r="K789" s="72" t="str">
        <f t="shared" si="160"/>
        <v>CBA</v>
      </c>
      <c r="L789" s="72" t="str">
        <f t="shared" si="161"/>
        <v>JUNE-2-CBA</v>
      </c>
      <c r="M789" s="73">
        <f t="shared" si="162"/>
        <v>0</v>
      </c>
      <c r="N789" s="73">
        <f t="shared" si="163"/>
        <v>-7.9365079365079083E-3</v>
      </c>
      <c r="O789" s="13">
        <f t="shared" si="164"/>
        <v>952253</v>
      </c>
      <c r="P789" s="13">
        <f t="shared" si="165"/>
        <v>960304</v>
      </c>
      <c r="Q789" s="13">
        <f t="shared" si="166"/>
        <v>950257</v>
      </c>
      <c r="R789" s="33">
        <f t="shared" si="167"/>
        <v>-2.0960816085641154E-3</v>
      </c>
      <c r="S789" s="33">
        <f t="shared" si="168"/>
        <v>-1.0462311934554047E-2</v>
      </c>
    </row>
    <row r="790" spans="1:19" x14ac:dyDescent="0.25">
      <c r="A790" t="s">
        <v>40</v>
      </c>
      <c r="B790" s="65">
        <v>2</v>
      </c>
      <c r="C790" t="s">
        <v>10</v>
      </c>
      <c r="D790" s="67">
        <v>3750</v>
      </c>
      <c r="E790" s="67">
        <v>3750</v>
      </c>
      <c r="F790" s="67">
        <v>3750</v>
      </c>
      <c r="G790" s="13">
        <f t="shared" si="156"/>
        <v>0</v>
      </c>
      <c r="H790" s="13">
        <f t="shared" si="157"/>
        <v>0</v>
      </c>
      <c r="I790" s="73">
        <f t="shared" si="158"/>
        <v>0</v>
      </c>
      <c r="J790" s="73">
        <f t="shared" si="159"/>
        <v>0</v>
      </c>
      <c r="K790" s="72" t="str">
        <f t="shared" si="160"/>
        <v>CNJ2</v>
      </c>
      <c r="L790" s="72" t="str">
        <f t="shared" si="161"/>
        <v>JUNE-2-CNJ2</v>
      </c>
      <c r="M790" s="73">
        <f t="shared" si="162"/>
        <v>1.4366412213740465E-2</v>
      </c>
      <c r="N790" s="73">
        <f t="shared" si="163"/>
        <v>-0.10621064305633054</v>
      </c>
      <c r="O790" s="13">
        <f t="shared" si="164"/>
        <v>952253</v>
      </c>
      <c r="P790" s="13">
        <f t="shared" si="165"/>
        <v>960304</v>
      </c>
      <c r="Q790" s="13">
        <f t="shared" si="166"/>
        <v>950257</v>
      </c>
      <c r="R790" s="33">
        <f t="shared" si="167"/>
        <v>-2.0960816085641154E-3</v>
      </c>
      <c r="S790" s="33">
        <f t="shared" si="168"/>
        <v>-1.0462311934554047E-2</v>
      </c>
    </row>
    <row r="791" spans="1:19" x14ac:dyDescent="0.25">
      <c r="A791" t="s">
        <v>40</v>
      </c>
      <c r="B791" s="65">
        <v>2</v>
      </c>
      <c r="C791" t="s">
        <v>10</v>
      </c>
      <c r="D791" s="67">
        <v>3750</v>
      </c>
      <c r="E791" s="67">
        <v>3986</v>
      </c>
      <c r="F791" s="67">
        <v>3750</v>
      </c>
      <c r="G791" s="13">
        <f t="shared" si="156"/>
        <v>-236</v>
      </c>
      <c r="H791" s="13">
        <f t="shared" si="157"/>
        <v>0</v>
      </c>
      <c r="I791" s="73">
        <f t="shared" si="158"/>
        <v>0</v>
      </c>
      <c r="J791" s="73">
        <f t="shared" si="159"/>
        <v>-5.9207225288509746E-2</v>
      </c>
      <c r="K791" s="72" t="str">
        <f t="shared" si="160"/>
        <v>CNJ2</v>
      </c>
      <c r="L791" s="72" t="str">
        <f t="shared" si="161"/>
        <v>JUNE-2-CNJ2</v>
      </c>
      <c r="M791" s="73">
        <f t="shared" si="162"/>
        <v>1.4366412213740465E-2</v>
      </c>
      <c r="N791" s="73">
        <f t="shared" si="163"/>
        <v>-0.10621064305633054</v>
      </c>
      <c r="O791" s="13">
        <f t="shared" si="164"/>
        <v>952253</v>
      </c>
      <c r="P791" s="13">
        <f t="shared" si="165"/>
        <v>960304</v>
      </c>
      <c r="Q791" s="13">
        <f t="shared" si="166"/>
        <v>950257</v>
      </c>
      <c r="R791" s="33">
        <f t="shared" si="167"/>
        <v>-2.0960816085641154E-3</v>
      </c>
      <c r="S791" s="33">
        <f t="shared" si="168"/>
        <v>-1.0462311934554047E-2</v>
      </c>
    </row>
    <row r="792" spans="1:19" x14ac:dyDescent="0.25">
      <c r="A792" t="s">
        <v>40</v>
      </c>
      <c r="B792" s="65">
        <v>3</v>
      </c>
      <c r="C792" t="s">
        <v>13</v>
      </c>
      <c r="D792" s="67">
        <v>36072</v>
      </c>
      <c r="E792" s="67">
        <v>36072</v>
      </c>
      <c r="F792" s="67">
        <v>35970</v>
      </c>
      <c r="G792" s="13">
        <f t="shared" si="156"/>
        <v>-102</v>
      </c>
      <c r="H792" s="13">
        <f t="shared" si="157"/>
        <v>-102</v>
      </c>
      <c r="I792" s="73">
        <f t="shared" si="158"/>
        <v>-2.8276779773785954E-3</v>
      </c>
      <c r="J792" s="73">
        <f t="shared" si="159"/>
        <v>-2.8276779773785954E-3</v>
      </c>
      <c r="K792" s="72" t="str">
        <f t="shared" si="160"/>
        <v>KALIBENDA</v>
      </c>
      <c r="L792" s="72" t="str">
        <f t="shared" si="161"/>
        <v>JUNE-3-KALIBENDA</v>
      </c>
      <c r="M792" s="73">
        <f t="shared" si="162"/>
        <v>-1.3247496273414927E-2</v>
      </c>
      <c r="N792" s="73">
        <f t="shared" si="163"/>
        <v>-1.3247496273414927E-2</v>
      </c>
      <c r="O792" s="13">
        <f t="shared" si="164"/>
        <v>952253</v>
      </c>
      <c r="P792" s="13">
        <f t="shared" si="165"/>
        <v>960304</v>
      </c>
      <c r="Q792" s="13">
        <f t="shared" si="166"/>
        <v>950257</v>
      </c>
      <c r="R792" s="33">
        <f t="shared" si="167"/>
        <v>-2.0960816085641154E-3</v>
      </c>
      <c r="S792" s="33">
        <f t="shared" si="168"/>
        <v>-1.0462311934554047E-2</v>
      </c>
    </row>
    <row r="793" spans="1:19" x14ac:dyDescent="0.25">
      <c r="A793" t="s">
        <v>40</v>
      </c>
      <c r="B793" s="65">
        <v>3</v>
      </c>
      <c r="C793" t="s">
        <v>13</v>
      </c>
      <c r="D793" s="67">
        <v>35208</v>
      </c>
      <c r="E793" s="67">
        <v>35208</v>
      </c>
      <c r="F793" s="67">
        <v>35073</v>
      </c>
      <c r="G793" s="13">
        <f t="shared" si="156"/>
        <v>-135</v>
      </c>
      <c r="H793" s="13">
        <f t="shared" si="157"/>
        <v>-135</v>
      </c>
      <c r="I793" s="73">
        <f t="shared" si="158"/>
        <v>-3.8343558282208923E-3</v>
      </c>
      <c r="J793" s="73">
        <f t="shared" si="159"/>
        <v>-3.8343558282208923E-3</v>
      </c>
      <c r="K793" s="72" t="str">
        <f t="shared" si="160"/>
        <v>KALIBENDA</v>
      </c>
      <c r="L793" s="72" t="str">
        <f t="shared" si="161"/>
        <v>JUNE-3-KALIBENDA</v>
      </c>
      <c r="M793" s="73">
        <f t="shared" si="162"/>
        <v>-1.3247496273414927E-2</v>
      </c>
      <c r="N793" s="73">
        <f t="shared" si="163"/>
        <v>-1.3247496273414927E-2</v>
      </c>
      <c r="O793" s="13">
        <f t="shared" si="164"/>
        <v>952253</v>
      </c>
      <c r="P793" s="13">
        <f t="shared" si="165"/>
        <v>960304</v>
      </c>
      <c r="Q793" s="13">
        <f t="shared" si="166"/>
        <v>950257</v>
      </c>
      <c r="R793" s="33">
        <f t="shared" si="167"/>
        <v>-2.0960816085641154E-3</v>
      </c>
      <c r="S793" s="33">
        <f t="shared" si="168"/>
        <v>-1.0462311934554047E-2</v>
      </c>
    </row>
    <row r="794" spans="1:19" x14ac:dyDescent="0.25">
      <c r="A794" t="s">
        <v>40</v>
      </c>
      <c r="B794" s="65">
        <v>3</v>
      </c>
      <c r="C794" t="s">
        <v>13</v>
      </c>
      <c r="D794" s="67">
        <v>1836</v>
      </c>
      <c r="E794" s="67">
        <v>1836</v>
      </c>
      <c r="F794" s="67">
        <v>1827</v>
      </c>
      <c r="G794" s="13">
        <f t="shared" si="156"/>
        <v>-9</v>
      </c>
      <c r="H794" s="13">
        <f t="shared" si="157"/>
        <v>-9</v>
      </c>
      <c r="I794" s="73">
        <f t="shared" si="158"/>
        <v>-4.9019607843137081E-3</v>
      </c>
      <c r="J794" s="73">
        <f t="shared" si="159"/>
        <v>-4.9019607843137081E-3</v>
      </c>
      <c r="K794" s="72" t="str">
        <f t="shared" si="160"/>
        <v>KALIBENDA</v>
      </c>
      <c r="L794" s="72" t="str">
        <f t="shared" si="161"/>
        <v>JUNE-3-KALIBENDA</v>
      </c>
      <c r="M794" s="73">
        <f t="shared" si="162"/>
        <v>-1.3247496273414927E-2</v>
      </c>
      <c r="N794" s="73">
        <f t="shared" si="163"/>
        <v>-1.3247496273414927E-2</v>
      </c>
      <c r="O794" s="13">
        <f t="shared" si="164"/>
        <v>952253</v>
      </c>
      <c r="P794" s="13">
        <f t="shared" si="165"/>
        <v>960304</v>
      </c>
      <c r="Q794" s="13">
        <f t="shared" si="166"/>
        <v>950257</v>
      </c>
      <c r="R794" s="33">
        <f t="shared" si="167"/>
        <v>-2.0960816085641154E-3</v>
      </c>
      <c r="S794" s="33">
        <f t="shared" si="168"/>
        <v>-1.0462311934554047E-2</v>
      </c>
    </row>
    <row r="795" spans="1:19" x14ac:dyDescent="0.25">
      <c r="A795" t="s">
        <v>40</v>
      </c>
      <c r="B795" s="65">
        <v>3</v>
      </c>
      <c r="C795" t="s">
        <v>13</v>
      </c>
      <c r="D795" s="67">
        <v>7128</v>
      </c>
      <c r="E795" s="67">
        <v>7128</v>
      </c>
      <c r="F795" s="67">
        <v>7116</v>
      </c>
      <c r="G795" s="13">
        <f t="shared" si="156"/>
        <v>-12</v>
      </c>
      <c r="H795" s="13">
        <f t="shared" si="157"/>
        <v>-12</v>
      </c>
      <c r="I795" s="73">
        <f t="shared" si="158"/>
        <v>-1.6835016835017313E-3</v>
      </c>
      <c r="J795" s="73">
        <f t="shared" si="159"/>
        <v>-1.6835016835017313E-3</v>
      </c>
      <c r="K795" s="72" t="str">
        <f t="shared" si="160"/>
        <v>KALIBENDA</v>
      </c>
      <c r="L795" s="72" t="str">
        <f t="shared" si="161"/>
        <v>JUNE-3-KALIBENDA</v>
      </c>
      <c r="M795" s="73">
        <f t="shared" si="162"/>
        <v>-1.3247496273414927E-2</v>
      </c>
      <c r="N795" s="73">
        <f t="shared" si="163"/>
        <v>-1.3247496273414927E-2</v>
      </c>
      <c r="O795" s="13">
        <f t="shared" si="164"/>
        <v>952253</v>
      </c>
      <c r="P795" s="13">
        <f t="shared" si="165"/>
        <v>960304</v>
      </c>
      <c r="Q795" s="13">
        <f t="shared" si="166"/>
        <v>950257</v>
      </c>
      <c r="R795" s="33">
        <f t="shared" si="167"/>
        <v>-2.0960816085641154E-3</v>
      </c>
      <c r="S795" s="33">
        <f t="shared" si="168"/>
        <v>-1.0462311934554047E-2</v>
      </c>
    </row>
    <row r="796" spans="1:19" x14ac:dyDescent="0.25">
      <c r="A796" t="s">
        <v>40</v>
      </c>
      <c r="B796" s="65">
        <v>3</v>
      </c>
      <c r="C796" t="s">
        <v>14</v>
      </c>
      <c r="D796" s="67">
        <v>19656</v>
      </c>
      <c r="E796" s="67">
        <v>19681</v>
      </c>
      <c r="F796" s="67">
        <v>19656</v>
      </c>
      <c r="G796" s="13">
        <f t="shared" si="156"/>
        <v>-25</v>
      </c>
      <c r="H796" s="13">
        <f t="shared" si="157"/>
        <v>0</v>
      </c>
      <c r="I796" s="73">
        <f t="shared" si="158"/>
        <v>0</v>
      </c>
      <c r="J796" s="73">
        <f t="shared" si="159"/>
        <v>-1.2702606574869213E-3</v>
      </c>
      <c r="K796" s="72" t="str">
        <f t="shared" si="160"/>
        <v>GM2</v>
      </c>
      <c r="L796" s="72" t="str">
        <f t="shared" si="161"/>
        <v>JUNE-3-GM2</v>
      </c>
      <c r="M796" s="73">
        <f t="shared" si="162"/>
        <v>-1.0088321042702741E-2</v>
      </c>
      <c r="N796" s="73">
        <f t="shared" si="163"/>
        <v>-5.649203584233875E-2</v>
      </c>
      <c r="O796" s="13">
        <f t="shared" si="164"/>
        <v>952253</v>
      </c>
      <c r="P796" s="13">
        <f t="shared" si="165"/>
        <v>960304</v>
      </c>
      <c r="Q796" s="13">
        <f t="shared" si="166"/>
        <v>950257</v>
      </c>
      <c r="R796" s="33">
        <f t="shared" si="167"/>
        <v>-2.0960816085641154E-3</v>
      </c>
      <c r="S796" s="33">
        <f t="shared" si="168"/>
        <v>-1.0462311934554047E-2</v>
      </c>
    </row>
    <row r="797" spans="1:19" x14ac:dyDescent="0.25">
      <c r="A797" t="s">
        <v>40</v>
      </c>
      <c r="B797" s="65">
        <v>3</v>
      </c>
      <c r="C797" t="s">
        <v>14</v>
      </c>
      <c r="D797" s="67">
        <v>16956</v>
      </c>
      <c r="E797" s="67">
        <v>16966</v>
      </c>
      <c r="F797" s="67">
        <v>16956</v>
      </c>
      <c r="G797" s="13">
        <f t="shared" si="156"/>
        <v>-10</v>
      </c>
      <c r="H797" s="13">
        <f t="shared" si="157"/>
        <v>0</v>
      </c>
      <c r="I797" s="73">
        <f t="shared" si="158"/>
        <v>0</v>
      </c>
      <c r="J797" s="73">
        <f t="shared" si="159"/>
        <v>-5.894141223623528E-4</v>
      </c>
      <c r="K797" s="72" t="str">
        <f t="shared" si="160"/>
        <v>GM2</v>
      </c>
      <c r="L797" s="72" t="str">
        <f t="shared" si="161"/>
        <v>JUNE-3-GM2</v>
      </c>
      <c r="M797" s="73">
        <f t="shared" si="162"/>
        <v>-1.0088321042702741E-2</v>
      </c>
      <c r="N797" s="73">
        <f t="shared" si="163"/>
        <v>-5.649203584233875E-2</v>
      </c>
      <c r="O797" s="13">
        <f t="shared" si="164"/>
        <v>952253</v>
      </c>
      <c r="P797" s="13">
        <f t="shared" si="165"/>
        <v>960304</v>
      </c>
      <c r="Q797" s="13">
        <f t="shared" si="166"/>
        <v>950257</v>
      </c>
      <c r="R797" s="33">
        <f t="shared" si="167"/>
        <v>-2.0960816085641154E-3</v>
      </c>
      <c r="S797" s="33">
        <f t="shared" si="168"/>
        <v>-1.0462311934554047E-2</v>
      </c>
    </row>
    <row r="798" spans="1:19" x14ac:dyDescent="0.25">
      <c r="A798" t="s">
        <v>40</v>
      </c>
      <c r="B798" s="65">
        <v>3</v>
      </c>
      <c r="C798" t="s">
        <v>14</v>
      </c>
      <c r="D798" s="67">
        <v>21276</v>
      </c>
      <c r="E798" s="67">
        <v>21294</v>
      </c>
      <c r="F798" s="67">
        <v>21276</v>
      </c>
      <c r="G798" s="13">
        <f t="shared" si="156"/>
        <v>-18</v>
      </c>
      <c r="H798" s="13">
        <f t="shared" si="157"/>
        <v>0</v>
      </c>
      <c r="I798" s="73">
        <f t="shared" si="158"/>
        <v>0</v>
      </c>
      <c r="J798" s="73">
        <f t="shared" si="159"/>
        <v>-8.4530853761621838E-4</v>
      </c>
      <c r="K798" s="72" t="str">
        <f t="shared" si="160"/>
        <v>GM2</v>
      </c>
      <c r="L798" s="72" t="str">
        <f t="shared" si="161"/>
        <v>JUNE-3-GM2</v>
      </c>
      <c r="M798" s="73">
        <f t="shared" si="162"/>
        <v>-1.0088321042702741E-2</v>
      </c>
      <c r="N798" s="73">
        <f t="shared" si="163"/>
        <v>-5.649203584233875E-2</v>
      </c>
      <c r="O798" s="13">
        <f t="shared" si="164"/>
        <v>952253</v>
      </c>
      <c r="P798" s="13">
        <f t="shared" si="165"/>
        <v>960304</v>
      </c>
      <c r="Q798" s="13">
        <f t="shared" si="166"/>
        <v>950257</v>
      </c>
      <c r="R798" s="33">
        <f t="shared" si="167"/>
        <v>-2.0960816085641154E-3</v>
      </c>
      <c r="S798" s="33">
        <f t="shared" si="168"/>
        <v>-1.0462311934554047E-2</v>
      </c>
    </row>
    <row r="799" spans="1:19" x14ac:dyDescent="0.25">
      <c r="A799" t="s">
        <v>40</v>
      </c>
      <c r="B799" s="65">
        <v>3</v>
      </c>
      <c r="C799" t="s">
        <v>14</v>
      </c>
      <c r="D799" s="67">
        <v>1080</v>
      </c>
      <c r="E799" s="67">
        <v>1080</v>
      </c>
      <c r="F799" s="67">
        <v>1065</v>
      </c>
      <c r="G799" s="13">
        <f t="shared" si="156"/>
        <v>-15</v>
      </c>
      <c r="H799" s="13">
        <f t="shared" si="157"/>
        <v>-15</v>
      </c>
      <c r="I799" s="73">
        <f t="shared" si="158"/>
        <v>-1.388888888888884E-2</v>
      </c>
      <c r="J799" s="73">
        <f t="shared" si="159"/>
        <v>-1.388888888888884E-2</v>
      </c>
      <c r="K799" s="72" t="str">
        <f t="shared" si="160"/>
        <v>GM2</v>
      </c>
      <c r="L799" s="72" t="str">
        <f t="shared" si="161"/>
        <v>JUNE-3-GM2</v>
      </c>
      <c r="M799" s="73">
        <f t="shared" si="162"/>
        <v>-1.0088321042702741E-2</v>
      </c>
      <c r="N799" s="73">
        <f t="shared" si="163"/>
        <v>-5.649203584233875E-2</v>
      </c>
      <c r="O799" s="13">
        <f t="shared" si="164"/>
        <v>952253</v>
      </c>
      <c r="P799" s="13">
        <f t="shared" si="165"/>
        <v>960304</v>
      </c>
      <c r="Q799" s="13">
        <f t="shared" si="166"/>
        <v>950257</v>
      </c>
      <c r="R799" s="33">
        <f t="shared" si="167"/>
        <v>-2.0960816085641154E-3</v>
      </c>
      <c r="S799" s="33">
        <f t="shared" si="168"/>
        <v>-1.0462311934554047E-2</v>
      </c>
    </row>
    <row r="800" spans="1:19" x14ac:dyDescent="0.25">
      <c r="A800" t="s">
        <v>40</v>
      </c>
      <c r="B800" s="65">
        <v>3</v>
      </c>
      <c r="C800" t="s">
        <v>14</v>
      </c>
      <c r="D800" s="67">
        <v>37044</v>
      </c>
      <c r="E800" s="67">
        <v>37831</v>
      </c>
      <c r="F800" s="67">
        <v>37209</v>
      </c>
      <c r="G800" s="13">
        <f t="shared" si="156"/>
        <v>-622</v>
      </c>
      <c r="H800" s="13">
        <f t="shared" si="157"/>
        <v>165</v>
      </c>
      <c r="I800" s="73">
        <f t="shared" si="158"/>
        <v>4.4541626174279259E-3</v>
      </c>
      <c r="J800" s="73">
        <f t="shared" si="159"/>
        <v>-1.6441542650207475E-2</v>
      </c>
      <c r="K800" s="72" t="str">
        <f t="shared" si="160"/>
        <v>GM2</v>
      </c>
      <c r="L800" s="72" t="str">
        <f t="shared" si="161"/>
        <v>JUNE-3-GM2</v>
      </c>
      <c r="M800" s="73">
        <f t="shared" si="162"/>
        <v>-1.0088321042702741E-2</v>
      </c>
      <c r="N800" s="73">
        <f t="shared" si="163"/>
        <v>-5.649203584233875E-2</v>
      </c>
      <c r="O800" s="13">
        <f t="shared" si="164"/>
        <v>952253</v>
      </c>
      <c r="P800" s="13">
        <f t="shared" si="165"/>
        <v>960304</v>
      </c>
      <c r="Q800" s="13">
        <f t="shared" si="166"/>
        <v>950257</v>
      </c>
      <c r="R800" s="33">
        <f t="shared" si="167"/>
        <v>-2.0960816085641154E-3</v>
      </c>
      <c r="S800" s="33">
        <f t="shared" si="168"/>
        <v>-1.0462311934554047E-2</v>
      </c>
    </row>
    <row r="801" spans="1:19" x14ac:dyDescent="0.25">
      <c r="A801" t="s">
        <v>40</v>
      </c>
      <c r="B801" s="65">
        <v>3</v>
      </c>
      <c r="C801" t="s">
        <v>14</v>
      </c>
      <c r="D801" s="67">
        <v>1080</v>
      </c>
      <c r="E801" s="67">
        <v>1101</v>
      </c>
      <c r="F801" s="67">
        <v>1080</v>
      </c>
      <c r="G801" s="13">
        <f t="shared" si="156"/>
        <v>-21</v>
      </c>
      <c r="H801" s="13">
        <f t="shared" si="157"/>
        <v>0</v>
      </c>
      <c r="I801" s="73">
        <f t="shared" si="158"/>
        <v>0</v>
      </c>
      <c r="J801" s="73">
        <f t="shared" si="159"/>
        <v>-1.9073569482288777E-2</v>
      </c>
      <c r="K801" s="72" t="str">
        <f t="shared" si="160"/>
        <v>GM2</v>
      </c>
      <c r="L801" s="72" t="str">
        <f t="shared" si="161"/>
        <v>JUNE-3-GM2</v>
      </c>
      <c r="M801" s="73">
        <f t="shared" si="162"/>
        <v>-1.0088321042702741E-2</v>
      </c>
      <c r="N801" s="73">
        <f t="shared" si="163"/>
        <v>-5.649203584233875E-2</v>
      </c>
      <c r="O801" s="13">
        <f t="shared" si="164"/>
        <v>952253</v>
      </c>
      <c r="P801" s="13">
        <f t="shared" si="165"/>
        <v>960304</v>
      </c>
      <c r="Q801" s="13">
        <f t="shared" si="166"/>
        <v>950257</v>
      </c>
      <c r="R801" s="33">
        <f t="shared" si="167"/>
        <v>-2.0960816085641154E-3</v>
      </c>
      <c r="S801" s="33">
        <f t="shared" si="168"/>
        <v>-1.0462311934554047E-2</v>
      </c>
    </row>
    <row r="802" spans="1:19" x14ac:dyDescent="0.25">
      <c r="A802" t="s">
        <v>40</v>
      </c>
      <c r="B802" s="65">
        <v>3</v>
      </c>
      <c r="C802" t="s">
        <v>14</v>
      </c>
      <c r="D802" s="67">
        <v>20952</v>
      </c>
      <c r="E802" s="67">
        <v>20975</v>
      </c>
      <c r="F802" s="67">
        <v>20952</v>
      </c>
      <c r="G802" s="13">
        <f t="shared" si="156"/>
        <v>-23</v>
      </c>
      <c r="H802" s="13">
        <f t="shared" si="157"/>
        <v>0</v>
      </c>
      <c r="I802" s="73">
        <f t="shared" si="158"/>
        <v>0</v>
      </c>
      <c r="J802" s="73">
        <f t="shared" si="159"/>
        <v>-1.0965435041716542E-3</v>
      </c>
      <c r="K802" s="72" t="str">
        <f t="shared" si="160"/>
        <v>GM2</v>
      </c>
      <c r="L802" s="72" t="str">
        <f t="shared" si="161"/>
        <v>JUNE-3-GM2</v>
      </c>
      <c r="M802" s="73">
        <f t="shared" si="162"/>
        <v>-1.0088321042702741E-2</v>
      </c>
      <c r="N802" s="73">
        <f t="shared" si="163"/>
        <v>-5.649203584233875E-2</v>
      </c>
      <c r="O802" s="13">
        <f t="shared" si="164"/>
        <v>952253</v>
      </c>
      <c r="P802" s="13">
        <f t="shared" si="165"/>
        <v>960304</v>
      </c>
      <c r="Q802" s="13">
        <f t="shared" si="166"/>
        <v>950257</v>
      </c>
      <c r="R802" s="33">
        <f t="shared" si="167"/>
        <v>-2.0960816085641154E-3</v>
      </c>
      <c r="S802" s="33">
        <f t="shared" si="168"/>
        <v>-1.0462311934554047E-2</v>
      </c>
    </row>
    <row r="803" spans="1:19" x14ac:dyDescent="0.25">
      <c r="A803" t="s">
        <v>40</v>
      </c>
      <c r="B803" s="65">
        <v>3</v>
      </c>
      <c r="C803" t="s">
        <v>14</v>
      </c>
      <c r="D803" s="67">
        <v>1080</v>
      </c>
      <c r="E803" s="67">
        <v>1081</v>
      </c>
      <c r="F803" s="67">
        <v>1080</v>
      </c>
      <c r="G803" s="13">
        <f t="shared" si="156"/>
        <v>-1</v>
      </c>
      <c r="H803" s="13">
        <f t="shared" si="157"/>
        <v>0</v>
      </c>
      <c r="I803" s="73">
        <f t="shared" si="158"/>
        <v>0</v>
      </c>
      <c r="J803" s="73">
        <f t="shared" si="159"/>
        <v>-9.2506938020353591E-4</v>
      </c>
      <c r="K803" s="72" t="str">
        <f t="shared" si="160"/>
        <v>GM2</v>
      </c>
      <c r="L803" s="72" t="str">
        <f t="shared" si="161"/>
        <v>JUNE-3-GM2</v>
      </c>
      <c r="M803" s="73">
        <f t="shared" si="162"/>
        <v>-1.0088321042702741E-2</v>
      </c>
      <c r="N803" s="73">
        <f t="shared" si="163"/>
        <v>-5.649203584233875E-2</v>
      </c>
      <c r="O803" s="13">
        <f t="shared" si="164"/>
        <v>952253</v>
      </c>
      <c r="P803" s="13">
        <f t="shared" si="165"/>
        <v>960304</v>
      </c>
      <c r="Q803" s="13">
        <f t="shared" si="166"/>
        <v>950257</v>
      </c>
      <c r="R803" s="33">
        <f t="shared" si="167"/>
        <v>-2.0960816085641154E-3</v>
      </c>
      <c r="S803" s="33">
        <f t="shared" si="168"/>
        <v>-1.0462311934554047E-2</v>
      </c>
    </row>
    <row r="804" spans="1:19" x14ac:dyDescent="0.25">
      <c r="A804" t="s">
        <v>40</v>
      </c>
      <c r="B804" s="65">
        <v>3</v>
      </c>
      <c r="C804" t="s">
        <v>14</v>
      </c>
      <c r="D804" s="67">
        <v>23544</v>
      </c>
      <c r="E804" s="67">
        <v>23574</v>
      </c>
      <c r="F804" s="67">
        <v>23544</v>
      </c>
      <c r="G804" s="13">
        <f t="shared" si="156"/>
        <v>-30</v>
      </c>
      <c r="H804" s="13">
        <f t="shared" si="157"/>
        <v>0</v>
      </c>
      <c r="I804" s="73">
        <f t="shared" si="158"/>
        <v>0</v>
      </c>
      <c r="J804" s="73">
        <f t="shared" si="159"/>
        <v>-1.2725884448969715E-3</v>
      </c>
      <c r="K804" s="72" t="str">
        <f t="shared" si="160"/>
        <v>GM2</v>
      </c>
      <c r="L804" s="72" t="str">
        <f t="shared" si="161"/>
        <v>JUNE-3-GM2</v>
      </c>
      <c r="M804" s="73">
        <f t="shared" si="162"/>
        <v>-1.0088321042702741E-2</v>
      </c>
      <c r="N804" s="73">
        <f t="shared" si="163"/>
        <v>-5.649203584233875E-2</v>
      </c>
      <c r="O804" s="13">
        <f t="shared" si="164"/>
        <v>952253</v>
      </c>
      <c r="P804" s="13">
        <f t="shared" si="165"/>
        <v>960304</v>
      </c>
      <c r="Q804" s="13">
        <f t="shared" si="166"/>
        <v>950257</v>
      </c>
      <c r="R804" s="33">
        <f t="shared" si="167"/>
        <v>-2.0960816085641154E-3</v>
      </c>
      <c r="S804" s="33">
        <f t="shared" si="168"/>
        <v>-1.0462311934554047E-2</v>
      </c>
    </row>
    <row r="805" spans="1:19" x14ac:dyDescent="0.25">
      <c r="A805" t="s">
        <v>40</v>
      </c>
      <c r="B805" s="65">
        <v>3</v>
      </c>
      <c r="C805" t="s">
        <v>14</v>
      </c>
      <c r="D805" s="67">
        <v>18360</v>
      </c>
      <c r="E805" s="67">
        <v>18368</v>
      </c>
      <c r="F805" s="67">
        <v>18348</v>
      </c>
      <c r="G805" s="13">
        <f t="shared" si="156"/>
        <v>-20</v>
      </c>
      <c r="H805" s="13">
        <f t="shared" si="157"/>
        <v>-12</v>
      </c>
      <c r="I805" s="73">
        <f t="shared" si="158"/>
        <v>-6.5359477124182774E-4</v>
      </c>
      <c r="J805" s="73">
        <f t="shared" si="159"/>
        <v>-1.0888501742160051E-3</v>
      </c>
      <c r="K805" s="72" t="str">
        <f t="shared" si="160"/>
        <v>GM2</v>
      </c>
      <c r="L805" s="72" t="str">
        <f t="shared" si="161"/>
        <v>JUNE-3-GM2</v>
      </c>
      <c r="M805" s="73">
        <f t="shared" si="162"/>
        <v>-1.0088321042702741E-2</v>
      </c>
      <c r="N805" s="73">
        <f t="shared" si="163"/>
        <v>-5.649203584233875E-2</v>
      </c>
      <c r="O805" s="13">
        <f t="shared" si="164"/>
        <v>952253</v>
      </c>
      <c r="P805" s="13">
        <f t="shared" si="165"/>
        <v>960304</v>
      </c>
      <c r="Q805" s="13">
        <f t="shared" si="166"/>
        <v>950257</v>
      </c>
      <c r="R805" s="33">
        <f t="shared" si="167"/>
        <v>-2.0960816085641154E-3</v>
      </c>
      <c r="S805" s="33">
        <f t="shared" si="168"/>
        <v>-1.0462311934554047E-2</v>
      </c>
    </row>
    <row r="806" spans="1:19" x14ac:dyDescent="0.25">
      <c r="A806" t="s">
        <v>40</v>
      </c>
      <c r="B806" s="65">
        <v>3</v>
      </c>
      <c r="C806" t="s">
        <v>14</v>
      </c>
      <c r="D806" s="67">
        <v>1080</v>
      </c>
      <c r="E806" s="67">
        <v>1080</v>
      </c>
      <c r="F806" s="67">
        <v>1080</v>
      </c>
      <c r="G806" s="13">
        <f t="shared" si="156"/>
        <v>0</v>
      </c>
      <c r="H806" s="13">
        <f t="shared" si="157"/>
        <v>0</v>
      </c>
      <c r="I806" s="73">
        <f t="shared" si="158"/>
        <v>0</v>
      </c>
      <c r="J806" s="73">
        <f t="shared" si="159"/>
        <v>0</v>
      </c>
      <c r="K806" s="72" t="str">
        <f t="shared" si="160"/>
        <v>GM2</v>
      </c>
      <c r="L806" s="72" t="str">
        <f t="shared" si="161"/>
        <v>JUNE-3-GM2</v>
      </c>
      <c r="M806" s="73">
        <f t="shared" si="162"/>
        <v>-1.0088321042702741E-2</v>
      </c>
      <c r="N806" s="73">
        <f t="shared" si="163"/>
        <v>-5.649203584233875E-2</v>
      </c>
      <c r="O806" s="13">
        <f t="shared" si="164"/>
        <v>952253</v>
      </c>
      <c r="P806" s="13">
        <f t="shared" si="165"/>
        <v>960304</v>
      </c>
      <c r="Q806" s="13">
        <f t="shared" si="166"/>
        <v>950257</v>
      </c>
      <c r="R806" s="33">
        <f t="shared" si="167"/>
        <v>-2.0960816085641154E-3</v>
      </c>
      <c r="S806" s="33">
        <f t="shared" si="168"/>
        <v>-1.0462311934554047E-2</v>
      </c>
    </row>
    <row r="807" spans="1:19" x14ac:dyDescent="0.25">
      <c r="A807" t="s">
        <v>40</v>
      </c>
      <c r="B807" s="65">
        <v>3</v>
      </c>
      <c r="C807" t="s">
        <v>10</v>
      </c>
      <c r="D807" s="67">
        <v>38075</v>
      </c>
      <c r="E807" s="67">
        <v>37325</v>
      </c>
      <c r="F807" s="67">
        <v>37325</v>
      </c>
      <c r="G807" s="13">
        <f t="shared" si="156"/>
        <v>0</v>
      </c>
      <c r="H807" s="13">
        <f t="shared" si="157"/>
        <v>-750</v>
      </c>
      <c r="I807" s="73">
        <f t="shared" si="158"/>
        <v>-1.9697964543663793E-2</v>
      </c>
      <c r="J807" s="73">
        <f t="shared" si="159"/>
        <v>0</v>
      </c>
      <c r="K807" s="72" t="str">
        <f t="shared" si="160"/>
        <v>CNJ2</v>
      </c>
      <c r="L807" s="72" t="str">
        <f t="shared" si="161"/>
        <v>JUNE-3-CNJ2</v>
      </c>
      <c r="M807" s="73">
        <f t="shared" si="162"/>
        <v>-1.9697964543663793E-2</v>
      </c>
      <c r="N807" s="73">
        <f t="shared" si="163"/>
        <v>0</v>
      </c>
      <c r="O807" s="13">
        <f t="shared" si="164"/>
        <v>952253</v>
      </c>
      <c r="P807" s="13">
        <f t="shared" si="165"/>
        <v>960304</v>
      </c>
      <c r="Q807" s="13">
        <f t="shared" si="166"/>
        <v>950257</v>
      </c>
      <c r="R807" s="33">
        <f t="shared" si="167"/>
        <v>-2.0960816085641154E-3</v>
      </c>
      <c r="S807" s="33">
        <f t="shared" si="168"/>
        <v>-1.0462311934554047E-2</v>
      </c>
    </row>
    <row r="808" spans="1:19" x14ac:dyDescent="0.25">
      <c r="A808" t="s">
        <v>40</v>
      </c>
      <c r="B808" s="65">
        <v>3</v>
      </c>
      <c r="C808" t="s">
        <v>11</v>
      </c>
      <c r="D808" s="67">
        <v>216</v>
      </c>
      <c r="E808" s="67">
        <v>218</v>
      </c>
      <c r="F808" s="67">
        <v>216</v>
      </c>
      <c r="G808" s="13">
        <f t="shared" si="156"/>
        <v>-2</v>
      </c>
      <c r="H808" s="13">
        <f t="shared" si="157"/>
        <v>0</v>
      </c>
      <c r="I808" s="73">
        <f t="shared" si="158"/>
        <v>0</v>
      </c>
      <c r="J808" s="73">
        <f t="shared" si="159"/>
        <v>-9.1743119266054496E-3</v>
      </c>
      <c r="K808" s="72" t="str">
        <f t="shared" si="160"/>
        <v>MAJA1</v>
      </c>
      <c r="L808" s="72" t="str">
        <f t="shared" si="161"/>
        <v>JUNE-3-MAJA1</v>
      </c>
      <c r="M808" s="73">
        <f t="shared" si="162"/>
        <v>0</v>
      </c>
      <c r="N808" s="73">
        <f t="shared" si="163"/>
        <v>-2.4356992166460478E-2</v>
      </c>
      <c r="O808" s="13">
        <f t="shared" si="164"/>
        <v>952253</v>
      </c>
      <c r="P808" s="13">
        <f t="shared" si="165"/>
        <v>960304</v>
      </c>
      <c r="Q808" s="13">
        <f t="shared" si="166"/>
        <v>950257</v>
      </c>
      <c r="R808" s="33">
        <f t="shared" si="167"/>
        <v>-2.0960816085641154E-3</v>
      </c>
      <c r="S808" s="33">
        <f t="shared" si="168"/>
        <v>-1.0462311934554047E-2</v>
      </c>
    </row>
    <row r="809" spans="1:19" x14ac:dyDescent="0.25">
      <c r="A809" t="s">
        <v>40</v>
      </c>
      <c r="B809" s="65">
        <v>3</v>
      </c>
      <c r="C809" t="s">
        <v>11</v>
      </c>
      <c r="D809" s="67">
        <v>1130</v>
      </c>
      <c r="E809" s="67">
        <v>1136</v>
      </c>
      <c r="F809" s="67">
        <v>1130</v>
      </c>
      <c r="G809" s="13">
        <f t="shared" si="156"/>
        <v>-6</v>
      </c>
      <c r="H809" s="13">
        <f t="shared" si="157"/>
        <v>0</v>
      </c>
      <c r="I809" s="73">
        <f t="shared" si="158"/>
        <v>0</v>
      </c>
      <c r="J809" s="73">
        <f t="shared" si="159"/>
        <v>-5.2816901408451189E-3</v>
      </c>
      <c r="K809" s="72" t="str">
        <f t="shared" si="160"/>
        <v>MAJA1</v>
      </c>
      <c r="L809" s="72" t="str">
        <f t="shared" si="161"/>
        <v>JUNE-3-MAJA1</v>
      </c>
      <c r="M809" s="73">
        <f t="shared" si="162"/>
        <v>0</v>
      </c>
      <c r="N809" s="73">
        <f t="shared" si="163"/>
        <v>-2.4356992166460478E-2</v>
      </c>
      <c r="O809" s="13">
        <f t="shared" si="164"/>
        <v>952253</v>
      </c>
      <c r="P809" s="13">
        <f t="shared" si="165"/>
        <v>960304</v>
      </c>
      <c r="Q809" s="13">
        <f t="shared" si="166"/>
        <v>950257</v>
      </c>
      <c r="R809" s="33">
        <f t="shared" si="167"/>
        <v>-2.0960816085641154E-3</v>
      </c>
      <c r="S809" s="33">
        <f t="shared" si="168"/>
        <v>-1.0462311934554047E-2</v>
      </c>
    </row>
    <row r="810" spans="1:19" x14ac:dyDescent="0.25">
      <c r="A810" t="s">
        <v>40</v>
      </c>
      <c r="B810" s="65">
        <v>3</v>
      </c>
      <c r="C810" t="s">
        <v>11</v>
      </c>
      <c r="D810" s="67">
        <v>100</v>
      </c>
      <c r="E810" s="67">
        <v>101</v>
      </c>
      <c r="F810" s="67">
        <v>100</v>
      </c>
      <c r="G810" s="13">
        <f t="shared" si="156"/>
        <v>-1</v>
      </c>
      <c r="H810" s="13">
        <f t="shared" si="157"/>
        <v>0</v>
      </c>
      <c r="I810" s="73">
        <f t="shared" si="158"/>
        <v>0</v>
      </c>
      <c r="J810" s="73">
        <f t="shared" si="159"/>
        <v>-9.9009900990099098E-3</v>
      </c>
      <c r="K810" s="72" t="str">
        <f t="shared" si="160"/>
        <v>MAJA1</v>
      </c>
      <c r="L810" s="72" t="str">
        <f t="shared" si="161"/>
        <v>JUNE-3-MAJA1</v>
      </c>
      <c r="M810" s="73">
        <f t="shared" si="162"/>
        <v>0</v>
      </c>
      <c r="N810" s="73">
        <f t="shared" si="163"/>
        <v>-2.4356992166460478E-2</v>
      </c>
      <c r="O810" s="13">
        <f t="shared" si="164"/>
        <v>952253</v>
      </c>
      <c r="P810" s="13">
        <f t="shared" si="165"/>
        <v>960304</v>
      </c>
      <c r="Q810" s="13">
        <f t="shared" si="166"/>
        <v>950257</v>
      </c>
      <c r="R810" s="33">
        <f t="shared" si="167"/>
        <v>-2.0960816085641154E-3</v>
      </c>
      <c r="S810" s="33">
        <f t="shared" si="168"/>
        <v>-1.0462311934554047E-2</v>
      </c>
    </row>
    <row r="811" spans="1:19" x14ac:dyDescent="0.25">
      <c r="A811" t="s">
        <v>40</v>
      </c>
      <c r="B811" s="65">
        <v>3</v>
      </c>
      <c r="C811" t="s">
        <v>70</v>
      </c>
      <c r="D811" s="67">
        <v>48</v>
      </c>
      <c r="E811" s="67">
        <v>48</v>
      </c>
      <c r="F811" s="67">
        <v>47</v>
      </c>
      <c r="G811" s="13">
        <f t="shared" si="156"/>
        <v>-1</v>
      </c>
      <c r="H811" s="13">
        <f t="shared" si="157"/>
        <v>-1</v>
      </c>
      <c r="I811" s="73">
        <f t="shared" si="158"/>
        <v>-2.083333333333337E-2</v>
      </c>
      <c r="J811" s="73">
        <f t="shared" si="159"/>
        <v>-2.083333333333337E-2</v>
      </c>
      <c r="K811" s="72" t="str">
        <f t="shared" si="160"/>
        <v>CLN</v>
      </c>
      <c r="L811" s="72" t="str">
        <f t="shared" si="161"/>
        <v>JUNE-3-CLN</v>
      </c>
      <c r="M811" s="73">
        <f t="shared" si="162"/>
        <v>-2.083333333333337E-2</v>
      </c>
      <c r="N811" s="73">
        <f t="shared" si="163"/>
        <v>-2.083333333333337E-2</v>
      </c>
      <c r="O811" s="13">
        <f t="shared" si="164"/>
        <v>952253</v>
      </c>
      <c r="P811" s="13">
        <f t="shared" si="165"/>
        <v>960304</v>
      </c>
      <c r="Q811" s="13">
        <f t="shared" si="166"/>
        <v>950257</v>
      </c>
      <c r="R811" s="33">
        <f t="shared" si="167"/>
        <v>-2.0960816085641154E-3</v>
      </c>
      <c r="S811" s="33">
        <f t="shared" si="168"/>
        <v>-1.0462311934554047E-2</v>
      </c>
    </row>
    <row r="812" spans="1:19" x14ac:dyDescent="0.25">
      <c r="A812" t="s">
        <v>40</v>
      </c>
      <c r="B812" s="65">
        <v>4</v>
      </c>
      <c r="C812" t="s">
        <v>11</v>
      </c>
      <c r="D812" s="68">
        <v>260</v>
      </c>
      <c r="E812" s="68">
        <v>264</v>
      </c>
      <c r="F812" s="68">
        <v>260</v>
      </c>
      <c r="G812" s="13">
        <f t="shared" si="156"/>
        <v>-4</v>
      </c>
      <c r="H812" s="13">
        <f t="shared" si="157"/>
        <v>0</v>
      </c>
      <c r="I812" s="73">
        <f t="shared" si="158"/>
        <v>0</v>
      </c>
      <c r="J812" s="73">
        <f t="shared" si="159"/>
        <v>-1.5151515151515138E-2</v>
      </c>
      <c r="K812" s="72" t="str">
        <f t="shared" si="160"/>
        <v>MAJA1</v>
      </c>
      <c r="L812" s="72" t="str">
        <f t="shared" si="161"/>
        <v>JUNE-4-MAJA1</v>
      </c>
      <c r="M812" s="73">
        <f t="shared" si="162"/>
        <v>0</v>
      </c>
      <c r="N812" s="73">
        <f t="shared" si="163"/>
        <v>-1.5151515151515138E-2</v>
      </c>
      <c r="O812" s="13">
        <f t="shared" si="164"/>
        <v>952253</v>
      </c>
      <c r="P812" s="13">
        <f t="shared" si="165"/>
        <v>960304</v>
      </c>
      <c r="Q812" s="13">
        <f t="shared" si="166"/>
        <v>950257</v>
      </c>
      <c r="R812" s="33">
        <f t="shared" si="167"/>
        <v>-2.0960816085641154E-3</v>
      </c>
      <c r="S812" s="33">
        <f t="shared" si="168"/>
        <v>-1.0462311934554047E-2</v>
      </c>
    </row>
    <row r="813" spans="1:19" x14ac:dyDescent="0.25">
      <c r="A813" t="s">
        <v>40</v>
      </c>
      <c r="B813" s="65">
        <v>4</v>
      </c>
      <c r="C813" t="s">
        <v>16</v>
      </c>
      <c r="D813" s="68">
        <v>15000</v>
      </c>
      <c r="E813" s="68">
        <v>15004</v>
      </c>
      <c r="F813" s="68">
        <v>14776</v>
      </c>
      <c r="G813" s="13">
        <f t="shared" si="156"/>
        <v>-228</v>
      </c>
      <c r="H813" s="13">
        <f t="shared" si="157"/>
        <v>-224</v>
      </c>
      <c r="I813" s="73">
        <f t="shared" si="158"/>
        <v>-1.4933333333333354E-2</v>
      </c>
      <c r="J813" s="73">
        <f t="shared" si="159"/>
        <v>-1.5195947747267402E-2</v>
      </c>
      <c r="K813" s="72" t="str">
        <f t="shared" si="160"/>
        <v>ANUGERAH</v>
      </c>
      <c r="L813" s="72" t="str">
        <f t="shared" si="161"/>
        <v>JUNE-4-ANUGERAH</v>
      </c>
      <c r="M813" s="73">
        <f t="shared" si="162"/>
        <v>-0.10423571428571432</v>
      </c>
      <c r="N813" s="73">
        <f t="shared" si="163"/>
        <v>-0.10610932103020621</v>
      </c>
      <c r="O813" s="13">
        <f t="shared" si="164"/>
        <v>952253</v>
      </c>
      <c r="P813" s="13">
        <f t="shared" si="165"/>
        <v>960304</v>
      </c>
      <c r="Q813" s="13">
        <f t="shared" si="166"/>
        <v>950257</v>
      </c>
      <c r="R813" s="33">
        <f t="shared" si="167"/>
        <v>-2.0960816085641154E-3</v>
      </c>
      <c r="S813" s="33">
        <f t="shared" si="168"/>
        <v>-1.0462311934554047E-2</v>
      </c>
    </row>
    <row r="814" spans="1:19" x14ac:dyDescent="0.25">
      <c r="A814" t="s">
        <v>40</v>
      </c>
      <c r="B814" s="65">
        <v>4</v>
      </c>
      <c r="C814" t="s">
        <v>16</v>
      </c>
      <c r="D814" s="68">
        <v>15000</v>
      </c>
      <c r="E814" s="68">
        <v>15000</v>
      </c>
      <c r="F814" s="68">
        <v>14625</v>
      </c>
      <c r="G814" s="13">
        <f t="shared" si="156"/>
        <v>-375</v>
      </c>
      <c r="H814" s="13">
        <f t="shared" si="157"/>
        <v>-375</v>
      </c>
      <c r="I814" s="73">
        <f t="shared" si="158"/>
        <v>-2.5000000000000022E-2</v>
      </c>
      <c r="J814" s="73">
        <f t="shared" si="159"/>
        <v>-2.5000000000000022E-2</v>
      </c>
      <c r="K814" s="72" t="str">
        <f t="shared" si="160"/>
        <v>ANUGERAH</v>
      </c>
      <c r="L814" s="72" t="str">
        <f t="shared" si="161"/>
        <v>JUNE-4-ANUGERAH</v>
      </c>
      <c r="M814" s="73">
        <f t="shared" si="162"/>
        <v>-0.10423571428571432</v>
      </c>
      <c r="N814" s="73">
        <f t="shared" si="163"/>
        <v>-0.10610932103020621</v>
      </c>
      <c r="O814" s="13">
        <f t="shared" si="164"/>
        <v>952253</v>
      </c>
      <c r="P814" s="13">
        <f t="shared" si="165"/>
        <v>960304</v>
      </c>
      <c r="Q814" s="13">
        <f t="shared" si="166"/>
        <v>950257</v>
      </c>
      <c r="R814" s="33">
        <f t="shared" si="167"/>
        <v>-2.0960816085641154E-3</v>
      </c>
      <c r="S814" s="33">
        <f t="shared" si="168"/>
        <v>-1.0462311934554047E-2</v>
      </c>
    </row>
    <row r="815" spans="1:19" x14ac:dyDescent="0.25">
      <c r="A815" t="s">
        <v>40</v>
      </c>
      <c r="B815" s="65">
        <v>4</v>
      </c>
      <c r="C815" t="s">
        <v>16</v>
      </c>
      <c r="D815" s="68">
        <v>20000</v>
      </c>
      <c r="E815" s="68">
        <v>20025</v>
      </c>
      <c r="F815" s="68">
        <v>19711</v>
      </c>
      <c r="G815" s="13">
        <f t="shared" si="156"/>
        <v>-314</v>
      </c>
      <c r="H815" s="13">
        <f t="shared" si="157"/>
        <v>-289</v>
      </c>
      <c r="I815" s="73">
        <f t="shared" si="158"/>
        <v>-1.4449999999999963E-2</v>
      </c>
      <c r="J815" s="73">
        <f t="shared" si="159"/>
        <v>-1.5680399500624165E-2</v>
      </c>
      <c r="K815" s="72" t="str">
        <f t="shared" si="160"/>
        <v>ANUGERAH</v>
      </c>
      <c r="L815" s="72" t="str">
        <f t="shared" si="161"/>
        <v>JUNE-4-ANUGERAH</v>
      </c>
      <c r="M815" s="73">
        <f t="shared" si="162"/>
        <v>-0.10423571428571432</v>
      </c>
      <c r="N815" s="73">
        <f t="shared" si="163"/>
        <v>-0.10610932103020621</v>
      </c>
      <c r="O815" s="13">
        <f t="shared" si="164"/>
        <v>952253</v>
      </c>
      <c r="P815" s="13">
        <f t="shared" si="165"/>
        <v>960304</v>
      </c>
      <c r="Q815" s="13">
        <f t="shared" si="166"/>
        <v>950257</v>
      </c>
      <c r="R815" s="33">
        <f t="shared" si="167"/>
        <v>-2.0960816085641154E-3</v>
      </c>
      <c r="S815" s="33">
        <f t="shared" si="168"/>
        <v>-1.0462311934554047E-2</v>
      </c>
    </row>
    <row r="816" spans="1:19" x14ac:dyDescent="0.25">
      <c r="A816" t="s">
        <v>40</v>
      </c>
      <c r="B816" s="65">
        <v>4</v>
      </c>
      <c r="C816" t="s">
        <v>16</v>
      </c>
      <c r="D816" s="68">
        <v>10000</v>
      </c>
      <c r="E816" s="68">
        <v>10002</v>
      </c>
      <c r="F816" s="68">
        <v>9671</v>
      </c>
      <c r="G816" s="13">
        <f t="shared" si="156"/>
        <v>-331</v>
      </c>
      <c r="H816" s="13">
        <f t="shared" si="157"/>
        <v>-329</v>
      </c>
      <c r="I816" s="73">
        <f t="shared" si="158"/>
        <v>-3.290000000000004E-2</v>
      </c>
      <c r="J816" s="73">
        <f t="shared" si="159"/>
        <v>-3.3093381323735294E-2</v>
      </c>
      <c r="K816" s="72" t="str">
        <f t="shared" si="160"/>
        <v>ANUGERAH</v>
      </c>
      <c r="L816" s="72" t="str">
        <f t="shared" si="161"/>
        <v>JUNE-4-ANUGERAH</v>
      </c>
      <c r="M816" s="73">
        <f t="shared" si="162"/>
        <v>-0.10423571428571432</v>
      </c>
      <c r="N816" s="73">
        <f t="shared" si="163"/>
        <v>-0.10610932103020621</v>
      </c>
      <c r="O816" s="13">
        <f t="shared" si="164"/>
        <v>952253</v>
      </c>
      <c r="P816" s="13">
        <f t="shared" si="165"/>
        <v>960304</v>
      </c>
      <c r="Q816" s="13">
        <f t="shared" si="166"/>
        <v>950257</v>
      </c>
      <c r="R816" s="33">
        <f t="shared" si="167"/>
        <v>-2.0960816085641154E-3</v>
      </c>
      <c r="S816" s="33">
        <f t="shared" si="168"/>
        <v>-1.0462311934554047E-2</v>
      </c>
    </row>
    <row r="817" spans="1:19" x14ac:dyDescent="0.25">
      <c r="A817" t="s">
        <v>40</v>
      </c>
      <c r="B817" s="65">
        <v>4</v>
      </c>
      <c r="C817" t="s">
        <v>16</v>
      </c>
      <c r="D817" s="67">
        <v>21000</v>
      </c>
      <c r="E817" s="67">
        <v>21004</v>
      </c>
      <c r="F817" s="67">
        <v>20644</v>
      </c>
      <c r="G817" s="13">
        <f t="shared" si="156"/>
        <v>-360</v>
      </c>
      <c r="H817" s="13">
        <f t="shared" si="157"/>
        <v>-356</v>
      </c>
      <c r="I817" s="73">
        <f t="shared" si="158"/>
        <v>-1.6952380952380941E-2</v>
      </c>
      <c r="J817" s="73">
        <f t="shared" si="159"/>
        <v>-1.7139592458579322E-2</v>
      </c>
      <c r="K817" s="72" t="str">
        <f t="shared" si="160"/>
        <v>ANUGERAH</v>
      </c>
      <c r="L817" s="72" t="str">
        <f t="shared" si="161"/>
        <v>JUNE-4-ANUGERAH</v>
      </c>
      <c r="M817" s="73">
        <f t="shared" si="162"/>
        <v>-0.10423571428571432</v>
      </c>
      <c r="N817" s="73">
        <f t="shared" si="163"/>
        <v>-0.10610932103020621</v>
      </c>
      <c r="O817" s="13">
        <f t="shared" si="164"/>
        <v>952253</v>
      </c>
      <c r="P817" s="13">
        <f t="shared" si="165"/>
        <v>960304</v>
      </c>
      <c r="Q817" s="13">
        <f t="shared" si="166"/>
        <v>950257</v>
      </c>
      <c r="R817" s="33">
        <f t="shared" si="167"/>
        <v>-2.0960816085641154E-3</v>
      </c>
      <c r="S817" s="33">
        <f t="shared" si="168"/>
        <v>-1.0462311934554047E-2</v>
      </c>
    </row>
    <row r="818" spans="1:19" x14ac:dyDescent="0.25">
      <c r="A818" t="s">
        <v>40</v>
      </c>
      <c r="B818" s="65">
        <v>4</v>
      </c>
      <c r="C818" t="s">
        <v>10</v>
      </c>
      <c r="D818" s="67">
        <v>265</v>
      </c>
      <c r="E818" s="67">
        <v>265</v>
      </c>
      <c r="F818" s="67">
        <v>265</v>
      </c>
      <c r="G818" s="13">
        <f t="shared" si="156"/>
        <v>0</v>
      </c>
      <c r="H818" s="13">
        <f t="shared" si="157"/>
        <v>0</v>
      </c>
      <c r="I818" s="73">
        <f t="shared" si="158"/>
        <v>0</v>
      </c>
      <c r="J818" s="73">
        <f t="shared" si="159"/>
        <v>0</v>
      </c>
      <c r="K818" s="72" t="str">
        <f t="shared" si="160"/>
        <v>CNJ2</v>
      </c>
      <c r="L818" s="72" t="str">
        <f t="shared" si="161"/>
        <v>JUNE-4-CNJ2</v>
      </c>
      <c r="M818" s="73">
        <f t="shared" si="162"/>
        <v>-0.2615117842926713</v>
      </c>
      <c r="N818" s="73">
        <f t="shared" si="163"/>
        <v>-6.2909172304836281E-2</v>
      </c>
      <c r="O818" s="13">
        <f t="shared" si="164"/>
        <v>952253</v>
      </c>
      <c r="P818" s="13">
        <f t="shared" si="165"/>
        <v>960304</v>
      </c>
      <c r="Q818" s="13">
        <f t="shared" si="166"/>
        <v>950257</v>
      </c>
      <c r="R818" s="33">
        <f t="shared" si="167"/>
        <v>-2.0960816085641154E-3</v>
      </c>
      <c r="S818" s="33">
        <f t="shared" si="168"/>
        <v>-1.0462311934554047E-2</v>
      </c>
    </row>
    <row r="819" spans="1:19" x14ac:dyDescent="0.25">
      <c r="A819" t="s">
        <v>40</v>
      </c>
      <c r="B819" s="65">
        <v>4</v>
      </c>
      <c r="C819" t="s">
        <v>10</v>
      </c>
      <c r="D819" s="67">
        <v>1185</v>
      </c>
      <c r="E819" s="67">
        <v>1185</v>
      </c>
      <c r="F819" s="67">
        <v>1185</v>
      </c>
      <c r="G819" s="13">
        <f t="shared" si="156"/>
        <v>0</v>
      </c>
      <c r="H819" s="13">
        <f t="shared" si="157"/>
        <v>0</v>
      </c>
      <c r="I819" s="73">
        <f t="shared" si="158"/>
        <v>0</v>
      </c>
      <c r="J819" s="73">
        <f t="shared" si="159"/>
        <v>0</v>
      </c>
      <c r="K819" s="72" t="str">
        <f t="shared" si="160"/>
        <v>CNJ2</v>
      </c>
      <c r="L819" s="72" t="str">
        <f t="shared" si="161"/>
        <v>JUNE-4-CNJ2</v>
      </c>
      <c r="M819" s="73">
        <f t="shared" si="162"/>
        <v>-0.2615117842926713</v>
      </c>
      <c r="N819" s="73">
        <f t="shared" si="163"/>
        <v>-6.2909172304836281E-2</v>
      </c>
      <c r="O819" s="13">
        <f t="shared" si="164"/>
        <v>952253</v>
      </c>
      <c r="P819" s="13">
        <f t="shared" si="165"/>
        <v>960304</v>
      </c>
      <c r="Q819" s="13">
        <f t="shared" si="166"/>
        <v>950257</v>
      </c>
      <c r="R819" s="33">
        <f t="shared" si="167"/>
        <v>-2.0960816085641154E-3</v>
      </c>
      <c r="S819" s="33">
        <f t="shared" si="168"/>
        <v>-1.0462311934554047E-2</v>
      </c>
    </row>
    <row r="820" spans="1:19" x14ac:dyDescent="0.25">
      <c r="A820" t="s">
        <v>40</v>
      </c>
      <c r="B820" s="65">
        <v>4</v>
      </c>
      <c r="C820" t="s">
        <v>10</v>
      </c>
      <c r="D820" s="67">
        <v>255</v>
      </c>
      <c r="E820" s="67">
        <v>255</v>
      </c>
      <c r="F820" s="67">
        <v>255</v>
      </c>
      <c r="G820" s="13">
        <f t="shared" si="156"/>
        <v>0</v>
      </c>
      <c r="H820" s="13">
        <f t="shared" si="157"/>
        <v>0</v>
      </c>
      <c r="I820" s="73">
        <f t="shared" si="158"/>
        <v>0</v>
      </c>
      <c r="J820" s="73">
        <f t="shared" si="159"/>
        <v>0</v>
      </c>
      <c r="K820" s="72" t="str">
        <f t="shared" si="160"/>
        <v>CNJ2</v>
      </c>
      <c r="L820" s="72" t="str">
        <f t="shared" si="161"/>
        <v>JUNE-4-CNJ2</v>
      </c>
      <c r="M820" s="73">
        <f t="shared" si="162"/>
        <v>-0.2615117842926713</v>
      </c>
      <c r="N820" s="73">
        <f t="shared" si="163"/>
        <v>-6.2909172304836281E-2</v>
      </c>
      <c r="O820" s="13">
        <f t="shared" si="164"/>
        <v>952253</v>
      </c>
      <c r="P820" s="13">
        <f t="shared" si="165"/>
        <v>960304</v>
      </c>
      <c r="Q820" s="13">
        <f t="shared" si="166"/>
        <v>950257</v>
      </c>
      <c r="R820" s="33">
        <f t="shared" si="167"/>
        <v>-2.0960816085641154E-3</v>
      </c>
      <c r="S820" s="33">
        <f t="shared" si="168"/>
        <v>-1.0462311934554047E-2</v>
      </c>
    </row>
    <row r="821" spans="1:19" x14ac:dyDescent="0.25">
      <c r="A821" t="s">
        <v>40</v>
      </c>
      <c r="B821" s="65">
        <v>4</v>
      </c>
      <c r="C821" t="s">
        <v>10</v>
      </c>
      <c r="D821" s="67">
        <v>540</v>
      </c>
      <c r="E821" s="67">
        <v>540</v>
      </c>
      <c r="F821" s="67">
        <v>540</v>
      </c>
      <c r="G821" s="13">
        <f t="shared" si="156"/>
        <v>0</v>
      </c>
      <c r="H821" s="13">
        <f t="shared" si="157"/>
        <v>0</v>
      </c>
      <c r="I821" s="73">
        <f t="shared" si="158"/>
        <v>0</v>
      </c>
      <c r="J821" s="73">
        <f t="shared" si="159"/>
        <v>0</v>
      </c>
      <c r="K821" s="72" t="str">
        <f t="shared" si="160"/>
        <v>CNJ2</v>
      </c>
      <c r="L821" s="72" t="str">
        <f t="shared" si="161"/>
        <v>JUNE-4-CNJ2</v>
      </c>
      <c r="M821" s="73">
        <f t="shared" si="162"/>
        <v>-0.2615117842926713</v>
      </c>
      <c r="N821" s="73">
        <f t="shared" si="163"/>
        <v>-6.2909172304836281E-2</v>
      </c>
      <c r="O821" s="13">
        <f t="shared" si="164"/>
        <v>952253</v>
      </c>
      <c r="P821" s="13">
        <f t="shared" si="165"/>
        <v>960304</v>
      </c>
      <c r="Q821" s="13">
        <f t="shared" si="166"/>
        <v>950257</v>
      </c>
      <c r="R821" s="33">
        <f t="shared" si="167"/>
        <v>-2.0960816085641154E-3</v>
      </c>
      <c r="S821" s="33">
        <f t="shared" si="168"/>
        <v>-1.0462311934554047E-2</v>
      </c>
    </row>
    <row r="822" spans="1:19" x14ac:dyDescent="0.25">
      <c r="A822" t="s">
        <v>40</v>
      </c>
      <c r="B822" s="65">
        <v>4</v>
      </c>
      <c r="C822" t="s">
        <v>10</v>
      </c>
      <c r="D822" s="67">
        <v>545</v>
      </c>
      <c r="E822" s="67">
        <v>545</v>
      </c>
      <c r="F822" s="67">
        <v>545</v>
      </c>
      <c r="G822" s="13">
        <f t="shared" si="156"/>
        <v>0</v>
      </c>
      <c r="H822" s="13">
        <f t="shared" si="157"/>
        <v>0</v>
      </c>
      <c r="I822" s="73">
        <f t="shared" si="158"/>
        <v>0</v>
      </c>
      <c r="J822" s="73">
        <f t="shared" si="159"/>
        <v>0</v>
      </c>
      <c r="K822" s="72" t="str">
        <f t="shared" si="160"/>
        <v>CNJ2</v>
      </c>
      <c r="L822" s="72" t="str">
        <f t="shared" si="161"/>
        <v>JUNE-4-CNJ2</v>
      </c>
      <c r="M822" s="73">
        <f t="shared" si="162"/>
        <v>-0.2615117842926713</v>
      </c>
      <c r="N822" s="73">
        <f t="shared" si="163"/>
        <v>-6.2909172304836281E-2</v>
      </c>
      <c r="O822" s="13">
        <f t="shared" si="164"/>
        <v>952253</v>
      </c>
      <c r="P822" s="13">
        <f t="shared" si="165"/>
        <v>960304</v>
      </c>
      <c r="Q822" s="13">
        <f t="shared" si="166"/>
        <v>950257</v>
      </c>
      <c r="R822" s="33">
        <f t="shared" si="167"/>
        <v>-2.0960816085641154E-3</v>
      </c>
      <c r="S822" s="33">
        <f t="shared" si="168"/>
        <v>-1.0462311934554047E-2</v>
      </c>
    </row>
    <row r="823" spans="1:19" x14ac:dyDescent="0.25">
      <c r="A823" t="s">
        <v>40</v>
      </c>
      <c r="B823" s="65">
        <v>4</v>
      </c>
      <c r="C823" t="s">
        <v>10</v>
      </c>
      <c r="D823" s="67">
        <v>2920</v>
      </c>
      <c r="E823" s="67">
        <v>2920</v>
      </c>
      <c r="F823" s="67">
        <v>2865</v>
      </c>
      <c r="G823" s="13">
        <f t="shared" si="156"/>
        <v>-55</v>
      </c>
      <c r="H823" s="13">
        <f t="shared" si="157"/>
        <v>-55</v>
      </c>
      <c r="I823" s="73">
        <f t="shared" si="158"/>
        <v>-1.8835616438356184E-2</v>
      </c>
      <c r="J823" s="73">
        <f t="shared" si="159"/>
        <v>-1.8835616438356184E-2</v>
      </c>
      <c r="K823" s="72" t="str">
        <f t="shared" si="160"/>
        <v>CNJ2</v>
      </c>
      <c r="L823" s="72" t="str">
        <f t="shared" si="161"/>
        <v>JUNE-4-CNJ2</v>
      </c>
      <c r="M823" s="73">
        <f t="shared" si="162"/>
        <v>-0.2615117842926713</v>
      </c>
      <c r="N823" s="73">
        <f t="shared" si="163"/>
        <v>-6.2909172304836281E-2</v>
      </c>
      <c r="O823" s="13">
        <f t="shared" si="164"/>
        <v>952253</v>
      </c>
      <c r="P823" s="13">
        <f t="shared" si="165"/>
        <v>960304</v>
      </c>
      <c r="Q823" s="13">
        <f t="shared" si="166"/>
        <v>950257</v>
      </c>
      <c r="R823" s="33">
        <f t="shared" si="167"/>
        <v>-2.0960816085641154E-3</v>
      </c>
      <c r="S823" s="33">
        <f t="shared" si="168"/>
        <v>-1.0462311934554047E-2</v>
      </c>
    </row>
    <row r="824" spans="1:19" x14ac:dyDescent="0.25">
      <c r="A824" t="s">
        <v>40</v>
      </c>
      <c r="B824" s="65">
        <v>4</v>
      </c>
      <c r="C824" t="s">
        <v>10</v>
      </c>
      <c r="D824" s="67">
        <v>215</v>
      </c>
      <c r="E824" s="67">
        <v>215</v>
      </c>
      <c r="F824" s="67">
        <v>215</v>
      </c>
      <c r="G824" s="13">
        <f t="shared" si="156"/>
        <v>0</v>
      </c>
      <c r="H824" s="13">
        <f t="shared" si="157"/>
        <v>0</v>
      </c>
      <c r="I824" s="73">
        <f t="shared" si="158"/>
        <v>0</v>
      </c>
      <c r="J824" s="73">
        <f t="shared" si="159"/>
        <v>0</v>
      </c>
      <c r="K824" s="72" t="str">
        <f t="shared" si="160"/>
        <v>CNJ2</v>
      </c>
      <c r="L824" s="72" t="str">
        <f t="shared" si="161"/>
        <v>JUNE-4-CNJ2</v>
      </c>
      <c r="M824" s="73">
        <f t="shared" si="162"/>
        <v>-0.2615117842926713</v>
      </c>
      <c r="N824" s="73">
        <f t="shared" si="163"/>
        <v>-6.2909172304836281E-2</v>
      </c>
      <c r="O824" s="13">
        <f t="shared" si="164"/>
        <v>952253</v>
      </c>
      <c r="P824" s="13">
        <f t="shared" si="165"/>
        <v>960304</v>
      </c>
      <c r="Q824" s="13">
        <f t="shared" si="166"/>
        <v>950257</v>
      </c>
      <c r="R824" s="33">
        <f t="shared" si="167"/>
        <v>-2.0960816085641154E-3</v>
      </c>
      <c r="S824" s="33">
        <f t="shared" si="168"/>
        <v>-1.0462311934554047E-2</v>
      </c>
    </row>
    <row r="825" spans="1:19" x14ac:dyDescent="0.25">
      <c r="A825" t="s">
        <v>40</v>
      </c>
      <c r="B825" s="65">
        <v>4</v>
      </c>
      <c r="C825" t="s">
        <v>10</v>
      </c>
      <c r="D825" s="67">
        <v>130</v>
      </c>
      <c r="E825" s="67">
        <v>130</v>
      </c>
      <c r="F825" s="67">
        <v>130</v>
      </c>
      <c r="G825" s="13">
        <f t="shared" si="156"/>
        <v>0</v>
      </c>
      <c r="H825" s="13">
        <f t="shared" si="157"/>
        <v>0</v>
      </c>
      <c r="I825" s="73">
        <f t="shared" si="158"/>
        <v>0</v>
      </c>
      <c r="J825" s="73">
        <f t="shared" si="159"/>
        <v>0</v>
      </c>
      <c r="K825" s="72" t="str">
        <f t="shared" si="160"/>
        <v>CNJ2</v>
      </c>
      <c r="L825" s="72" t="str">
        <f t="shared" si="161"/>
        <v>JUNE-4-CNJ2</v>
      </c>
      <c r="M825" s="73">
        <f t="shared" si="162"/>
        <v>-0.2615117842926713</v>
      </c>
      <c r="N825" s="73">
        <f t="shared" si="163"/>
        <v>-6.2909172304836281E-2</v>
      </c>
      <c r="O825" s="13">
        <f t="shared" si="164"/>
        <v>952253</v>
      </c>
      <c r="P825" s="13">
        <f t="shared" si="165"/>
        <v>960304</v>
      </c>
      <c r="Q825" s="13">
        <f t="shared" si="166"/>
        <v>950257</v>
      </c>
      <c r="R825" s="33">
        <f t="shared" si="167"/>
        <v>-2.0960816085641154E-3</v>
      </c>
      <c r="S825" s="33">
        <f t="shared" si="168"/>
        <v>-1.0462311934554047E-2</v>
      </c>
    </row>
    <row r="826" spans="1:19" x14ac:dyDescent="0.25">
      <c r="A826" t="s">
        <v>40</v>
      </c>
      <c r="B826" s="65">
        <v>4</v>
      </c>
      <c r="C826" t="s">
        <v>10</v>
      </c>
      <c r="D826" s="67">
        <v>745</v>
      </c>
      <c r="E826" s="67">
        <v>745</v>
      </c>
      <c r="F826" s="67">
        <v>745</v>
      </c>
      <c r="G826" s="13">
        <f t="shared" si="156"/>
        <v>0</v>
      </c>
      <c r="H826" s="13">
        <f t="shared" si="157"/>
        <v>0</v>
      </c>
      <c r="I826" s="73">
        <f t="shared" si="158"/>
        <v>0</v>
      </c>
      <c r="J826" s="73">
        <f t="shared" si="159"/>
        <v>0</v>
      </c>
      <c r="K826" s="72" t="str">
        <f t="shared" si="160"/>
        <v>CNJ2</v>
      </c>
      <c r="L826" s="72" t="str">
        <f t="shared" si="161"/>
        <v>JUNE-4-CNJ2</v>
      </c>
      <c r="M826" s="73">
        <f t="shared" si="162"/>
        <v>-0.2615117842926713</v>
      </c>
      <c r="N826" s="73">
        <f t="shared" si="163"/>
        <v>-6.2909172304836281E-2</v>
      </c>
      <c r="O826" s="13">
        <f t="shared" si="164"/>
        <v>952253</v>
      </c>
      <c r="P826" s="13">
        <f t="shared" si="165"/>
        <v>960304</v>
      </c>
      <c r="Q826" s="13">
        <f t="shared" si="166"/>
        <v>950257</v>
      </c>
      <c r="R826" s="33">
        <f t="shared" si="167"/>
        <v>-2.0960816085641154E-3</v>
      </c>
      <c r="S826" s="33">
        <f t="shared" si="168"/>
        <v>-1.0462311934554047E-2</v>
      </c>
    </row>
    <row r="827" spans="1:19" x14ac:dyDescent="0.25">
      <c r="A827" t="s">
        <v>40</v>
      </c>
      <c r="B827" s="65">
        <v>4</v>
      </c>
      <c r="C827" t="s">
        <v>10</v>
      </c>
      <c r="D827" s="67">
        <v>110</v>
      </c>
      <c r="E827" s="67">
        <v>110</v>
      </c>
      <c r="F827" s="67">
        <v>110</v>
      </c>
      <c r="G827" s="13">
        <f t="shared" si="156"/>
        <v>0</v>
      </c>
      <c r="H827" s="13">
        <f t="shared" si="157"/>
        <v>0</v>
      </c>
      <c r="I827" s="73">
        <f t="shared" si="158"/>
        <v>0</v>
      </c>
      <c r="J827" s="73">
        <f t="shared" si="159"/>
        <v>0</v>
      </c>
      <c r="K827" s="72" t="str">
        <f t="shared" si="160"/>
        <v>CNJ2</v>
      </c>
      <c r="L827" s="72" t="str">
        <f t="shared" si="161"/>
        <v>JUNE-4-CNJ2</v>
      </c>
      <c r="M827" s="73">
        <f t="shared" si="162"/>
        <v>-0.2615117842926713</v>
      </c>
      <c r="N827" s="73">
        <f t="shared" si="163"/>
        <v>-6.2909172304836281E-2</v>
      </c>
      <c r="O827" s="13">
        <f t="shared" si="164"/>
        <v>952253</v>
      </c>
      <c r="P827" s="13">
        <f t="shared" si="165"/>
        <v>960304</v>
      </c>
      <c r="Q827" s="13">
        <f t="shared" si="166"/>
        <v>950257</v>
      </c>
      <c r="R827" s="33">
        <f t="shared" si="167"/>
        <v>-2.0960816085641154E-3</v>
      </c>
      <c r="S827" s="33">
        <f t="shared" si="168"/>
        <v>-1.0462311934554047E-2</v>
      </c>
    </row>
    <row r="828" spans="1:19" x14ac:dyDescent="0.25">
      <c r="A828" t="s">
        <v>40</v>
      </c>
      <c r="B828" s="65">
        <v>4</v>
      </c>
      <c r="C828" t="s">
        <v>10</v>
      </c>
      <c r="D828" s="67">
        <v>395</v>
      </c>
      <c r="E828" s="67">
        <v>395</v>
      </c>
      <c r="F828" s="67">
        <v>395</v>
      </c>
      <c r="G828" s="13">
        <f t="shared" si="156"/>
        <v>0</v>
      </c>
      <c r="H828" s="13">
        <f t="shared" si="157"/>
        <v>0</v>
      </c>
      <c r="I828" s="73">
        <f t="shared" si="158"/>
        <v>0</v>
      </c>
      <c r="J828" s="73">
        <f t="shared" si="159"/>
        <v>0</v>
      </c>
      <c r="K828" s="72" t="str">
        <f t="shared" si="160"/>
        <v>CNJ2</v>
      </c>
      <c r="L828" s="72" t="str">
        <f t="shared" si="161"/>
        <v>JUNE-4-CNJ2</v>
      </c>
      <c r="M828" s="73">
        <f t="shared" si="162"/>
        <v>-0.2615117842926713</v>
      </c>
      <c r="N828" s="73">
        <f t="shared" si="163"/>
        <v>-6.2909172304836281E-2</v>
      </c>
      <c r="O828" s="13">
        <f t="shared" si="164"/>
        <v>952253</v>
      </c>
      <c r="P828" s="13">
        <f t="shared" si="165"/>
        <v>960304</v>
      </c>
      <c r="Q828" s="13">
        <f t="shared" si="166"/>
        <v>950257</v>
      </c>
      <c r="R828" s="33">
        <f t="shared" si="167"/>
        <v>-2.0960816085641154E-3</v>
      </c>
      <c r="S828" s="33">
        <f t="shared" si="168"/>
        <v>-1.0462311934554047E-2</v>
      </c>
    </row>
    <row r="829" spans="1:19" x14ac:dyDescent="0.25">
      <c r="A829" t="s">
        <v>40</v>
      </c>
      <c r="B829" s="65">
        <v>4</v>
      </c>
      <c r="C829" t="s">
        <v>10</v>
      </c>
      <c r="D829" s="67">
        <v>12630</v>
      </c>
      <c r="E829" s="67">
        <v>10006</v>
      </c>
      <c r="F829" s="67">
        <v>9565</v>
      </c>
      <c r="G829" s="13">
        <f t="shared" si="156"/>
        <v>-441</v>
      </c>
      <c r="H829" s="13">
        <f t="shared" si="157"/>
        <v>-3065</v>
      </c>
      <c r="I829" s="73">
        <f t="shared" si="158"/>
        <v>-0.24267616785431512</v>
      </c>
      <c r="J829" s="73">
        <f t="shared" si="159"/>
        <v>-4.4073555866480096E-2</v>
      </c>
      <c r="K829" s="72" t="str">
        <f t="shared" si="160"/>
        <v>CNJ2</v>
      </c>
      <c r="L829" s="72" t="str">
        <f t="shared" si="161"/>
        <v>JUNE-4-CNJ2</v>
      </c>
      <c r="M829" s="73">
        <f t="shared" si="162"/>
        <v>-0.2615117842926713</v>
      </c>
      <c r="N829" s="73">
        <f t="shared" si="163"/>
        <v>-6.2909172304836281E-2</v>
      </c>
      <c r="O829" s="13">
        <f t="shared" si="164"/>
        <v>952253</v>
      </c>
      <c r="P829" s="13">
        <f t="shared" si="165"/>
        <v>960304</v>
      </c>
      <c r="Q829" s="13">
        <f t="shared" si="166"/>
        <v>950257</v>
      </c>
      <c r="R829" s="33">
        <f t="shared" si="167"/>
        <v>-2.0960816085641154E-3</v>
      </c>
      <c r="S829" s="33">
        <f t="shared" si="168"/>
        <v>-1.0462311934554047E-2</v>
      </c>
    </row>
    <row r="830" spans="1:19" x14ac:dyDescent="0.25">
      <c r="A830" t="s">
        <v>40</v>
      </c>
      <c r="B830" s="65">
        <v>4</v>
      </c>
      <c r="C830" t="s">
        <v>15</v>
      </c>
      <c r="D830" s="67">
        <v>1195</v>
      </c>
      <c r="E830" s="67">
        <v>1195</v>
      </c>
      <c r="F830" s="67">
        <v>1195</v>
      </c>
      <c r="G830" s="13">
        <f t="shared" si="156"/>
        <v>0</v>
      </c>
      <c r="H830" s="13">
        <f t="shared" si="157"/>
        <v>0</v>
      </c>
      <c r="I830" s="73">
        <f t="shared" si="158"/>
        <v>0</v>
      </c>
      <c r="J830" s="73">
        <f t="shared" si="159"/>
        <v>0</v>
      </c>
      <c r="K830" s="72" t="str">
        <f t="shared" si="160"/>
        <v>CHAWAN</v>
      </c>
      <c r="L830" s="72" t="str">
        <f t="shared" si="161"/>
        <v>JUNE-4-CHAWAN</v>
      </c>
      <c r="M830" s="73">
        <f t="shared" si="162"/>
        <v>0</v>
      </c>
      <c r="N830" s="73">
        <f t="shared" si="163"/>
        <v>-1.3681240234901137E-2</v>
      </c>
      <c r="O830" s="13">
        <f t="shared" si="164"/>
        <v>952253</v>
      </c>
      <c r="P830" s="13">
        <f t="shared" si="165"/>
        <v>960304</v>
      </c>
      <c r="Q830" s="13">
        <f t="shared" si="166"/>
        <v>950257</v>
      </c>
      <c r="R830" s="33">
        <f t="shared" si="167"/>
        <v>-2.0960816085641154E-3</v>
      </c>
      <c r="S830" s="33">
        <f t="shared" si="168"/>
        <v>-1.0462311934554047E-2</v>
      </c>
    </row>
    <row r="831" spans="1:19" x14ac:dyDescent="0.25">
      <c r="A831" t="s">
        <v>40</v>
      </c>
      <c r="B831" s="65">
        <v>4</v>
      </c>
      <c r="C831" t="s">
        <v>15</v>
      </c>
      <c r="D831" s="67">
        <v>268</v>
      </c>
      <c r="E831" s="67">
        <v>269</v>
      </c>
      <c r="F831" s="67">
        <v>268</v>
      </c>
      <c r="G831" s="13">
        <f t="shared" si="156"/>
        <v>-1</v>
      </c>
      <c r="H831" s="13">
        <f t="shared" si="157"/>
        <v>0</v>
      </c>
      <c r="I831" s="73">
        <f t="shared" si="158"/>
        <v>0</v>
      </c>
      <c r="J831" s="73">
        <f t="shared" si="159"/>
        <v>-3.7174721189591198E-3</v>
      </c>
      <c r="K831" s="72" t="str">
        <f t="shared" si="160"/>
        <v>CHAWAN</v>
      </c>
      <c r="L831" s="72" t="str">
        <f t="shared" si="161"/>
        <v>JUNE-4-CHAWAN</v>
      </c>
      <c r="M831" s="73">
        <f t="shared" si="162"/>
        <v>0</v>
      </c>
      <c r="N831" s="73">
        <f t="shared" si="163"/>
        <v>-1.3681240234901137E-2</v>
      </c>
      <c r="O831" s="13">
        <f t="shared" si="164"/>
        <v>952253</v>
      </c>
      <c r="P831" s="13">
        <f t="shared" si="165"/>
        <v>960304</v>
      </c>
      <c r="Q831" s="13">
        <f t="shared" si="166"/>
        <v>950257</v>
      </c>
      <c r="R831" s="33">
        <f t="shared" si="167"/>
        <v>-2.0960816085641154E-3</v>
      </c>
      <c r="S831" s="33">
        <f t="shared" si="168"/>
        <v>-1.0462311934554047E-2</v>
      </c>
    </row>
    <row r="832" spans="1:19" x14ac:dyDescent="0.25">
      <c r="A832" t="s">
        <v>40</v>
      </c>
      <c r="B832" s="65">
        <v>4</v>
      </c>
      <c r="C832" t="s">
        <v>15</v>
      </c>
      <c r="D832" s="67">
        <v>152</v>
      </c>
      <c r="E832" s="67">
        <v>152</v>
      </c>
      <c r="F832" s="67">
        <v>152</v>
      </c>
      <c r="G832" s="13">
        <f t="shared" si="156"/>
        <v>0</v>
      </c>
      <c r="H832" s="13">
        <f t="shared" si="157"/>
        <v>0</v>
      </c>
      <c r="I832" s="73">
        <f t="shared" si="158"/>
        <v>0</v>
      </c>
      <c r="J832" s="73">
        <f t="shared" si="159"/>
        <v>0</v>
      </c>
      <c r="K832" s="72" t="str">
        <f t="shared" si="160"/>
        <v>CHAWAN</v>
      </c>
      <c r="L832" s="72" t="str">
        <f t="shared" si="161"/>
        <v>JUNE-4-CHAWAN</v>
      </c>
      <c r="M832" s="73">
        <f t="shared" si="162"/>
        <v>0</v>
      </c>
      <c r="N832" s="73">
        <f t="shared" si="163"/>
        <v>-1.3681240234901137E-2</v>
      </c>
      <c r="O832" s="13">
        <f t="shared" si="164"/>
        <v>952253</v>
      </c>
      <c r="P832" s="13">
        <f t="shared" si="165"/>
        <v>960304</v>
      </c>
      <c r="Q832" s="13">
        <f t="shared" si="166"/>
        <v>950257</v>
      </c>
      <c r="R832" s="33">
        <f t="shared" si="167"/>
        <v>-2.0960816085641154E-3</v>
      </c>
      <c r="S832" s="33">
        <f t="shared" si="168"/>
        <v>-1.0462311934554047E-2</v>
      </c>
    </row>
    <row r="833" spans="1:19" x14ac:dyDescent="0.25">
      <c r="A833" t="s">
        <v>40</v>
      </c>
      <c r="B833" s="65">
        <v>4</v>
      </c>
      <c r="C833" t="s">
        <v>15</v>
      </c>
      <c r="D833" s="67">
        <v>95</v>
      </c>
      <c r="E833" s="67">
        <v>95</v>
      </c>
      <c r="F833" s="67">
        <v>95</v>
      </c>
      <c r="G833" s="13">
        <f t="shared" si="156"/>
        <v>0</v>
      </c>
      <c r="H833" s="13">
        <f t="shared" si="157"/>
        <v>0</v>
      </c>
      <c r="I833" s="73">
        <f t="shared" si="158"/>
        <v>0</v>
      </c>
      <c r="J833" s="73">
        <f t="shared" si="159"/>
        <v>0</v>
      </c>
      <c r="K833" s="72" t="str">
        <f t="shared" si="160"/>
        <v>CHAWAN</v>
      </c>
      <c r="L833" s="72" t="str">
        <f t="shared" si="161"/>
        <v>JUNE-4-CHAWAN</v>
      </c>
      <c r="M833" s="73">
        <f t="shared" si="162"/>
        <v>0</v>
      </c>
      <c r="N833" s="73">
        <f t="shared" si="163"/>
        <v>-1.3681240234901137E-2</v>
      </c>
      <c r="O833" s="13">
        <f t="shared" si="164"/>
        <v>952253</v>
      </c>
      <c r="P833" s="13">
        <f t="shared" si="165"/>
        <v>960304</v>
      </c>
      <c r="Q833" s="13">
        <f t="shared" si="166"/>
        <v>950257</v>
      </c>
      <c r="R833" s="33">
        <f t="shared" si="167"/>
        <v>-2.0960816085641154E-3</v>
      </c>
      <c r="S833" s="33">
        <f t="shared" si="168"/>
        <v>-1.0462311934554047E-2</v>
      </c>
    </row>
    <row r="834" spans="1:19" x14ac:dyDescent="0.25">
      <c r="A834" t="s">
        <v>40</v>
      </c>
      <c r="B834" s="65">
        <v>4</v>
      </c>
      <c r="C834" t="s">
        <v>15</v>
      </c>
      <c r="D834" s="67">
        <v>107</v>
      </c>
      <c r="E834" s="67">
        <v>107</v>
      </c>
      <c r="F834" s="67">
        <v>107</v>
      </c>
      <c r="G834" s="13">
        <f t="shared" ref="G834:G897" si="169">F834-E834</f>
        <v>0</v>
      </c>
      <c r="H834" s="13">
        <f t="shared" ref="H834:H897" si="170">F834-D834</f>
        <v>0</v>
      </c>
      <c r="I834" s="73">
        <f t="shared" ref="I834:I897" si="171">F834/D834-1</f>
        <v>0</v>
      </c>
      <c r="J834" s="73">
        <f t="shared" ref="J834:J897" si="172">F834/E834-1</f>
        <v>0</v>
      </c>
      <c r="K834" s="72" t="str">
        <f t="shared" ref="K834:K897" si="173">CLEAN(SUBSTITUTE(C834," ",""))</f>
        <v>CHAWAN</v>
      </c>
      <c r="L834" s="72" t="str">
        <f t="shared" ref="L834:L897" si="174">A834&amp;"-"&amp;B834&amp;"-"&amp;K834</f>
        <v>JUNE-4-CHAWAN</v>
      </c>
      <c r="M834" s="73">
        <f t="shared" ref="M834:M897" si="175">SUMIF($L$2:$L$1396,L834,$I$2:$I$1396)</f>
        <v>0</v>
      </c>
      <c r="N834" s="73">
        <f t="shared" ref="N834:N897" si="176">SUMIF($L$2:$L$1396,L834,$J$2:$J$1396)</f>
        <v>-1.3681240234901137E-2</v>
      </c>
      <c r="O834" s="13">
        <f t="shared" ref="O834:O897" si="177">SUMIF($A$2:$A$1396,A834,$D$2:$D$1396)</f>
        <v>952253</v>
      </c>
      <c r="P834" s="13">
        <f t="shared" ref="P834:P897" si="178">SUMIF($A$2:$A$1396,A834,$E$2:$E$1396)</f>
        <v>960304</v>
      </c>
      <c r="Q834" s="13">
        <f t="shared" ref="Q834:Q897" si="179">SUMIF($A$2:$A$1396,A834,$F$2:$F$1396)</f>
        <v>950257</v>
      </c>
      <c r="R834" s="33">
        <f t="shared" ref="R834:R897" si="180">Q834/O834-1</f>
        <v>-2.0960816085641154E-3</v>
      </c>
      <c r="S834" s="33">
        <f t="shared" ref="S834:S897" si="181">Q834/P834-1</f>
        <v>-1.0462311934554047E-2</v>
      </c>
    </row>
    <row r="835" spans="1:19" x14ac:dyDescent="0.25">
      <c r="A835" t="s">
        <v>40</v>
      </c>
      <c r="B835" s="65">
        <v>4</v>
      </c>
      <c r="C835" t="s">
        <v>15</v>
      </c>
      <c r="D835" s="67">
        <v>367</v>
      </c>
      <c r="E835" s="67">
        <v>368</v>
      </c>
      <c r="F835" s="67">
        <v>367</v>
      </c>
      <c r="G835" s="13">
        <f t="shared" si="169"/>
        <v>-1</v>
      </c>
      <c r="H835" s="13">
        <f t="shared" si="170"/>
        <v>0</v>
      </c>
      <c r="I835" s="73">
        <f t="shared" si="171"/>
        <v>0</v>
      </c>
      <c r="J835" s="73">
        <f t="shared" si="172"/>
        <v>-2.7173913043477826E-3</v>
      </c>
      <c r="K835" s="72" t="str">
        <f t="shared" si="173"/>
        <v>CHAWAN</v>
      </c>
      <c r="L835" s="72" t="str">
        <f t="shared" si="174"/>
        <v>JUNE-4-CHAWAN</v>
      </c>
      <c r="M835" s="73">
        <f t="shared" si="175"/>
        <v>0</v>
      </c>
      <c r="N835" s="73">
        <f t="shared" si="176"/>
        <v>-1.3681240234901137E-2</v>
      </c>
      <c r="O835" s="13">
        <f t="shared" si="177"/>
        <v>952253</v>
      </c>
      <c r="P835" s="13">
        <f t="shared" si="178"/>
        <v>960304</v>
      </c>
      <c r="Q835" s="13">
        <f t="shared" si="179"/>
        <v>950257</v>
      </c>
      <c r="R835" s="33">
        <f t="shared" si="180"/>
        <v>-2.0960816085641154E-3</v>
      </c>
      <c r="S835" s="33">
        <f t="shared" si="181"/>
        <v>-1.0462311934554047E-2</v>
      </c>
    </row>
    <row r="836" spans="1:19" x14ac:dyDescent="0.25">
      <c r="A836" t="s">
        <v>40</v>
      </c>
      <c r="B836" s="65">
        <v>4</v>
      </c>
      <c r="C836" t="s">
        <v>15</v>
      </c>
      <c r="D836" s="67">
        <v>137</v>
      </c>
      <c r="E836" s="67">
        <v>138</v>
      </c>
      <c r="F836" s="67">
        <v>137</v>
      </c>
      <c r="G836" s="13">
        <f t="shared" si="169"/>
        <v>-1</v>
      </c>
      <c r="H836" s="13">
        <f t="shared" si="170"/>
        <v>0</v>
      </c>
      <c r="I836" s="73">
        <f t="shared" si="171"/>
        <v>0</v>
      </c>
      <c r="J836" s="73">
        <f t="shared" si="172"/>
        <v>-7.2463768115942351E-3</v>
      </c>
      <c r="K836" s="72" t="str">
        <f t="shared" si="173"/>
        <v>CHAWAN</v>
      </c>
      <c r="L836" s="72" t="str">
        <f t="shared" si="174"/>
        <v>JUNE-4-CHAWAN</v>
      </c>
      <c r="M836" s="73">
        <f t="shared" si="175"/>
        <v>0</v>
      </c>
      <c r="N836" s="73">
        <f t="shared" si="176"/>
        <v>-1.3681240234901137E-2</v>
      </c>
      <c r="O836" s="13">
        <f t="shared" si="177"/>
        <v>952253</v>
      </c>
      <c r="P836" s="13">
        <f t="shared" si="178"/>
        <v>960304</v>
      </c>
      <c r="Q836" s="13">
        <f t="shared" si="179"/>
        <v>950257</v>
      </c>
      <c r="R836" s="33">
        <f t="shared" si="180"/>
        <v>-2.0960816085641154E-3</v>
      </c>
      <c r="S836" s="33">
        <f t="shared" si="181"/>
        <v>-1.0462311934554047E-2</v>
      </c>
    </row>
    <row r="837" spans="1:19" x14ac:dyDescent="0.25">
      <c r="A837" t="s">
        <v>40</v>
      </c>
      <c r="B837" s="65">
        <v>4</v>
      </c>
      <c r="C837" t="s">
        <v>15</v>
      </c>
      <c r="D837" s="67">
        <v>50</v>
      </c>
      <c r="E837" s="67">
        <v>50</v>
      </c>
      <c r="F837" s="67">
        <v>50</v>
      </c>
      <c r="G837" s="13">
        <f t="shared" si="169"/>
        <v>0</v>
      </c>
      <c r="H837" s="13">
        <f t="shared" si="170"/>
        <v>0</v>
      </c>
      <c r="I837" s="73">
        <f t="shared" si="171"/>
        <v>0</v>
      </c>
      <c r="J837" s="73">
        <f t="shared" si="172"/>
        <v>0</v>
      </c>
      <c r="K837" s="72" t="str">
        <f t="shared" si="173"/>
        <v>CHAWAN</v>
      </c>
      <c r="L837" s="72" t="str">
        <f t="shared" si="174"/>
        <v>JUNE-4-CHAWAN</v>
      </c>
      <c r="M837" s="73">
        <f t="shared" si="175"/>
        <v>0</v>
      </c>
      <c r="N837" s="73">
        <f t="shared" si="176"/>
        <v>-1.3681240234901137E-2</v>
      </c>
      <c r="O837" s="13">
        <f t="shared" si="177"/>
        <v>952253</v>
      </c>
      <c r="P837" s="13">
        <f t="shared" si="178"/>
        <v>960304</v>
      </c>
      <c r="Q837" s="13">
        <f t="shared" si="179"/>
        <v>950257</v>
      </c>
      <c r="R837" s="33">
        <f t="shared" si="180"/>
        <v>-2.0960816085641154E-3</v>
      </c>
      <c r="S837" s="33">
        <f t="shared" si="181"/>
        <v>-1.0462311934554047E-2</v>
      </c>
    </row>
    <row r="838" spans="1:19" x14ac:dyDescent="0.25">
      <c r="A838" t="s">
        <v>40</v>
      </c>
      <c r="B838" s="65">
        <v>4</v>
      </c>
      <c r="C838" t="s">
        <v>15</v>
      </c>
      <c r="D838" s="67">
        <v>100</v>
      </c>
      <c r="E838" s="67">
        <v>100</v>
      </c>
      <c r="F838" s="67">
        <v>100</v>
      </c>
      <c r="G838" s="13">
        <f t="shared" si="169"/>
        <v>0</v>
      </c>
      <c r="H838" s="13">
        <f t="shared" si="170"/>
        <v>0</v>
      </c>
      <c r="I838" s="73">
        <f t="shared" si="171"/>
        <v>0</v>
      </c>
      <c r="J838" s="73">
        <f t="shared" si="172"/>
        <v>0</v>
      </c>
      <c r="K838" s="72" t="str">
        <f t="shared" si="173"/>
        <v>CHAWAN</v>
      </c>
      <c r="L838" s="72" t="str">
        <f t="shared" si="174"/>
        <v>JUNE-4-CHAWAN</v>
      </c>
      <c r="M838" s="73">
        <f t="shared" si="175"/>
        <v>0</v>
      </c>
      <c r="N838" s="73">
        <f t="shared" si="176"/>
        <v>-1.3681240234901137E-2</v>
      </c>
      <c r="O838" s="13">
        <f t="shared" si="177"/>
        <v>952253</v>
      </c>
      <c r="P838" s="13">
        <f t="shared" si="178"/>
        <v>960304</v>
      </c>
      <c r="Q838" s="13">
        <f t="shared" si="179"/>
        <v>950257</v>
      </c>
      <c r="R838" s="33">
        <f t="shared" si="180"/>
        <v>-2.0960816085641154E-3</v>
      </c>
      <c r="S838" s="33">
        <f t="shared" si="181"/>
        <v>-1.0462311934554047E-2</v>
      </c>
    </row>
    <row r="839" spans="1:19" x14ac:dyDescent="0.25">
      <c r="A839" t="s">
        <v>40</v>
      </c>
      <c r="B839" s="65">
        <v>4</v>
      </c>
      <c r="C839" t="s">
        <v>15</v>
      </c>
      <c r="D839" s="67">
        <v>345</v>
      </c>
      <c r="E839" s="67">
        <v>345</v>
      </c>
      <c r="F839" s="67">
        <v>345</v>
      </c>
      <c r="G839" s="13">
        <f t="shared" si="169"/>
        <v>0</v>
      </c>
      <c r="H839" s="13">
        <f t="shared" si="170"/>
        <v>0</v>
      </c>
      <c r="I839" s="73">
        <f t="shared" si="171"/>
        <v>0</v>
      </c>
      <c r="J839" s="73">
        <f t="shared" si="172"/>
        <v>0</v>
      </c>
      <c r="K839" s="72" t="str">
        <f t="shared" si="173"/>
        <v>CHAWAN</v>
      </c>
      <c r="L839" s="72" t="str">
        <f t="shared" si="174"/>
        <v>JUNE-4-CHAWAN</v>
      </c>
      <c r="M839" s="73">
        <f t="shared" si="175"/>
        <v>0</v>
      </c>
      <c r="N839" s="73">
        <f t="shared" si="176"/>
        <v>-1.3681240234901137E-2</v>
      </c>
      <c r="O839" s="13">
        <f t="shared" si="177"/>
        <v>952253</v>
      </c>
      <c r="P839" s="13">
        <f t="shared" si="178"/>
        <v>960304</v>
      </c>
      <c r="Q839" s="13">
        <f t="shared" si="179"/>
        <v>950257</v>
      </c>
      <c r="R839" s="33">
        <f t="shared" si="180"/>
        <v>-2.0960816085641154E-3</v>
      </c>
      <c r="S839" s="33">
        <f t="shared" si="181"/>
        <v>-1.0462311934554047E-2</v>
      </c>
    </row>
    <row r="840" spans="1:19" x14ac:dyDescent="0.25">
      <c r="A840" t="s">
        <v>40</v>
      </c>
      <c r="B840" s="65">
        <v>4</v>
      </c>
      <c r="C840" t="s">
        <v>15</v>
      </c>
      <c r="D840" s="67">
        <v>161</v>
      </c>
      <c r="E840" s="67">
        <v>161</v>
      </c>
      <c r="F840" s="67">
        <v>161</v>
      </c>
      <c r="G840" s="13">
        <f t="shared" si="169"/>
        <v>0</v>
      </c>
      <c r="H840" s="13">
        <f t="shared" si="170"/>
        <v>0</v>
      </c>
      <c r="I840" s="73">
        <f t="shared" si="171"/>
        <v>0</v>
      </c>
      <c r="J840" s="73">
        <f t="shared" si="172"/>
        <v>0</v>
      </c>
      <c r="K840" s="72" t="str">
        <f t="shared" si="173"/>
        <v>CHAWAN</v>
      </c>
      <c r="L840" s="72" t="str">
        <f t="shared" si="174"/>
        <v>JUNE-4-CHAWAN</v>
      </c>
      <c r="M840" s="73">
        <f t="shared" si="175"/>
        <v>0</v>
      </c>
      <c r="N840" s="73">
        <f t="shared" si="176"/>
        <v>-1.3681240234901137E-2</v>
      </c>
      <c r="O840" s="13">
        <f t="shared" si="177"/>
        <v>952253</v>
      </c>
      <c r="P840" s="13">
        <f t="shared" si="178"/>
        <v>960304</v>
      </c>
      <c r="Q840" s="13">
        <f t="shared" si="179"/>
        <v>950257</v>
      </c>
      <c r="R840" s="33">
        <f t="shared" si="180"/>
        <v>-2.0960816085641154E-3</v>
      </c>
      <c r="S840" s="33">
        <f t="shared" si="181"/>
        <v>-1.0462311934554047E-2</v>
      </c>
    </row>
    <row r="841" spans="1:19" x14ac:dyDescent="0.25">
      <c r="A841" t="s">
        <v>40</v>
      </c>
      <c r="B841" s="65">
        <v>4</v>
      </c>
      <c r="C841" t="s">
        <v>70</v>
      </c>
      <c r="D841" s="67">
        <v>161</v>
      </c>
      <c r="E841" s="67">
        <v>161</v>
      </c>
      <c r="F841" s="67">
        <v>161</v>
      </c>
      <c r="G841" s="13">
        <f t="shared" si="169"/>
        <v>0</v>
      </c>
      <c r="H841" s="13">
        <f t="shared" si="170"/>
        <v>0</v>
      </c>
      <c r="I841" s="73">
        <f t="shared" si="171"/>
        <v>0</v>
      </c>
      <c r="J841" s="73">
        <f t="shared" si="172"/>
        <v>0</v>
      </c>
      <c r="K841" s="72" t="str">
        <f t="shared" si="173"/>
        <v>CLN</v>
      </c>
      <c r="L841" s="72" t="str">
        <f t="shared" si="174"/>
        <v>JUNE-4-CLN</v>
      </c>
      <c r="M841" s="73">
        <f t="shared" si="175"/>
        <v>0</v>
      </c>
      <c r="N841" s="73">
        <f t="shared" si="176"/>
        <v>0</v>
      </c>
      <c r="O841" s="13">
        <f t="shared" si="177"/>
        <v>952253</v>
      </c>
      <c r="P841" s="13">
        <f t="shared" si="178"/>
        <v>960304</v>
      </c>
      <c r="Q841" s="13">
        <f t="shared" si="179"/>
        <v>950257</v>
      </c>
      <c r="R841" s="33">
        <f t="shared" si="180"/>
        <v>-2.0960816085641154E-3</v>
      </c>
      <c r="S841" s="33">
        <f t="shared" si="181"/>
        <v>-1.0462311934554047E-2</v>
      </c>
    </row>
    <row r="842" spans="1:19" x14ac:dyDescent="0.25">
      <c r="A842" t="s">
        <v>40</v>
      </c>
      <c r="B842" s="65">
        <v>4</v>
      </c>
      <c r="C842" t="s">
        <v>70</v>
      </c>
      <c r="D842" s="67">
        <v>117</v>
      </c>
      <c r="E842" s="67">
        <v>117</v>
      </c>
      <c r="F842" s="67">
        <v>117</v>
      </c>
      <c r="G842" s="13">
        <f t="shared" si="169"/>
        <v>0</v>
      </c>
      <c r="H842" s="13">
        <f t="shared" si="170"/>
        <v>0</v>
      </c>
      <c r="I842" s="73">
        <f t="shared" si="171"/>
        <v>0</v>
      </c>
      <c r="J842" s="73">
        <f t="shared" si="172"/>
        <v>0</v>
      </c>
      <c r="K842" s="72" t="str">
        <f t="shared" si="173"/>
        <v>CLN</v>
      </c>
      <c r="L842" s="72" t="str">
        <f t="shared" si="174"/>
        <v>JUNE-4-CLN</v>
      </c>
      <c r="M842" s="73">
        <f t="shared" si="175"/>
        <v>0</v>
      </c>
      <c r="N842" s="73">
        <f t="shared" si="176"/>
        <v>0</v>
      </c>
      <c r="O842" s="13">
        <f t="shared" si="177"/>
        <v>952253</v>
      </c>
      <c r="P842" s="13">
        <f t="shared" si="178"/>
        <v>960304</v>
      </c>
      <c r="Q842" s="13">
        <f t="shared" si="179"/>
        <v>950257</v>
      </c>
      <c r="R842" s="33">
        <f t="shared" si="180"/>
        <v>-2.0960816085641154E-3</v>
      </c>
      <c r="S842" s="33">
        <f t="shared" si="181"/>
        <v>-1.0462311934554047E-2</v>
      </c>
    </row>
    <row r="843" spans="1:19" x14ac:dyDescent="0.25">
      <c r="A843" t="s">
        <v>40</v>
      </c>
      <c r="B843" s="65">
        <v>4</v>
      </c>
      <c r="C843" t="s">
        <v>70</v>
      </c>
      <c r="D843" s="67">
        <v>91</v>
      </c>
      <c r="E843" s="67">
        <v>91</v>
      </c>
      <c r="F843" s="67">
        <v>91</v>
      </c>
      <c r="G843" s="13">
        <f t="shared" si="169"/>
        <v>0</v>
      </c>
      <c r="H843" s="13">
        <f t="shared" si="170"/>
        <v>0</v>
      </c>
      <c r="I843" s="73">
        <f t="shared" si="171"/>
        <v>0</v>
      </c>
      <c r="J843" s="73">
        <f t="shared" si="172"/>
        <v>0</v>
      </c>
      <c r="K843" s="72" t="str">
        <f t="shared" si="173"/>
        <v>CLN</v>
      </c>
      <c r="L843" s="72" t="str">
        <f t="shared" si="174"/>
        <v>JUNE-4-CLN</v>
      </c>
      <c r="M843" s="73">
        <f t="shared" si="175"/>
        <v>0</v>
      </c>
      <c r="N843" s="73">
        <f t="shared" si="176"/>
        <v>0</v>
      </c>
      <c r="O843" s="13">
        <f t="shared" si="177"/>
        <v>952253</v>
      </c>
      <c r="P843" s="13">
        <f t="shared" si="178"/>
        <v>960304</v>
      </c>
      <c r="Q843" s="13">
        <f t="shared" si="179"/>
        <v>950257</v>
      </c>
      <c r="R843" s="33">
        <f t="shared" si="180"/>
        <v>-2.0960816085641154E-3</v>
      </c>
      <c r="S843" s="33">
        <f t="shared" si="181"/>
        <v>-1.0462311934554047E-2</v>
      </c>
    </row>
    <row r="844" spans="1:19" x14ac:dyDescent="0.25">
      <c r="A844" t="s">
        <v>40</v>
      </c>
      <c r="B844" s="65">
        <v>4</v>
      </c>
      <c r="C844" t="s">
        <v>70</v>
      </c>
      <c r="D844" s="67">
        <v>50</v>
      </c>
      <c r="E844" s="67">
        <v>50</v>
      </c>
      <c r="F844" s="67">
        <v>50</v>
      </c>
      <c r="G844" s="13">
        <f t="shared" si="169"/>
        <v>0</v>
      </c>
      <c r="H844" s="13">
        <f t="shared" si="170"/>
        <v>0</v>
      </c>
      <c r="I844" s="73">
        <f t="shared" si="171"/>
        <v>0</v>
      </c>
      <c r="J844" s="73">
        <f t="shared" si="172"/>
        <v>0</v>
      </c>
      <c r="K844" s="72" t="str">
        <f t="shared" si="173"/>
        <v>CLN</v>
      </c>
      <c r="L844" s="72" t="str">
        <f t="shared" si="174"/>
        <v>JUNE-4-CLN</v>
      </c>
      <c r="M844" s="73">
        <f t="shared" si="175"/>
        <v>0</v>
      </c>
      <c r="N844" s="73">
        <f t="shared" si="176"/>
        <v>0</v>
      </c>
      <c r="O844" s="13">
        <f t="shared" si="177"/>
        <v>952253</v>
      </c>
      <c r="P844" s="13">
        <f t="shared" si="178"/>
        <v>960304</v>
      </c>
      <c r="Q844" s="13">
        <f t="shared" si="179"/>
        <v>950257</v>
      </c>
      <c r="R844" s="33">
        <f t="shared" si="180"/>
        <v>-2.0960816085641154E-3</v>
      </c>
      <c r="S844" s="33">
        <f t="shared" si="181"/>
        <v>-1.0462311934554047E-2</v>
      </c>
    </row>
    <row r="845" spans="1:19" x14ac:dyDescent="0.25">
      <c r="A845" t="s">
        <v>40</v>
      </c>
      <c r="B845" s="65">
        <v>4</v>
      </c>
      <c r="C845" t="s">
        <v>70</v>
      </c>
      <c r="D845" s="67">
        <v>50</v>
      </c>
      <c r="E845" s="67">
        <v>50</v>
      </c>
      <c r="F845" s="67">
        <v>50</v>
      </c>
      <c r="G845" s="13">
        <f t="shared" si="169"/>
        <v>0</v>
      </c>
      <c r="H845" s="13">
        <f t="shared" si="170"/>
        <v>0</v>
      </c>
      <c r="I845" s="73">
        <f t="shared" si="171"/>
        <v>0</v>
      </c>
      <c r="J845" s="73">
        <f t="shared" si="172"/>
        <v>0</v>
      </c>
      <c r="K845" s="72" t="str">
        <f t="shared" si="173"/>
        <v>CLN</v>
      </c>
      <c r="L845" s="72" t="str">
        <f t="shared" si="174"/>
        <v>JUNE-4-CLN</v>
      </c>
      <c r="M845" s="73">
        <f t="shared" si="175"/>
        <v>0</v>
      </c>
      <c r="N845" s="73">
        <f t="shared" si="176"/>
        <v>0</v>
      </c>
      <c r="O845" s="13">
        <f t="shared" si="177"/>
        <v>952253</v>
      </c>
      <c r="P845" s="13">
        <f t="shared" si="178"/>
        <v>960304</v>
      </c>
      <c r="Q845" s="13">
        <f t="shared" si="179"/>
        <v>950257</v>
      </c>
      <c r="R845" s="33">
        <f t="shared" si="180"/>
        <v>-2.0960816085641154E-3</v>
      </c>
      <c r="S845" s="33">
        <f t="shared" si="181"/>
        <v>-1.0462311934554047E-2</v>
      </c>
    </row>
    <row r="846" spans="1:19" x14ac:dyDescent="0.25">
      <c r="A846" t="s">
        <v>40</v>
      </c>
      <c r="B846" s="65">
        <v>4</v>
      </c>
      <c r="C846" t="s">
        <v>70</v>
      </c>
      <c r="D846" s="67">
        <v>67</v>
      </c>
      <c r="E846" s="67">
        <v>67</v>
      </c>
      <c r="F846" s="67">
        <v>67</v>
      </c>
      <c r="G846" s="13">
        <f t="shared" si="169"/>
        <v>0</v>
      </c>
      <c r="H846" s="13">
        <f t="shared" si="170"/>
        <v>0</v>
      </c>
      <c r="I846" s="73">
        <f t="shared" si="171"/>
        <v>0</v>
      </c>
      <c r="J846" s="73">
        <f t="shared" si="172"/>
        <v>0</v>
      </c>
      <c r="K846" s="72" t="str">
        <f t="shared" si="173"/>
        <v>CLN</v>
      </c>
      <c r="L846" s="72" t="str">
        <f t="shared" si="174"/>
        <v>JUNE-4-CLN</v>
      </c>
      <c r="M846" s="73">
        <f t="shared" si="175"/>
        <v>0</v>
      </c>
      <c r="N846" s="73">
        <f t="shared" si="176"/>
        <v>0</v>
      </c>
      <c r="O846" s="13">
        <f t="shared" si="177"/>
        <v>952253</v>
      </c>
      <c r="P846" s="13">
        <f t="shared" si="178"/>
        <v>960304</v>
      </c>
      <c r="Q846" s="13">
        <f t="shared" si="179"/>
        <v>950257</v>
      </c>
      <c r="R846" s="33">
        <f t="shared" si="180"/>
        <v>-2.0960816085641154E-3</v>
      </c>
      <c r="S846" s="33">
        <f t="shared" si="181"/>
        <v>-1.0462311934554047E-2</v>
      </c>
    </row>
    <row r="847" spans="1:19" x14ac:dyDescent="0.25">
      <c r="A847" t="s">
        <v>40</v>
      </c>
      <c r="B847" s="65">
        <v>4</v>
      </c>
      <c r="C847" t="s">
        <v>70</v>
      </c>
      <c r="D847" s="67">
        <v>378</v>
      </c>
      <c r="E847" s="67">
        <v>378</v>
      </c>
      <c r="F847" s="67">
        <v>378</v>
      </c>
      <c r="G847" s="13">
        <f t="shared" si="169"/>
        <v>0</v>
      </c>
      <c r="H847" s="13">
        <f t="shared" si="170"/>
        <v>0</v>
      </c>
      <c r="I847" s="73">
        <f t="shared" si="171"/>
        <v>0</v>
      </c>
      <c r="J847" s="73">
        <f t="shared" si="172"/>
        <v>0</v>
      </c>
      <c r="K847" s="72" t="str">
        <f t="shared" si="173"/>
        <v>CLN</v>
      </c>
      <c r="L847" s="72" t="str">
        <f t="shared" si="174"/>
        <v>JUNE-4-CLN</v>
      </c>
      <c r="M847" s="73">
        <f t="shared" si="175"/>
        <v>0</v>
      </c>
      <c r="N847" s="73">
        <f t="shared" si="176"/>
        <v>0</v>
      </c>
      <c r="O847" s="13">
        <f t="shared" si="177"/>
        <v>952253</v>
      </c>
      <c r="P847" s="13">
        <f t="shared" si="178"/>
        <v>960304</v>
      </c>
      <c r="Q847" s="13">
        <f t="shared" si="179"/>
        <v>950257</v>
      </c>
      <c r="R847" s="33">
        <f t="shared" si="180"/>
        <v>-2.0960816085641154E-3</v>
      </c>
      <c r="S847" s="33">
        <f t="shared" si="181"/>
        <v>-1.0462311934554047E-2</v>
      </c>
    </row>
    <row r="848" spans="1:19" x14ac:dyDescent="0.25">
      <c r="A848" t="s">
        <v>40</v>
      </c>
      <c r="B848" s="65">
        <v>2</v>
      </c>
      <c r="C848" t="s">
        <v>16</v>
      </c>
      <c r="D848" s="70">
        <v>800</v>
      </c>
      <c r="E848" s="70">
        <v>768</v>
      </c>
      <c r="F848" s="67">
        <v>707</v>
      </c>
      <c r="G848" s="13">
        <f t="shared" si="169"/>
        <v>-61</v>
      </c>
      <c r="H848" s="13">
        <f t="shared" si="170"/>
        <v>-93</v>
      </c>
      <c r="I848" s="73">
        <f t="shared" si="171"/>
        <v>-0.11624999999999996</v>
      </c>
      <c r="J848" s="73">
        <f t="shared" si="172"/>
        <v>-7.942708333333337E-2</v>
      </c>
      <c r="K848" s="72" t="str">
        <f t="shared" si="173"/>
        <v>ANUGERAH</v>
      </c>
      <c r="L848" s="72" t="str">
        <f t="shared" si="174"/>
        <v>JUNE-2-ANUGERAH</v>
      </c>
      <c r="M848" s="73">
        <f t="shared" si="175"/>
        <v>-0.14124999999999999</v>
      </c>
      <c r="N848" s="73">
        <f t="shared" si="176"/>
        <v>-0.11717689828522082</v>
      </c>
      <c r="O848" s="13">
        <f t="shared" si="177"/>
        <v>952253</v>
      </c>
      <c r="P848" s="13">
        <f t="shared" si="178"/>
        <v>960304</v>
      </c>
      <c r="Q848" s="13">
        <f t="shared" si="179"/>
        <v>950257</v>
      </c>
      <c r="R848" s="33">
        <f t="shared" si="180"/>
        <v>-2.0960816085641154E-3</v>
      </c>
      <c r="S848" s="33">
        <f t="shared" si="181"/>
        <v>-1.0462311934554047E-2</v>
      </c>
    </row>
    <row r="849" spans="1:19" x14ac:dyDescent="0.25">
      <c r="A849" t="s">
        <v>40</v>
      </c>
      <c r="B849" s="65">
        <v>2</v>
      </c>
      <c r="C849" t="s">
        <v>13</v>
      </c>
      <c r="D849" s="70">
        <v>14472</v>
      </c>
      <c r="E849" s="70">
        <v>14472</v>
      </c>
      <c r="F849" s="67">
        <v>14400</v>
      </c>
      <c r="G849" s="13">
        <f t="shared" si="169"/>
        <v>-72</v>
      </c>
      <c r="H849" s="13">
        <f t="shared" si="170"/>
        <v>-72</v>
      </c>
      <c r="I849" s="73">
        <f t="shared" si="171"/>
        <v>-4.9751243781094301E-3</v>
      </c>
      <c r="J849" s="73">
        <f t="shared" si="172"/>
        <v>-4.9751243781094301E-3</v>
      </c>
      <c r="K849" s="72" t="str">
        <f t="shared" si="173"/>
        <v>KALIBENDA</v>
      </c>
      <c r="L849" s="72" t="str">
        <f t="shared" si="174"/>
        <v>JUNE-2-KALIBENDA</v>
      </c>
      <c r="M849" s="73">
        <f t="shared" si="175"/>
        <v>-2.2737728338445562E-2</v>
      </c>
      <c r="N849" s="73">
        <f t="shared" si="176"/>
        <v>-2.0592200172430353E-2</v>
      </c>
      <c r="O849" s="13">
        <f t="shared" si="177"/>
        <v>952253</v>
      </c>
      <c r="P849" s="13">
        <f t="shared" si="178"/>
        <v>960304</v>
      </c>
      <c r="Q849" s="13">
        <f t="shared" si="179"/>
        <v>950257</v>
      </c>
      <c r="R849" s="33">
        <f t="shared" si="180"/>
        <v>-2.0960816085641154E-3</v>
      </c>
      <c r="S849" s="33">
        <f t="shared" si="181"/>
        <v>-1.0462311934554047E-2</v>
      </c>
    </row>
    <row r="850" spans="1:19" x14ac:dyDescent="0.25">
      <c r="A850" t="s">
        <v>40</v>
      </c>
      <c r="B850" s="65">
        <v>2</v>
      </c>
      <c r="C850" t="s">
        <v>13</v>
      </c>
      <c r="D850" s="70">
        <v>29376</v>
      </c>
      <c r="E850" s="70">
        <v>29440</v>
      </c>
      <c r="F850" s="67">
        <v>29328</v>
      </c>
      <c r="G850" s="13">
        <f t="shared" si="169"/>
        <v>-112</v>
      </c>
      <c r="H850" s="13">
        <f t="shared" si="170"/>
        <v>-48</v>
      </c>
      <c r="I850" s="73">
        <f t="shared" si="171"/>
        <v>-1.6339869281045694E-3</v>
      </c>
      <c r="J850" s="73">
        <f t="shared" si="172"/>
        <v>-3.8043478260869623E-3</v>
      </c>
      <c r="K850" s="72" t="str">
        <f t="shared" si="173"/>
        <v>KALIBENDA</v>
      </c>
      <c r="L850" s="72" t="str">
        <f t="shared" si="174"/>
        <v>JUNE-2-KALIBENDA</v>
      </c>
      <c r="M850" s="73">
        <f t="shared" si="175"/>
        <v>-2.2737728338445562E-2</v>
      </c>
      <c r="N850" s="73">
        <f t="shared" si="176"/>
        <v>-2.0592200172430353E-2</v>
      </c>
      <c r="O850" s="13">
        <f t="shared" si="177"/>
        <v>952253</v>
      </c>
      <c r="P850" s="13">
        <f t="shared" si="178"/>
        <v>960304</v>
      </c>
      <c r="Q850" s="13">
        <f t="shared" si="179"/>
        <v>950257</v>
      </c>
      <c r="R850" s="33">
        <f t="shared" si="180"/>
        <v>-2.0960816085641154E-3</v>
      </c>
      <c r="S850" s="33">
        <f t="shared" si="181"/>
        <v>-1.0462311934554047E-2</v>
      </c>
    </row>
    <row r="851" spans="1:19" x14ac:dyDescent="0.25">
      <c r="A851" t="s">
        <v>40</v>
      </c>
      <c r="B851" s="65">
        <v>2</v>
      </c>
      <c r="C851" t="s">
        <v>13</v>
      </c>
      <c r="D851" s="70">
        <v>35856</v>
      </c>
      <c r="E851" s="70">
        <v>36216</v>
      </c>
      <c r="F851" s="67">
        <v>36063</v>
      </c>
      <c r="G851" s="13">
        <f t="shared" si="169"/>
        <v>-153</v>
      </c>
      <c r="H851" s="13">
        <f t="shared" si="170"/>
        <v>207</v>
      </c>
      <c r="I851" s="73">
        <f t="shared" si="171"/>
        <v>5.7730923694778724E-3</v>
      </c>
      <c r="J851" s="73">
        <f t="shared" si="172"/>
        <v>-4.2246520874751337E-3</v>
      </c>
      <c r="K851" s="72" t="str">
        <f t="shared" si="173"/>
        <v>KALIBENDA</v>
      </c>
      <c r="L851" s="72" t="str">
        <f t="shared" si="174"/>
        <v>JUNE-2-KALIBENDA</v>
      </c>
      <c r="M851" s="73">
        <f t="shared" si="175"/>
        <v>-2.2737728338445562E-2</v>
      </c>
      <c r="N851" s="73">
        <f t="shared" si="176"/>
        <v>-2.0592200172430353E-2</v>
      </c>
      <c r="O851" s="13">
        <f t="shared" si="177"/>
        <v>952253</v>
      </c>
      <c r="P851" s="13">
        <f t="shared" si="178"/>
        <v>960304</v>
      </c>
      <c r="Q851" s="13">
        <f t="shared" si="179"/>
        <v>950257</v>
      </c>
      <c r="R851" s="33">
        <f t="shared" si="180"/>
        <v>-2.0960816085641154E-3</v>
      </c>
      <c r="S851" s="33">
        <f t="shared" si="181"/>
        <v>-1.0462311934554047E-2</v>
      </c>
    </row>
    <row r="852" spans="1:19" x14ac:dyDescent="0.25">
      <c r="A852" t="s">
        <v>40</v>
      </c>
      <c r="B852" s="65">
        <v>2</v>
      </c>
      <c r="C852" t="s">
        <v>13</v>
      </c>
      <c r="D852" s="70">
        <v>5616</v>
      </c>
      <c r="E852" s="70">
        <v>5535</v>
      </c>
      <c r="F852" s="67">
        <v>5493</v>
      </c>
      <c r="G852" s="13">
        <f t="shared" si="169"/>
        <v>-42</v>
      </c>
      <c r="H852" s="13">
        <f t="shared" si="170"/>
        <v>-123</v>
      </c>
      <c r="I852" s="73">
        <f t="shared" si="171"/>
        <v>-2.1901709401709435E-2</v>
      </c>
      <c r="J852" s="73">
        <f t="shared" si="172"/>
        <v>-7.5880758807588267E-3</v>
      </c>
      <c r="K852" s="72" t="str">
        <f t="shared" si="173"/>
        <v>KALIBENDA</v>
      </c>
      <c r="L852" s="72" t="str">
        <f t="shared" si="174"/>
        <v>JUNE-2-KALIBENDA</v>
      </c>
      <c r="M852" s="73">
        <f t="shared" si="175"/>
        <v>-2.2737728338445562E-2</v>
      </c>
      <c r="N852" s="73">
        <f t="shared" si="176"/>
        <v>-2.0592200172430353E-2</v>
      </c>
      <c r="O852" s="13">
        <f t="shared" si="177"/>
        <v>952253</v>
      </c>
      <c r="P852" s="13">
        <f t="shared" si="178"/>
        <v>960304</v>
      </c>
      <c r="Q852" s="13">
        <f t="shared" si="179"/>
        <v>950257</v>
      </c>
      <c r="R852" s="33">
        <f t="shared" si="180"/>
        <v>-2.0960816085641154E-3</v>
      </c>
      <c r="S852" s="33">
        <f t="shared" si="181"/>
        <v>-1.0462311934554047E-2</v>
      </c>
    </row>
    <row r="853" spans="1:19" x14ac:dyDescent="0.25">
      <c r="A853" t="s">
        <v>41</v>
      </c>
      <c r="B853" s="65">
        <v>1</v>
      </c>
      <c r="C853" t="s">
        <v>15</v>
      </c>
      <c r="D853" s="67">
        <v>1430</v>
      </c>
      <c r="E853" s="67">
        <v>1430</v>
      </c>
      <c r="F853" s="67">
        <v>1430</v>
      </c>
      <c r="G853" s="13">
        <f t="shared" si="169"/>
        <v>0</v>
      </c>
      <c r="H853" s="13">
        <f t="shared" si="170"/>
        <v>0</v>
      </c>
      <c r="I853" s="73">
        <f t="shared" si="171"/>
        <v>0</v>
      </c>
      <c r="J853" s="73">
        <f t="shared" si="172"/>
        <v>0</v>
      </c>
      <c r="K853" s="72" t="str">
        <f t="shared" si="173"/>
        <v>CHAWAN</v>
      </c>
      <c r="L853" s="72" t="str">
        <f t="shared" si="174"/>
        <v>JULY-1-CHAWAN</v>
      </c>
      <c r="M853" s="73">
        <f t="shared" si="175"/>
        <v>0</v>
      </c>
      <c r="N853" s="73">
        <f t="shared" si="176"/>
        <v>0</v>
      </c>
      <c r="O853" s="13">
        <f t="shared" si="177"/>
        <v>961485</v>
      </c>
      <c r="P853" s="13">
        <f t="shared" si="178"/>
        <v>962175</v>
      </c>
      <c r="Q853" s="13">
        <f t="shared" si="179"/>
        <v>953140</v>
      </c>
      <c r="R853" s="33">
        <f t="shared" si="180"/>
        <v>-8.679282568110791E-3</v>
      </c>
      <c r="S853" s="33">
        <f t="shared" si="181"/>
        <v>-9.3901836983916187E-3</v>
      </c>
    </row>
    <row r="854" spans="1:19" x14ac:dyDescent="0.25">
      <c r="A854" t="s">
        <v>41</v>
      </c>
      <c r="B854" s="65">
        <v>1</v>
      </c>
      <c r="C854" t="s">
        <v>70</v>
      </c>
      <c r="D854" s="67">
        <v>474</v>
      </c>
      <c r="E854" s="67">
        <v>474</v>
      </c>
      <c r="F854" s="67">
        <v>474</v>
      </c>
      <c r="G854" s="13">
        <f t="shared" si="169"/>
        <v>0</v>
      </c>
      <c r="H854" s="13">
        <f t="shared" si="170"/>
        <v>0</v>
      </c>
      <c r="I854" s="73">
        <f t="shared" si="171"/>
        <v>0</v>
      </c>
      <c r="J854" s="73">
        <f t="shared" si="172"/>
        <v>0</v>
      </c>
      <c r="K854" s="72" t="str">
        <f t="shared" si="173"/>
        <v>CLN</v>
      </c>
      <c r="L854" s="72" t="str">
        <f t="shared" si="174"/>
        <v>JULY-1-CLN</v>
      </c>
      <c r="M854" s="73">
        <f t="shared" si="175"/>
        <v>0</v>
      </c>
      <c r="N854" s="73">
        <f t="shared" si="176"/>
        <v>0</v>
      </c>
      <c r="O854" s="13">
        <f t="shared" si="177"/>
        <v>961485</v>
      </c>
      <c r="P854" s="13">
        <f t="shared" si="178"/>
        <v>962175</v>
      </c>
      <c r="Q854" s="13">
        <f t="shared" si="179"/>
        <v>953140</v>
      </c>
      <c r="R854" s="33">
        <f t="shared" si="180"/>
        <v>-8.679282568110791E-3</v>
      </c>
      <c r="S854" s="33">
        <f t="shared" si="181"/>
        <v>-9.3901836983916187E-3</v>
      </c>
    </row>
    <row r="855" spans="1:19" x14ac:dyDescent="0.25">
      <c r="A855" t="s">
        <v>41</v>
      </c>
      <c r="B855" s="65">
        <v>1</v>
      </c>
      <c r="C855" t="s">
        <v>11</v>
      </c>
      <c r="D855" s="67">
        <v>3600</v>
      </c>
      <c r="E855" s="67">
        <v>3600</v>
      </c>
      <c r="F855" s="67">
        <v>3272</v>
      </c>
      <c r="G855" s="13">
        <f t="shared" si="169"/>
        <v>-328</v>
      </c>
      <c r="H855" s="13">
        <f t="shared" si="170"/>
        <v>-328</v>
      </c>
      <c r="I855" s="73">
        <f t="shared" si="171"/>
        <v>-9.1111111111111143E-2</v>
      </c>
      <c r="J855" s="73">
        <f t="shared" si="172"/>
        <v>-9.1111111111111143E-2</v>
      </c>
      <c r="K855" s="72" t="str">
        <f t="shared" si="173"/>
        <v>MAJA1</v>
      </c>
      <c r="L855" s="72" t="str">
        <f t="shared" si="174"/>
        <v>JULY-1-MAJA1</v>
      </c>
      <c r="M855" s="73">
        <f t="shared" si="175"/>
        <v>-0.26058357970999091</v>
      </c>
      <c r="N855" s="73">
        <f t="shared" si="176"/>
        <v>-0.28514631014536751</v>
      </c>
      <c r="O855" s="13">
        <f t="shared" si="177"/>
        <v>961485</v>
      </c>
      <c r="P855" s="13">
        <f t="shared" si="178"/>
        <v>962175</v>
      </c>
      <c r="Q855" s="13">
        <f t="shared" si="179"/>
        <v>953140</v>
      </c>
      <c r="R855" s="33">
        <f t="shared" si="180"/>
        <v>-8.679282568110791E-3</v>
      </c>
      <c r="S855" s="33">
        <f t="shared" si="181"/>
        <v>-9.3901836983916187E-3</v>
      </c>
    </row>
    <row r="856" spans="1:19" x14ac:dyDescent="0.25">
      <c r="A856" t="s">
        <v>41</v>
      </c>
      <c r="B856" s="65">
        <v>1</v>
      </c>
      <c r="C856" t="s">
        <v>11</v>
      </c>
      <c r="D856" s="67">
        <v>6480</v>
      </c>
      <c r="E856" s="67">
        <v>6480</v>
      </c>
      <c r="F856" s="67">
        <v>6180</v>
      </c>
      <c r="G856" s="13">
        <f t="shared" si="169"/>
        <v>-300</v>
      </c>
      <c r="H856" s="13">
        <f t="shared" si="170"/>
        <v>-300</v>
      </c>
      <c r="I856" s="73">
        <f t="shared" si="171"/>
        <v>-4.629629629629628E-2</v>
      </c>
      <c r="J856" s="73">
        <f t="shared" si="172"/>
        <v>-4.629629629629628E-2</v>
      </c>
      <c r="K856" s="72" t="str">
        <f t="shared" si="173"/>
        <v>MAJA1</v>
      </c>
      <c r="L856" s="72" t="str">
        <f t="shared" si="174"/>
        <v>JULY-1-MAJA1</v>
      </c>
      <c r="M856" s="73">
        <f t="shared" si="175"/>
        <v>-0.26058357970999091</v>
      </c>
      <c r="N856" s="73">
        <f t="shared" si="176"/>
        <v>-0.28514631014536751</v>
      </c>
      <c r="O856" s="13">
        <f t="shared" si="177"/>
        <v>961485</v>
      </c>
      <c r="P856" s="13">
        <f t="shared" si="178"/>
        <v>962175</v>
      </c>
      <c r="Q856" s="13">
        <f t="shared" si="179"/>
        <v>953140</v>
      </c>
      <c r="R856" s="33">
        <f t="shared" si="180"/>
        <v>-8.679282568110791E-3</v>
      </c>
      <c r="S856" s="33">
        <f t="shared" si="181"/>
        <v>-9.3901836983916187E-3</v>
      </c>
    </row>
    <row r="857" spans="1:19" x14ac:dyDescent="0.25">
      <c r="A857" t="s">
        <v>41</v>
      </c>
      <c r="B857" s="65">
        <v>1</v>
      </c>
      <c r="C857" t="s">
        <v>11</v>
      </c>
      <c r="D857" s="67">
        <v>2448</v>
      </c>
      <c r="E857" s="67">
        <v>2448</v>
      </c>
      <c r="F857" s="67">
        <v>2292</v>
      </c>
      <c r="G857" s="13">
        <f t="shared" si="169"/>
        <v>-156</v>
      </c>
      <c r="H857" s="13">
        <f t="shared" si="170"/>
        <v>-156</v>
      </c>
      <c r="I857" s="73">
        <f t="shared" si="171"/>
        <v>-6.3725490196078427E-2</v>
      </c>
      <c r="J857" s="73">
        <f t="shared" si="172"/>
        <v>-6.3725490196078427E-2</v>
      </c>
      <c r="K857" s="72" t="str">
        <f t="shared" si="173"/>
        <v>MAJA1</v>
      </c>
      <c r="L857" s="72" t="str">
        <f t="shared" si="174"/>
        <v>JULY-1-MAJA1</v>
      </c>
      <c r="M857" s="73">
        <f t="shared" si="175"/>
        <v>-0.26058357970999091</v>
      </c>
      <c r="N857" s="73">
        <f t="shared" si="176"/>
        <v>-0.28514631014536751</v>
      </c>
      <c r="O857" s="13">
        <f t="shared" si="177"/>
        <v>961485</v>
      </c>
      <c r="P857" s="13">
        <f t="shared" si="178"/>
        <v>962175</v>
      </c>
      <c r="Q857" s="13">
        <f t="shared" si="179"/>
        <v>953140</v>
      </c>
      <c r="R857" s="33">
        <f t="shared" si="180"/>
        <v>-8.679282568110791E-3</v>
      </c>
      <c r="S857" s="33">
        <f t="shared" si="181"/>
        <v>-9.3901836983916187E-3</v>
      </c>
    </row>
    <row r="858" spans="1:19" x14ac:dyDescent="0.25">
      <c r="A858" t="s">
        <v>41</v>
      </c>
      <c r="B858" s="65">
        <v>1</v>
      </c>
      <c r="C858" t="s">
        <v>11</v>
      </c>
      <c r="D858" s="67">
        <v>1116</v>
      </c>
      <c r="E858" s="67">
        <v>1116</v>
      </c>
      <c r="F858" s="67">
        <v>1094</v>
      </c>
      <c r="G858" s="13">
        <f t="shared" si="169"/>
        <v>-22</v>
      </c>
      <c r="H858" s="13">
        <f t="shared" si="170"/>
        <v>-22</v>
      </c>
      <c r="I858" s="73">
        <f t="shared" si="171"/>
        <v>-1.9713261648745539E-2</v>
      </c>
      <c r="J858" s="73">
        <f t="shared" si="172"/>
        <v>-1.9713261648745539E-2</v>
      </c>
      <c r="K858" s="72" t="str">
        <f t="shared" si="173"/>
        <v>MAJA1</v>
      </c>
      <c r="L858" s="72" t="str">
        <f t="shared" si="174"/>
        <v>JULY-1-MAJA1</v>
      </c>
      <c r="M858" s="73">
        <f t="shared" si="175"/>
        <v>-0.26058357970999091</v>
      </c>
      <c r="N858" s="73">
        <f t="shared" si="176"/>
        <v>-0.28514631014536751</v>
      </c>
      <c r="O858" s="13">
        <f t="shared" si="177"/>
        <v>961485</v>
      </c>
      <c r="P858" s="13">
        <f t="shared" si="178"/>
        <v>962175</v>
      </c>
      <c r="Q858" s="13">
        <f t="shared" si="179"/>
        <v>953140</v>
      </c>
      <c r="R858" s="33">
        <f t="shared" si="180"/>
        <v>-8.679282568110791E-3</v>
      </c>
      <c r="S858" s="33">
        <f t="shared" si="181"/>
        <v>-9.3901836983916187E-3</v>
      </c>
    </row>
    <row r="859" spans="1:19" x14ac:dyDescent="0.25">
      <c r="A859" t="s">
        <v>41</v>
      </c>
      <c r="B859" s="65">
        <v>1</v>
      </c>
      <c r="C859" t="s">
        <v>11</v>
      </c>
      <c r="D859" s="67">
        <v>2376</v>
      </c>
      <c r="E859" s="67">
        <v>2376</v>
      </c>
      <c r="F859" s="67">
        <v>2372</v>
      </c>
      <c r="G859" s="13">
        <f t="shared" si="169"/>
        <v>-4</v>
      </c>
      <c r="H859" s="13">
        <f t="shared" si="170"/>
        <v>-4</v>
      </c>
      <c r="I859" s="73">
        <f t="shared" si="171"/>
        <v>-1.6835016835017313E-3</v>
      </c>
      <c r="J859" s="73">
        <f t="shared" si="172"/>
        <v>-1.6835016835017313E-3</v>
      </c>
      <c r="K859" s="72" t="str">
        <f t="shared" si="173"/>
        <v>MAJA1</v>
      </c>
      <c r="L859" s="72" t="str">
        <f t="shared" si="174"/>
        <v>JULY-1-MAJA1</v>
      </c>
      <c r="M859" s="73">
        <f t="shared" si="175"/>
        <v>-0.26058357970999091</v>
      </c>
      <c r="N859" s="73">
        <f t="shared" si="176"/>
        <v>-0.28514631014536751</v>
      </c>
      <c r="O859" s="13">
        <f t="shared" si="177"/>
        <v>961485</v>
      </c>
      <c r="P859" s="13">
        <f t="shared" si="178"/>
        <v>962175</v>
      </c>
      <c r="Q859" s="13">
        <f t="shared" si="179"/>
        <v>953140</v>
      </c>
      <c r="R859" s="33">
        <f t="shared" si="180"/>
        <v>-8.679282568110791E-3</v>
      </c>
      <c r="S859" s="33">
        <f t="shared" si="181"/>
        <v>-9.3901836983916187E-3</v>
      </c>
    </row>
    <row r="860" spans="1:19" x14ac:dyDescent="0.25">
      <c r="A860" t="s">
        <v>41</v>
      </c>
      <c r="B860" s="65">
        <v>1</v>
      </c>
      <c r="C860" t="s">
        <v>11</v>
      </c>
      <c r="D860" s="67">
        <v>2340</v>
      </c>
      <c r="E860" s="67">
        <v>2342</v>
      </c>
      <c r="F860" s="67">
        <v>2340</v>
      </c>
      <c r="G860" s="13">
        <f t="shared" si="169"/>
        <v>-2</v>
      </c>
      <c r="H860" s="13">
        <f t="shared" si="170"/>
        <v>0</v>
      </c>
      <c r="I860" s="73">
        <f t="shared" si="171"/>
        <v>0</v>
      </c>
      <c r="J860" s="73">
        <f t="shared" si="172"/>
        <v>-8.5397096498718295E-4</v>
      </c>
      <c r="K860" s="72" t="str">
        <f t="shared" si="173"/>
        <v>MAJA1</v>
      </c>
      <c r="L860" s="72" t="str">
        <f t="shared" si="174"/>
        <v>JULY-1-MAJA1</v>
      </c>
      <c r="M860" s="73">
        <f t="shared" si="175"/>
        <v>-0.26058357970999091</v>
      </c>
      <c r="N860" s="73">
        <f t="shared" si="176"/>
        <v>-0.28514631014536751</v>
      </c>
      <c r="O860" s="13">
        <f t="shared" si="177"/>
        <v>961485</v>
      </c>
      <c r="P860" s="13">
        <f t="shared" si="178"/>
        <v>962175</v>
      </c>
      <c r="Q860" s="13">
        <f t="shared" si="179"/>
        <v>953140</v>
      </c>
      <c r="R860" s="33">
        <f t="shared" si="180"/>
        <v>-8.679282568110791E-3</v>
      </c>
      <c r="S860" s="33">
        <f t="shared" si="181"/>
        <v>-9.3901836983916187E-3</v>
      </c>
    </row>
    <row r="861" spans="1:19" x14ac:dyDescent="0.25">
      <c r="A861" t="s">
        <v>41</v>
      </c>
      <c r="B861" s="65">
        <v>1</v>
      </c>
      <c r="C861" t="s">
        <v>11</v>
      </c>
      <c r="D861" s="67">
        <v>2520</v>
      </c>
      <c r="E861" s="67">
        <v>2520</v>
      </c>
      <c r="F861" s="67">
        <v>2494</v>
      </c>
      <c r="G861" s="13">
        <f t="shared" si="169"/>
        <v>-26</v>
      </c>
      <c r="H861" s="13">
        <f t="shared" si="170"/>
        <v>-26</v>
      </c>
      <c r="I861" s="73">
        <f t="shared" si="171"/>
        <v>-1.0317460317460281E-2</v>
      </c>
      <c r="J861" s="73">
        <f t="shared" si="172"/>
        <v>-1.0317460317460281E-2</v>
      </c>
      <c r="K861" s="72" t="str">
        <f t="shared" si="173"/>
        <v>MAJA1</v>
      </c>
      <c r="L861" s="72" t="str">
        <f t="shared" si="174"/>
        <v>JULY-1-MAJA1</v>
      </c>
      <c r="M861" s="73">
        <f t="shared" si="175"/>
        <v>-0.26058357970999091</v>
      </c>
      <c r="N861" s="73">
        <f t="shared" si="176"/>
        <v>-0.28514631014536751</v>
      </c>
      <c r="O861" s="13">
        <f t="shared" si="177"/>
        <v>961485</v>
      </c>
      <c r="P861" s="13">
        <f t="shared" si="178"/>
        <v>962175</v>
      </c>
      <c r="Q861" s="13">
        <f t="shared" si="179"/>
        <v>953140</v>
      </c>
      <c r="R861" s="33">
        <f t="shared" si="180"/>
        <v>-8.679282568110791E-3</v>
      </c>
      <c r="S861" s="33">
        <f t="shared" si="181"/>
        <v>-9.3901836983916187E-3</v>
      </c>
    </row>
    <row r="862" spans="1:19" x14ac:dyDescent="0.25">
      <c r="A862" t="s">
        <v>41</v>
      </c>
      <c r="B862" s="65">
        <v>1</v>
      </c>
      <c r="C862" t="s">
        <v>11</v>
      </c>
      <c r="D862" s="67">
        <v>2124</v>
      </c>
      <c r="E862" s="67">
        <v>2124</v>
      </c>
      <c r="F862" s="67">
        <v>2114</v>
      </c>
      <c r="G862" s="13">
        <f t="shared" si="169"/>
        <v>-10</v>
      </c>
      <c r="H862" s="13">
        <f t="shared" si="170"/>
        <v>-10</v>
      </c>
      <c r="I862" s="73">
        <f t="shared" si="171"/>
        <v>-4.7080979284369606E-3</v>
      </c>
      <c r="J862" s="73">
        <f t="shared" si="172"/>
        <v>-4.7080979284369606E-3</v>
      </c>
      <c r="K862" s="72" t="str">
        <f t="shared" si="173"/>
        <v>MAJA1</v>
      </c>
      <c r="L862" s="72" t="str">
        <f t="shared" si="174"/>
        <v>JULY-1-MAJA1</v>
      </c>
      <c r="M862" s="73">
        <f t="shared" si="175"/>
        <v>-0.26058357970999091</v>
      </c>
      <c r="N862" s="73">
        <f t="shared" si="176"/>
        <v>-0.28514631014536751</v>
      </c>
      <c r="O862" s="13">
        <f t="shared" si="177"/>
        <v>961485</v>
      </c>
      <c r="P862" s="13">
        <f t="shared" si="178"/>
        <v>962175</v>
      </c>
      <c r="Q862" s="13">
        <f t="shared" si="179"/>
        <v>953140</v>
      </c>
      <c r="R862" s="33">
        <f t="shared" si="180"/>
        <v>-8.679282568110791E-3</v>
      </c>
      <c r="S862" s="33">
        <f t="shared" si="181"/>
        <v>-9.3901836983916187E-3</v>
      </c>
    </row>
    <row r="863" spans="1:19" x14ac:dyDescent="0.25">
      <c r="A863" t="s">
        <v>41</v>
      </c>
      <c r="B863" s="65">
        <v>1</v>
      </c>
      <c r="C863" t="s">
        <v>11</v>
      </c>
      <c r="D863" s="67">
        <v>3348</v>
      </c>
      <c r="E863" s="67">
        <v>3358</v>
      </c>
      <c r="F863" s="67">
        <v>3348</v>
      </c>
      <c r="G863" s="13">
        <f t="shared" si="169"/>
        <v>-10</v>
      </c>
      <c r="H863" s="13">
        <f t="shared" si="170"/>
        <v>0</v>
      </c>
      <c r="I863" s="73">
        <f t="shared" si="171"/>
        <v>0</v>
      </c>
      <c r="J863" s="73">
        <f t="shared" si="172"/>
        <v>-2.9779630732579276E-3</v>
      </c>
      <c r="K863" s="72" t="str">
        <f t="shared" si="173"/>
        <v>MAJA1</v>
      </c>
      <c r="L863" s="72" t="str">
        <f t="shared" si="174"/>
        <v>JULY-1-MAJA1</v>
      </c>
      <c r="M863" s="73">
        <f t="shared" si="175"/>
        <v>-0.26058357970999091</v>
      </c>
      <c r="N863" s="73">
        <f t="shared" si="176"/>
        <v>-0.28514631014536751</v>
      </c>
      <c r="O863" s="13">
        <f t="shared" si="177"/>
        <v>961485</v>
      </c>
      <c r="P863" s="13">
        <f t="shared" si="178"/>
        <v>962175</v>
      </c>
      <c r="Q863" s="13">
        <f t="shared" si="179"/>
        <v>953140</v>
      </c>
      <c r="R863" s="33">
        <f t="shared" si="180"/>
        <v>-8.679282568110791E-3</v>
      </c>
      <c r="S863" s="33">
        <f t="shared" si="181"/>
        <v>-9.3901836983916187E-3</v>
      </c>
    </row>
    <row r="864" spans="1:19" x14ac:dyDescent="0.25">
      <c r="A864" t="s">
        <v>41</v>
      </c>
      <c r="B864" s="65">
        <v>1</v>
      </c>
      <c r="C864" t="s">
        <v>11</v>
      </c>
      <c r="D864" s="67">
        <v>2016</v>
      </c>
      <c r="E864" s="67">
        <v>2054</v>
      </c>
      <c r="F864" s="67">
        <v>2016</v>
      </c>
      <c r="G864" s="13">
        <f t="shared" si="169"/>
        <v>-38</v>
      </c>
      <c r="H864" s="13">
        <f t="shared" si="170"/>
        <v>0</v>
      </c>
      <c r="I864" s="73">
        <f t="shared" si="171"/>
        <v>0</v>
      </c>
      <c r="J864" s="73">
        <f t="shared" si="172"/>
        <v>-1.8500486854917231E-2</v>
      </c>
      <c r="K864" s="72" t="str">
        <f t="shared" si="173"/>
        <v>MAJA1</v>
      </c>
      <c r="L864" s="72" t="str">
        <f t="shared" si="174"/>
        <v>JULY-1-MAJA1</v>
      </c>
      <c r="M864" s="73">
        <f t="shared" si="175"/>
        <v>-0.26058357970999091</v>
      </c>
      <c r="N864" s="73">
        <f t="shared" si="176"/>
        <v>-0.28514631014536751</v>
      </c>
      <c r="O864" s="13">
        <f t="shared" si="177"/>
        <v>961485</v>
      </c>
      <c r="P864" s="13">
        <f t="shared" si="178"/>
        <v>962175</v>
      </c>
      <c r="Q864" s="13">
        <f t="shared" si="179"/>
        <v>953140</v>
      </c>
      <c r="R864" s="33">
        <f t="shared" si="180"/>
        <v>-8.679282568110791E-3</v>
      </c>
      <c r="S864" s="33">
        <f t="shared" si="181"/>
        <v>-9.3901836983916187E-3</v>
      </c>
    </row>
    <row r="865" spans="1:19" x14ac:dyDescent="0.25">
      <c r="A865" t="s">
        <v>41</v>
      </c>
      <c r="B865" s="65">
        <v>1</v>
      </c>
      <c r="C865" t="s">
        <v>11</v>
      </c>
      <c r="D865" s="67">
        <v>4608</v>
      </c>
      <c r="E865" s="67">
        <v>4618</v>
      </c>
      <c r="F865" s="67">
        <v>4608</v>
      </c>
      <c r="G865" s="13">
        <f t="shared" si="169"/>
        <v>-10</v>
      </c>
      <c r="H865" s="13">
        <f t="shared" si="170"/>
        <v>0</v>
      </c>
      <c r="I865" s="73">
        <f t="shared" si="171"/>
        <v>0</v>
      </c>
      <c r="J865" s="73">
        <f t="shared" si="172"/>
        <v>-2.1654395842356511E-3</v>
      </c>
      <c r="K865" s="72" t="str">
        <f t="shared" si="173"/>
        <v>MAJA1</v>
      </c>
      <c r="L865" s="72" t="str">
        <f t="shared" si="174"/>
        <v>JULY-1-MAJA1</v>
      </c>
      <c r="M865" s="73">
        <f t="shared" si="175"/>
        <v>-0.26058357970999091</v>
      </c>
      <c r="N865" s="73">
        <f t="shared" si="176"/>
        <v>-0.28514631014536751</v>
      </c>
      <c r="O865" s="13">
        <f t="shared" si="177"/>
        <v>961485</v>
      </c>
      <c r="P865" s="13">
        <f t="shared" si="178"/>
        <v>962175</v>
      </c>
      <c r="Q865" s="13">
        <f t="shared" si="179"/>
        <v>953140</v>
      </c>
      <c r="R865" s="33">
        <f t="shared" si="180"/>
        <v>-8.679282568110791E-3</v>
      </c>
      <c r="S865" s="33">
        <f t="shared" si="181"/>
        <v>-9.3901836983916187E-3</v>
      </c>
    </row>
    <row r="866" spans="1:19" x14ac:dyDescent="0.25">
      <c r="A866" t="s">
        <v>41</v>
      </c>
      <c r="B866" s="65">
        <v>1</v>
      </c>
      <c r="C866" t="s">
        <v>11</v>
      </c>
      <c r="D866" s="67">
        <v>6336</v>
      </c>
      <c r="E866" s="67">
        <v>6301</v>
      </c>
      <c r="F866" s="67">
        <v>6228</v>
      </c>
      <c r="G866" s="13">
        <f t="shared" si="169"/>
        <v>-73</v>
      </c>
      <c r="H866" s="13">
        <f t="shared" si="170"/>
        <v>-108</v>
      </c>
      <c r="I866" s="73">
        <f t="shared" si="171"/>
        <v>-1.7045454545454586E-2</v>
      </c>
      <c r="J866" s="73">
        <f t="shared" si="172"/>
        <v>-1.158546262498017E-2</v>
      </c>
      <c r="K866" s="72" t="str">
        <f t="shared" si="173"/>
        <v>MAJA1</v>
      </c>
      <c r="L866" s="72" t="str">
        <f t="shared" si="174"/>
        <v>JULY-1-MAJA1</v>
      </c>
      <c r="M866" s="73">
        <f t="shared" si="175"/>
        <v>-0.26058357970999091</v>
      </c>
      <c r="N866" s="73">
        <f t="shared" si="176"/>
        <v>-0.28514631014536751</v>
      </c>
      <c r="O866" s="13">
        <f t="shared" si="177"/>
        <v>961485</v>
      </c>
      <c r="P866" s="13">
        <f t="shared" si="178"/>
        <v>962175</v>
      </c>
      <c r="Q866" s="13">
        <f t="shared" si="179"/>
        <v>953140</v>
      </c>
      <c r="R866" s="33">
        <f t="shared" si="180"/>
        <v>-8.679282568110791E-3</v>
      </c>
      <c r="S866" s="33">
        <f t="shared" si="181"/>
        <v>-9.3901836983916187E-3</v>
      </c>
    </row>
    <row r="867" spans="1:19" x14ac:dyDescent="0.25">
      <c r="A867" t="s">
        <v>41</v>
      </c>
      <c r="B867" s="65">
        <v>1</v>
      </c>
      <c r="C867" t="s">
        <v>11</v>
      </c>
      <c r="D867" s="67">
        <v>9360</v>
      </c>
      <c r="E867" s="67">
        <v>9360</v>
      </c>
      <c r="F867" s="67">
        <v>9304</v>
      </c>
      <c r="G867" s="13">
        <f t="shared" si="169"/>
        <v>-56</v>
      </c>
      <c r="H867" s="13">
        <f t="shared" si="170"/>
        <v>-56</v>
      </c>
      <c r="I867" s="73">
        <f t="shared" si="171"/>
        <v>-5.9829059829059617E-3</v>
      </c>
      <c r="J867" s="73">
        <f t="shared" si="172"/>
        <v>-5.9829059829059617E-3</v>
      </c>
      <c r="K867" s="72" t="str">
        <f t="shared" si="173"/>
        <v>MAJA1</v>
      </c>
      <c r="L867" s="72" t="str">
        <f t="shared" si="174"/>
        <v>JULY-1-MAJA1</v>
      </c>
      <c r="M867" s="73">
        <f t="shared" si="175"/>
        <v>-0.26058357970999091</v>
      </c>
      <c r="N867" s="73">
        <f t="shared" si="176"/>
        <v>-0.28514631014536751</v>
      </c>
      <c r="O867" s="13">
        <f t="shared" si="177"/>
        <v>961485</v>
      </c>
      <c r="P867" s="13">
        <f t="shared" si="178"/>
        <v>962175</v>
      </c>
      <c r="Q867" s="13">
        <f t="shared" si="179"/>
        <v>953140</v>
      </c>
      <c r="R867" s="33">
        <f t="shared" si="180"/>
        <v>-8.679282568110791E-3</v>
      </c>
      <c r="S867" s="33">
        <f t="shared" si="181"/>
        <v>-9.3901836983916187E-3</v>
      </c>
    </row>
    <row r="868" spans="1:19" x14ac:dyDescent="0.25">
      <c r="A868" t="s">
        <v>41</v>
      </c>
      <c r="B868" s="65">
        <v>1</v>
      </c>
      <c r="C868" t="s">
        <v>14</v>
      </c>
      <c r="D868" s="67">
        <v>25164</v>
      </c>
      <c r="E868" s="67">
        <v>25187</v>
      </c>
      <c r="F868" s="67">
        <v>24924</v>
      </c>
      <c r="G868" s="13">
        <f t="shared" si="169"/>
        <v>-263</v>
      </c>
      <c r="H868" s="13">
        <f t="shared" si="170"/>
        <v>-240</v>
      </c>
      <c r="I868" s="73">
        <f t="shared" si="171"/>
        <v>-9.5374344301383251E-3</v>
      </c>
      <c r="J868" s="73">
        <f t="shared" si="172"/>
        <v>-1.0441894628181236E-2</v>
      </c>
      <c r="K868" s="72" t="str">
        <f t="shared" si="173"/>
        <v>GM2</v>
      </c>
      <c r="L868" s="72" t="str">
        <f t="shared" si="174"/>
        <v>JULY-1-GM2</v>
      </c>
      <c r="M868" s="73">
        <f t="shared" si="175"/>
        <v>-0.14422769021747106</v>
      </c>
      <c r="N868" s="73">
        <f t="shared" si="176"/>
        <v>-0.16167000248519425</v>
      </c>
      <c r="O868" s="13">
        <f t="shared" si="177"/>
        <v>961485</v>
      </c>
      <c r="P868" s="13">
        <f t="shared" si="178"/>
        <v>962175</v>
      </c>
      <c r="Q868" s="13">
        <f t="shared" si="179"/>
        <v>953140</v>
      </c>
      <c r="R868" s="33">
        <f t="shared" si="180"/>
        <v>-8.679282568110791E-3</v>
      </c>
      <c r="S868" s="33">
        <f t="shared" si="181"/>
        <v>-9.3901836983916187E-3</v>
      </c>
    </row>
    <row r="869" spans="1:19" x14ac:dyDescent="0.25">
      <c r="A869" t="s">
        <v>41</v>
      </c>
      <c r="B869" s="65">
        <v>1</v>
      </c>
      <c r="C869" t="s">
        <v>14</v>
      </c>
      <c r="D869" s="67">
        <v>16632</v>
      </c>
      <c r="E869" s="67">
        <v>16664</v>
      </c>
      <c r="F869" s="67">
        <v>16632</v>
      </c>
      <c r="G869" s="13">
        <f t="shared" si="169"/>
        <v>-32</v>
      </c>
      <c r="H869" s="13">
        <f t="shared" si="170"/>
        <v>0</v>
      </c>
      <c r="I869" s="73">
        <f t="shared" si="171"/>
        <v>0</v>
      </c>
      <c r="J869" s="73">
        <f t="shared" si="172"/>
        <v>-1.9203072491598139E-3</v>
      </c>
      <c r="K869" s="72" t="str">
        <f t="shared" si="173"/>
        <v>GM2</v>
      </c>
      <c r="L869" s="72" t="str">
        <f t="shared" si="174"/>
        <v>JULY-1-GM2</v>
      </c>
      <c r="M869" s="73">
        <f t="shared" si="175"/>
        <v>-0.14422769021747106</v>
      </c>
      <c r="N869" s="73">
        <f t="shared" si="176"/>
        <v>-0.16167000248519425</v>
      </c>
      <c r="O869" s="13">
        <f t="shared" si="177"/>
        <v>961485</v>
      </c>
      <c r="P869" s="13">
        <f t="shared" si="178"/>
        <v>962175</v>
      </c>
      <c r="Q869" s="13">
        <f t="shared" si="179"/>
        <v>953140</v>
      </c>
      <c r="R869" s="33">
        <f t="shared" si="180"/>
        <v>-8.679282568110791E-3</v>
      </c>
      <c r="S869" s="33">
        <f t="shared" si="181"/>
        <v>-9.3901836983916187E-3</v>
      </c>
    </row>
    <row r="870" spans="1:19" x14ac:dyDescent="0.25">
      <c r="A870" t="s">
        <v>41</v>
      </c>
      <c r="B870" s="65">
        <v>1</v>
      </c>
      <c r="C870" t="s">
        <v>14</v>
      </c>
      <c r="D870" s="67">
        <v>11448</v>
      </c>
      <c r="E870" s="67">
        <v>11452</v>
      </c>
      <c r="F870" s="67">
        <v>11331</v>
      </c>
      <c r="G870" s="13">
        <f t="shared" si="169"/>
        <v>-121</v>
      </c>
      <c r="H870" s="13">
        <f t="shared" si="170"/>
        <v>-117</v>
      </c>
      <c r="I870" s="73">
        <f t="shared" si="171"/>
        <v>-1.0220125786163492E-2</v>
      </c>
      <c r="J870" s="73">
        <f t="shared" si="172"/>
        <v>-1.0565840027942697E-2</v>
      </c>
      <c r="K870" s="72" t="str">
        <f t="shared" si="173"/>
        <v>GM2</v>
      </c>
      <c r="L870" s="72" t="str">
        <f t="shared" si="174"/>
        <v>JULY-1-GM2</v>
      </c>
      <c r="M870" s="73">
        <f t="shared" si="175"/>
        <v>-0.14422769021747106</v>
      </c>
      <c r="N870" s="73">
        <f t="shared" si="176"/>
        <v>-0.16167000248519425</v>
      </c>
      <c r="O870" s="13">
        <f t="shared" si="177"/>
        <v>961485</v>
      </c>
      <c r="P870" s="13">
        <f t="shared" si="178"/>
        <v>962175</v>
      </c>
      <c r="Q870" s="13">
        <f t="shared" si="179"/>
        <v>953140</v>
      </c>
      <c r="R870" s="33">
        <f t="shared" si="180"/>
        <v>-8.679282568110791E-3</v>
      </c>
      <c r="S870" s="33">
        <f t="shared" si="181"/>
        <v>-9.3901836983916187E-3</v>
      </c>
    </row>
    <row r="871" spans="1:19" x14ac:dyDescent="0.25">
      <c r="A871" t="s">
        <v>41</v>
      </c>
      <c r="B871" s="65">
        <v>1</v>
      </c>
      <c r="C871" t="s">
        <v>14</v>
      </c>
      <c r="D871" s="67">
        <v>21168</v>
      </c>
      <c r="E871" s="67">
        <v>21177</v>
      </c>
      <c r="F871" s="67">
        <v>20991</v>
      </c>
      <c r="G871" s="13">
        <f t="shared" si="169"/>
        <v>-186</v>
      </c>
      <c r="H871" s="13">
        <f t="shared" si="170"/>
        <v>-177</v>
      </c>
      <c r="I871" s="73">
        <f t="shared" si="171"/>
        <v>-8.3616780045351335E-3</v>
      </c>
      <c r="J871" s="73">
        <f t="shared" si="172"/>
        <v>-8.7831137554894578E-3</v>
      </c>
      <c r="K871" s="72" t="str">
        <f t="shared" si="173"/>
        <v>GM2</v>
      </c>
      <c r="L871" s="72" t="str">
        <f t="shared" si="174"/>
        <v>JULY-1-GM2</v>
      </c>
      <c r="M871" s="73">
        <f t="shared" si="175"/>
        <v>-0.14422769021747106</v>
      </c>
      <c r="N871" s="73">
        <f t="shared" si="176"/>
        <v>-0.16167000248519425</v>
      </c>
      <c r="O871" s="13">
        <f t="shared" si="177"/>
        <v>961485</v>
      </c>
      <c r="P871" s="13">
        <f t="shared" si="178"/>
        <v>962175</v>
      </c>
      <c r="Q871" s="13">
        <f t="shared" si="179"/>
        <v>953140</v>
      </c>
      <c r="R871" s="33">
        <f t="shared" si="180"/>
        <v>-8.679282568110791E-3</v>
      </c>
      <c r="S871" s="33">
        <f t="shared" si="181"/>
        <v>-9.3901836983916187E-3</v>
      </c>
    </row>
    <row r="872" spans="1:19" x14ac:dyDescent="0.25">
      <c r="A872" t="s">
        <v>41</v>
      </c>
      <c r="B872" s="65">
        <v>1</v>
      </c>
      <c r="C872" t="s">
        <v>14</v>
      </c>
      <c r="D872" s="67">
        <v>1080</v>
      </c>
      <c r="E872" s="67">
        <v>1080</v>
      </c>
      <c r="F872" s="67">
        <v>1050</v>
      </c>
      <c r="G872" s="13">
        <f t="shared" si="169"/>
        <v>-30</v>
      </c>
      <c r="H872" s="13">
        <f t="shared" si="170"/>
        <v>-30</v>
      </c>
      <c r="I872" s="73">
        <f t="shared" si="171"/>
        <v>-2.777777777777779E-2</v>
      </c>
      <c r="J872" s="73">
        <f t="shared" si="172"/>
        <v>-2.777777777777779E-2</v>
      </c>
      <c r="K872" s="72" t="str">
        <f t="shared" si="173"/>
        <v>GM2</v>
      </c>
      <c r="L872" s="72" t="str">
        <f t="shared" si="174"/>
        <v>JULY-1-GM2</v>
      </c>
      <c r="M872" s="73">
        <f t="shared" si="175"/>
        <v>-0.14422769021747106</v>
      </c>
      <c r="N872" s="73">
        <f t="shared" si="176"/>
        <v>-0.16167000248519425</v>
      </c>
      <c r="O872" s="13">
        <f t="shared" si="177"/>
        <v>961485</v>
      </c>
      <c r="P872" s="13">
        <f t="shared" si="178"/>
        <v>962175</v>
      </c>
      <c r="Q872" s="13">
        <f t="shared" si="179"/>
        <v>953140</v>
      </c>
      <c r="R872" s="33">
        <f t="shared" si="180"/>
        <v>-8.679282568110791E-3</v>
      </c>
      <c r="S872" s="33">
        <f t="shared" si="181"/>
        <v>-9.3901836983916187E-3</v>
      </c>
    </row>
    <row r="873" spans="1:19" x14ac:dyDescent="0.25">
      <c r="A873" t="s">
        <v>41</v>
      </c>
      <c r="B873" s="65">
        <v>1</v>
      </c>
      <c r="C873" t="s">
        <v>14</v>
      </c>
      <c r="D873" s="67">
        <v>25596</v>
      </c>
      <c r="E873" s="67">
        <v>25602</v>
      </c>
      <c r="F873" s="67">
        <v>25464</v>
      </c>
      <c r="G873" s="13">
        <f t="shared" si="169"/>
        <v>-138</v>
      </c>
      <c r="H873" s="13">
        <f t="shared" si="170"/>
        <v>-132</v>
      </c>
      <c r="I873" s="73">
        <f t="shared" si="171"/>
        <v>-5.1570557899671687E-3</v>
      </c>
      <c r="J873" s="73">
        <f t="shared" si="172"/>
        <v>-5.3902038903210769E-3</v>
      </c>
      <c r="K873" s="72" t="str">
        <f t="shared" si="173"/>
        <v>GM2</v>
      </c>
      <c r="L873" s="72" t="str">
        <f t="shared" si="174"/>
        <v>JULY-1-GM2</v>
      </c>
      <c r="M873" s="73">
        <f t="shared" si="175"/>
        <v>-0.14422769021747106</v>
      </c>
      <c r="N873" s="73">
        <f t="shared" si="176"/>
        <v>-0.16167000248519425</v>
      </c>
      <c r="O873" s="13">
        <f t="shared" si="177"/>
        <v>961485</v>
      </c>
      <c r="P873" s="13">
        <f t="shared" si="178"/>
        <v>962175</v>
      </c>
      <c r="Q873" s="13">
        <f t="shared" si="179"/>
        <v>953140</v>
      </c>
      <c r="R873" s="33">
        <f t="shared" si="180"/>
        <v>-8.679282568110791E-3</v>
      </c>
      <c r="S873" s="33">
        <f t="shared" si="181"/>
        <v>-9.3901836983916187E-3</v>
      </c>
    </row>
    <row r="874" spans="1:19" x14ac:dyDescent="0.25">
      <c r="A874" t="s">
        <v>41</v>
      </c>
      <c r="B874" s="65">
        <v>1</v>
      </c>
      <c r="C874" t="s">
        <v>14</v>
      </c>
      <c r="D874" s="67">
        <v>1188</v>
      </c>
      <c r="E874" s="67">
        <v>1188</v>
      </c>
      <c r="F874" s="67">
        <v>1179</v>
      </c>
      <c r="G874" s="13">
        <f t="shared" si="169"/>
        <v>-9</v>
      </c>
      <c r="H874" s="13">
        <f t="shared" si="170"/>
        <v>-9</v>
      </c>
      <c r="I874" s="73">
        <f t="shared" si="171"/>
        <v>-7.575757575757569E-3</v>
      </c>
      <c r="J874" s="73">
        <f t="shared" si="172"/>
        <v>-7.575757575757569E-3</v>
      </c>
      <c r="K874" s="72" t="str">
        <f t="shared" si="173"/>
        <v>GM2</v>
      </c>
      <c r="L874" s="72" t="str">
        <f t="shared" si="174"/>
        <v>JULY-1-GM2</v>
      </c>
      <c r="M874" s="73">
        <f t="shared" si="175"/>
        <v>-0.14422769021747106</v>
      </c>
      <c r="N874" s="73">
        <f t="shared" si="176"/>
        <v>-0.16167000248519425</v>
      </c>
      <c r="O874" s="13">
        <f t="shared" si="177"/>
        <v>961485</v>
      </c>
      <c r="P874" s="13">
        <f t="shared" si="178"/>
        <v>962175</v>
      </c>
      <c r="Q874" s="13">
        <f t="shared" si="179"/>
        <v>953140</v>
      </c>
      <c r="R874" s="33">
        <f t="shared" si="180"/>
        <v>-8.679282568110791E-3</v>
      </c>
      <c r="S874" s="33">
        <f t="shared" si="181"/>
        <v>-9.3901836983916187E-3</v>
      </c>
    </row>
    <row r="875" spans="1:19" x14ac:dyDescent="0.25">
      <c r="A875" t="s">
        <v>41</v>
      </c>
      <c r="B875" s="65">
        <v>1</v>
      </c>
      <c r="C875" t="s">
        <v>14</v>
      </c>
      <c r="D875" s="67">
        <v>35532</v>
      </c>
      <c r="E875" s="67">
        <v>35533</v>
      </c>
      <c r="F875" s="67">
        <v>35214</v>
      </c>
      <c r="G875" s="13">
        <f t="shared" si="169"/>
        <v>-319</v>
      </c>
      <c r="H875" s="13">
        <f t="shared" si="170"/>
        <v>-318</v>
      </c>
      <c r="I875" s="73">
        <f t="shared" si="171"/>
        <v>-8.9496791624451566E-3</v>
      </c>
      <c r="J875" s="73">
        <f t="shared" si="172"/>
        <v>-8.9775701460613755E-3</v>
      </c>
      <c r="K875" s="72" t="str">
        <f t="shared" si="173"/>
        <v>GM2</v>
      </c>
      <c r="L875" s="72" t="str">
        <f t="shared" si="174"/>
        <v>JULY-1-GM2</v>
      </c>
      <c r="M875" s="73">
        <f t="shared" si="175"/>
        <v>-0.14422769021747106</v>
      </c>
      <c r="N875" s="73">
        <f t="shared" si="176"/>
        <v>-0.16167000248519425</v>
      </c>
      <c r="O875" s="13">
        <f t="shared" si="177"/>
        <v>961485</v>
      </c>
      <c r="P875" s="13">
        <f t="shared" si="178"/>
        <v>962175</v>
      </c>
      <c r="Q875" s="13">
        <f t="shared" si="179"/>
        <v>953140</v>
      </c>
      <c r="R875" s="33">
        <f t="shared" si="180"/>
        <v>-8.679282568110791E-3</v>
      </c>
      <c r="S875" s="33">
        <f t="shared" si="181"/>
        <v>-9.3901836983916187E-3</v>
      </c>
    </row>
    <row r="876" spans="1:19" x14ac:dyDescent="0.25">
      <c r="A876" t="s">
        <v>41</v>
      </c>
      <c r="B876" s="65">
        <v>1</v>
      </c>
      <c r="C876" t="s">
        <v>14</v>
      </c>
      <c r="D876" s="67">
        <v>26244</v>
      </c>
      <c r="E876" s="67">
        <v>26251</v>
      </c>
      <c r="F876" s="67">
        <v>25968</v>
      </c>
      <c r="G876" s="13">
        <f t="shared" si="169"/>
        <v>-283</v>
      </c>
      <c r="H876" s="13">
        <f t="shared" si="170"/>
        <v>-276</v>
      </c>
      <c r="I876" s="73">
        <f t="shared" si="171"/>
        <v>-1.0516689529035173E-2</v>
      </c>
      <c r="J876" s="73">
        <f t="shared" si="172"/>
        <v>-1.0780541693649726E-2</v>
      </c>
      <c r="K876" s="72" t="str">
        <f t="shared" si="173"/>
        <v>GM2</v>
      </c>
      <c r="L876" s="72" t="str">
        <f t="shared" si="174"/>
        <v>JULY-1-GM2</v>
      </c>
      <c r="M876" s="73">
        <f t="shared" si="175"/>
        <v>-0.14422769021747106</v>
      </c>
      <c r="N876" s="73">
        <f t="shared" si="176"/>
        <v>-0.16167000248519425</v>
      </c>
      <c r="O876" s="13">
        <f t="shared" si="177"/>
        <v>961485</v>
      </c>
      <c r="P876" s="13">
        <f t="shared" si="178"/>
        <v>962175</v>
      </c>
      <c r="Q876" s="13">
        <f t="shared" si="179"/>
        <v>953140</v>
      </c>
      <c r="R876" s="33">
        <f t="shared" si="180"/>
        <v>-8.679282568110791E-3</v>
      </c>
      <c r="S876" s="33">
        <f t="shared" si="181"/>
        <v>-9.3901836983916187E-3</v>
      </c>
    </row>
    <row r="877" spans="1:19" x14ac:dyDescent="0.25">
      <c r="A877" t="s">
        <v>41</v>
      </c>
      <c r="B877" s="65">
        <v>1</v>
      </c>
      <c r="C877" t="s">
        <v>14</v>
      </c>
      <c r="D877" s="67">
        <v>15660</v>
      </c>
      <c r="E877" s="67">
        <v>15671</v>
      </c>
      <c r="F877" s="67">
        <v>15462</v>
      </c>
      <c r="G877" s="13">
        <f t="shared" si="169"/>
        <v>-209</v>
      </c>
      <c r="H877" s="13">
        <f t="shared" si="170"/>
        <v>-198</v>
      </c>
      <c r="I877" s="73">
        <f t="shared" si="171"/>
        <v>-1.2643678160919491E-2</v>
      </c>
      <c r="J877" s="73">
        <f t="shared" si="172"/>
        <v>-1.3336736647310277E-2</v>
      </c>
      <c r="K877" s="72" t="str">
        <f t="shared" si="173"/>
        <v>GM2</v>
      </c>
      <c r="L877" s="72" t="str">
        <f t="shared" si="174"/>
        <v>JULY-1-GM2</v>
      </c>
      <c r="M877" s="73">
        <f t="shared" si="175"/>
        <v>-0.14422769021747106</v>
      </c>
      <c r="N877" s="73">
        <f t="shared" si="176"/>
        <v>-0.16167000248519425</v>
      </c>
      <c r="O877" s="13">
        <f t="shared" si="177"/>
        <v>961485</v>
      </c>
      <c r="P877" s="13">
        <f t="shared" si="178"/>
        <v>962175</v>
      </c>
      <c r="Q877" s="13">
        <f t="shared" si="179"/>
        <v>953140</v>
      </c>
      <c r="R877" s="33">
        <f t="shared" si="180"/>
        <v>-8.679282568110791E-3</v>
      </c>
      <c r="S877" s="33">
        <f t="shared" si="181"/>
        <v>-9.3901836983916187E-3</v>
      </c>
    </row>
    <row r="878" spans="1:19" x14ac:dyDescent="0.25">
      <c r="A878" t="s">
        <v>41</v>
      </c>
      <c r="B878" s="65">
        <v>1</v>
      </c>
      <c r="C878" t="s">
        <v>14</v>
      </c>
      <c r="D878" s="67">
        <v>11124</v>
      </c>
      <c r="E878" s="67">
        <v>11119</v>
      </c>
      <c r="F878" s="67">
        <v>11115</v>
      </c>
      <c r="G878" s="13">
        <f t="shared" si="169"/>
        <v>-4</v>
      </c>
      <c r="H878" s="13">
        <f t="shared" si="170"/>
        <v>-9</v>
      </c>
      <c r="I878" s="73">
        <f t="shared" si="171"/>
        <v>-8.0906148867310179E-4</v>
      </c>
      <c r="J878" s="73">
        <f t="shared" si="172"/>
        <v>-3.597445813472433E-4</v>
      </c>
      <c r="K878" s="72" t="str">
        <f t="shared" si="173"/>
        <v>GM2</v>
      </c>
      <c r="L878" s="72" t="str">
        <f t="shared" si="174"/>
        <v>JULY-1-GM2</v>
      </c>
      <c r="M878" s="73">
        <f t="shared" si="175"/>
        <v>-0.14422769021747106</v>
      </c>
      <c r="N878" s="73">
        <f t="shared" si="176"/>
        <v>-0.16167000248519425</v>
      </c>
      <c r="O878" s="13">
        <f t="shared" si="177"/>
        <v>961485</v>
      </c>
      <c r="P878" s="13">
        <f t="shared" si="178"/>
        <v>962175</v>
      </c>
      <c r="Q878" s="13">
        <f t="shared" si="179"/>
        <v>953140</v>
      </c>
      <c r="R878" s="33">
        <f t="shared" si="180"/>
        <v>-8.679282568110791E-3</v>
      </c>
      <c r="S878" s="33">
        <f t="shared" si="181"/>
        <v>-9.3901836983916187E-3</v>
      </c>
    </row>
    <row r="879" spans="1:19" x14ac:dyDescent="0.25">
      <c r="A879" t="s">
        <v>41</v>
      </c>
      <c r="B879" s="65">
        <v>1</v>
      </c>
      <c r="C879" t="s">
        <v>14</v>
      </c>
      <c r="D879" s="67">
        <v>7128</v>
      </c>
      <c r="E879" s="67">
        <v>7157</v>
      </c>
      <c r="F879" s="67">
        <v>7128</v>
      </c>
      <c r="G879" s="13">
        <f t="shared" si="169"/>
        <v>-29</v>
      </c>
      <c r="H879" s="13">
        <f t="shared" si="170"/>
        <v>0</v>
      </c>
      <c r="I879" s="73">
        <f t="shared" si="171"/>
        <v>0</v>
      </c>
      <c r="J879" s="73">
        <f t="shared" si="172"/>
        <v>-4.0519770853709725E-3</v>
      </c>
      <c r="K879" s="72" t="str">
        <f t="shared" si="173"/>
        <v>GM2</v>
      </c>
      <c r="L879" s="72" t="str">
        <f t="shared" si="174"/>
        <v>JULY-1-GM2</v>
      </c>
      <c r="M879" s="73">
        <f t="shared" si="175"/>
        <v>-0.14422769021747106</v>
      </c>
      <c r="N879" s="73">
        <f t="shared" si="176"/>
        <v>-0.16167000248519425</v>
      </c>
      <c r="O879" s="13">
        <f t="shared" si="177"/>
        <v>961485</v>
      </c>
      <c r="P879" s="13">
        <f t="shared" si="178"/>
        <v>962175</v>
      </c>
      <c r="Q879" s="13">
        <f t="shared" si="179"/>
        <v>953140</v>
      </c>
      <c r="R879" s="33">
        <f t="shared" si="180"/>
        <v>-8.679282568110791E-3</v>
      </c>
      <c r="S879" s="33">
        <f t="shared" si="181"/>
        <v>-9.3901836983916187E-3</v>
      </c>
    </row>
    <row r="880" spans="1:19" x14ac:dyDescent="0.25">
      <c r="A880" t="s">
        <v>41</v>
      </c>
      <c r="B880" s="65">
        <v>1</v>
      </c>
      <c r="C880" t="s">
        <v>14</v>
      </c>
      <c r="D880" s="67">
        <v>1080</v>
      </c>
      <c r="E880" s="67">
        <v>1080</v>
      </c>
      <c r="F880" s="67">
        <v>1080</v>
      </c>
      <c r="G880" s="13">
        <f t="shared" si="169"/>
        <v>0</v>
      </c>
      <c r="H880" s="13">
        <f t="shared" si="170"/>
        <v>0</v>
      </c>
      <c r="I880" s="73">
        <f t="shared" si="171"/>
        <v>0</v>
      </c>
      <c r="J880" s="73">
        <f t="shared" si="172"/>
        <v>0</v>
      </c>
      <c r="K880" s="72" t="str">
        <f t="shared" si="173"/>
        <v>GM2</v>
      </c>
      <c r="L880" s="72" t="str">
        <f t="shared" si="174"/>
        <v>JULY-1-GM2</v>
      </c>
      <c r="M880" s="73">
        <f t="shared" si="175"/>
        <v>-0.14422769021747106</v>
      </c>
      <c r="N880" s="73">
        <f t="shared" si="176"/>
        <v>-0.16167000248519425</v>
      </c>
      <c r="O880" s="13">
        <f t="shared" si="177"/>
        <v>961485</v>
      </c>
      <c r="P880" s="13">
        <f t="shared" si="178"/>
        <v>962175</v>
      </c>
      <c r="Q880" s="13">
        <f t="shared" si="179"/>
        <v>953140</v>
      </c>
      <c r="R880" s="33">
        <f t="shared" si="180"/>
        <v>-8.679282568110791E-3</v>
      </c>
      <c r="S880" s="33">
        <f t="shared" si="181"/>
        <v>-9.3901836983916187E-3</v>
      </c>
    </row>
    <row r="881" spans="1:19" x14ac:dyDescent="0.25">
      <c r="A881" t="s">
        <v>41</v>
      </c>
      <c r="B881" s="65">
        <v>1</v>
      </c>
      <c r="C881" t="s">
        <v>14</v>
      </c>
      <c r="D881" s="67">
        <v>7236</v>
      </c>
      <c r="E881" s="67">
        <v>7249</v>
      </c>
      <c r="F881" s="67">
        <v>7197</v>
      </c>
      <c r="G881" s="13">
        <f t="shared" si="169"/>
        <v>-52</v>
      </c>
      <c r="H881" s="13">
        <f t="shared" si="170"/>
        <v>-39</v>
      </c>
      <c r="I881" s="73">
        <f t="shared" si="171"/>
        <v>-5.3897180762851882E-3</v>
      </c>
      <c r="J881" s="73">
        <f t="shared" si="172"/>
        <v>-7.1734032280315052E-3</v>
      </c>
      <c r="K881" s="72" t="str">
        <f t="shared" si="173"/>
        <v>GM2</v>
      </c>
      <c r="L881" s="72" t="str">
        <f t="shared" si="174"/>
        <v>JULY-1-GM2</v>
      </c>
      <c r="M881" s="73">
        <f t="shared" si="175"/>
        <v>-0.14422769021747106</v>
      </c>
      <c r="N881" s="73">
        <f t="shared" si="176"/>
        <v>-0.16167000248519425</v>
      </c>
      <c r="O881" s="13">
        <f t="shared" si="177"/>
        <v>961485</v>
      </c>
      <c r="P881" s="13">
        <f t="shared" si="178"/>
        <v>962175</v>
      </c>
      <c r="Q881" s="13">
        <f t="shared" si="179"/>
        <v>953140</v>
      </c>
      <c r="R881" s="33">
        <f t="shared" si="180"/>
        <v>-8.679282568110791E-3</v>
      </c>
      <c r="S881" s="33">
        <f t="shared" si="181"/>
        <v>-9.3901836983916187E-3</v>
      </c>
    </row>
    <row r="882" spans="1:19" x14ac:dyDescent="0.25">
      <c r="A882" t="s">
        <v>41</v>
      </c>
      <c r="B882" s="65">
        <v>1</v>
      </c>
      <c r="C882" t="s">
        <v>14</v>
      </c>
      <c r="D882" s="67">
        <v>1080</v>
      </c>
      <c r="E882" s="67">
        <v>1080</v>
      </c>
      <c r="F882" s="67">
        <v>1074</v>
      </c>
      <c r="G882" s="13">
        <f t="shared" si="169"/>
        <v>-6</v>
      </c>
      <c r="H882" s="13">
        <f t="shared" si="170"/>
        <v>-6</v>
      </c>
      <c r="I882" s="73">
        <f t="shared" si="171"/>
        <v>-5.5555555555555358E-3</v>
      </c>
      <c r="J882" s="73">
        <f t="shared" si="172"/>
        <v>-5.5555555555555358E-3</v>
      </c>
      <c r="K882" s="72" t="str">
        <f t="shared" si="173"/>
        <v>GM2</v>
      </c>
      <c r="L882" s="72" t="str">
        <f t="shared" si="174"/>
        <v>JULY-1-GM2</v>
      </c>
      <c r="M882" s="73">
        <f t="shared" si="175"/>
        <v>-0.14422769021747106</v>
      </c>
      <c r="N882" s="73">
        <f t="shared" si="176"/>
        <v>-0.16167000248519425</v>
      </c>
      <c r="O882" s="13">
        <f t="shared" si="177"/>
        <v>961485</v>
      </c>
      <c r="P882" s="13">
        <f t="shared" si="178"/>
        <v>962175</v>
      </c>
      <c r="Q882" s="13">
        <f t="shared" si="179"/>
        <v>953140</v>
      </c>
      <c r="R882" s="33">
        <f t="shared" si="180"/>
        <v>-8.679282568110791E-3</v>
      </c>
      <c r="S882" s="33">
        <f t="shared" si="181"/>
        <v>-9.3901836983916187E-3</v>
      </c>
    </row>
    <row r="883" spans="1:19" x14ac:dyDescent="0.25">
      <c r="A883" t="s">
        <v>41</v>
      </c>
      <c r="B883" s="65">
        <v>1</v>
      </c>
      <c r="C883" t="s">
        <v>14</v>
      </c>
      <c r="D883" s="67">
        <v>4968</v>
      </c>
      <c r="E883" s="67">
        <v>4977</v>
      </c>
      <c r="F883" s="67">
        <v>4956</v>
      </c>
      <c r="G883" s="13">
        <f t="shared" si="169"/>
        <v>-21</v>
      </c>
      <c r="H883" s="13">
        <f t="shared" si="170"/>
        <v>-12</v>
      </c>
      <c r="I883" s="73">
        <f t="shared" si="171"/>
        <v>-2.4154589371980784E-3</v>
      </c>
      <c r="J883" s="73">
        <f t="shared" si="172"/>
        <v>-4.2194092827003704E-3</v>
      </c>
      <c r="K883" s="72" t="str">
        <f t="shared" si="173"/>
        <v>GM2</v>
      </c>
      <c r="L883" s="72" t="str">
        <f t="shared" si="174"/>
        <v>JULY-1-GM2</v>
      </c>
      <c r="M883" s="73">
        <f t="shared" si="175"/>
        <v>-0.14422769021747106</v>
      </c>
      <c r="N883" s="73">
        <f t="shared" si="176"/>
        <v>-0.16167000248519425</v>
      </c>
      <c r="O883" s="13">
        <f t="shared" si="177"/>
        <v>961485</v>
      </c>
      <c r="P883" s="13">
        <f t="shared" si="178"/>
        <v>962175</v>
      </c>
      <c r="Q883" s="13">
        <f t="shared" si="179"/>
        <v>953140</v>
      </c>
      <c r="R883" s="33">
        <f t="shared" si="180"/>
        <v>-8.679282568110791E-3</v>
      </c>
      <c r="S883" s="33">
        <f t="shared" si="181"/>
        <v>-9.3901836983916187E-3</v>
      </c>
    </row>
    <row r="884" spans="1:19" x14ac:dyDescent="0.25">
      <c r="A884" t="s">
        <v>41</v>
      </c>
      <c r="B884" s="65">
        <v>1</v>
      </c>
      <c r="C884" t="s">
        <v>14</v>
      </c>
      <c r="D884" s="67">
        <v>7560</v>
      </c>
      <c r="E884" s="67">
        <v>7562</v>
      </c>
      <c r="F884" s="67">
        <v>7455</v>
      </c>
      <c r="G884" s="13">
        <f t="shared" si="169"/>
        <v>-107</v>
      </c>
      <c r="H884" s="13">
        <f t="shared" si="170"/>
        <v>-105</v>
      </c>
      <c r="I884" s="73">
        <f t="shared" si="171"/>
        <v>-1.388888888888884E-2</v>
      </c>
      <c r="J884" s="73">
        <f t="shared" si="172"/>
        <v>-1.4149695847659349E-2</v>
      </c>
      <c r="K884" s="72" t="str">
        <f t="shared" si="173"/>
        <v>GM2</v>
      </c>
      <c r="L884" s="72" t="str">
        <f t="shared" si="174"/>
        <v>JULY-1-GM2</v>
      </c>
      <c r="M884" s="73">
        <f t="shared" si="175"/>
        <v>-0.14422769021747106</v>
      </c>
      <c r="N884" s="73">
        <f t="shared" si="176"/>
        <v>-0.16167000248519425</v>
      </c>
      <c r="O884" s="13">
        <f t="shared" si="177"/>
        <v>961485</v>
      </c>
      <c r="P884" s="13">
        <f t="shared" si="178"/>
        <v>962175</v>
      </c>
      <c r="Q884" s="13">
        <f t="shared" si="179"/>
        <v>953140</v>
      </c>
      <c r="R884" s="33">
        <f t="shared" si="180"/>
        <v>-8.679282568110791E-3</v>
      </c>
      <c r="S884" s="33">
        <f t="shared" si="181"/>
        <v>-9.3901836983916187E-3</v>
      </c>
    </row>
    <row r="885" spans="1:19" x14ac:dyDescent="0.25">
      <c r="A885" t="s">
        <v>41</v>
      </c>
      <c r="B885" s="65">
        <v>1</v>
      </c>
      <c r="C885" t="s">
        <v>14</v>
      </c>
      <c r="D885" s="67">
        <v>1080</v>
      </c>
      <c r="E885" s="67">
        <v>1080</v>
      </c>
      <c r="F885" s="67">
        <v>1068</v>
      </c>
      <c r="G885" s="13">
        <f t="shared" si="169"/>
        <v>-12</v>
      </c>
      <c r="H885" s="13">
        <f t="shared" si="170"/>
        <v>-12</v>
      </c>
      <c r="I885" s="73">
        <f t="shared" si="171"/>
        <v>-1.1111111111111072E-2</v>
      </c>
      <c r="J885" s="73">
        <f t="shared" si="172"/>
        <v>-1.1111111111111072E-2</v>
      </c>
      <c r="K885" s="72" t="str">
        <f t="shared" si="173"/>
        <v>GM2</v>
      </c>
      <c r="L885" s="72" t="str">
        <f t="shared" si="174"/>
        <v>JULY-1-GM2</v>
      </c>
      <c r="M885" s="73">
        <f t="shared" si="175"/>
        <v>-0.14422769021747106</v>
      </c>
      <c r="N885" s="73">
        <f t="shared" si="176"/>
        <v>-0.16167000248519425</v>
      </c>
      <c r="O885" s="13">
        <f t="shared" si="177"/>
        <v>961485</v>
      </c>
      <c r="P885" s="13">
        <f t="shared" si="178"/>
        <v>962175</v>
      </c>
      <c r="Q885" s="13">
        <f t="shared" si="179"/>
        <v>953140</v>
      </c>
      <c r="R885" s="33">
        <f t="shared" si="180"/>
        <v>-8.679282568110791E-3</v>
      </c>
      <c r="S885" s="33">
        <f t="shared" si="181"/>
        <v>-9.3901836983916187E-3</v>
      </c>
    </row>
    <row r="886" spans="1:19" x14ac:dyDescent="0.25">
      <c r="A886" t="s">
        <v>41</v>
      </c>
      <c r="B886" s="65">
        <v>1</v>
      </c>
      <c r="C886" t="s">
        <v>14</v>
      </c>
      <c r="D886" s="67">
        <v>5616</v>
      </c>
      <c r="E886" s="67">
        <v>5624</v>
      </c>
      <c r="F886" s="67">
        <v>5595</v>
      </c>
      <c r="G886" s="13">
        <f t="shared" si="169"/>
        <v>-29</v>
      </c>
      <c r="H886" s="13">
        <f t="shared" si="170"/>
        <v>-21</v>
      </c>
      <c r="I886" s="73">
        <f t="shared" si="171"/>
        <v>-3.739316239316226E-3</v>
      </c>
      <c r="J886" s="73">
        <f t="shared" si="172"/>
        <v>-5.1564722617354342E-3</v>
      </c>
      <c r="K886" s="72" t="str">
        <f t="shared" si="173"/>
        <v>GM2</v>
      </c>
      <c r="L886" s="72" t="str">
        <f t="shared" si="174"/>
        <v>JULY-1-GM2</v>
      </c>
      <c r="M886" s="73">
        <f t="shared" si="175"/>
        <v>-0.14422769021747106</v>
      </c>
      <c r="N886" s="73">
        <f t="shared" si="176"/>
        <v>-0.16167000248519425</v>
      </c>
      <c r="O886" s="13">
        <f t="shared" si="177"/>
        <v>961485</v>
      </c>
      <c r="P886" s="13">
        <f t="shared" si="178"/>
        <v>962175</v>
      </c>
      <c r="Q886" s="13">
        <f t="shared" si="179"/>
        <v>953140</v>
      </c>
      <c r="R886" s="33">
        <f t="shared" si="180"/>
        <v>-8.679282568110791E-3</v>
      </c>
      <c r="S886" s="33">
        <f t="shared" si="181"/>
        <v>-9.3901836983916187E-3</v>
      </c>
    </row>
    <row r="887" spans="1:19" x14ac:dyDescent="0.25">
      <c r="A887" t="s">
        <v>41</v>
      </c>
      <c r="B887" s="65">
        <v>1</v>
      </c>
      <c r="C887" t="s">
        <v>14</v>
      </c>
      <c r="D887" s="67">
        <v>7488</v>
      </c>
      <c r="E887" s="67">
        <v>7500</v>
      </c>
      <c r="F887" s="67">
        <v>7488</v>
      </c>
      <c r="G887" s="13">
        <f t="shared" si="169"/>
        <v>-12</v>
      </c>
      <c r="H887" s="13">
        <f t="shared" si="170"/>
        <v>0</v>
      </c>
      <c r="I887" s="73">
        <f t="shared" si="171"/>
        <v>0</v>
      </c>
      <c r="J887" s="73">
        <f t="shared" si="172"/>
        <v>-1.6000000000000458E-3</v>
      </c>
      <c r="K887" s="72" t="str">
        <f t="shared" si="173"/>
        <v>GM2</v>
      </c>
      <c r="L887" s="72" t="str">
        <f t="shared" si="174"/>
        <v>JULY-1-GM2</v>
      </c>
      <c r="M887" s="73">
        <f t="shared" si="175"/>
        <v>-0.14422769021747106</v>
      </c>
      <c r="N887" s="73">
        <f t="shared" si="176"/>
        <v>-0.16167000248519425</v>
      </c>
      <c r="O887" s="13">
        <f t="shared" si="177"/>
        <v>961485</v>
      </c>
      <c r="P887" s="13">
        <f t="shared" si="178"/>
        <v>962175</v>
      </c>
      <c r="Q887" s="13">
        <f t="shared" si="179"/>
        <v>953140</v>
      </c>
      <c r="R887" s="33">
        <f t="shared" si="180"/>
        <v>-8.679282568110791E-3</v>
      </c>
      <c r="S887" s="33">
        <f t="shared" si="181"/>
        <v>-9.3901836983916187E-3</v>
      </c>
    </row>
    <row r="888" spans="1:19" x14ac:dyDescent="0.25">
      <c r="A888" t="s">
        <v>41</v>
      </c>
      <c r="B888" s="65">
        <v>1</v>
      </c>
      <c r="C888" t="s">
        <v>14</v>
      </c>
      <c r="D888" s="67">
        <v>6912</v>
      </c>
      <c r="E888" s="67">
        <v>6927</v>
      </c>
      <c r="F888" s="67">
        <v>6908</v>
      </c>
      <c r="G888" s="13">
        <f t="shared" si="169"/>
        <v>-19</v>
      </c>
      <c r="H888" s="13">
        <f t="shared" si="170"/>
        <v>-4</v>
      </c>
      <c r="I888" s="73">
        <f t="shared" si="171"/>
        <v>-5.7870370370372015E-4</v>
      </c>
      <c r="J888" s="73">
        <f t="shared" si="172"/>
        <v>-2.7428901400317063E-3</v>
      </c>
      <c r="K888" s="72" t="str">
        <f t="shared" si="173"/>
        <v>GM2</v>
      </c>
      <c r="L888" s="72" t="str">
        <f t="shared" si="174"/>
        <v>JULY-1-GM2</v>
      </c>
      <c r="M888" s="73">
        <f t="shared" si="175"/>
        <v>-0.14422769021747106</v>
      </c>
      <c r="N888" s="73">
        <f t="shared" si="176"/>
        <v>-0.16167000248519425</v>
      </c>
      <c r="O888" s="13">
        <f t="shared" si="177"/>
        <v>961485</v>
      </c>
      <c r="P888" s="13">
        <f t="shared" si="178"/>
        <v>962175</v>
      </c>
      <c r="Q888" s="13">
        <f t="shared" si="179"/>
        <v>953140</v>
      </c>
      <c r="R888" s="33">
        <f t="shared" si="180"/>
        <v>-8.679282568110791E-3</v>
      </c>
      <c r="S888" s="33">
        <f t="shared" si="181"/>
        <v>-9.3901836983916187E-3</v>
      </c>
    </row>
    <row r="889" spans="1:19" x14ac:dyDescent="0.25">
      <c r="A889" t="s">
        <v>41</v>
      </c>
      <c r="B889" s="65">
        <v>1</v>
      </c>
      <c r="C889" t="s">
        <v>13</v>
      </c>
      <c r="D889" s="67">
        <v>14688</v>
      </c>
      <c r="E889" s="67">
        <v>14688</v>
      </c>
      <c r="F889" s="67">
        <v>14619</v>
      </c>
      <c r="G889" s="13">
        <f t="shared" si="169"/>
        <v>-69</v>
      </c>
      <c r="H889" s="13">
        <f t="shared" si="170"/>
        <v>-69</v>
      </c>
      <c r="I889" s="73">
        <f t="shared" si="171"/>
        <v>-4.6977124183006369E-3</v>
      </c>
      <c r="J889" s="73">
        <f t="shared" si="172"/>
        <v>-4.6977124183006369E-3</v>
      </c>
      <c r="K889" s="72" t="str">
        <f t="shared" si="173"/>
        <v>KALIBENDA</v>
      </c>
      <c r="L889" s="72" t="str">
        <f t="shared" si="174"/>
        <v>JULY-1-KALIBENDA</v>
      </c>
      <c r="M889" s="73">
        <f t="shared" si="175"/>
        <v>9.6060638558504996E-3</v>
      </c>
      <c r="N889" s="73">
        <f t="shared" si="176"/>
        <v>-3.1928806774205953E-2</v>
      </c>
      <c r="O889" s="13">
        <f t="shared" si="177"/>
        <v>961485</v>
      </c>
      <c r="P889" s="13">
        <f t="shared" si="178"/>
        <v>962175</v>
      </c>
      <c r="Q889" s="13">
        <f t="shared" si="179"/>
        <v>953140</v>
      </c>
      <c r="R889" s="33">
        <f t="shared" si="180"/>
        <v>-8.679282568110791E-3</v>
      </c>
      <c r="S889" s="33">
        <f t="shared" si="181"/>
        <v>-9.3901836983916187E-3</v>
      </c>
    </row>
    <row r="890" spans="1:19" x14ac:dyDescent="0.25">
      <c r="A890" t="s">
        <v>41</v>
      </c>
      <c r="B890" s="65">
        <v>1</v>
      </c>
      <c r="C890" t="s">
        <v>13</v>
      </c>
      <c r="D890" s="67">
        <v>65664</v>
      </c>
      <c r="E890" s="67">
        <v>66978</v>
      </c>
      <c r="F890" s="67">
        <v>66696</v>
      </c>
      <c r="G890" s="13">
        <f t="shared" si="169"/>
        <v>-282</v>
      </c>
      <c r="H890" s="13">
        <f t="shared" si="170"/>
        <v>1032</v>
      </c>
      <c r="I890" s="73">
        <f t="shared" si="171"/>
        <v>1.5716374269005851E-2</v>
      </c>
      <c r="J890" s="73">
        <f t="shared" si="172"/>
        <v>-4.2103377228344119E-3</v>
      </c>
      <c r="K890" s="72" t="str">
        <f t="shared" si="173"/>
        <v>KALIBENDA</v>
      </c>
      <c r="L890" s="72" t="str">
        <f t="shared" si="174"/>
        <v>JULY-1-KALIBENDA</v>
      </c>
      <c r="M890" s="73">
        <f t="shared" si="175"/>
        <v>9.6060638558504996E-3</v>
      </c>
      <c r="N890" s="73">
        <f t="shared" si="176"/>
        <v>-3.1928806774205953E-2</v>
      </c>
      <c r="O890" s="13">
        <f t="shared" si="177"/>
        <v>961485</v>
      </c>
      <c r="P890" s="13">
        <f t="shared" si="178"/>
        <v>962175</v>
      </c>
      <c r="Q890" s="13">
        <f t="shared" si="179"/>
        <v>953140</v>
      </c>
      <c r="R890" s="33">
        <f t="shared" si="180"/>
        <v>-8.679282568110791E-3</v>
      </c>
      <c r="S890" s="33">
        <f t="shared" si="181"/>
        <v>-9.3901836983916187E-3</v>
      </c>
    </row>
    <row r="891" spans="1:19" x14ac:dyDescent="0.25">
      <c r="A891" t="s">
        <v>41</v>
      </c>
      <c r="B891" s="65">
        <v>1</v>
      </c>
      <c r="C891" t="s">
        <v>13</v>
      </c>
      <c r="D891" s="67">
        <v>35208</v>
      </c>
      <c r="E891" s="67">
        <v>35208</v>
      </c>
      <c r="F891" s="67">
        <v>35073</v>
      </c>
      <c r="G891" s="13">
        <f t="shared" si="169"/>
        <v>-135</v>
      </c>
      <c r="H891" s="13">
        <f t="shared" si="170"/>
        <v>-135</v>
      </c>
      <c r="I891" s="73">
        <f t="shared" si="171"/>
        <v>-3.8343558282208923E-3</v>
      </c>
      <c r="J891" s="73">
        <f t="shared" si="172"/>
        <v>-3.8343558282208923E-3</v>
      </c>
      <c r="K891" s="72" t="str">
        <f t="shared" si="173"/>
        <v>KALIBENDA</v>
      </c>
      <c r="L891" s="72" t="str">
        <f t="shared" si="174"/>
        <v>JULY-1-KALIBENDA</v>
      </c>
      <c r="M891" s="73">
        <f t="shared" si="175"/>
        <v>9.6060638558504996E-3</v>
      </c>
      <c r="N891" s="73">
        <f t="shared" si="176"/>
        <v>-3.1928806774205953E-2</v>
      </c>
      <c r="O891" s="13">
        <f t="shared" si="177"/>
        <v>961485</v>
      </c>
      <c r="P891" s="13">
        <f t="shared" si="178"/>
        <v>962175</v>
      </c>
      <c r="Q891" s="13">
        <f t="shared" si="179"/>
        <v>953140</v>
      </c>
      <c r="R891" s="33">
        <f t="shared" si="180"/>
        <v>-8.679282568110791E-3</v>
      </c>
      <c r="S891" s="33">
        <f t="shared" si="181"/>
        <v>-9.3901836983916187E-3</v>
      </c>
    </row>
    <row r="892" spans="1:19" x14ac:dyDescent="0.25">
      <c r="A892" t="s">
        <v>41</v>
      </c>
      <c r="B892" s="65">
        <v>1</v>
      </c>
      <c r="C892" t="s">
        <v>13</v>
      </c>
      <c r="D892" s="67">
        <v>1836</v>
      </c>
      <c r="E892" s="67">
        <v>1836</v>
      </c>
      <c r="F892" s="67">
        <v>1827</v>
      </c>
      <c r="G892" s="13">
        <f t="shared" si="169"/>
        <v>-9</v>
      </c>
      <c r="H892" s="13">
        <f t="shared" si="170"/>
        <v>-9</v>
      </c>
      <c r="I892" s="73">
        <f t="shared" si="171"/>
        <v>-4.9019607843137081E-3</v>
      </c>
      <c r="J892" s="73">
        <f t="shared" si="172"/>
        <v>-4.9019607843137081E-3</v>
      </c>
      <c r="K892" s="72" t="str">
        <f t="shared" si="173"/>
        <v>KALIBENDA</v>
      </c>
      <c r="L892" s="72" t="str">
        <f t="shared" si="174"/>
        <v>JULY-1-KALIBENDA</v>
      </c>
      <c r="M892" s="73">
        <f t="shared" si="175"/>
        <v>9.6060638558504996E-3</v>
      </c>
      <c r="N892" s="73">
        <f t="shared" si="176"/>
        <v>-3.1928806774205953E-2</v>
      </c>
      <c r="O892" s="13">
        <f t="shared" si="177"/>
        <v>961485</v>
      </c>
      <c r="P892" s="13">
        <f t="shared" si="178"/>
        <v>962175</v>
      </c>
      <c r="Q892" s="13">
        <f t="shared" si="179"/>
        <v>953140</v>
      </c>
      <c r="R892" s="33">
        <f t="shared" si="180"/>
        <v>-8.679282568110791E-3</v>
      </c>
      <c r="S892" s="33">
        <f t="shared" si="181"/>
        <v>-9.3901836983916187E-3</v>
      </c>
    </row>
    <row r="893" spans="1:19" x14ac:dyDescent="0.25">
      <c r="A893" t="s">
        <v>41</v>
      </c>
      <c r="B893" s="65">
        <v>1</v>
      </c>
      <c r="C893" t="s">
        <v>13</v>
      </c>
      <c r="D893" s="67">
        <v>36072</v>
      </c>
      <c r="E893" s="67">
        <v>36072</v>
      </c>
      <c r="F893" s="67">
        <v>35970</v>
      </c>
      <c r="G893" s="13">
        <f t="shared" si="169"/>
        <v>-102</v>
      </c>
      <c r="H893" s="13">
        <f t="shared" si="170"/>
        <v>-102</v>
      </c>
      <c r="I893" s="73">
        <f t="shared" si="171"/>
        <v>-2.8276779773785954E-3</v>
      </c>
      <c r="J893" s="73">
        <f t="shared" si="172"/>
        <v>-2.8276779773785954E-3</v>
      </c>
      <c r="K893" s="72" t="str">
        <f t="shared" si="173"/>
        <v>KALIBENDA</v>
      </c>
      <c r="L893" s="72" t="str">
        <f t="shared" si="174"/>
        <v>JULY-1-KALIBENDA</v>
      </c>
      <c r="M893" s="73">
        <f t="shared" si="175"/>
        <v>9.6060638558504996E-3</v>
      </c>
      <c r="N893" s="73">
        <f t="shared" si="176"/>
        <v>-3.1928806774205953E-2</v>
      </c>
      <c r="O893" s="13">
        <f t="shared" si="177"/>
        <v>961485</v>
      </c>
      <c r="P893" s="13">
        <f t="shared" si="178"/>
        <v>962175</v>
      </c>
      <c r="Q893" s="13">
        <f t="shared" si="179"/>
        <v>953140</v>
      </c>
      <c r="R893" s="33">
        <f t="shared" si="180"/>
        <v>-8.679282568110791E-3</v>
      </c>
      <c r="S893" s="33">
        <f t="shared" si="181"/>
        <v>-9.3901836983916187E-3</v>
      </c>
    </row>
    <row r="894" spans="1:19" x14ac:dyDescent="0.25">
      <c r="A894" t="s">
        <v>41</v>
      </c>
      <c r="B894" s="65">
        <v>1</v>
      </c>
      <c r="C894" t="s">
        <v>13</v>
      </c>
      <c r="D894" s="67">
        <v>7128</v>
      </c>
      <c r="E894" s="67">
        <v>7128</v>
      </c>
      <c r="F894" s="67">
        <v>7116</v>
      </c>
      <c r="G894" s="13">
        <f t="shared" si="169"/>
        <v>-12</v>
      </c>
      <c r="H894" s="13">
        <f t="shared" si="170"/>
        <v>-12</v>
      </c>
      <c r="I894" s="73">
        <f t="shared" si="171"/>
        <v>-1.6835016835017313E-3</v>
      </c>
      <c r="J894" s="73">
        <f t="shared" si="172"/>
        <v>-1.6835016835017313E-3</v>
      </c>
      <c r="K894" s="72" t="str">
        <f t="shared" si="173"/>
        <v>KALIBENDA</v>
      </c>
      <c r="L894" s="72" t="str">
        <f t="shared" si="174"/>
        <v>JULY-1-KALIBENDA</v>
      </c>
      <c r="M894" s="73">
        <f t="shared" si="175"/>
        <v>9.6060638558504996E-3</v>
      </c>
      <c r="N894" s="73">
        <f t="shared" si="176"/>
        <v>-3.1928806774205953E-2</v>
      </c>
      <c r="O894" s="13">
        <f t="shared" si="177"/>
        <v>961485</v>
      </c>
      <c r="P894" s="13">
        <f t="shared" si="178"/>
        <v>962175</v>
      </c>
      <c r="Q894" s="13">
        <f t="shared" si="179"/>
        <v>953140</v>
      </c>
      <c r="R894" s="33">
        <f t="shared" si="180"/>
        <v>-8.679282568110791E-3</v>
      </c>
      <c r="S894" s="33">
        <f t="shared" si="181"/>
        <v>-9.3901836983916187E-3</v>
      </c>
    </row>
    <row r="895" spans="1:19" x14ac:dyDescent="0.25">
      <c r="A895" t="s">
        <v>41</v>
      </c>
      <c r="B895" s="65">
        <v>1</v>
      </c>
      <c r="C895" t="s">
        <v>13</v>
      </c>
      <c r="D895" s="67">
        <v>1296</v>
      </c>
      <c r="E895" s="67">
        <v>1323</v>
      </c>
      <c r="F895" s="67">
        <v>1323</v>
      </c>
      <c r="G895" s="13">
        <f t="shared" si="169"/>
        <v>0</v>
      </c>
      <c r="H895" s="13">
        <f t="shared" si="170"/>
        <v>27</v>
      </c>
      <c r="I895" s="73">
        <f t="shared" si="171"/>
        <v>2.0833333333333259E-2</v>
      </c>
      <c r="J895" s="73">
        <f t="shared" si="172"/>
        <v>0</v>
      </c>
      <c r="K895" s="72" t="str">
        <f t="shared" si="173"/>
        <v>KALIBENDA</v>
      </c>
      <c r="L895" s="72" t="str">
        <f t="shared" si="174"/>
        <v>JULY-1-KALIBENDA</v>
      </c>
      <c r="M895" s="73">
        <f t="shared" si="175"/>
        <v>9.6060638558504996E-3</v>
      </c>
      <c r="N895" s="73">
        <f t="shared" si="176"/>
        <v>-3.1928806774205953E-2</v>
      </c>
      <c r="O895" s="13">
        <f t="shared" si="177"/>
        <v>961485</v>
      </c>
      <c r="P895" s="13">
        <f t="shared" si="178"/>
        <v>962175</v>
      </c>
      <c r="Q895" s="13">
        <f t="shared" si="179"/>
        <v>953140</v>
      </c>
      <c r="R895" s="33">
        <f t="shared" si="180"/>
        <v>-8.679282568110791E-3</v>
      </c>
      <c r="S895" s="33">
        <f t="shared" si="181"/>
        <v>-9.3901836983916187E-3</v>
      </c>
    </row>
    <row r="896" spans="1:19" x14ac:dyDescent="0.25">
      <c r="A896" t="s">
        <v>41</v>
      </c>
      <c r="B896" s="65">
        <v>1</v>
      </c>
      <c r="C896" t="s">
        <v>13</v>
      </c>
      <c r="D896" s="67">
        <v>10224</v>
      </c>
      <c r="E896" s="67">
        <v>10232</v>
      </c>
      <c r="F896" s="67">
        <v>10132</v>
      </c>
      <c r="G896" s="13">
        <f t="shared" si="169"/>
        <v>-100</v>
      </c>
      <c r="H896" s="13">
        <f t="shared" si="170"/>
        <v>-92</v>
      </c>
      <c r="I896" s="73">
        <f t="shared" si="171"/>
        <v>-8.9984350547730463E-3</v>
      </c>
      <c r="J896" s="73">
        <f t="shared" si="172"/>
        <v>-9.7732603596559775E-3</v>
      </c>
      <c r="K896" s="72" t="str">
        <f t="shared" si="173"/>
        <v>KALIBENDA</v>
      </c>
      <c r="L896" s="72" t="str">
        <f t="shared" si="174"/>
        <v>JULY-1-KALIBENDA</v>
      </c>
      <c r="M896" s="73">
        <f t="shared" si="175"/>
        <v>9.6060638558504996E-3</v>
      </c>
      <c r="N896" s="73">
        <f t="shared" si="176"/>
        <v>-3.1928806774205953E-2</v>
      </c>
      <c r="O896" s="13">
        <f t="shared" si="177"/>
        <v>961485</v>
      </c>
      <c r="P896" s="13">
        <f t="shared" si="178"/>
        <v>962175</v>
      </c>
      <c r="Q896" s="13">
        <f t="shared" si="179"/>
        <v>953140</v>
      </c>
      <c r="R896" s="33">
        <f t="shared" si="180"/>
        <v>-8.679282568110791E-3</v>
      </c>
      <c r="S896" s="33">
        <f t="shared" si="181"/>
        <v>-9.3901836983916187E-3</v>
      </c>
    </row>
    <row r="897" spans="1:19" x14ac:dyDescent="0.25">
      <c r="A897" t="s">
        <v>41</v>
      </c>
      <c r="B897" s="65">
        <v>1</v>
      </c>
      <c r="C897" t="s">
        <v>16</v>
      </c>
      <c r="D897" s="67">
        <v>2400</v>
      </c>
      <c r="E897" s="67">
        <v>2496</v>
      </c>
      <c r="F897" s="67">
        <v>2385</v>
      </c>
      <c r="G897" s="13">
        <f t="shared" si="169"/>
        <v>-111</v>
      </c>
      <c r="H897" s="13">
        <f t="shared" si="170"/>
        <v>-15</v>
      </c>
      <c r="I897" s="73">
        <f t="shared" si="171"/>
        <v>-6.2499999999999778E-3</v>
      </c>
      <c r="J897" s="73">
        <f t="shared" si="172"/>
        <v>-4.4471153846153855E-2</v>
      </c>
      <c r="K897" s="72" t="str">
        <f t="shared" si="173"/>
        <v>ANUGERAH</v>
      </c>
      <c r="L897" s="72" t="str">
        <f t="shared" si="174"/>
        <v>JULY-1-ANUGERAH</v>
      </c>
      <c r="M897" s="73">
        <f t="shared" si="175"/>
        <v>-0.20491666666666664</v>
      </c>
      <c r="N897" s="73">
        <f t="shared" si="176"/>
        <v>-0.28027464194272256</v>
      </c>
      <c r="O897" s="13">
        <f t="shared" si="177"/>
        <v>961485</v>
      </c>
      <c r="P897" s="13">
        <f t="shared" si="178"/>
        <v>962175</v>
      </c>
      <c r="Q897" s="13">
        <f t="shared" si="179"/>
        <v>953140</v>
      </c>
      <c r="R897" s="33">
        <f t="shared" si="180"/>
        <v>-8.679282568110791E-3</v>
      </c>
      <c r="S897" s="33">
        <f t="shared" si="181"/>
        <v>-9.3901836983916187E-3</v>
      </c>
    </row>
    <row r="898" spans="1:19" x14ac:dyDescent="0.25">
      <c r="A898" t="s">
        <v>41</v>
      </c>
      <c r="B898" s="65">
        <v>1</v>
      </c>
      <c r="C898" t="s">
        <v>16</v>
      </c>
      <c r="D898" s="67">
        <v>2400</v>
      </c>
      <c r="E898" s="67">
        <v>2472</v>
      </c>
      <c r="F898" s="67">
        <v>2370</v>
      </c>
      <c r="G898" s="13">
        <f t="shared" ref="G898:G961" si="182">F898-E898</f>
        <v>-102</v>
      </c>
      <c r="H898" s="13">
        <f t="shared" ref="H898:H961" si="183">F898-D898</f>
        <v>-30</v>
      </c>
      <c r="I898" s="73">
        <f t="shared" ref="I898:I961" si="184">F898/D898-1</f>
        <v>-1.2499999999999956E-2</v>
      </c>
      <c r="J898" s="73">
        <f t="shared" ref="J898:J961" si="185">F898/E898-1</f>
        <v>-4.1262135922330079E-2</v>
      </c>
      <c r="K898" s="72" t="str">
        <f t="shared" ref="K898:K961" si="186">CLEAN(SUBSTITUTE(C898," ",""))</f>
        <v>ANUGERAH</v>
      </c>
      <c r="L898" s="72" t="str">
        <f t="shared" ref="L898:L961" si="187">A898&amp;"-"&amp;B898&amp;"-"&amp;K898</f>
        <v>JULY-1-ANUGERAH</v>
      </c>
      <c r="M898" s="73">
        <f t="shared" ref="M898:M961" si="188">SUMIF($L$2:$L$1396,L898,$I$2:$I$1396)</f>
        <v>-0.20491666666666664</v>
      </c>
      <c r="N898" s="73">
        <f t="shared" ref="N898:N961" si="189">SUMIF($L$2:$L$1396,L898,$J$2:$J$1396)</f>
        <v>-0.28027464194272256</v>
      </c>
      <c r="O898" s="13">
        <f t="shared" ref="O898:O961" si="190">SUMIF($A$2:$A$1396,A898,$D$2:$D$1396)</f>
        <v>961485</v>
      </c>
      <c r="P898" s="13">
        <f t="shared" ref="P898:P961" si="191">SUMIF($A$2:$A$1396,A898,$E$2:$E$1396)</f>
        <v>962175</v>
      </c>
      <c r="Q898" s="13">
        <f t="shared" ref="Q898:Q961" si="192">SUMIF($A$2:$A$1396,A898,$F$2:$F$1396)</f>
        <v>953140</v>
      </c>
      <c r="R898" s="33">
        <f t="shared" ref="R898:R961" si="193">Q898/O898-1</f>
        <v>-8.679282568110791E-3</v>
      </c>
      <c r="S898" s="33">
        <f t="shared" ref="S898:S961" si="194">Q898/P898-1</f>
        <v>-9.3901836983916187E-3</v>
      </c>
    </row>
    <row r="899" spans="1:19" x14ac:dyDescent="0.25">
      <c r="A899" t="s">
        <v>41</v>
      </c>
      <c r="B899" s="65">
        <v>1</v>
      </c>
      <c r="C899" t="s">
        <v>16</v>
      </c>
      <c r="D899" s="67">
        <v>3000</v>
      </c>
      <c r="E899" s="67">
        <v>3000</v>
      </c>
      <c r="F899" s="67">
        <v>2934</v>
      </c>
      <c r="G899" s="13">
        <f t="shared" si="182"/>
        <v>-66</v>
      </c>
      <c r="H899" s="13">
        <f t="shared" si="183"/>
        <v>-66</v>
      </c>
      <c r="I899" s="73">
        <f t="shared" si="184"/>
        <v>-2.200000000000002E-2</v>
      </c>
      <c r="J899" s="73">
        <f t="shared" si="185"/>
        <v>-2.200000000000002E-2</v>
      </c>
      <c r="K899" s="72" t="str">
        <f t="shared" si="186"/>
        <v>ANUGERAH</v>
      </c>
      <c r="L899" s="72" t="str">
        <f t="shared" si="187"/>
        <v>JULY-1-ANUGERAH</v>
      </c>
      <c r="M899" s="73">
        <f t="shared" si="188"/>
        <v>-0.20491666666666664</v>
      </c>
      <c r="N899" s="73">
        <f t="shared" si="189"/>
        <v>-0.28027464194272256</v>
      </c>
      <c r="O899" s="13">
        <f t="shared" si="190"/>
        <v>961485</v>
      </c>
      <c r="P899" s="13">
        <f t="shared" si="191"/>
        <v>962175</v>
      </c>
      <c r="Q899" s="13">
        <f t="shared" si="192"/>
        <v>953140</v>
      </c>
      <c r="R899" s="33">
        <f t="shared" si="193"/>
        <v>-8.679282568110791E-3</v>
      </c>
      <c r="S899" s="33">
        <f t="shared" si="194"/>
        <v>-9.3901836983916187E-3</v>
      </c>
    </row>
    <row r="900" spans="1:19" x14ac:dyDescent="0.25">
      <c r="A900" t="s">
        <v>41</v>
      </c>
      <c r="B900" s="65">
        <v>1</v>
      </c>
      <c r="C900" t="s">
        <v>16</v>
      </c>
      <c r="D900" s="67">
        <v>1000</v>
      </c>
      <c r="E900" s="67">
        <v>1002</v>
      </c>
      <c r="F900" s="67">
        <v>970</v>
      </c>
      <c r="G900" s="13">
        <f t="shared" si="182"/>
        <v>-32</v>
      </c>
      <c r="H900" s="13">
        <f t="shared" si="183"/>
        <v>-30</v>
      </c>
      <c r="I900" s="73">
        <f t="shared" si="184"/>
        <v>-3.0000000000000027E-2</v>
      </c>
      <c r="J900" s="73">
        <f t="shared" si="185"/>
        <v>-3.1936127744510934E-2</v>
      </c>
      <c r="K900" s="72" t="str">
        <f t="shared" si="186"/>
        <v>ANUGERAH</v>
      </c>
      <c r="L900" s="72" t="str">
        <f t="shared" si="187"/>
        <v>JULY-1-ANUGERAH</v>
      </c>
      <c r="M900" s="73">
        <f t="shared" si="188"/>
        <v>-0.20491666666666664</v>
      </c>
      <c r="N900" s="73">
        <f t="shared" si="189"/>
        <v>-0.28027464194272256</v>
      </c>
      <c r="O900" s="13">
        <f t="shared" si="190"/>
        <v>961485</v>
      </c>
      <c r="P900" s="13">
        <f t="shared" si="191"/>
        <v>962175</v>
      </c>
      <c r="Q900" s="13">
        <f t="shared" si="192"/>
        <v>953140</v>
      </c>
      <c r="R900" s="33">
        <f t="shared" si="193"/>
        <v>-8.679282568110791E-3</v>
      </c>
      <c r="S900" s="33">
        <f t="shared" si="194"/>
        <v>-9.3901836983916187E-3</v>
      </c>
    </row>
    <row r="901" spans="1:19" x14ac:dyDescent="0.25">
      <c r="A901" t="s">
        <v>41</v>
      </c>
      <c r="B901" s="65">
        <v>1</v>
      </c>
      <c r="C901" t="s">
        <v>16</v>
      </c>
      <c r="D901" s="67">
        <v>900</v>
      </c>
      <c r="E901" s="67">
        <v>906</v>
      </c>
      <c r="F901" s="67">
        <v>875</v>
      </c>
      <c r="G901" s="13">
        <f t="shared" si="182"/>
        <v>-31</v>
      </c>
      <c r="H901" s="13">
        <f t="shared" si="183"/>
        <v>-25</v>
      </c>
      <c r="I901" s="73">
        <f t="shared" si="184"/>
        <v>-2.777777777777779E-2</v>
      </c>
      <c r="J901" s="73">
        <f t="shared" si="185"/>
        <v>-3.4216335540838805E-2</v>
      </c>
      <c r="K901" s="72" t="str">
        <f t="shared" si="186"/>
        <v>ANUGERAH</v>
      </c>
      <c r="L901" s="72" t="str">
        <f t="shared" si="187"/>
        <v>JULY-1-ANUGERAH</v>
      </c>
      <c r="M901" s="73">
        <f t="shared" si="188"/>
        <v>-0.20491666666666664</v>
      </c>
      <c r="N901" s="73">
        <f t="shared" si="189"/>
        <v>-0.28027464194272256</v>
      </c>
      <c r="O901" s="13">
        <f t="shared" si="190"/>
        <v>961485</v>
      </c>
      <c r="P901" s="13">
        <f t="shared" si="191"/>
        <v>962175</v>
      </c>
      <c r="Q901" s="13">
        <f t="shared" si="192"/>
        <v>953140</v>
      </c>
      <c r="R901" s="33">
        <f t="shared" si="193"/>
        <v>-8.679282568110791E-3</v>
      </c>
      <c r="S901" s="33">
        <f t="shared" si="194"/>
        <v>-9.3901836983916187E-3</v>
      </c>
    </row>
    <row r="902" spans="1:19" x14ac:dyDescent="0.25">
      <c r="A902" t="s">
        <v>41</v>
      </c>
      <c r="B902" s="65">
        <v>1</v>
      </c>
      <c r="C902" t="s">
        <v>16</v>
      </c>
      <c r="D902" s="67">
        <v>1600</v>
      </c>
      <c r="E902" s="67">
        <v>1600</v>
      </c>
      <c r="F902" s="67">
        <v>1556</v>
      </c>
      <c r="G902" s="13">
        <f t="shared" si="182"/>
        <v>-44</v>
      </c>
      <c r="H902" s="13">
        <f t="shared" si="183"/>
        <v>-44</v>
      </c>
      <c r="I902" s="73">
        <f t="shared" si="184"/>
        <v>-2.7499999999999969E-2</v>
      </c>
      <c r="J902" s="73">
        <f t="shared" si="185"/>
        <v>-2.7499999999999969E-2</v>
      </c>
      <c r="K902" s="72" t="str">
        <f t="shared" si="186"/>
        <v>ANUGERAH</v>
      </c>
      <c r="L902" s="72" t="str">
        <f t="shared" si="187"/>
        <v>JULY-1-ANUGERAH</v>
      </c>
      <c r="M902" s="73">
        <f t="shared" si="188"/>
        <v>-0.20491666666666664</v>
      </c>
      <c r="N902" s="73">
        <f t="shared" si="189"/>
        <v>-0.28027464194272256</v>
      </c>
      <c r="O902" s="13">
        <f t="shared" si="190"/>
        <v>961485</v>
      </c>
      <c r="P902" s="13">
        <f t="shared" si="191"/>
        <v>962175</v>
      </c>
      <c r="Q902" s="13">
        <f t="shared" si="192"/>
        <v>953140</v>
      </c>
      <c r="R902" s="33">
        <f t="shared" si="193"/>
        <v>-8.679282568110791E-3</v>
      </c>
      <c r="S902" s="33">
        <f t="shared" si="194"/>
        <v>-9.3901836983916187E-3</v>
      </c>
    </row>
    <row r="903" spans="1:19" x14ac:dyDescent="0.25">
      <c r="A903" t="s">
        <v>41</v>
      </c>
      <c r="B903" s="65">
        <v>1</v>
      </c>
      <c r="C903" t="s">
        <v>16</v>
      </c>
      <c r="D903" s="67">
        <v>2000</v>
      </c>
      <c r="E903" s="67">
        <v>2000</v>
      </c>
      <c r="F903" s="67">
        <v>1946</v>
      </c>
      <c r="G903" s="13">
        <f t="shared" si="182"/>
        <v>-54</v>
      </c>
      <c r="H903" s="13">
        <f t="shared" si="183"/>
        <v>-54</v>
      </c>
      <c r="I903" s="73">
        <f t="shared" si="184"/>
        <v>-2.7000000000000024E-2</v>
      </c>
      <c r="J903" s="73">
        <f t="shared" si="185"/>
        <v>-2.7000000000000024E-2</v>
      </c>
      <c r="K903" s="72" t="str">
        <f t="shared" si="186"/>
        <v>ANUGERAH</v>
      </c>
      <c r="L903" s="72" t="str">
        <f t="shared" si="187"/>
        <v>JULY-1-ANUGERAH</v>
      </c>
      <c r="M903" s="73">
        <f t="shared" si="188"/>
        <v>-0.20491666666666664</v>
      </c>
      <c r="N903" s="73">
        <f t="shared" si="189"/>
        <v>-0.28027464194272256</v>
      </c>
      <c r="O903" s="13">
        <f t="shared" si="190"/>
        <v>961485</v>
      </c>
      <c r="P903" s="13">
        <f t="shared" si="191"/>
        <v>962175</v>
      </c>
      <c r="Q903" s="13">
        <f t="shared" si="192"/>
        <v>953140</v>
      </c>
      <c r="R903" s="33">
        <f t="shared" si="193"/>
        <v>-8.679282568110791E-3</v>
      </c>
      <c r="S903" s="33">
        <f t="shared" si="194"/>
        <v>-9.3901836983916187E-3</v>
      </c>
    </row>
    <row r="904" spans="1:19" x14ac:dyDescent="0.25">
      <c r="A904" t="s">
        <v>41</v>
      </c>
      <c r="B904" s="65">
        <v>1</v>
      </c>
      <c r="C904" t="s">
        <v>16</v>
      </c>
      <c r="D904" s="67">
        <v>1000</v>
      </c>
      <c r="E904" s="67">
        <v>1000</v>
      </c>
      <c r="F904" s="67">
        <v>977</v>
      </c>
      <c r="G904" s="13">
        <f t="shared" si="182"/>
        <v>-23</v>
      </c>
      <c r="H904" s="13">
        <f t="shared" si="183"/>
        <v>-23</v>
      </c>
      <c r="I904" s="73">
        <f t="shared" si="184"/>
        <v>-2.300000000000002E-2</v>
      </c>
      <c r="J904" s="73">
        <f t="shared" si="185"/>
        <v>-2.300000000000002E-2</v>
      </c>
      <c r="K904" s="72" t="str">
        <f t="shared" si="186"/>
        <v>ANUGERAH</v>
      </c>
      <c r="L904" s="72" t="str">
        <f t="shared" si="187"/>
        <v>JULY-1-ANUGERAH</v>
      </c>
      <c r="M904" s="73">
        <f t="shared" si="188"/>
        <v>-0.20491666666666664</v>
      </c>
      <c r="N904" s="73">
        <f t="shared" si="189"/>
        <v>-0.28027464194272256</v>
      </c>
      <c r="O904" s="13">
        <f t="shared" si="190"/>
        <v>961485</v>
      </c>
      <c r="P904" s="13">
        <f t="shared" si="191"/>
        <v>962175</v>
      </c>
      <c r="Q904" s="13">
        <f t="shared" si="192"/>
        <v>953140</v>
      </c>
      <c r="R904" s="33">
        <f t="shared" si="193"/>
        <v>-8.679282568110791E-3</v>
      </c>
      <c r="S904" s="33">
        <f t="shared" si="194"/>
        <v>-9.3901836983916187E-3</v>
      </c>
    </row>
    <row r="905" spans="1:19" x14ac:dyDescent="0.25">
      <c r="A905" t="s">
        <v>41</v>
      </c>
      <c r="B905" s="65">
        <v>1</v>
      </c>
      <c r="C905" t="s">
        <v>16</v>
      </c>
      <c r="D905" s="67">
        <v>2700</v>
      </c>
      <c r="E905" s="67">
        <v>2700</v>
      </c>
      <c r="F905" s="67">
        <v>2622</v>
      </c>
      <c r="G905" s="13">
        <f t="shared" si="182"/>
        <v>-78</v>
      </c>
      <c r="H905" s="13">
        <f t="shared" si="183"/>
        <v>-78</v>
      </c>
      <c r="I905" s="73">
        <f t="shared" si="184"/>
        <v>-2.8888888888888853E-2</v>
      </c>
      <c r="J905" s="73">
        <f t="shared" si="185"/>
        <v>-2.8888888888888853E-2</v>
      </c>
      <c r="K905" s="72" t="str">
        <f t="shared" si="186"/>
        <v>ANUGERAH</v>
      </c>
      <c r="L905" s="72" t="str">
        <f t="shared" si="187"/>
        <v>JULY-1-ANUGERAH</v>
      </c>
      <c r="M905" s="73">
        <f t="shared" si="188"/>
        <v>-0.20491666666666664</v>
      </c>
      <c r="N905" s="73">
        <f t="shared" si="189"/>
        <v>-0.28027464194272256</v>
      </c>
      <c r="O905" s="13">
        <f t="shared" si="190"/>
        <v>961485</v>
      </c>
      <c r="P905" s="13">
        <f t="shared" si="191"/>
        <v>962175</v>
      </c>
      <c r="Q905" s="13">
        <f t="shared" si="192"/>
        <v>953140</v>
      </c>
      <c r="R905" s="33">
        <f t="shared" si="193"/>
        <v>-8.679282568110791E-3</v>
      </c>
      <c r="S905" s="33">
        <f t="shared" si="194"/>
        <v>-9.3901836983916187E-3</v>
      </c>
    </row>
    <row r="906" spans="1:19" x14ac:dyDescent="0.25">
      <c r="A906" t="s">
        <v>41</v>
      </c>
      <c r="B906" s="65">
        <v>1</v>
      </c>
      <c r="C906" t="s">
        <v>10</v>
      </c>
      <c r="D906" s="67">
        <v>460</v>
      </c>
      <c r="E906" s="67">
        <v>472</v>
      </c>
      <c r="F906" s="67">
        <v>460</v>
      </c>
      <c r="G906" s="13">
        <f t="shared" si="182"/>
        <v>-12</v>
      </c>
      <c r="H906" s="13">
        <f t="shared" si="183"/>
        <v>0</v>
      </c>
      <c r="I906" s="73">
        <f t="shared" si="184"/>
        <v>0</v>
      </c>
      <c r="J906" s="73">
        <f t="shared" si="185"/>
        <v>-2.5423728813559365E-2</v>
      </c>
      <c r="K906" s="72" t="str">
        <f t="shared" si="186"/>
        <v>CNJ2</v>
      </c>
      <c r="L906" s="72" t="str">
        <f t="shared" si="187"/>
        <v>JULY-1-CNJ2</v>
      </c>
      <c r="M906" s="73">
        <f t="shared" si="188"/>
        <v>0</v>
      </c>
      <c r="N906" s="73">
        <f t="shared" si="189"/>
        <v>-0.3426865724985968</v>
      </c>
      <c r="O906" s="13">
        <f t="shared" si="190"/>
        <v>961485</v>
      </c>
      <c r="P906" s="13">
        <f t="shared" si="191"/>
        <v>962175</v>
      </c>
      <c r="Q906" s="13">
        <f t="shared" si="192"/>
        <v>953140</v>
      </c>
      <c r="R906" s="33">
        <f t="shared" si="193"/>
        <v>-8.679282568110791E-3</v>
      </c>
      <c r="S906" s="33">
        <f t="shared" si="194"/>
        <v>-9.3901836983916187E-3</v>
      </c>
    </row>
    <row r="907" spans="1:19" x14ac:dyDescent="0.25">
      <c r="A907" t="s">
        <v>41</v>
      </c>
      <c r="B907" s="65">
        <v>1</v>
      </c>
      <c r="C907" t="s">
        <v>10</v>
      </c>
      <c r="D907" s="67">
        <v>630</v>
      </c>
      <c r="E907" s="67">
        <v>646</v>
      </c>
      <c r="F907" s="67">
        <v>630</v>
      </c>
      <c r="G907" s="13">
        <f t="shared" si="182"/>
        <v>-16</v>
      </c>
      <c r="H907" s="13">
        <f t="shared" si="183"/>
        <v>0</v>
      </c>
      <c r="I907" s="73">
        <f t="shared" si="184"/>
        <v>0</v>
      </c>
      <c r="J907" s="73">
        <f t="shared" si="185"/>
        <v>-2.4767801857585092E-2</v>
      </c>
      <c r="K907" s="72" t="str">
        <f t="shared" si="186"/>
        <v>CNJ2</v>
      </c>
      <c r="L907" s="72" t="str">
        <f t="shared" si="187"/>
        <v>JULY-1-CNJ2</v>
      </c>
      <c r="M907" s="73">
        <f t="shared" si="188"/>
        <v>0</v>
      </c>
      <c r="N907" s="73">
        <f t="shared" si="189"/>
        <v>-0.3426865724985968</v>
      </c>
      <c r="O907" s="13">
        <f t="shared" si="190"/>
        <v>961485</v>
      </c>
      <c r="P907" s="13">
        <f t="shared" si="191"/>
        <v>962175</v>
      </c>
      <c r="Q907" s="13">
        <f t="shared" si="192"/>
        <v>953140</v>
      </c>
      <c r="R907" s="33">
        <f t="shared" si="193"/>
        <v>-8.679282568110791E-3</v>
      </c>
      <c r="S907" s="33">
        <f t="shared" si="194"/>
        <v>-9.3901836983916187E-3</v>
      </c>
    </row>
    <row r="908" spans="1:19" x14ac:dyDescent="0.25">
      <c r="A908" t="s">
        <v>41</v>
      </c>
      <c r="B908" s="65">
        <v>1</v>
      </c>
      <c r="C908" t="s">
        <v>10</v>
      </c>
      <c r="D908" s="67">
        <v>510</v>
      </c>
      <c r="E908" s="67">
        <v>526</v>
      </c>
      <c r="F908" s="67">
        <v>510</v>
      </c>
      <c r="G908" s="13">
        <f t="shared" si="182"/>
        <v>-16</v>
      </c>
      <c r="H908" s="13">
        <f t="shared" si="183"/>
        <v>0</v>
      </c>
      <c r="I908" s="73">
        <f t="shared" si="184"/>
        <v>0</v>
      </c>
      <c r="J908" s="73">
        <f t="shared" si="185"/>
        <v>-3.041825095057038E-2</v>
      </c>
      <c r="K908" s="72" t="str">
        <f t="shared" si="186"/>
        <v>CNJ2</v>
      </c>
      <c r="L908" s="72" t="str">
        <f t="shared" si="187"/>
        <v>JULY-1-CNJ2</v>
      </c>
      <c r="M908" s="73">
        <f t="shared" si="188"/>
        <v>0</v>
      </c>
      <c r="N908" s="73">
        <f t="shared" si="189"/>
        <v>-0.3426865724985968</v>
      </c>
      <c r="O908" s="13">
        <f t="shared" si="190"/>
        <v>961485</v>
      </c>
      <c r="P908" s="13">
        <f t="shared" si="191"/>
        <v>962175</v>
      </c>
      <c r="Q908" s="13">
        <f t="shared" si="192"/>
        <v>953140</v>
      </c>
      <c r="R908" s="33">
        <f t="shared" si="193"/>
        <v>-8.679282568110791E-3</v>
      </c>
      <c r="S908" s="33">
        <f t="shared" si="194"/>
        <v>-9.3901836983916187E-3</v>
      </c>
    </row>
    <row r="909" spans="1:19" x14ac:dyDescent="0.25">
      <c r="A909" t="s">
        <v>41</v>
      </c>
      <c r="B909" s="65">
        <v>1</v>
      </c>
      <c r="C909" t="s">
        <v>10</v>
      </c>
      <c r="D909" s="67">
        <v>1290</v>
      </c>
      <c r="E909" s="67">
        <v>1318</v>
      </c>
      <c r="F909" s="67">
        <v>1290</v>
      </c>
      <c r="G909" s="13">
        <f t="shared" si="182"/>
        <v>-28</v>
      </c>
      <c r="H909" s="13">
        <f t="shared" si="183"/>
        <v>0</v>
      </c>
      <c r="I909" s="73">
        <f t="shared" si="184"/>
        <v>0</v>
      </c>
      <c r="J909" s="73">
        <f t="shared" si="185"/>
        <v>-2.1244309559939278E-2</v>
      </c>
      <c r="K909" s="72" t="str">
        <f t="shared" si="186"/>
        <v>CNJ2</v>
      </c>
      <c r="L909" s="72" t="str">
        <f t="shared" si="187"/>
        <v>JULY-1-CNJ2</v>
      </c>
      <c r="M909" s="73">
        <f t="shared" si="188"/>
        <v>0</v>
      </c>
      <c r="N909" s="73">
        <f t="shared" si="189"/>
        <v>-0.3426865724985968</v>
      </c>
      <c r="O909" s="13">
        <f t="shared" si="190"/>
        <v>961485</v>
      </c>
      <c r="P909" s="13">
        <f t="shared" si="191"/>
        <v>962175</v>
      </c>
      <c r="Q909" s="13">
        <f t="shared" si="192"/>
        <v>953140</v>
      </c>
      <c r="R909" s="33">
        <f t="shared" si="193"/>
        <v>-8.679282568110791E-3</v>
      </c>
      <c r="S909" s="33">
        <f t="shared" si="194"/>
        <v>-9.3901836983916187E-3</v>
      </c>
    </row>
    <row r="910" spans="1:19" x14ac:dyDescent="0.25">
      <c r="A910" t="s">
        <v>41</v>
      </c>
      <c r="B910" s="65">
        <v>1</v>
      </c>
      <c r="C910" t="s">
        <v>10</v>
      </c>
      <c r="D910" s="67">
        <v>1500</v>
      </c>
      <c r="E910" s="67">
        <v>1537</v>
      </c>
      <c r="F910" s="67">
        <v>1500</v>
      </c>
      <c r="G910" s="13">
        <f t="shared" si="182"/>
        <v>-37</v>
      </c>
      <c r="H910" s="13">
        <f t="shared" si="183"/>
        <v>0</v>
      </c>
      <c r="I910" s="73">
        <f t="shared" si="184"/>
        <v>0</v>
      </c>
      <c r="J910" s="73">
        <f t="shared" si="185"/>
        <v>-2.4072869225764459E-2</v>
      </c>
      <c r="K910" s="72" t="str">
        <f t="shared" si="186"/>
        <v>CNJ2</v>
      </c>
      <c r="L910" s="72" t="str">
        <f t="shared" si="187"/>
        <v>JULY-1-CNJ2</v>
      </c>
      <c r="M910" s="73">
        <f t="shared" si="188"/>
        <v>0</v>
      </c>
      <c r="N910" s="73">
        <f t="shared" si="189"/>
        <v>-0.3426865724985968</v>
      </c>
      <c r="O910" s="13">
        <f t="shared" si="190"/>
        <v>961485</v>
      </c>
      <c r="P910" s="13">
        <f t="shared" si="191"/>
        <v>962175</v>
      </c>
      <c r="Q910" s="13">
        <f t="shared" si="192"/>
        <v>953140</v>
      </c>
      <c r="R910" s="33">
        <f t="shared" si="193"/>
        <v>-8.679282568110791E-3</v>
      </c>
      <c r="S910" s="33">
        <f t="shared" si="194"/>
        <v>-9.3901836983916187E-3</v>
      </c>
    </row>
    <row r="911" spans="1:19" x14ac:dyDescent="0.25">
      <c r="A911" t="s">
        <v>41</v>
      </c>
      <c r="B911" s="65">
        <v>1</v>
      </c>
      <c r="C911" t="s">
        <v>10</v>
      </c>
      <c r="D911" s="67">
        <v>700</v>
      </c>
      <c r="E911" s="67">
        <v>718</v>
      </c>
      <c r="F911" s="67">
        <v>700</v>
      </c>
      <c r="G911" s="13">
        <f t="shared" si="182"/>
        <v>-18</v>
      </c>
      <c r="H911" s="13">
        <f t="shared" si="183"/>
        <v>0</v>
      </c>
      <c r="I911" s="73">
        <f t="shared" si="184"/>
        <v>0</v>
      </c>
      <c r="J911" s="73">
        <f t="shared" si="185"/>
        <v>-2.5069637883008311E-2</v>
      </c>
      <c r="K911" s="72" t="str">
        <f t="shared" si="186"/>
        <v>CNJ2</v>
      </c>
      <c r="L911" s="72" t="str">
        <f t="shared" si="187"/>
        <v>JULY-1-CNJ2</v>
      </c>
      <c r="M911" s="73">
        <f t="shared" si="188"/>
        <v>0</v>
      </c>
      <c r="N911" s="73">
        <f t="shared" si="189"/>
        <v>-0.3426865724985968</v>
      </c>
      <c r="O911" s="13">
        <f t="shared" si="190"/>
        <v>961485</v>
      </c>
      <c r="P911" s="13">
        <f t="shared" si="191"/>
        <v>962175</v>
      </c>
      <c r="Q911" s="13">
        <f t="shared" si="192"/>
        <v>953140</v>
      </c>
      <c r="R911" s="33">
        <f t="shared" si="193"/>
        <v>-8.679282568110791E-3</v>
      </c>
      <c r="S911" s="33">
        <f t="shared" si="194"/>
        <v>-9.3901836983916187E-3</v>
      </c>
    </row>
    <row r="912" spans="1:19" x14ac:dyDescent="0.25">
      <c r="A912" t="s">
        <v>41</v>
      </c>
      <c r="B912" s="65">
        <v>1</v>
      </c>
      <c r="C912" t="s">
        <v>10</v>
      </c>
      <c r="D912" s="67">
        <v>1000</v>
      </c>
      <c r="E912" s="67">
        <v>1028</v>
      </c>
      <c r="F912" s="67">
        <v>1000</v>
      </c>
      <c r="G912" s="13">
        <f t="shared" si="182"/>
        <v>-28</v>
      </c>
      <c r="H912" s="13">
        <f t="shared" si="183"/>
        <v>0</v>
      </c>
      <c r="I912" s="73">
        <f t="shared" si="184"/>
        <v>0</v>
      </c>
      <c r="J912" s="73">
        <f t="shared" si="185"/>
        <v>-2.7237354085603127E-2</v>
      </c>
      <c r="K912" s="72" t="str">
        <f t="shared" si="186"/>
        <v>CNJ2</v>
      </c>
      <c r="L912" s="72" t="str">
        <f t="shared" si="187"/>
        <v>JULY-1-CNJ2</v>
      </c>
      <c r="M912" s="73">
        <f t="shared" si="188"/>
        <v>0</v>
      </c>
      <c r="N912" s="73">
        <f t="shared" si="189"/>
        <v>-0.3426865724985968</v>
      </c>
      <c r="O912" s="13">
        <f t="shared" si="190"/>
        <v>961485</v>
      </c>
      <c r="P912" s="13">
        <f t="shared" si="191"/>
        <v>962175</v>
      </c>
      <c r="Q912" s="13">
        <f t="shared" si="192"/>
        <v>953140</v>
      </c>
      <c r="R912" s="33">
        <f t="shared" si="193"/>
        <v>-8.679282568110791E-3</v>
      </c>
      <c r="S912" s="33">
        <f t="shared" si="194"/>
        <v>-9.3901836983916187E-3</v>
      </c>
    </row>
    <row r="913" spans="1:19" x14ac:dyDescent="0.25">
      <c r="A913" t="s">
        <v>41</v>
      </c>
      <c r="B913" s="65">
        <v>1</v>
      </c>
      <c r="C913" t="s">
        <v>10</v>
      </c>
      <c r="D913" s="67">
        <v>1130</v>
      </c>
      <c r="E913" s="67">
        <v>1178</v>
      </c>
      <c r="F913" s="67">
        <v>1130</v>
      </c>
      <c r="G913" s="13">
        <f t="shared" si="182"/>
        <v>-48</v>
      </c>
      <c r="H913" s="13">
        <f t="shared" si="183"/>
        <v>0</v>
      </c>
      <c r="I913" s="73">
        <f t="shared" si="184"/>
        <v>0</v>
      </c>
      <c r="J913" s="73">
        <f t="shared" si="185"/>
        <v>-4.0747028862478829E-2</v>
      </c>
      <c r="K913" s="72" t="str">
        <f t="shared" si="186"/>
        <v>CNJ2</v>
      </c>
      <c r="L913" s="72" t="str">
        <f t="shared" si="187"/>
        <v>JULY-1-CNJ2</v>
      </c>
      <c r="M913" s="73">
        <f t="shared" si="188"/>
        <v>0</v>
      </c>
      <c r="N913" s="73">
        <f t="shared" si="189"/>
        <v>-0.3426865724985968</v>
      </c>
      <c r="O913" s="13">
        <f t="shared" si="190"/>
        <v>961485</v>
      </c>
      <c r="P913" s="13">
        <f t="shared" si="191"/>
        <v>962175</v>
      </c>
      <c r="Q913" s="13">
        <f t="shared" si="192"/>
        <v>953140</v>
      </c>
      <c r="R913" s="33">
        <f t="shared" si="193"/>
        <v>-8.679282568110791E-3</v>
      </c>
      <c r="S913" s="33">
        <f t="shared" si="194"/>
        <v>-9.3901836983916187E-3</v>
      </c>
    </row>
    <row r="914" spans="1:19" x14ac:dyDescent="0.25">
      <c r="A914" t="s">
        <v>41</v>
      </c>
      <c r="B914" s="65">
        <v>1</v>
      </c>
      <c r="C914" t="s">
        <v>10</v>
      </c>
      <c r="D914" s="67">
        <v>1000</v>
      </c>
      <c r="E914" s="67">
        <v>1020</v>
      </c>
      <c r="F914" s="67">
        <v>1000</v>
      </c>
      <c r="G914" s="13">
        <f t="shared" si="182"/>
        <v>-20</v>
      </c>
      <c r="H914" s="13">
        <f t="shared" si="183"/>
        <v>0</v>
      </c>
      <c r="I914" s="73">
        <f t="shared" si="184"/>
        <v>0</v>
      </c>
      <c r="J914" s="73">
        <f t="shared" si="185"/>
        <v>-1.9607843137254943E-2</v>
      </c>
      <c r="K914" s="72" t="str">
        <f t="shared" si="186"/>
        <v>CNJ2</v>
      </c>
      <c r="L914" s="72" t="str">
        <f t="shared" si="187"/>
        <v>JULY-1-CNJ2</v>
      </c>
      <c r="M914" s="73">
        <f t="shared" si="188"/>
        <v>0</v>
      </c>
      <c r="N914" s="73">
        <f t="shared" si="189"/>
        <v>-0.3426865724985968</v>
      </c>
      <c r="O914" s="13">
        <f t="shared" si="190"/>
        <v>961485</v>
      </c>
      <c r="P914" s="13">
        <f t="shared" si="191"/>
        <v>962175</v>
      </c>
      <c r="Q914" s="13">
        <f t="shared" si="192"/>
        <v>953140</v>
      </c>
      <c r="R914" s="33">
        <f t="shared" si="193"/>
        <v>-8.679282568110791E-3</v>
      </c>
      <c r="S914" s="33">
        <f t="shared" si="194"/>
        <v>-9.3901836983916187E-3</v>
      </c>
    </row>
    <row r="915" spans="1:19" x14ac:dyDescent="0.25">
      <c r="A915" t="s">
        <v>41</v>
      </c>
      <c r="B915" s="65">
        <v>1</v>
      </c>
      <c r="C915" t="s">
        <v>10</v>
      </c>
      <c r="D915" s="67">
        <v>1270</v>
      </c>
      <c r="E915" s="67">
        <v>1304</v>
      </c>
      <c r="F915" s="67">
        <v>1270</v>
      </c>
      <c r="G915" s="13">
        <f t="shared" si="182"/>
        <v>-34</v>
      </c>
      <c r="H915" s="13">
        <f t="shared" si="183"/>
        <v>0</v>
      </c>
      <c r="I915" s="73">
        <f t="shared" si="184"/>
        <v>0</v>
      </c>
      <c r="J915" s="73">
        <f t="shared" si="185"/>
        <v>-2.6073619631901801E-2</v>
      </c>
      <c r="K915" s="72" t="str">
        <f t="shared" si="186"/>
        <v>CNJ2</v>
      </c>
      <c r="L915" s="72" t="str">
        <f t="shared" si="187"/>
        <v>JULY-1-CNJ2</v>
      </c>
      <c r="M915" s="73">
        <f t="shared" si="188"/>
        <v>0</v>
      </c>
      <c r="N915" s="73">
        <f t="shared" si="189"/>
        <v>-0.3426865724985968</v>
      </c>
      <c r="O915" s="13">
        <f t="shared" si="190"/>
        <v>961485</v>
      </c>
      <c r="P915" s="13">
        <f t="shared" si="191"/>
        <v>962175</v>
      </c>
      <c r="Q915" s="13">
        <f t="shared" si="192"/>
        <v>953140</v>
      </c>
      <c r="R915" s="33">
        <f t="shared" si="193"/>
        <v>-8.679282568110791E-3</v>
      </c>
      <c r="S915" s="33">
        <f t="shared" si="194"/>
        <v>-9.3901836983916187E-3</v>
      </c>
    </row>
    <row r="916" spans="1:19" x14ac:dyDescent="0.25">
      <c r="A916" t="s">
        <v>41</v>
      </c>
      <c r="B916" s="65">
        <v>1</v>
      </c>
      <c r="C916" t="s">
        <v>10</v>
      </c>
      <c r="D916" s="67">
        <v>250</v>
      </c>
      <c r="E916" s="67">
        <v>255</v>
      </c>
      <c r="F916" s="67">
        <v>250</v>
      </c>
      <c r="G916" s="13">
        <f t="shared" si="182"/>
        <v>-5</v>
      </c>
      <c r="H916" s="13">
        <f t="shared" si="183"/>
        <v>0</v>
      </c>
      <c r="I916" s="73">
        <f t="shared" si="184"/>
        <v>0</v>
      </c>
      <c r="J916" s="73">
        <f t="shared" si="185"/>
        <v>-1.9607843137254943E-2</v>
      </c>
      <c r="K916" s="72" t="str">
        <f t="shared" si="186"/>
        <v>CNJ2</v>
      </c>
      <c r="L916" s="72" t="str">
        <f t="shared" si="187"/>
        <v>JULY-1-CNJ2</v>
      </c>
      <c r="M916" s="73">
        <f t="shared" si="188"/>
        <v>0</v>
      </c>
      <c r="N916" s="73">
        <f t="shared" si="189"/>
        <v>-0.3426865724985968</v>
      </c>
      <c r="O916" s="13">
        <f t="shared" si="190"/>
        <v>961485</v>
      </c>
      <c r="P916" s="13">
        <f t="shared" si="191"/>
        <v>962175</v>
      </c>
      <c r="Q916" s="13">
        <f t="shared" si="192"/>
        <v>953140</v>
      </c>
      <c r="R916" s="33">
        <f t="shared" si="193"/>
        <v>-8.679282568110791E-3</v>
      </c>
      <c r="S916" s="33">
        <f t="shared" si="194"/>
        <v>-9.3901836983916187E-3</v>
      </c>
    </row>
    <row r="917" spans="1:19" x14ac:dyDescent="0.25">
      <c r="A917" t="s">
        <v>41</v>
      </c>
      <c r="B917" s="65">
        <v>1</v>
      </c>
      <c r="C917" t="s">
        <v>10</v>
      </c>
      <c r="D917" s="67">
        <v>2640</v>
      </c>
      <c r="E917" s="67">
        <v>2666</v>
      </c>
      <c r="F917" s="67">
        <v>2640</v>
      </c>
      <c r="G917" s="13">
        <f t="shared" si="182"/>
        <v>-26</v>
      </c>
      <c r="H917" s="13">
        <f t="shared" si="183"/>
        <v>0</v>
      </c>
      <c r="I917" s="73">
        <f t="shared" si="184"/>
        <v>0</v>
      </c>
      <c r="J917" s="73">
        <f t="shared" si="185"/>
        <v>-9.7524381095274171E-3</v>
      </c>
      <c r="K917" s="72" t="str">
        <f t="shared" si="186"/>
        <v>CNJ2</v>
      </c>
      <c r="L917" s="72" t="str">
        <f t="shared" si="187"/>
        <v>JULY-1-CNJ2</v>
      </c>
      <c r="M917" s="73">
        <f t="shared" si="188"/>
        <v>0</v>
      </c>
      <c r="N917" s="73">
        <f t="shared" si="189"/>
        <v>-0.3426865724985968</v>
      </c>
      <c r="O917" s="13">
        <f t="shared" si="190"/>
        <v>961485</v>
      </c>
      <c r="P917" s="13">
        <f t="shared" si="191"/>
        <v>962175</v>
      </c>
      <c r="Q917" s="13">
        <f t="shared" si="192"/>
        <v>953140</v>
      </c>
      <c r="R917" s="33">
        <f t="shared" si="193"/>
        <v>-8.679282568110791E-3</v>
      </c>
      <c r="S917" s="33">
        <f t="shared" si="194"/>
        <v>-9.3901836983916187E-3</v>
      </c>
    </row>
    <row r="918" spans="1:19" x14ac:dyDescent="0.25">
      <c r="A918" t="s">
        <v>41</v>
      </c>
      <c r="B918" s="65">
        <v>1</v>
      </c>
      <c r="C918" t="s">
        <v>10</v>
      </c>
      <c r="D918" s="67">
        <v>620</v>
      </c>
      <c r="E918" s="67">
        <v>644</v>
      </c>
      <c r="F918" s="67">
        <v>620</v>
      </c>
      <c r="G918" s="13">
        <f t="shared" si="182"/>
        <v>-24</v>
      </c>
      <c r="H918" s="13">
        <f t="shared" si="183"/>
        <v>0</v>
      </c>
      <c r="I918" s="73">
        <f t="shared" si="184"/>
        <v>0</v>
      </c>
      <c r="J918" s="73">
        <f t="shared" si="185"/>
        <v>-3.7267080745341574E-2</v>
      </c>
      <c r="K918" s="72" t="str">
        <f t="shared" si="186"/>
        <v>CNJ2</v>
      </c>
      <c r="L918" s="72" t="str">
        <f t="shared" si="187"/>
        <v>JULY-1-CNJ2</v>
      </c>
      <c r="M918" s="73">
        <f t="shared" si="188"/>
        <v>0</v>
      </c>
      <c r="N918" s="73">
        <f t="shared" si="189"/>
        <v>-0.3426865724985968</v>
      </c>
      <c r="O918" s="13">
        <f t="shared" si="190"/>
        <v>961485</v>
      </c>
      <c r="P918" s="13">
        <f t="shared" si="191"/>
        <v>962175</v>
      </c>
      <c r="Q918" s="13">
        <f t="shared" si="192"/>
        <v>953140</v>
      </c>
      <c r="R918" s="33">
        <f t="shared" si="193"/>
        <v>-8.679282568110791E-3</v>
      </c>
      <c r="S918" s="33">
        <f t="shared" si="194"/>
        <v>-9.3901836983916187E-3</v>
      </c>
    </row>
    <row r="919" spans="1:19" x14ac:dyDescent="0.25">
      <c r="A919" t="s">
        <v>41</v>
      </c>
      <c r="B919" s="65">
        <v>1</v>
      </c>
      <c r="C919" t="s">
        <v>10</v>
      </c>
      <c r="D919" s="67">
        <v>3730</v>
      </c>
      <c r="E919" s="67">
        <v>3773</v>
      </c>
      <c r="F919" s="67">
        <v>3730</v>
      </c>
      <c r="G919" s="13">
        <f t="shared" si="182"/>
        <v>-43</v>
      </c>
      <c r="H919" s="13">
        <f t="shared" si="183"/>
        <v>0</v>
      </c>
      <c r="I919" s="73">
        <f t="shared" si="184"/>
        <v>0</v>
      </c>
      <c r="J919" s="73">
        <f t="shared" si="185"/>
        <v>-1.1396766498807276E-2</v>
      </c>
      <c r="K919" s="72" t="str">
        <f t="shared" si="186"/>
        <v>CNJ2</v>
      </c>
      <c r="L919" s="72" t="str">
        <f t="shared" si="187"/>
        <v>JULY-1-CNJ2</v>
      </c>
      <c r="M919" s="73">
        <f t="shared" si="188"/>
        <v>0</v>
      </c>
      <c r="N919" s="73">
        <f t="shared" si="189"/>
        <v>-0.3426865724985968</v>
      </c>
      <c r="O919" s="13">
        <f t="shared" si="190"/>
        <v>961485</v>
      </c>
      <c r="P919" s="13">
        <f t="shared" si="191"/>
        <v>962175</v>
      </c>
      <c r="Q919" s="13">
        <f t="shared" si="192"/>
        <v>953140</v>
      </c>
      <c r="R919" s="33">
        <f t="shared" si="193"/>
        <v>-8.679282568110791E-3</v>
      </c>
      <c r="S919" s="33">
        <f t="shared" si="194"/>
        <v>-9.3901836983916187E-3</v>
      </c>
    </row>
    <row r="920" spans="1:19" x14ac:dyDescent="0.25">
      <c r="A920" t="s">
        <v>41</v>
      </c>
      <c r="B920" s="65">
        <v>1</v>
      </c>
      <c r="C920" t="s">
        <v>10</v>
      </c>
      <c r="D920" s="67">
        <v>15</v>
      </c>
      <c r="E920" s="67">
        <v>15</v>
      </c>
      <c r="F920" s="67">
        <v>15</v>
      </c>
      <c r="G920" s="13">
        <f t="shared" si="182"/>
        <v>0</v>
      </c>
      <c r="H920" s="13">
        <f t="shared" si="183"/>
        <v>0</v>
      </c>
      <c r="I920" s="73">
        <f t="shared" si="184"/>
        <v>0</v>
      </c>
      <c r="J920" s="73">
        <f t="shared" si="185"/>
        <v>0</v>
      </c>
      <c r="K920" s="72" t="str">
        <f t="shared" si="186"/>
        <v>CNJ2</v>
      </c>
      <c r="L920" s="72" t="str">
        <f t="shared" si="187"/>
        <v>JULY-1-CNJ2</v>
      </c>
      <c r="M920" s="73">
        <f t="shared" si="188"/>
        <v>0</v>
      </c>
      <c r="N920" s="73">
        <f t="shared" si="189"/>
        <v>-0.3426865724985968</v>
      </c>
      <c r="O920" s="13">
        <f t="shared" si="190"/>
        <v>961485</v>
      </c>
      <c r="P920" s="13">
        <f t="shared" si="191"/>
        <v>962175</v>
      </c>
      <c r="Q920" s="13">
        <f t="shared" si="192"/>
        <v>953140</v>
      </c>
      <c r="R920" s="33">
        <f t="shared" si="193"/>
        <v>-8.679282568110791E-3</v>
      </c>
      <c r="S920" s="33">
        <f t="shared" si="194"/>
        <v>-9.3901836983916187E-3</v>
      </c>
    </row>
    <row r="921" spans="1:19" x14ac:dyDescent="0.25">
      <c r="A921" t="s">
        <v>41</v>
      </c>
      <c r="B921" s="65">
        <v>1</v>
      </c>
      <c r="C921" t="s">
        <v>11</v>
      </c>
      <c r="D921" s="67">
        <v>180</v>
      </c>
      <c r="E921" s="67">
        <v>181</v>
      </c>
      <c r="F921" s="67">
        <v>180</v>
      </c>
      <c r="G921" s="13">
        <f t="shared" si="182"/>
        <v>-1</v>
      </c>
      <c r="H921" s="13">
        <f t="shared" si="183"/>
        <v>0</v>
      </c>
      <c r="I921" s="73">
        <f t="shared" si="184"/>
        <v>0</v>
      </c>
      <c r="J921" s="73">
        <f t="shared" si="185"/>
        <v>-5.5248618784530246E-3</v>
      </c>
      <c r="K921" s="72" t="str">
        <f t="shared" si="186"/>
        <v>MAJA1</v>
      </c>
      <c r="L921" s="72" t="str">
        <f t="shared" si="187"/>
        <v>JULY-1-MAJA1</v>
      </c>
      <c r="M921" s="73">
        <f t="shared" si="188"/>
        <v>-0.26058357970999091</v>
      </c>
      <c r="N921" s="73">
        <f t="shared" si="189"/>
        <v>-0.28514631014536751</v>
      </c>
      <c r="O921" s="13">
        <f t="shared" si="190"/>
        <v>961485</v>
      </c>
      <c r="P921" s="13">
        <f t="shared" si="191"/>
        <v>962175</v>
      </c>
      <c r="Q921" s="13">
        <f t="shared" si="192"/>
        <v>953140</v>
      </c>
      <c r="R921" s="33">
        <f t="shared" si="193"/>
        <v>-8.679282568110791E-3</v>
      </c>
      <c r="S921" s="33">
        <f t="shared" si="194"/>
        <v>-9.3901836983916187E-3</v>
      </c>
    </row>
    <row r="922" spans="1:19" x14ac:dyDescent="0.25">
      <c r="A922" t="s">
        <v>41</v>
      </c>
      <c r="B922" s="65">
        <v>1</v>
      </c>
      <c r="C922" t="s">
        <v>11</v>
      </c>
      <c r="D922" s="67">
        <v>35</v>
      </c>
      <c r="E922" s="67">
        <v>35</v>
      </c>
      <c r="F922" s="67">
        <v>35</v>
      </c>
      <c r="G922" s="13">
        <f t="shared" si="182"/>
        <v>0</v>
      </c>
      <c r="H922" s="13">
        <f t="shared" si="183"/>
        <v>0</v>
      </c>
      <c r="I922" s="73">
        <f t="shared" si="184"/>
        <v>0</v>
      </c>
      <c r="J922" s="73">
        <f t="shared" si="185"/>
        <v>0</v>
      </c>
      <c r="K922" s="72" t="str">
        <f t="shared" si="186"/>
        <v>MAJA1</v>
      </c>
      <c r="L922" s="72" t="str">
        <f t="shared" si="187"/>
        <v>JULY-1-MAJA1</v>
      </c>
      <c r="M922" s="73">
        <f t="shared" si="188"/>
        <v>-0.26058357970999091</v>
      </c>
      <c r="N922" s="73">
        <f t="shared" si="189"/>
        <v>-0.28514631014536751</v>
      </c>
      <c r="O922" s="13">
        <f t="shared" si="190"/>
        <v>961485</v>
      </c>
      <c r="P922" s="13">
        <f t="shared" si="191"/>
        <v>962175</v>
      </c>
      <c r="Q922" s="13">
        <f t="shared" si="192"/>
        <v>953140</v>
      </c>
      <c r="R922" s="33">
        <f t="shared" si="193"/>
        <v>-8.679282568110791E-3</v>
      </c>
      <c r="S922" s="33">
        <f t="shared" si="194"/>
        <v>-9.3901836983916187E-3</v>
      </c>
    </row>
    <row r="923" spans="1:19" x14ac:dyDescent="0.25">
      <c r="A923" t="s">
        <v>41</v>
      </c>
      <c r="B923" s="65">
        <v>2</v>
      </c>
      <c r="C923" t="s">
        <v>15</v>
      </c>
      <c r="D923" s="69">
        <v>6995</v>
      </c>
      <c r="E923" s="68">
        <v>7144</v>
      </c>
      <c r="F923" s="67">
        <v>6865</v>
      </c>
      <c r="G923" s="13">
        <f t="shared" si="182"/>
        <v>-279</v>
      </c>
      <c r="H923" s="13">
        <f t="shared" si="183"/>
        <v>-130</v>
      </c>
      <c r="I923" s="73">
        <f t="shared" si="184"/>
        <v>-1.8584703359542543E-2</v>
      </c>
      <c r="J923" s="73">
        <f t="shared" si="185"/>
        <v>-3.9053751399776071E-2</v>
      </c>
      <c r="K923" s="72" t="str">
        <f t="shared" si="186"/>
        <v>CHAWAN</v>
      </c>
      <c r="L923" s="72" t="str">
        <f t="shared" si="187"/>
        <v>JULY-2-CHAWAN</v>
      </c>
      <c r="M923" s="73">
        <f t="shared" si="188"/>
        <v>-1.8584703359542543E-2</v>
      </c>
      <c r="N923" s="73">
        <f t="shared" si="189"/>
        <v>-3.9053751399776071E-2</v>
      </c>
      <c r="O923" s="13">
        <f t="shared" si="190"/>
        <v>961485</v>
      </c>
      <c r="P923" s="13">
        <f t="shared" si="191"/>
        <v>962175</v>
      </c>
      <c r="Q923" s="13">
        <f t="shared" si="192"/>
        <v>953140</v>
      </c>
      <c r="R923" s="33">
        <f t="shared" si="193"/>
        <v>-8.679282568110791E-3</v>
      </c>
      <c r="S923" s="33">
        <f t="shared" si="194"/>
        <v>-9.3901836983916187E-3</v>
      </c>
    </row>
    <row r="924" spans="1:19" x14ac:dyDescent="0.25">
      <c r="A924" t="s">
        <v>41</v>
      </c>
      <c r="B924" s="65">
        <v>2</v>
      </c>
      <c r="C924" t="s">
        <v>16</v>
      </c>
      <c r="D924" s="68">
        <v>1600</v>
      </c>
      <c r="E924" s="68">
        <v>1560</v>
      </c>
      <c r="F924" s="67">
        <v>1504</v>
      </c>
      <c r="G924" s="13">
        <f t="shared" si="182"/>
        <v>-56</v>
      </c>
      <c r="H924" s="13">
        <f t="shared" si="183"/>
        <v>-96</v>
      </c>
      <c r="I924" s="73">
        <f t="shared" si="184"/>
        <v>-6.0000000000000053E-2</v>
      </c>
      <c r="J924" s="73">
        <f t="shared" si="185"/>
        <v>-3.5897435897435881E-2</v>
      </c>
      <c r="K924" s="72" t="str">
        <f t="shared" si="186"/>
        <v>ANUGERAH</v>
      </c>
      <c r="L924" s="72" t="str">
        <f t="shared" si="187"/>
        <v>JULY-2-ANUGERAH</v>
      </c>
      <c r="M924" s="73">
        <f t="shared" si="188"/>
        <v>-0.25791666666666679</v>
      </c>
      <c r="N924" s="73">
        <f t="shared" si="189"/>
        <v>-0.25721674943839379</v>
      </c>
      <c r="O924" s="13">
        <f t="shared" si="190"/>
        <v>961485</v>
      </c>
      <c r="P924" s="13">
        <f t="shared" si="191"/>
        <v>962175</v>
      </c>
      <c r="Q924" s="13">
        <f t="shared" si="192"/>
        <v>953140</v>
      </c>
      <c r="R924" s="33">
        <f t="shared" si="193"/>
        <v>-8.679282568110791E-3</v>
      </c>
      <c r="S924" s="33">
        <f t="shared" si="194"/>
        <v>-9.3901836983916187E-3</v>
      </c>
    </row>
    <row r="925" spans="1:19" x14ac:dyDescent="0.25">
      <c r="A925" t="s">
        <v>41</v>
      </c>
      <c r="B925" s="65">
        <v>2</v>
      </c>
      <c r="C925" t="s">
        <v>16</v>
      </c>
      <c r="D925" s="68">
        <v>800</v>
      </c>
      <c r="E925" s="68">
        <v>800</v>
      </c>
      <c r="F925" s="67">
        <v>796</v>
      </c>
      <c r="G925" s="13">
        <f t="shared" si="182"/>
        <v>-4</v>
      </c>
      <c r="H925" s="13">
        <f t="shared" si="183"/>
        <v>-4</v>
      </c>
      <c r="I925" s="73">
        <f t="shared" si="184"/>
        <v>-5.0000000000000044E-3</v>
      </c>
      <c r="J925" s="73">
        <f t="shared" si="185"/>
        <v>-5.0000000000000044E-3</v>
      </c>
      <c r="K925" s="72" t="str">
        <f t="shared" si="186"/>
        <v>ANUGERAH</v>
      </c>
      <c r="L925" s="72" t="str">
        <f t="shared" si="187"/>
        <v>JULY-2-ANUGERAH</v>
      </c>
      <c r="M925" s="73">
        <f t="shared" si="188"/>
        <v>-0.25791666666666679</v>
      </c>
      <c r="N925" s="73">
        <f t="shared" si="189"/>
        <v>-0.25721674943839379</v>
      </c>
      <c r="O925" s="13">
        <f t="shared" si="190"/>
        <v>961485</v>
      </c>
      <c r="P925" s="13">
        <f t="shared" si="191"/>
        <v>962175</v>
      </c>
      <c r="Q925" s="13">
        <f t="shared" si="192"/>
        <v>953140</v>
      </c>
      <c r="R925" s="33">
        <f t="shared" si="193"/>
        <v>-8.679282568110791E-3</v>
      </c>
      <c r="S925" s="33">
        <f t="shared" si="194"/>
        <v>-9.3901836983916187E-3</v>
      </c>
    </row>
    <row r="926" spans="1:19" x14ac:dyDescent="0.25">
      <c r="A926" t="s">
        <v>41</v>
      </c>
      <c r="B926" s="65">
        <v>2</v>
      </c>
      <c r="C926" t="s">
        <v>16</v>
      </c>
      <c r="D926" s="68">
        <v>1600</v>
      </c>
      <c r="E926" s="68">
        <v>1600</v>
      </c>
      <c r="F926" s="67">
        <v>1558</v>
      </c>
      <c r="G926" s="13">
        <f t="shared" si="182"/>
        <v>-42</v>
      </c>
      <c r="H926" s="13">
        <f t="shared" si="183"/>
        <v>-42</v>
      </c>
      <c r="I926" s="73">
        <f t="shared" si="184"/>
        <v>-2.6249999999999996E-2</v>
      </c>
      <c r="J926" s="73">
        <f t="shared" si="185"/>
        <v>-2.6249999999999996E-2</v>
      </c>
      <c r="K926" s="72" t="str">
        <f t="shared" si="186"/>
        <v>ANUGERAH</v>
      </c>
      <c r="L926" s="72" t="str">
        <f t="shared" si="187"/>
        <v>JULY-2-ANUGERAH</v>
      </c>
      <c r="M926" s="73">
        <f t="shared" si="188"/>
        <v>-0.25791666666666679</v>
      </c>
      <c r="N926" s="73">
        <f t="shared" si="189"/>
        <v>-0.25721674943839379</v>
      </c>
      <c r="O926" s="13">
        <f t="shared" si="190"/>
        <v>961485</v>
      </c>
      <c r="P926" s="13">
        <f t="shared" si="191"/>
        <v>962175</v>
      </c>
      <c r="Q926" s="13">
        <f t="shared" si="192"/>
        <v>953140</v>
      </c>
      <c r="R926" s="33">
        <f t="shared" si="193"/>
        <v>-8.679282568110791E-3</v>
      </c>
      <c r="S926" s="33">
        <f t="shared" si="194"/>
        <v>-9.3901836983916187E-3</v>
      </c>
    </row>
    <row r="927" spans="1:19" x14ac:dyDescent="0.25">
      <c r="A927" t="s">
        <v>41</v>
      </c>
      <c r="B927" s="65">
        <v>2</v>
      </c>
      <c r="C927" t="s">
        <v>16</v>
      </c>
      <c r="D927" s="68">
        <v>3000</v>
      </c>
      <c r="E927" s="68">
        <v>3093</v>
      </c>
      <c r="F927" s="67">
        <v>2970</v>
      </c>
      <c r="G927" s="13">
        <f t="shared" si="182"/>
        <v>-123</v>
      </c>
      <c r="H927" s="13">
        <f t="shared" si="183"/>
        <v>-30</v>
      </c>
      <c r="I927" s="73">
        <f t="shared" si="184"/>
        <v>-1.0000000000000009E-2</v>
      </c>
      <c r="J927" s="73">
        <f t="shared" si="185"/>
        <v>-3.9767216294859353E-2</v>
      </c>
      <c r="K927" s="72" t="str">
        <f t="shared" si="186"/>
        <v>ANUGERAH</v>
      </c>
      <c r="L927" s="72" t="str">
        <f t="shared" si="187"/>
        <v>JULY-2-ANUGERAH</v>
      </c>
      <c r="M927" s="73">
        <f t="shared" si="188"/>
        <v>-0.25791666666666679</v>
      </c>
      <c r="N927" s="73">
        <f t="shared" si="189"/>
        <v>-0.25721674943839379</v>
      </c>
      <c r="O927" s="13">
        <f t="shared" si="190"/>
        <v>961485</v>
      </c>
      <c r="P927" s="13">
        <f t="shared" si="191"/>
        <v>962175</v>
      </c>
      <c r="Q927" s="13">
        <f t="shared" si="192"/>
        <v>953140</v>
      </c>
      <c r="R927" s="33">
        <f t="shared" si="193"/>
        <v>-8.679282568110791E-3</v>
      </c>
      <c r="S927" s="33">
        <f t="shared" si="194"/>
        <v>-9.3901836983916187E-3</v>
      </c>
    </row>
    <row r="928" spans="1:19" x14ac:dyDescent="0.25">
      <c r="A928" t="s">
        <v>41</v>
      </c>
      <c r="B928" s="65">
        <v>2</v>
      </c>
      <c r="C928" t="s">
        <v>16</v>
      </c>
      <c r="D928" s="68">
        <v>3600</v>
      </c>
      <c r="E928" s="68">
        <v>3589</v>
      </c>
      <c r="F928" s="67">
        <v>3513</v>
      </c>
      <c r="G928" s="13">
        <f t="shared" si="182"/>
        <v>-76</v>
      </c>
      <c r="H928" s="13">
        <f t="shared" si="183"/>
        <v>-87</v>
      </c>
      <c r="I928" s="73">
        <f t="shared" si="184"/>
        <v>-2.416666666666667E-2</v>
      </c>
      <c r="J928" s="73">
        <f t="shared" si="185"/>
        <v>-2.117581499024801E-2</v>
      </c>
      <c r="K928" s="72" t="str">
        <f t="shared" si="186"/>
        <v>ANUGERAH</v>
      </c>
      <c r="L928" s="72" t="str">
        <f t="shared" si="187"/>
        <v>JULY-2-ANUGERAH</v>
      </c>
      <c r="M928" s="73">
        <f t="shared" si="188"/>
        <v>-0.25791666666666679</v>
      </c>
      <c r="N928" s="73">
        <f t="shared" si="189"/>
        <v>-0.25721674943839379</v>
      </c>
      <c r="O928" s="13">
        <f t="shared" si="190"/>
        <v>961485</v>
      </c>
      <c r="P928" s="13">
        <f t="shared" si="191"/>
        <v>962175</v>
      </c>
      <c r="Q928" s="13">
        <f t="shared" si="192"/>
        <v>953140</v>
      </c>
      <c r="R928" s="33">
        <f t="shared" si="193"/>
        <v>-8.679282568110791E-3</v>
      </c>
      <c r="S928" s="33">
        <f t="shared" si="194"/>
        <v>-9.3901836983916187E-3</v>
      </c>
    </row>
    <row r="929" spans="1:19" x14ac:dyDescent="0.25">
      <c r="A929" t="s">
        <v>41</v>
      </c>
      <c r="B929" s="65">
        <v>2</v>
      </c>
      <c r="C929" t="s">
        <v>16</v>
      </c>
      <c r="D929" s="68">
        <v>3600</v>
      </c>
      <c r="E929" s="68">
        <v>3548</v>
      </c>
      <c r="F929" s="67">
        <v>3411</v>
      </c>
      <c r="G929" s="13">
        <f t="shared" si="182"/>
        <v>-137</v>
      </c>
      <c r="H929" s="13">
        <f t="shared" si="183"/>
        <v>-189</v>
      </c>
      <c r="I929" s="73">
        <f t="shared" si="184"/>
        <v>-5.2499999999999991E-2</v>
      </c>
      <c r="J929" s="73">
        <f t="shared" si="185"/>
        <v>-3.8613303269447563E-2</v>
      </c>
      <c r="K929" s="72" t="str">
        <f t="shared" si="186"/>
        <v>ANUGERAH</v>
      </c>
      <c r="L929" s="72" t="str">
        <f t="shared" si="187"/>
        <v>JULY-2-ANUGERAH</v>
      </c>
      <c r="M929" s="73">
        <f t="shared" si="188"/>
        <v>-0.25791666666666679</v>
      </c>
      <c r="N929" s="73">
        <f t="shared" si="189"/>
        <v>-0.25721674943839379</v>
      </c>
      <c r="O929" s="13">
        <f t="shared" si="190"/>
        <v>961485</v>
      </c>
      <c r="P929" s="13">
        <f t="shared" si="191"/>
        <v>962175</v>
      </c>
      <c r="Q929" s="13">
        <f t="shared" si="192"/>
        <v>953140</v>
      </c>
      <c r="R929" s="33">
        <f t="shared" si="193"/>
        <v>-8.679282568110791E-3</v>
      </c>
      <c r="S929" s="33">
        <f t="shared" si="194"/>
        <v>-9.3901836983916187E-3</v>
      </c>
    </row>
    <row r="930" spans="1:19" x14ac:dyDescent="0.25">
      <c r="A930" t="s">
        <v>41</v>
      </c>
      <c r="B930" s="65">
        <v>2</v>
      </c>
      <c r="C930" t="s">
        <v>16</v>
      </c>
      <c r="D930" s="68">
        <v>3000</v>
      </c>
      <c r="E930" s="68">
        <v>3000</v>
      </c>
      <c r="F930" s="67">
        <v>2925</v>
      </c>
      <c r="G930" s="13">
        <f t="shared" si="182"/>
        <v>-75</v>
      </c>
      <c r="H930" s="13">
        <f t="shared" si="183"/>
        <v>-75</v>
      </c>
      <c r="I930" s="73">
        <f t="shared" si="184"/>
        <v>-2.5000000000000022E-2</v>
      </c>
      <c r="J930" s="73">
        <f t="shared" si="185"/>
        <v>-2.5000000000000022E-2</v>
      </c>
      <c r="K930" s="72" t="str">
        <f t="shared" si="186"/>
        <v>ANUGERAH</v>
      </c>
      <c r="L930" s="72" t="str">
        <f t="shared" si="187"/>
        <v>JULY-2-ANUGERAH</v>
      </c>
      <c r="M930" s="73">
        <f t="shared" si="188"/>
        <v>-0.25791666666666679</v>
      </c>
      <c r="N930" s="73">
        <f t="shared" si="189"/>
        <v>-0.25721674943839379</v>
      </c>
      <c r="O930" s="13">
        <f t="shared" si="190"/>
        <v>961485</v>
      </c>
      <c r="P930" s="13">
        <f t="shared" si="191"/>
        <v>962175</v>
      </c>
      <c r="Q930" s="13">
        <f t="shared" si="192"/>
        <v>953140</v>
      </c>
      <c r="R930" s="33">
        <f t="shared" si="193"/>
        <v>-8.679282568110791E-3</v>
      </c>
      <c r="S930" s="33">
        <f t="shared" si="194"/>
        <v>-9.3901836983916187E-3</v>
      </c>
    </row>
    <row r="931" spans="1:19" x14ac:dyDescent="0.25">
      <c r="A931" t="s">
        <v>41</v>
      </c>
      <c r="B931" s="65">
        <v>2</v>
      </c>
      <c r="C931" t="s">
        <v>16</v>
      </c>
      <c r="D931" s="68">
        <v>2400</v>
      </c>
      <c r="E931" s="68">
        <v>2427</v>
      </c>
      <c r="F931" s="67">
        <v>2268</v>
      </c>
      <c r="G931" s="13">
        <f t="shared" si="182"/>
        <v>-159</v>
      </c>
      <c r="H931" s="13">
        <f t="shared" si="183"/>
        <v>-132</v>
      </c>
      <c r="I931" s="73">
        <f t="shared" si="184"/>
        <v>-5.5000000000000049E-2</v>
      </c>
      <c r="J931" s="73">
        <f t="shared" si="185"/>
        <v>-6.5512978986402959E-2</v>
      </c>
      <c r="K931" s="72" t="str">
        <f t="shared" si="186"/>
        <v>ANUGERAH</v>
      </c>
      <c r="L931" s="72" t="str">
        <f t="shared" si="187"/>
        <v>JULY-2-ANUGERAH</v>
      </c>
      <c r="M931" s="73">
        <f t="shared" si="188"/>
        <v>-0.25791666666666679</v>
      </c>
      <c r="N931" s="73">
        <f t="shared" si="189"/>
        <v>-0.25721674943839379</v>
      </c>
      <c r="O931" s="13">
        <f t="shared" si="190"/>
        <v>961485</v>
      </c>
      <c r="P931" s="13">
        <f t="shared" si="191"/>
        <v>962175</v>
      </c>
      <c r="Q931" s="13">
        <f t="shared" si="192"/>
        <v>953140</v>
      </c>
      <c r="R931" s="33">
        <f t="shared" si="193"/>
        <v>-8.679282568110791E-3</v>
      </c>
      <c r="S931" s="33">
        <f t="shared" si="194"/>
        <v>-9.3901836983916187E-3</v>
      </c>
    </row>
    <row r="932" spans="1:19" x14ac:dyDescent="0.25">
      <c r="A932" t="s">
        <v>41</v>
      </c>
      <c r="B932" s="65">
        <v>2</v>
      </c>
      <c r="C932" t="s">
        <v>14</v>
      </c>
      <c r="D932">
        <v>20736</v>
      </c>
      <c r="E932" s="68">
        <v>20745</v>
      </c>
      <c r="F932" s="67">
        <v>20604</v>
      </c>
      <c r="G932" s="13">
        <f t="shared" si="182"/>
        <v>-141</v>
      </c>
      <c r="H932" s="13">
        <f t="shared" si="183"/>
        <v>-132</v>
      </c>
      <c r="I932" s="73">
        <f t="shared" si="184"/>
        <v>-6.3657407407406996E-3</v>
      </c>
      <c r="J932" s="73">
        <f t="shared" si="185"/>
        <v>-6.7968185104844148E-3</v>
      </c>
      <c r="K932" s="72" t="str">
        <f t="shared" si="186"/>
        <v>GM2</v>
      </c>
      <c r="L932" s="72" t="str">
        <f t="shared" si="187"/>
        <v>JULY-2-GM2</v>
      </c>
      <c r="M932" s="73">
        <f t="shared" si="188"/>
        <v>-0.16023365441103821</v>
      </c>
      <c r="N932" s="73">
        <f t="shared" si="189"/>
        <v>-8.6969151276770185E-2</v>
      </c>
      <c r="O932" s="13">
        <f t="shared" si="190"/>
        <v>961485</v>
      </c>
      <c r="P932" s="13">
        <f t="shared" si="191"/>
        <v>962175</v>
      </c>
      <c r="Q932" s="13">
        <f t="shared" si="192"/>
        <v>953140</v>
      </c>
      <c r="R932" s="33">
        <f t="shared" si="193"/>
        <v>-8.679282568110791E-3</v>
      </c>
      <c r="S932" s="33">
        <f t="shared" si="194"/>
        <v>-9.3901836983916187E-3</v>
      </c>
    </row>
    <row r="933" spans="1:19" x14ac:dyDescent="0.25">
      <c r="A933" t="s">
        <v>41</v>
      </c>
      <c r="B933" s="65">
        <v>2</v>
      </c>
      <c r="C933" t="s">
        <v>14</v>
      </c>
      <c r="D933">
        <v>5076</v>
      </c>
      <c r="E933" s="68">
        <v>5076</v>
      </c>
      <c r="F933" s="67">
        <v>5076</v>
      </c>
      <c r="G933" s="13">
        <f t="shared" si="182"/>
        <v>0</v>
      </c>
      <c r="H933" s="13">
        <f t="shared" si="183"/>
        <v>0</v>
      </c>
      <c r="I933" s="73">
        <f t="shared" si="184"/>
        <v>0</v>
      </c>
      <c r="J933" s="73">
        <f t="shared" si="185"/>
        <v>0</v>
      </c>
      <c r="K933" s="72" t="str">
        <f t="shared" si="186"/>
        <v>GM2</v>
      </c>
      <c r="L933" s="72" t="str">
        <f t="shared" si="187"/>
        <v>JULY-2-GM2</v>
      </c>
      <c r="M933" s="73">
        <f t="shared" si="188"/>
        <v>-0.16023365441103821</v>
      </c>
      <c r="N933" s="73">
        <f t="shared" si="189"/>
        <v>-8.6969151276770185E-2</v>
      </c>
      <c r="O933" s="13">
        <f t="shared" si="190"/>
        <v>961485</v>
      </c>
      <c r="P933" s="13">
        <f t="shared" si="191"/>
        <v>962175</v>
      </c>
      <c r="Q933" s="13">
        <f t="shared" si="192"/>
        <v>953140</v>
      </c>
      <c r="R933" s="33">
        <f t="shared" si="193"/>
        <v>-8.679282568110791E-3</v>
      </c>
      <c r="S933" s="33">
        <f t="shared" si="194"/>
        <v>-9.3901836983916187E-3</v>
      </c>
    </row>
    <row r="934" spans="1:19" x14ac:dyDescent="0.25">
      <c r="A934" t="s">
        <v>41</v>
      </c>
      <c r="B934" s="65">
        <v>2</v>
      </c>
      <c r="C934" t="s">
        <v>14</v>
      </c>
      <c r="D934">
        <v>648</v>
      </c>
      <c r="E934" s="68">
        <v>648</v>
      </c>
      <c r="F934" s="67">
        <v>648</v>
      </c>
      <c r="G934" s="13">
        <f t="shared" si="182"/>
        <v>0</v>
      </c>
      <c r="H934" s="13">
        <f t="shared" si="183"/>
        <v>0</v>
      </c>
      <c r="I934" s="73">
        <f t="shared" si="184"/>
        <v>0</v>
      </c>
      <c r="J934" s="73">
        <f t="shared" si="185"/>
        <v>0</v>
      </c>
      <c r="K934" s="72" t="str">
        <f t="shared" si="186"/>
        <v>GM2</v>
      </c>
      <c r="L934" s="72" t="str">
        <f t="shared" si="187"/>
        <v>JULY-2-GM2</v>
      </c>
      <c r="M934" s="73">
        <f t="shared" si="188"/>
        <v>-0.16023365441103821</v>
      </c>
      <c r="N934" s="73">
        <f t="shared" si="189"/>
        <v>-8.6969151276770185E-2</v>
      </c>
      <c r="O934" s="13">
        <f t="shared" si="190"/>
        <v>961485</v>
      </c>
      <c r="P934" s="13">
        <f t="shared" si="191"/>
        <v>962175</v>
      </c>
      <c r="Q934" s="13">
        <f t="shared" si="192"/>
        <v>953140</v>
      </c>
      <c r="R934" s="33">
        <f t="shared" si="193"/>
        <v>-8.679282568110791E-3</v>
      </c>
      <c r="S934" s="33">
        <f t="shared" si="194"/>
        <v>-9.3901836983916187E-3</v>
      </c>
    </row>
    <row r="935" spans="1:19" x14ac:dyDescent="0.25">
      <c r="A935" t="s">
        <v>41</v>
      </c>
      <c r="B935" s="65">
        <v>2</v>
      </c>
      <c r="C935" t="s">
        <v>14</v>
      </c>
      <c r="D935">
        <v>648</v>
      </c>
      <c r="E935" s="68">
        <v>648</v>
      </c>
      <c r="F935" s="67">
        <v>648</v>
      </c>
      <c r="G935" s="13">
        <f t="shared" si="182"/>
        <v>0</v>
      </c>
      <c r="H935" s="13">
        <f t="shared" si="183"/>
        <v>0</v>
      </c>
      <c r="I935" s="73">
        <f t="shared" si="184"/>
        <v>0</v>
      </c>
      <c r="J935" s="73">
        <f t="shared" si="185"/>
        <v>0</v>
      </c>
      <c r="K935" s="72" t="str">
        <f t="shared" si="186"/>
        <v>GM2</v>
      </c>
      <c r="L935" s="72" t="str">
        <f t="shared" si="187"/>
        <v>JULY-2-GM2</v>
      </c>
      <c r="M935" s="73">
        <f t="shared" si="188"/>
        <v>-0.16023365441103821</v>
      </c>
      <c r="N935" s="73">
        <f t="shared" si="189"/>
        <v>-8.6969151276770185E-2</v>
      </c>
      <c r="O935" s="13">
        <f t="shared" si="190"/>
        <v>961485</v>
      </c>
      <c r="P935" s="13">
        <f t="shared" si="191"/>
        <v>962175</v>
      </c>
      <c r="Q935" s="13">
        <f t="shared" si="192"/>
        <v>953140</v>
      </c>
      <c r="R935" s="33">
        <f t="shared" si="193"/>
        <v>-8.679282568110791E-3</v>
      </c>
      <c r="S935" s="33">
        <f t="shared" si="194"/>
        <v>-9.3901836983916187E-3</v>
      </c>
    </row>
    <row r="936" spans="1:19" x14ac:dyDescent="0.25">
      <c r="A936" t="s">
        <v>41</v>
      </c>
      <c r="B936" s="65">
        <v>2</v>
      </c>
      <c r="C936" t="s">
        <v>14</v>
      </c>
      <c r="D936">
        <v>864</v>
      </c>
      <c r="E936" s="68">
        <v>864</v>
      </c>
      <c r="F936" s="67">
        <v>864</v>
      </c>
      <c r="G936" s="13">
        <f t="shared" si="182"/>
        <v>0</v>
      </c>
      <c r="H936" s="13">
        <f t="shared" si="183"/>
        <v>0</v>
      </c>
      <c r="I936" s="73">
        <f t="shared" si="184"/>
        <v>0</v>
      </c>
      <c r="J936" s="73">
        <f t="shared" si="185"/>
        <v>0</v>
      </c>
      <c r="K936" s="72" t="str">
        <f t="shared" si="186"/>
        <v>GM2</v>
      </c>
      <c r="L936" s="72" t="str">
        <f t="shared" si="187"/>
        <v>JULY-2-GM2</v>
      </c>
      <c r="M936" s="73">
        <f t="shared" si="188"/>
        <v>-0.16023365441103821</v>
      </c>
      <c r="N936" s="73">
        <f t="shared" si="189"/>
        <v>-8.6969151276770185E-2</v>
      </c>
      <c r="O936" s="13">
        <f t="shared" si="190"/>
        <v>961485</v>
      </c>
      <c r="P936" s="13">
        <f t="shared" si="191"/>
        <v>962175</v>
      </c>
      <c r="Q936" s="13">
        <f t="shared" si="192"/>
        <v>953140</v>
      </c>
      <c r="R936" s="33">
        <f t="shared" si="193"/>
        <v>-8.679282568110791E-3</v>
      </c>
      <c r="S936" s="33">
        <f t="shared" si="194"/>
        <v>-9.3901836983916187E-3</v>
      </c>
    </row>
    <row r="937" spans="1:19" x14ac:dyDescent="0.25">
      <c r="A937" t="s">
        <v>41</v>
      </c>
      <c r="B937" s="65">
        <v>2</v>
      </c>
      <c r="C937" t="s">
        <v>14</v>
      </c>
      <c r="D937">
        <v>2592</v>
      </c>
      <c r="E937" s="68">
        <v>2608</v>
      </c>
      <c r="F937" s="67">
        <v>2592</v>
      </c>
      <c r="G937" s="13">
        <f t="shared" si="182"/>
        <v>-16</v>
      </c>
      <c r="H937" s="13">
        <f t="shared" si="183"/>
        <v>0</v>
      </c>
      <c r="I937" s="73">
        <f t="shared" si="184"/>
        <v>0</v>
      </c>
      <c r="J937" s="73">
        <f t="shared" si="185"/>
        <v>-6.1349693251533388E-3</v>
      </c>
      <c r="K937" s="72" t="str">
        <f t="shared" si="186"/>
        <v>GM2</v>
      </c>
      <c r="L937" s="72" t="str">
        <f t="shared" si="187"/>
        <v>JULY-2-GM2</v>
      </c>
      <c r="M937" s="73">
        <f t="shared" si="188"/>
        <v>-0.16023365441103821</v>
      </c>
      <c r="N937" s="73">
        <f t="shared" si="189"/>
        <v>-8.6969151276770185E-2</v>
      </c>
      <c r="O937" s="13">
        <f t="shared" si="190"/>
        <v>961485</v>
      </c>
      <c r="P937" s="13">
        <f t="shared" si="191"/>
        <v>962175</v>
      </c>
      <c r="Q937" s="13">
        <f t="shared" si="192"/>
        <v>953140</v>
      </c>
      <c r="R937" s="33">
        <f t="shared" si="193"/>
        <v>-8.679282568110791E-3</v>
      </c>
      <c r="S937" s="33">
        <f t="shared" si="194"/>
        <v>-9.3901836983916187E-3</v>
      </c>
    </row>
    <row r="938" spans="1:19" x14ac:dyDescent="0.25">
      <c r="A938" t="s">
        <v>41</v>
      </c>
      <c r="B938" s="65">
        <v>2</v>
      </c>
      <c r="C938" t="s">
        <v>14</v>
      </c>
      <c r="D938">
        <v>1404</v>
      </c>
      <c r="E938" s="68">
        <v>1421</v>
      </c>
      <c r="F938" s="67">
        <v>1404</v>
      </c>
      <c r="G938" s="13">
        <f t="shared" si="182"/>
        <v>-17</v>
      </c>
      <c r="H938" s="13">
        <f t="shared" si="183"/>
        <v>0</v>
      </c>
      <c r="I938" s="73">
        <f t="shared" si="184"/>
        <v>0</v>
      </c>
      <c r="J938" s="73">
        <f t="shared" si="185"/>
        <v>-1.196340605207602E-2</v>
      </c>
      <c r="K938" s="72" t="str">
        <f t="shared" si="186"/>
        <v>GM2</v>
      </c>
      <c r="L938" s="72" t="str">
        <f t="shared" si="187"/>
        <v>JULY-2-GM2</v>
      </c>
      <c r="M938" s="73">
        <f t="shared" si="188"/>
        <v>-0.16023365441103821</v>
      </c>
      <c r="N938" s="73">
        <f t="shared" si="189"/>
        <v>-8.6969151276770185E-2</v>
      </c>
      <c r="O938" s="13">
        <f t="shared" si="190"/>
        <v>961485</v>
      </c>
      <c r="P938" s="13">
        <f t="shared" si="191"/>
        <v>962175</v>
      </c>
      <c r="Q938" s="13">
        <f t="shared" si="192"/>
        <v>953140</v>
      </c>
      <c r="R938" s="33">
        <f t="shared" si="193"/>
        <v>-8.679282568110791E-3</v>
      </c>
      <c r="S938" s="33">
        <f t="shared" si="194"/>
        <v>-9.3901836983916187E-3</v>
      </c>
    </row>
    <row r="939" spans="1:19" x14ac:dyDescent="0.25">
      <c r="A939" t="s">
        <v>41</v>
      </c>
      <c r="B939" s="65">
        <v>2</v>
      </c>
      <c r="C939" t="s">
        <v>14</v>
      </c>
      <c r="D939">
        <v>1152</v>
      </c>
      <c r="E939" s="68">
        <v>1155</v>
      </c>
      <c r="F939" s="67">
        <v>1152</v>
      </c>
      <c r="G939" s="13">
        <f t="shared" si="182"/>
        <v>-3</v>
      </c>
      <c r="H939" s="13">
        <f t="shared" si="183"/>
        <v>0</v>
      </c>
      <c r="I939" s="73">
        <f t="shared" si="184"/>
        <v>0</v>
      </c>
      <c r="J939" s="73">
        <f t="shared" si="185"/>
        <v>-2.5974025974025983E-3</v>
      </c>
      <c r="K939" s="72" t="str">
        <f t="shared" si="186"/>
        <v>GM2</v>
      </c>
      <c r="L939" s="72" t="str">
        <f t="shared" si="187"/>
        <v>JULY-2-GM2</v>
      </c>
      <c r="M939" s="73">
        <f t="shared" si="188"/>
        <v>-0.16023365441103821</v>
      </c>
      <c r="N939" s="73">
        <f t="shared" si="189"/>
        <v>-8.6969151276770185E-2</v>
      </c>
      <c r="O939" s="13">
        <f t="shared" si="190"/>
        <v>961485</v>
      </c>
      <c r="P939" s="13">
        <f t="shared" si="191"/>
        <v>962175</v>
      </c>
      <c r="Q939" s="13">
        <f t="shared" si="192"/>
        <v>953140</v>
      </c>
      <c r="R939" s="33">
        <f t="shared" si="193"/>
        <v>-8.679282568110791E-3</v>
      </c>
      <c r="S939" s="33">
        <f t="shared" si="194"/>
        <v>-9.3901836983916187E-3</v>
      </c>
    </row>
    <row r="940" spans="1:19" x14ac:dyDescent="0.25">
      <c r="A940" t="s">
        <v>41</v>
      </c>
      <c r="B940" s="65">
        <v>2</v>
      </c>
      <c r="C940" t="s">
        <v>14</v>
      </c>
      <c r="D940">
        <v>2880</v>
      </c>
      <c r="E940" s="68">
        <v>2880</v>
      </c>
      <c r="F940" s="67">
        <v>2880</v>
      </c>
      <c r="G940" s="13">
        <f t="shared" si="182"/>
        <v>0</v>
      </c>
      <c r="H940" s="13">
        <f t="shared" si="183"/>
        <v>0</v>
      </c>
      <c r="I940" s="73">
        <f t="shared" si="184"/>
        <v>0</v>
      </c>
      <c r="J940" s="73">
        <f t="shared" si="185"/>
        <v>0</v>
      </c>
      <c r="K940" s="72" t="str">
        <f t="shared" si="186"/>
        <v>GM2</v>
      </c>
      <c r="L940" s="72" t="str">
        <f t="shared" si="187"/>
        <v>JULY-2-GM2</v>
      </c>
      <c r="M940" s="73">
        <f t="shared" si="188"/>
        <v>-0.16023365441103821</v>
      </c>
      <c r="N940" s="73">
        <f t="shared" si="189"/>
        <v>-8.6969151276770185E-2</v>
      </c>
      <c r="O940" s="13">
        <f t="shared" si="190"/>
        <v>961485</v>
      </c>
      <c r="P940" s="13">
        <f t="shared" si="191"/>
        <v>962175</v>
      </c>
      <c r="Q940" s="13">
        <f t="shared" si="192"/>
        <v>953140</v>
      </c>
      <c r="R940" s="33">
        <f t="shared" si="193"/>
        <v>-8.679282568110791E-3</v>
      </c>
      <c r="S940" s="33">
        <f t="shared" si="194"/>
        <v>-9.3901836983916187E-3</v>
      </c>
    </row>
    <row r="941" spans="1:19" x14ac:dyDescent="0.25">
      <c r="A941" t="s">
        <v>41</v>
      </c>
      <c r="B941" s="65">
        <v>2</v>
      </c>
      <c r="C941" t="s">
        <v>14</v>
      </c>
      <c r="D941">
        <v>2160</v>
      </c>
      <c r="E941" s="68">
        <v>2172</v>
      </c>
      <c r="F941" s="67">
        <v>2160</v>
      </c>
      <c r="G941" s="13">
        <f t="shared" si="182"/>
        <v>-12</v>
      </c>
      <c r="H941" s="13">
        <f t="shared" si="183"/>
        <v>0</v>
      </c>
      <c r="I941" s="73">
        <f t="shared" si="184"/>
        <v>0</v>
      </c>
      <c r="J941" s="73">
        <f t="shared" si="185"/>
        <v>-5.5248618784530246E-3</v>
      </c>
      <c r="K941" s="72" t="str">
        <f t="shared" si="186"/>
        <v>GM2</v>
      </c>
      <c r="L941" s="72" t="str">
        <f t="shared" si="187"/>
        <v>JULY-2-GM2</v>
      </c>
      <c r="M941" s="73">
        <f t="shared" si="188"/>
        <v>-0.16023365441103821</v>
      </c>
      <c r="N941" s="73">
        <f t="shared" si="189"/>
        <v>-8.6969151276770185E-2</v>
      </c>
      <c r="O941" s="13">
        <f t="shared" si="190"/>
        <v>961485</v>
      </c>
      <c r="P941" s="13">
        <f t="shared" si="191"/>
        <v>962175</v>
      </c>
      <c r="Q941" s="13">
        <f t="shared" si="192"/>
        <v>953140</v>
      </c>
      <c r="R941" s="33">
        <f t="shared" si="193"/>
        <v>-8.679282568110791E-3</v>
      </c>
      <c r="S941" s="33">
        <f t="shared" si="194"/>
        <v>-9.3901836983916187E-3</v>
      </c>
    </row>
    <row r="942" spans="1:19" x14ac:dyDescent="0.25">
      <c r="A942" t="s">
        <v>41</v>
      </c>
      <c r="B942" s="65">
        <v>2</v>
      </c>
      <c r="C942" t="s">
        <v>14</v>
      </c>
      <c r="D942">
        <v>7020</v>
      </c>
      <c r="E942" s="68">
        <v>7104</v>
      </c>
      <c r="F942" s="67">
        <v>7020</v>
      </c>
      <c r="G942" s="13">
        <f t="shared" si="182"/>
        <v>-84</v>
      </c>
      <c r="H942" s="13">
        <f t="shared" si="183"/>
        <v>0</v>
      </c>
      <c r="I942" s="73">
        <f t="shared" si="184"/>
        <v>0</v>
      </c>
      <c r="J942" s="73">
        <f t="shared" si="185"/>
        <v>-1.1824324324324342E-2</v>
      </c>
      <c r="K942" s="72" t="str">
        <f t="shared" si="186"/>
        <v>GM2</v>
      </c>
      <c r="L942" s="72" t="str">
        <f t="shared" si="187"/>
        <v>JULY-2-GM2</v>
      </c>
      <c r="M942" s="73">
        <f t="shared" si="188"/>
        <v>-0.16023365441103821</v>
      </c>
      <c r="N942" s="73">
        <f t="shared" si="189"/>
        <v>-8.6969151276770185E-2</v>
      </c>
      <c r="O942" s="13">
        <f t="shared" si="190"/>
        <v>961485</v>
      </c>
      <c r="P942" s="13">
        <f t="shared" si="191"/>
        <v>962175</v>
      </c>
      <c r="Q942" s="13">
        <f t="shared" si="192"/>
        <v>953140</v>
      </c>
      <c r="R942" s="33">
        <f t="shared" si="193"/>
        <v>-8.679282568110791E-3</v>
      </c>
      <c r="S942" s="33">
        <f t="shared" si="194"/>
        <v>-9.3901836983916187E-3</v>
      </c>
    </row>
    <row r="943" spans="1:19" x14ac:dyDescent="0.25">
      <c r="A943" t="s">
        <v>41</v>
      </c>
      <c r="B943" s="65">
        <v>2</v>
      </c>
      <c r="C943" t="s">
        <v>14</v>
      </c>
      <c r="D943">
        <v>30456</v>
      </c>
      <c r="E943" s="68">
        <v>28661</v>
      </c>
      <c r="F943" s="67">
        <v>28728</v>
      </c>
      <c r="G943" s="13">
        <f t="shared" si="182"/>
        <v>67</v>
      </c>
      <c r="H943" s="13">
        <f t="shared" si="183"/>
        <v>-1728</v>
      </c>
      <c r="I943" s="73">
        <f t="shared" si="184"/>
        <v>-5.673758865248224E-2</v>
      </c>
      <c r="J943" s="73">
        <f t="shared" si="185"/>
        <v>2.3376714001603904E-3</v>
      </c>
      <c r="K943" s="72" t="str">
        <f t="shared" si="186"/>
        <v>GM2</v>
      </c>
      <c r="L943" s="72" t="str">
        <f t="shared" si="187"/>
        <v>JULY-2-GM2</v>
      </c>
      <c r="M943" s="73">
        <f t="shared" si="188"/>
        <v>-0.16023365441103821</v>
      </c>
      <c r="N943" s="73">
        <f t="shared" si="189"/>
        <v>-8.6969151276770185E-2</v>
      </c>
      <c r="O943" s="13">
        <f t="shared" si="190"/>
        <v>961485</v>
      </c>
      <c r="P943" s="13">
        <f t="shared" si="191"/>
        <v>962175</v>
      </c>
      <c r="Q943" s="13">
        <f t="shared" si="192"/>
        <v>953140</v>
      </c>
      <c r="R943" s="33">
        <f t="shared" si="193"/>
        <v>-8.679282568110791E-3</v>
      </c>
      <c r="S943" s="33">
        <f t="shared" si="194"/>
        <v>-9.3901836983916187E-3</v>
      </c>
    </row>
    <row r="944" spans="1:19" x14ac:dyDescent="0.25">
      <c r="A944" t="s">
        <v>41</v>
      </c>
      <c r="B944" s="65">
        <v>2</v>
      </c>
      <c r="C944" t="s">
        <v>14</v>
      </c>
      <c r="D944">
        <v>1080</v>
      </c>
      <c r="E944" s="68">
        <v>1080</v>
      </c>
      <c r="F944" s="67">
        <v>1080</v>
      </c>
      <c r="G944" s="13">
        <f t="shared" si="182"/>
        <v>0</v>
      </c>
      <c r="H944" s="13">
        <f t="shared" si="183"/>
        <v>0</v>
      </c>
      <c r="I944" s="73">
        <f t="shared" si="184"/>
        <v>0</v>
      </c>
      <c r="J944" s="73">
        <f t="shared" si="185"/>
        <v>0</v>
      </c>
      <c r="K944" s="72" t="str">
        <f t="shared" si="186"/>
        <v>GM2</v>
      </c>
      <c r="L944" s="72" t="str">
        <f t="shared" si="187"/>
        <v>JULY-2-GM2</v>
      </c>
      <c r="M944" s="73">
        <f t="shared" si="188"/>
        <v>-0.16023365441103821</v>
      </c>
      <c r="N944" s="73">
        <f t="shared" si="189"/>
        <v>-8.6969151276770185E-2</v>
      </c>
      <c r="O944" s="13">
        <f t="shared" si="190"/>
        <v>961485</v>
      </c>
      <c r="P944" s="13">
        <f t="shared" si="191"/>
        <v>962175</v>
      </c>
      <c r="Q944" s="13">
        <f t="shared" si="192"/>
        <v>953140</v>
      </c>
      <c r="R944" s="33">
        <f t="shared" si="193"/>
        <v>-8.679282568110791E-3</v>
      </c>
      <c r="S944" s="33">
        <f t="shared" si="194"/>
        <v>-9.3901836983916187E-3</v>
      </c>
    </row>
    <row r="945" spans="1:19" x14ac:dyDescent="0.25">
      <c r="A945" t="s">
        <v>41</v>
      </c>
      <c r="B945" s="65">
        <v>2</v>
      </c>
      <c r="C945" t="s">
        <v>14</v>
      </c>
      <c r="D945">
        <v>17712</v>
      </c>
      <c r="E945" s="68">
        <v>16825</v>
      </c>
      <c r="F945" s="67">
        <v>16845</v>
      </c>
      <c r="G945" s="13">
        <f t="shared" si="182"/>
        <v>20</v>
      </c>
      <c r="H945" s="13">
        <f t="shared" si="183"/>
        <v>-867</v>
      </c>
      <c r="I945" s="73">
        <f t="shared" si="184"/>
        <v>-4.8949864498645024E-2</v>
      </c>
      <c r="J945" s="73">
        <f t="shared" si="185"/>
        <v>1.1887072808320909E-3</v>
      </c>
      <c r="K945" s="72" t="str">
        <f t="shared" si="186"/>
        <v>GM2</v>
      </c>
      <c r="L945" s="72" t="str">
        <f t="shared" si="187"/>
        <v>JULY-2-GM2</v>
      </c>
      <c r="M945" s="73">
        <f t="shared" si="188"/>
        <v>-0.16023365441103821</v>
      </c>
      <c r="N945" s="73">
        <f t="shared" si="189"/>
        <v>-8.6969151276770185E-2</v>
      </c>
      <c r="O945" s="13">
        <f t="shared" si="190"/>
        <v>961485</v>
      </c>
      <c r="P945" s="13">
        <f t="shared" si="191"/>
        <v>962175</v>
      </c>
      <c r="Q945" s="13">
        <f t="shared" si="192"/>
        <v>953140</v>
      </c>
      <c r="R945" s="33">
        <f t="shared" si="193"/>
        <v>-8.679282568110791E-3</v>
      </c>
      <c r="S945" s="33">
        <f t="shared" si="194"/>
        <v>-9.3901836983916187E-3</v>
      </c>
    </row>
    <row r="946" spans="1:19" x14ac:dyDescent="0.25">
      <c r="A946" t="s">
        <v>41</v>
      </c>
      <c r="B946" s="65">
        <v>2</v>
      </c>
      <c r="C946" t="s">
        <v>14</v>
      </c>
      <c r="D946">
        <v>20088</v>
      </c>
      <c r="E946" s="68">
        <v>20078</v>
      </c>
      <c r="F946" s="67">
        <v>19749</v>
      </c>
      <c r="G946" s="13">
        <f t="shared" si="182"/>
        <v>-329</v>
      </c>
      <c r="H946" s="13">
        <f t="shared" si="183"/>
        <v>-339</v>
      </c>
      <c r="I946" s="73">
        <f t="shared" si="184"/>
        <v>-1.6875746714456352E-2</v>
      </c>
      <c r="J946" s="73">
        <f t="shared" si="185"/>
        <v>-1.6386094232493265E-2</v>
      </c>
      <c r="K946" s="72" t="str">
        <f t="shared" si="186"/>
        <v>GM2</v>
      </c>
      <c r="L946" s="72" t="str">
        <f t="shared" si="187"/>
        <v>JULY-2-GM2</v>
      </c>
      <c r="M946" s="73">
        <f t="shared" si="188"/>
        <v>-0.16023365441103821</v>
      </c>
      <c r="N946" s="73">
        <f t="shared" si="189"/>
        <v>-8.6969151276770185E-2</v>
      </c>
      <c r="O946" s="13">
        <f t="shared" si="190"/>
        <v>961485</v>
      </c>
      <c r="P946" s="13">
        <f t="shared" si="191"/>
        <v>962175</v>
      </c>
      <c r="Q946" s="13">
        <f t="shared" si="192"/>
        <v>953140</v>
      </c>
      <c r="R946" s="33">
        <f t="shared" si="193"/>
        <v>-8.679282568110791E-3</v>
      </c>
      <c r="S946" s="33">
        <f t="shared" si="194"/>
        <v>-9.3901836983916187E-3</v>
      </c>
    </row>
    <row r="947" spans="1:19" x14ac:dyDescent="0.25">
      <c r="A947" t="s">
        <v>41</v>
      </c>
      <c r="B947" s="65">
        <v>2</v>
      </c>
      <c r="C947" t="s">
        <v>14</v>
      </c>
      <c r="D947">
        <v>2160</v>
      </c>
      <c r="E947" s="68">
        <v>2160</v>
      </c>
      <c r="F947" s="67">
        <v>2130</v>
      </c>
      <c r="G947" s="13">
        <f t="shared" si="182"/>
        <v>-30</v>
      </c>
      <c r="H947" s="13">
        <f t="shared" si="183"/>
        <v>-30</v>
      </c>
      <c r="I947" s="73">
        <f t="shared" si="184"/>
        <v>-1.388888888888884E-2</v>
      </c>
      <c r="J947" s="73">
        <f t="shared" si="185"/>
        <v>-1.388888888888884E-2</v>
      </c>
      <c r="K947" s="72" t="str">
        <f t="shared" si="186"/>
        <v>GM2</v>
      </c>
      <c r="L947" s="72" t="str">
        <f t="shared" si="187"/>
        <v>JULY-2-GM2</v>
      </c>
      <c r="M947" s="73">
        <f t="shared" si="188"/>
        <v>-0.16023365441103821</v>
      </c>
      <c r="N947" s="73">
        <f t="shared" si="189"/>
        <v>-8.6969151276770185E-2</v>
      </c>
      <c r="O947" s="13">
        <f t="shared" si="190"/>
        <v>961485</v>
      </c>
      <c r="P947" s="13">
        <f t="shared" si="191"/>
        <v>962175</v>
      </c>
      <c r="Q947" s="13">
        <f t="shared" si="192"/>
        <v>953140</v>
      </c>
      <c r="R947" s="33">
        <f t="shared" si="193"/>
        <v>-8.679282568110791E-3</v>
      </c>
      <c r="S947" s="33">
        <f t="shared" si="194"/>
        <v>-9.3901836983916187E-3</v>
      </c>
    </row>
    <row r="948" spans="1:19" x14ac:dyDescent="0.25">
      <c r="A948" t="s">
        <v>41</v>
      </c>
      <c r="B948" s="65">
        <v>2</v>
      </c>
      <c r="C948" t="s">
        <v>14</v>
      </c>
      <c r="D948">
        <v>3780</v>
      </c>
      <c r="E948" s="68">
        <v>3780</v>
      </c>
      <c r="F948" s="67">
        <v>3780</v>
      </c>
      <c r="G948" s="13">
        <f t="shared" si="182"/>
        <v>0</v>
      </c>
      <c r="H948" s="13">
        <f t="shared" si="183"/>
        <v>0</v>
      </c>
      <c r="I948" s="73">
        <f t="shared" si="184"/>
        <v>0</v>
      </c>
      <c r="J948" s="73">
        <f t="shared" si="185"/>
        <v>0</v>
      </c>
      <c r="K948" s="72" t="str">
        <f t="shared" si="186"/>
        <v>GM2</v>
      </c>
      <c r="L948" s="72" t="str">
        <f t="shared" si="187"/>
        <v>JULY-2-GM2</v>
      </c>
      <c r="M948" s="73">
        <f t="shared" si="188"/>
        <v>-0.16023365441103821</v>
      </c>
      <c r="N948" s="73">
        <f t="shared" si="189"/>
        <v>-8.6969151276770185E-2</v>
      </c>
      <c r="O948" s="13">
        <f t="shared" si="190"/>
        <v>961485</v>
      </c>
      <c r="P948" s="13">
        <f t="shared" si="191"/>
        <v>962175</v>
      </c>
      <c r="Q948" s="13">
        <f t="shared" si="192"/>
        <v>953140</v>
      </c>
      <c r="R948" s="33">
        <f t="shared" si="193"/>
        <v>-8.679282568110791E-3</v>
      </c>
      <c r="S948" s="33">
        <f t="shared" si="194"/>
        <v>-9.3901836983916187E-3</v>
      </c>
    </row>
    <row r="949" spans="1:19" x14ac:dyDescent="0.25">
      <c r="A949" t="s">
        <v>41</v>
      </c>
      <c r="B949" s="65">
        <v>2</v>
      </c>
      <c r="C949" t="s">
        <v>14</v>
      </c>
      <c r="D949">
        <v>7344</v>
      </c>
      <c r="E949" s="68">
        <v>7353</v>
      </c>
      <c r="F949" s="67">
        <v>7344</v>
      </c>
      <c r="G949" s="13">
        <f t="shared" si="182"/>
        <v>-9</v>
      </c>
      <c r="H949" s="13">
        <f t="shared" si="183"/>
        <v>0</v>
      </c>
      <c r="I949" s="73">
        <f t="shared" si="184"/>
        <v>0</v>
      </c>
      <c r="J949" s="73">
        <f t="shared" si="185"/>
        <v>-1.223990208078285E-3</v>
      </c>
      <c r="K949" s="72" t="str">
        <f t="shared" si="186"/>
        <v>GM2</v>
      </c>
      <c r="L949" s="72" t="str">
        <f t="shared" si="187"/>
        <v>JULY-2-GM2</v>
      </c>
      <c r="M949" s="73">
        <f t="shared" si="188"/>
        <v>-0.16023365441103821</v>
      </c>
      <c r="N949" s="73">
        <f t="shared" si="189"/>
        <v>-8.6969151276770185E-2</v>
      </c>
      <c r="O949" s="13">
        <f t="shared" si="190"/>
        <v>961485</v>
      </c>
      <c r="P949" s="13">
        <f t="shared" si="191"/>
        <v>962175</v>
      </c>
      <c r="Q949" s="13">
        <f t="shared" si="192"/>
        <v>953140</v>
      </c>
      <c r="R949" s="33">
        <f t="shared" si="193"/>
        <v>-8.679282568110791E-3</v>
      </c>
      <c r="S949" s="33">
        <f t="shared" si="194"/>
        <v>-9.3901836983916187E-3</v>
      </c>
    </row>
    <row r="950" spans="1:19" x14ac:dyDescent="0.25">
      <c r="A950" t="s">
        <v>41</v>
      </c>
      <c r="B950" s="65">
        <v>2</v>
      </c>
      <c r="C950" t="s">
        <v>14</v>
      </c>
      <c r="D950">
        <v>5832</v>
      </c>
      <c r="E950" s="68">
        <v>5841</v>
      </c>
      <c r="F950" s="67">
        <v>5832</v>
      </c>
      <c r="G950" s="13">
        <f t="shared" si="182"/>
        <v>-9</v>
      </c>
      <c r="H950" s="13">
        <f t="shared" si="183"/>
        <v>0</v>
      </c>
      <c r="I950" s="73">
        <f t="shared" si="184"/>
        <v>0</v>
      </c>
      <c r="J950" s="73">
        <f t="shared" si="185"/>
        <v>-1.5408320493066618E-3</v>
      </c>
      <c r="K950" s="72" t="str">
        <f t="shared" si="186"/>
        <v>GM2</v>
      </c>
      <c r="L950" s="72" t="str">
        <f t="shared" si="187"/>
        <v>JULY-2-GM2</v>
      </c>
      <c r="M950" s="73">
        <f t="shared" si="188"/>
        <v>-0.16023365441103821</v>
      </c>
      <c r="N950" s="73">
        <f t="shared" si="189"/>
        <v>-8.6969151276770185E-2</v>
      </c>
      <c r="O950" s="13">
        <f t="shared" si="190"/>
        <v>961485</v>
      </c>
      <c r="P950" s="13">
        <f t="shared" si="191"/>
        <v>962175</v>
      </c>
      <c r="Q950" s="13">
        <f t="shared" si="192"/>
        <v>953140</v>
      </c>
      <c r="R950" s="33">
        <f t="shared" si="193"/>
        <v>-8.679282568110791E-3</v>
      </c>
      <c r="S950" s="33">
        <f t="shared" si="194"/>
        <v>-9.3901836983916187E-3</v>
      </c>
    </row>
    <row r="951" spans="1:19" x14ac:dyDescent="0.25">
      <c r="A951" t="s">
        <v>41</v>
      </c>
      <c r="B951" s="65">
        <v>2</v>
      </c>
      <c r="C951" t="s">
        <v>14</v>
      </c>
      <c r="D951">
        <v>7920</v>
      </c>
      <c r="E951" s="68">
        <v>7924</v>
      </c>
      <c r="F951" s="67">
        <v>7920</v>
      </c>
      <c r="G951" s="13">
        <f t="shared" si="182"/>
        <v>-4</v>
      </c>
      <c r="H951" s="13">
        <f t="shared" si="183"/>
        <v>0</v>
      </c>
      <c r="I951" s="73">
        <f t="shared" si="184"/>
        <v>0</v>
      </c>
      <c r="J951" s="73">
        <f t="shared" si="185"/>
        <v>-5.0479555779914254E-4</v>
      </c>
      <c r="K951" s="72" t="str">
        <f t="shared" si="186"/>
        <v>GM2</v>
      </c>
      <c r="L951" s="72" t="str">
        <f t="shared" si="187"/>
        <v>JULY-2-GM2</v>
      </c>
      <c r="M951" s="73">
        <f t="shared" si="188"/>
        <v>-0.16023365441103821</v>
      </c>
      <c r="N951" s="73">
        <f t="shared" si="189"/>
        <v>-8.6969151276770185E-2</v>
      </c>
      <c r="O951" s="13">
        <f t="shared" si="190"/>
        <v>961485</v>
      </c>
      <c r="P951" s="13">
        <f t="shared" si="191"/>
        <v>962175</v>
      </c>
      <c r="Q951" s="13">
        <f t="shared" si="192"/>
        <v>953140</v>
      </c>
      <c r="R951" s="33">
        <f t="shared" si="193"/>
        <v>-8.679282568110791E-3</v>
      </c>
      <c r="S951" s="33">
        <f t="shared" si="194"/>
        <v>-9.3901836983916187E-3</v>
      </c>
    </row>
    <row r="952" spans="1:19" x14ac:dyDescent="0.25">
      <c r="A952" t="s">
        <v>41</v>
      </c>
      <c r="B952" s="65">
        <v>2</v>
      </c>
      <c r="C952" t="s">
        <v>14</v>
      </c>
      <c r="D952">
        <v>6768</v>
      </c>
      <c r="E952" s="68">
        <v>6773</v>
      </c>
      <c r="F952" s="67">
        <v>6768</v>
      </c>
      <c r="G952" s="13">
        <f t="shared" si="182"/>
        <v>-5</v>
      </c>
      <c r="H952" s="13">
        <f t="shared" si="183"/>
        <v>0</v>
      </c>
      <c r="I952" s="73">
        <f t="shared" si="184"/>
        <v>0</v>
      </c>
      <c r="J952" s="73">
        <f t="shared" si="185"/>
        <v>-7.3822530636347139E-4</v>
      </c>
      <c r="K952" s="72" t="str">
        <f t="shared" si="186"/>
        <v>GM2</v>
      </c>
      <c r="L952" s="72" t="str">
        <f t="shared" si="187"/>
        <v>JULY-2-GM2</v>
      </c>
      <c r="M952" s="73">
        <f t="shared" si="188"/>
        <v>-0.16023365441103821</v>
      </c>
      <c r="N952" s="73">
        <f t="shared" si="189"/>
        <v>-8.6969151276770185E-2</v>
      </c>
      <c r="O952" s="13">
        <f t="shared" si="190"/>
        <v>961485</v>
      </c>
      <c r="P952" s="13">
        <f t="shared" si="191"/>
        <v>962175</v>
      </c>
      <c r="Q952" s="13">
        <f t="shared" si="192"/>
        <v>953140</v>
      </c>
      <c r="R952" s="33">
        <f t="shared" si="193"/>
        <v>-8.679282568110791E-3</v>
      </c>
      <c r="S952" s="33">
        <f t="shared" si="194"/>
        <v>-9.3901836983916187E-3</v>
      </c>
    </row>
    <row r="953" spans="1:19" x14ac:dyDescent="0.25">
      <c r="A953" t="s">
        <v>41</v>
      </c>
      <c r="B953" s="65">
        <v>2</v>
      </c>
      <c r="C953" t="s">
        <v>14</v>
      </c>
      <c r="D953">
        <v>14400</v>
      </c>
      <c r="E953" s="68">
        <v>14547</v>
      </c>
      <c r="F953" s="67">
        <v>14452</v>
      </c>
      <c r="G953" s="13">
        <f t="shared" si="182"/>
        <v>-95</v>
      </c>
      <c r="H953" s="13">
        <f t="shared" si="183"/>
        <v>52</v>
      </c>
      <c r="I953" s="73">
        <f t="shared" si="184"/>
        <v>3.6111111111110095E-3</v>
      </c>
      <c r="J953" s="73">
        <f t="shared" si="185"/>
        <v>-6.5305561284113578E-3</v>
      </c>
      <c r="K953" s="72" t="str">
        <f t="shared" si="186"/>
        <v>GM2</v>
      </c>
      <c r="L953" s="72" t="str">
        <f t="shared" si="187"/>
        <v>JULY-2-GM2</v>
      </c>
      <c r="M953" s="73">
        <f t="shared" si="188"/>
        <v>-0.16023365441103821</v>
      </c>
      <c r="N953" s="73">
        <f t="shared" si="189"/>
        <v>-8.6969151276770185E-2</v>
      </c>
      <c r="O953" s="13">
        <f t="shared" si="190"/>
        <v>961485</v>
      </c>
      <c r="P953" s="13">
        <f t="shared" si="191"/>
        <v>962175</v>
      </c>
      <c r="Q953" s="13">
        <f t="shared" si="192"/>
        <v>953140</v>
      </c>
      <c r="R953" s="33">
        <f t="shared" si="193"/>
        <v>-8.679282568110791E-3</v>
      </c>
      <c r="S953" s="33">
        <f t="shared" si="194"/>
        <v>-9.3901836983916187E-3</v>
      </c>
    </row>
    <row r="954" spans="1:19" x14ac:dyDescent="0.25">
      <c r="A954" t="s">
        <v>41</v>
      </c>
      <c r="B954" s="65">
        <v>2</v>
      </c>
      <c r="C954" t="s">
        <v>14</v>
      </c>
      <c r="D954">
        <v>19008</v>
      </c>
      <c r="E954" s="68">
        <v>19203</v>
      </c>
      <c r="F954" s="67">
        <v>19160</v>
      </c>
      <c r="G954" s="13">
        <f t="shared" si="182"/>
        <v>-43</v>
      </c>
      <c r="H954" s="13">
        <f t="shared" si="183"/>
        <v>152</v>
      </c>
      <c r="I954" s="73">
        <f t="shared" si="184"/>
        <v>7.9966329966330019E-3</v>
      </c>
      <c r="J954" s="73">
        <f t="shared" si="185"/>
        <v>-2.2392334531062819E-3</v>
      </c>
      <c r="K954" s="72" t="str">
        <f t="shared" si="186"/>
        <v>GM2</v>
      </c>
      <c r="L954" s="72" t="str">
        <f t="shared" si="187"/>
        <v>JULY-2-GM2</v>
      </c>
      <c r="M954" s="73">
        <f t="shared" si="188"/>
        <v>-0.16023365441103821</v>
      </c>
      <c r="N954" s="73">
        <f t="shared" si="189"/>
        <v>-8.6969151276770185E-2</v>
      </c>
      <c r="O954" s="13">
        <f t="shared" si="190"/>
        <v>961485</v>
      </c>
      <c r="P954" s="13">
        <f t="shared" si="191"/>
        <v>962175</v>
      </c>
      <c r="Q954" s="13">
        <f t="shared" si="192"/>
        <v>953140</v>
      </c>
      <c r="R954" s="33">
        <f t="shared" si="193"/>
        <v>-8.679282568110791E-3</v>
      </c>
      <c r="S954" s="33">
        <f t="shared" si="194"/>
        <v>-9.3901836983916187E-3</v>
      </c>
    </row>
    <row r="955" spans="1:19" x14ac:dyDescent="0.25">
      <c r="A955" t="s">
        <v>41</v>
      </c>
      <c r="B955" s="65">
        <v>2</v>
      </c>
      <c r="C955" t="s">
        <v>14</v>
      </c>
      <c r="D955">
        <v>19008</v>
      </c>
      <c r="E955" s="68">
        <v>19215</v>
      </c>
      <c r="F955" s="67">
        <v>19148</v>
      </c>
      <c r="G955" s="13">
        <f t="shared" si="182"/>
        <v>-67</v>
      </c>
      <c r="H955" s="13">
        <f t="shared" si="183"/>
        <v>140</v>
      </c>
      <c r="I955" s="73">
        <f t="shared" si="184"/>
        <v>7.3653198653198526E-3</v>
      </c>
      <c r="J955" s="73">
        <f t="shared" si="185"/>
        <v>-3.4868592245641539E-3</v>
      </c>
      <c r="K955" s="72" t="str">
        <f t="shared" si="186"/>
        <v>GM2</v>
      </c>
      <c r="L955" s="72" t="str">
        <f t="shared" si="187"/>
        <v>JULY-2-GM2</v>
      </c>
      <c r="M955" s="73">
        <f t="shared" si="188"/>
        <v>-0.16023365441103821</v>
      </c>
      <c r="N955" s="73">
        <f t="shared" si="189"/>
        <v>-8.6969151276770185E-2</v>
      </c>
      <c r="O955" s="13">
        <f t="shared" si="190"/>
        <v>961485</v>
      </c>
      <c r="P955" s="13">
        <f t="shared" si="191"/>
        <v>962175</v>
      </c>
      <c r="Q955" s="13">
        <f t="shared" si="192"/>
        <v>953140</v>
      </c>
      <c r="R955" s="33">
        <f t="shared" si="193"/>
        <v>-8.679282568110791E-3</v>
      </c>
      <c r="S955" s="33">
        <f t="shared" si="194"/>
        <v>-9.3901836983916187E-3</v>
      </c>
    </row>
    <row r="956" spans="1:19" x14ac:dyDescent="0.25">
      <c r="A956" t="s">
        <v>41</v>
      </c>
      <c r="B956" s="65">
        <v>2</v>
      </c>
      <c r="C956" t="s">
        <v>14</v>
      </c>
      <c r="D956">
        <v>14400</v>
      </c>
      <c r="E956" s="68">
        <v>14544</v>
      </c>
      <c r="F956" s="67">
        <v>14476</v>
      </c>
      <c r="G956" s="13">
        <f t="shared" si="182"/>
        <v>-68</v>
      </c>
      <c r="H956" s="13">
        <f t="shared" si="183"/>
        <v>76</v>
      </c>
      <c r="I956" s="73">
        <f t="shared" si="184"/>
        <v>5.2777777777777146E-3</v>
      </c>
      <c r="J956" s="73">
        <f t="shared" si="185"/>
        <v>-4.6754675467546303E-3</v>
      </c>
      <c r="K956" s="72" t="str">
        <f t="shared" si="186"/>
        <v>GM2</v>
      </c>
      <c r="L956" s="72" t="str">
        <f t="shared" si="187"/>
        <v>JULY-2-GM2</v>
      </c>
      <c r="M956" s="73">
        <f t="shared" si="188"/>
        <v>-0.16023365441103821</v>
      </c>
      <c r="N956" s="73">
        <f t="shared" si="189"/>
        <v>-8.6969151276770185E-2</v>
      </c>
      <c r="O956" s="13">
        <f t="shared" si="190"/>
        <v>961485</v>
      </c>
      <c r="P956" s="13">
        <f t="shared" si="191"/>
        <v>962175</v>
      </c>
      <c r="Q956" s="13">
        <f t="shared" si="192"/>
        <v>953140</v>
      </c>
      <c r="R956" s="33">
        <f t="shared" si="193"/>
        <v>-8.679282568110791E-3</v>
      </c>
      <c r="S956" s="33">
        <f t="shared" si="194"/>
        <v>-9.3901836983916187E-3</v>
      </c>
    </row>
    <row r="957" spans="1:19" x14ac:dyDescent="0.25">
      <c r="A957" t="s">
        <v>41</v>
      </c>
      <c r="B957" s="65">
        <v>2</v>
      </c>
      <c r="C957" t="s">
        <v>14</v>
      </c>
      <c r="D957">
        <v>5832</v>
      </c>
      <c r="E957" s="68">
        <v>5835</v>
      </c>
      <c r="F957" s="67">
        <v>5832</v>
      </c>
      <c r="G957" s="13">
        <f t="shared" si="182"/>
        <v>-3</v>
      </c>
      <c r="H957" s="13">
        <f t="shared" si="183"/>
        <v>0</v>
      </c>
      <c r="I957" s="73">
        <f t="shared" si="184"/>
        <v>0</v>
      </c>
      <c r="J957" s="73">
        <f t="shared" si="185"/>
        <v>-5.1413881748074708E-4</v>
      </c>
      <c r="K957" s="72" t="str">
        <f t="shared" si="186"/>
        <v>GM2</v>
      </c>
      <c r="L957" s="72" t="str">
        <f t="shared" si="187"/>
        <v>JULY-2-GM2</v>
      </c>
      <c r="M957" s="73">
        <f t="shared" si="188"/>
        <v>-0.16023365441103821</v>
      </c>
      <c r="N957" s="73">
        <f t="shared" si="189"/>
        <v>-8.6969151276770185E-2</v>
      </c>
      <c r="O957" s="13">
        <f t="shared" si="190"/>
        <v>961485</v>
      </c>
      <c r="P957" s="13">
        <f t="shared" si="191"/>
        <v>962175</v>
      </c>
      <c r="Q957" s="13">
        <f t="shared" si="192"/>
        <v>953140</v>
      </c>
      <c r="R957" s="33">
        <f t="shared" si="193"/>
        <v>-8.679282568110791E-3</v>
      </c>
      <c r="S957" s="33">
        <f t="shared" si="194"/>
        <v>-9.3901836983916187E-3</v>
      </c>
    </row>
    <row r="958" spans="1:19" x14ac:dyDescent="0.25">
      <c r="A958" t="s">
        <v>41</v>
      </c>
      <c r="B958" s="65">
        <v>2</v>
      </c>
      <c r="C958" t="s">
        <v>14</v>
      </c>
      <c r="D958">
        <v>4320</v>
      </c>
      <c r="E958" s="68">
        <v>4115</v>
      </c>
      <c r="F958" s="67">
        <v>4140</v>
      </c>
      <c r="G958" s="13">
        <f t="shared" si="182"/>
        <v>25</v>
      </c>
      <c r="H958" s="13">
        <f t="shared" si="183"/>
        <v>-180</v>
      </c>
      <c r="I958" s="73">
        <f t="shared" si="184"/>
        <v>-4.166666666666663E-2</v>
      </c>
      <c r="J958" s="73">
        <f t="shared" si="185"/>
        <v>6.0753341433779084E-3</v>
      </c>
      <c r="K958" s="72" t="str">
        <f t="shared" si="186"/>
        <v>GM2</v>
      </c>
      <c r="L958" s="72" t="str">
        <f t="shared" si="187"/>
        <v>JULY-2-GM2</v>
      </c>
      <c r="M958" s="73">
        <f t="shared" si="188"/>
        <v>-0.16023365441103821</v>
      </c>
      <c r="N958" s="73">
        <f t="shared" si="189"/>
        <v>-8.6969151276770185E-2</v>
      </c>
      <c r="O958" s="13">
        <f t="shared" si="190"/>
        <v>961485</v>
      </c>
      <c r="P958" s="13">
        <f t="shared" si="191"/>
        <v>962175</v>
      </c>
      <c r="Q958" s="13">
        <f t="shared" si="192"/>
        <v>953140</v>
      </c>
      <c r="R958" s="33">
        <f t="shared" si="193"/>
        <v>-8.679282568110791E-3</v>
      </c>
      <c r="S958" s="33">
        <f t="shared" si="194"/>
        <v>-9.3901836983916187E-3</v>
      </c>
    </row>
    <row r="959" spans="1:19" x14ac:dyDescent="0.25">
      <c r="A959" t="s">
        <v>41</v>
      </c>
      <c r="B959" s="65">
        <v>2</v>
      </c>
      <c r="C959" t="s">
        <v>11</v>
      </c>
      <c r="D959" s="68">
        <v>10224</v>
      </c>
      <c r="E959" s="68">
        <v>10224</v>
      </c>
      <c r="F959" s="67">
        <v>10096</v>
      </c>
      <c r="G959" s="13">
        <f t="shared" si="182"/>
        <v>-128</v>
      </c>
      <c r="H959" s="13">
        <f t="shared" si="183"/>
        <v>-128</v>
      </c>
      <c r="I959" s="73">
        <f t="shared" si="184"/>
        <v>-1.2519561815336422E-2</v>
      </c>
      <c r="J959" s="73">
        <f t="shared" si="185"/>
        <v>-1.2519561815336422E-2</v>
      </c>
      <c r="K959" s="72" t="str">
        <f t="shared" si="186"/>
        <v>MAJA1</v>
      </c>
      <c r="L959" s="72" t="str">
        <f t="shared" si="187"/>
        <v>JULY-2-MAJA1</v>
      </c>
      <c r="M959" s="73">
        <f t="shared" si="188"/>
        <v>-0.5384998016377488</v>
      </c>
      <c r="N959" s="73">
        <f t="shared" si="189"/>
        <v>-0.5334436682982403</v>
      </c>
      <c r="O959" s="13">
        <f t="shared" si="190"/>
        <v>961485</v>
      </c>
      <c r="P959" s="13">
        <f t="shared" si="191"/>
        <v>962175</v>
      </c>
      <c r="Q959" s="13">
        <f t="shared" si="192"/>
        <v>953140</v>
      </c>
      <c r="R959" s="33">
        <f t="shared" si="193"/>
        <v>-8.679282568110791E-3</v>
      </c>
      <c r="S959" s="33">
        <f t="shared" si="194"/>
        <v>-9.3901836983916187E-3</v>
      </c>
    </row>
    <row r="960" spans="1:19" x14ac:dyDescent="0.25">
      <c r="A960" t="s">
        <v>41</v>
      </c>
      <c r="B960" s="65">
        <v>2</v>
      </c>
      <c r="C960" t="s">
        <v>11</v>
      </c>
      <c r="D960" s="68">
        <v>9648</v>
      </c>
      <c r="E960" s="68">
        <v>9614</v>
      </c>
      <c r="F960" s="67">
        <v>9176</v>
      </c>
      <c r="G960" s="13">
        <f t="shared" si="182"/>
        <v>-438</v>
      </c>
      <c r="H960" s="13">
        <f t="shared" si="183"/>
        <v>-472</v>
      </c>
      <c r="I960" s="73">
        <f t="shared" si="184"/>
        <v>-4.8922056384743007E-2</v>
      </c>
      <c r="J960" s="73">
        <f t="shared" si="185"/>
        <v>-4.5558560432702344E-2</v>
      </c>
      <c r="K960" s="72" t="str">
        <f t="shared" si="186"/>
        <v>MAJA1</v>
      </c>
      <c r="L960" s="72" t="str">
        <f t="shared" si="187"/>
        <v>JULY-2-MAJA1</v>
      </c>
      <c r="M960" s="73">
        <f t="shared" si="188"/>
        <v>-0.5384998016377488</v>
      </c>
      <c r="N960" s="73">
        <f t="shared" si="189"/>
        <v>-0.5334436682982403</v>
      </c>
      <c r="O960" s="13">
        <f t="shared" si="190"/>
        <v>961485</v>
      </c>
      <c r="P960" s="13">
        <f t="shared" si="191"/>
        <v>962175</v>
      </c>
      <c r="Q960" s="13">
        <f t="shared" si="192"/>
        <v>953140</v>
      </c>
      <c r="R960" s="33">
        <f t="shared" si="193"/>
        <v>-8.679282568110791E-3</v>
      </c>
      <c r="S960" s="33">
        <f t="shared" si="194"/>
        <v>-9.3901836983916187E-3</v>
      </c>
    </row>
    <row r="961" spans="1:19" x14ac:dyDescent="0.25">
      <c r="A961" t="s">
        <v>41</v>
      </c>
      <c r="B961" s="65">
        <v>2</v>
      </c>
      <c r="C961" t="s">
        <v>11</v>
      </c>
      <c r="D961" s="68">
        <v>4212</v>
      </c>
      <c r="E961" s="68">
        <v>4212</v>
      </c>
      <c r="F961" s="67">
        <v>4200</v>
      </c>
      <c r="G961" s="13">
        <f t="shared" si="182"/>
        <v>-12</v>
      </c>
      <c r="H961" s="13">
        <f t="shared" si="183"/>
        <v>-12</v>
      </c>
      <c r="I961" s="73">
        <f t="shared" si="184"/>
        <v>-2.8490028490028019E-3</v>
      </c>
      <c r="J961" s="73">
        <f t="shared" si="185"/>
        <v>-2.8490028490028019E-3</v>
      </c>
      <c r="K961" s="72" t="str">
        <f t="shared" si="186"/>
        <v>MAJA1</v>
      </c>
      <c r="L961" s="72" t="str">
        <f t="shared" si="187"/>
        <v>JULY-2-MAJA1</v>
      </c>
      <c r="M961" s="73">
        <f t="shared" si="188"/>
        <v>-0.5384998016377488</v>
      </c>
      <c r="N961" s="73">
        <f t="shared" si="189"/>
        <v>-0.5334436682982403</v>
      </c>
      <c r="O961" s="13">
        <f t="shared" si="190"/>
        <v>961485</v>
      </c>
      <c r="P961" s="13">
        <f t="shared" si="191"/>
        <v>962175</v>
      </c>
      <c r="Q961" s="13">
        <f t="shared" si="192"/>
        <v>953140</v>
      </c>
      <c r="R961" s="33">
        <f t="shared" si="193"/>
        <v>-8.679282568110791E-3</v>
      </c>
      <c r="S961" s="33">
        <f t="shared" si="194"/>
        <v>-9.3901836983916187E-3</v>
      </c>
    </row>
    <row r="962" spans="1:19" x14ac:dyDescent="0.25">
      <c r="A962" t="s">
        <v>41</v>
      </c>
      <c r="B962" s="65">
        <v>2</v>
      </c>
      <c r="C962" t="s">
        <v>11</v>
      </c>
      <c r="D962" s="68">
        <v>3564</v>
      </c>
      <c r="E962" s="68">
        <v>3564</v>
      </c>
      <c r="F962" s="67">
        <v>3564</v>
      </c>
      <c r="G962" s="13">
        <f t="shared" ref="G962:G1025" si="195">F962-E962</f>
        <v>0</v>
      </c>
      <c r="H962" s="13">
        <f t="shared" ref="H962:H1025" si="196">F962-D962</f>
        <v>0</v>
      </c>
      <c r="I962" s="73">
        <f t="shared" ref="I962:I1025" si="197">F962/D962-1</f>
        <v>0</v>
      </c>
      <c r="J962" s="73">
        <f t="shared" ref="J962:J1025" si="198">F962/E962-1</f>
        <v>0</v>
      </c>
      <c r="K962" s="72" t="str">
        <f t="shared" ref="K962:K1025" si="199">CLEAN(SUBSTITUTE(C962," ",""))</f>
        <v>MAJA1</v>
      </c>
      <c r="L962" s="72" t="str">
        <f t="shared" ref="L962:L1025" si="200">A962&amp;"-"&amp;B962&amp;"-"&amp;K962</f>
        <v>JULY-2-MAJA1</v>
      </c>
      <c r="M962" s="73">
        <f t="shared" ref="M962:M1025" si="201">SUMIF($L$2:$L$1396,L962,$I$2:$I$1396)</f>
        <v>-0.5384998016377488</v>
      </c>
      <c r="N962" s="73">
        <f t="shared" ref="N962:N1025" si="202">SUMIF($L$2:$L$1396,L962,$J$2:$J$1396)</f>
        <v>-0.5334436682982403</v>
      </c>
      <c r="O962" s="13">
        <f t="shared" ref="O962:O1025" si="203">SUMIF($A$2:$A$1396,A962,$D$2:$D$1396)</f>
        <v>961485</v>
      </c>
      <c r="P962" s="13">
        <f t="shared" ref="P962:P1025" si="204">SUMIF($A$2:$A$1396,A962,$E$2:$E$1396)</f>
        <v>962175</v>
      </c>
      <c r="Q962" s="13">
        <f t="shared" ref="Q962:Q1025" si="205">SUMIF($A$2:$A$1396,A962,$F$2:$F$1396)</f>
        <v>953140</v>
      </c>
      <c r="R962" s="33">
        <f t="shared" ref="R962:R1025" si="206">Q962/O962-1</f>
        <v>-8.679282568110791E-3</v>
      </c>
      <c r="S962" s="33">
        <f t="shared" ref="S962:S1025" si="207">Q962/P962-1</f>
        <v>-9.3901836983916187E-3</v>
      </c>
    </row>
    <row r="963" spans="1:19" x14ac:dyDescent="0.25">
      <c r="A963" t="s">
        <v>41</v>
      </c>
      <c r="B963" s="65">
        <v>2</v>
      </c>
      <c r="C963" t="s">
        <v>11</v>
      </c>
      <c r="D963" s="68">
        <v>6804</v>
      </c>
      <c r="E963" s="68">
        <v>6804</v>
      </c>
      <c r="F963" s="67">
        <v>6741</v>
      </c>
      <c r="G963" s="13">
        <f t="shared" si="195"/>
        <v>-63</v>
      </c>
      <c r="H963" s="13">
        <f t="shared" si="196"/>
        <v>-63</v>
      </c>
      <c r="I963" s="73">
        <f t="shared" si="197"/>
        <v>-9.2592592592593004E-3</v>
      </c>
      <c r="J963" s="73">
        <f t="shared" si="198"/>
        <v>-9.2592592592593004E-3</v>
      </c>
      <c r="K963" s="72" t="str">
        <f t="shared" si="199"/>
        <v>MAJA1</v>
      </c>
      <c r="L963" s="72" t="str">
        <f t="shared" si="200"/>
        <v>JULY-2-MAJA1</v>
      </c>
      <c r="M963" s="73">
        <f t="shared" si="201"/>
        <v>-0.5384998016377488</v>
      </c>
      <c r="N963" s="73">
        <f t="shared" si="202"/>
        <v>-0.5334436682982403</v>
      </c>
      <c r="O963" s="13">
        <f t="shared" si="203"/>
        <v>961485</v>
      </c>
      <c r="P963" s="13">
        <f t="shared" si="204"/>
        <v>962175</v>
      </c>
      <c r="Q963" s="13">
        <f t="shared" si="205"/>
        <v>953140</v>
      </c>
      <c r="R963" s="33">
        <f t="shared" si="206"/>
        <v>-8.679282568110791E-3</v>
      </c>
      <c r="S963" s="33">
        <f t="shared" si="207"/>
        <v>-9.3901836983916187E-3</v>
      </c>
    </row>
    <row r="964" spans="1:19" x14ac:dyDescent="0.25">
      <c r="A964" t="s">
        <v>41</v>
      </c>
      <c r="B964" s="65">
        <v>2</v>
      </c>
      <c r="C964" t="s">
        <v>11</v>
      </c>
      <c r="D964" s="68">
        <v>3672</v>
      </c>
      <c r="E964" s="68">
        <v>3672</v>
      </c>
      <c r="F964" s="67">
        <v>3672</v>
      </c>
      <c r="G964" s="13">
        <f t="shared" si="195"/>
        <v>0</v>
      </c>
      <c r="H964" s="13">
        <f t="shared" si="196"/>
        <v>0</v>
      </c>
      <c r="I964" s="73">
        <f t="shared" si="197"/>
        <v>0</v>
      </c>
      <c r="J964" s="73">
        <f t="shared" si="198"/>
        <v>0</v>
      </c>
      <c r="K964" s="72" t="str">
        <f t="shared" si="199"/>
        <v>MAJA1</v>
      </c>
      <c r="L964" s="72" t="str">
        <f t="shared" si="200"/>
        <v>JULY-2-MAJA1</v>
      </c>
      <c r="M964" s="73">
        <f t="shared" si="201"/>
        <v>-0.5384998016377488</v>
      </c>
      <c r="N964" s="73">
        <f t="shared" si="202"/>
        <v>-0.5334436682982403</v>
      </c>
      <c r="O964" s="13">
        <f t="shared" si="203"/>
        <v>961485</v>
      </c>
      <c r="P964" s="13">
        <f t="shared" si="204"/>
        <v>962175</v>
      </c>
      <c r="Q964" s="13">
        <f t="shared" si="205"/>
        <v>953140</v>
      </c>
      <c r="R964" s="33">
        <f t="shared" si="206"/>
        <v>-8.679282568110791E-3</v>
      </c>
      <c r="S964" s="33">
        <f t="shared" si="207"/>
        <v>-9.3901836983916187E-3</v>
      </c>
    </row>
    <row r="965" spans="1:19" x14ac:dyDescent="0.25">
      <c r="A965" t="s">
        <v>41</v>
      </c>
      <c r="B965" s="65">
        <v>2</v>
      </c>
      <c r="C965" t="s">
        <v>11</v>
      </c>
      <c r="D965" s="68">
        <v>3024</v>
      </c>
      <c r="E965" s="68">
        <v>3024</v>
      </c>
      <c r="F965" s="67">
        <v>3024</v>
      </c>
      <c r="G965" s="13">
        <f t="shared" si="195"/>
        <v>0</v>
      </c>
      <c r="H965" s="13">
        <f t="shared" si="196"/>
        <v>0</v>
      </c>
      <c r="I965" s="73">
        <f t="shared" si="197"/>
        <v>0</v>
      </c>
      <c r="J965" s="73">
        <f t="shared" si="198"/>
        <v>0</v>
      </c>
      <c r="K965" s="72" t="str">
        <f t="shared" si="199"/>
        <v>MAJA1</v>
      </c>
      <c r="L965" s="72" t="str">
        <f t="shared" si="200"/>
        <v>JULY-2-MAJA1</v>
      </c>
      <c r="M965" s="73">
        <f t="shared" si="201"/>
        <v>-0.5384998016377488</v>
      </c>
      <c r="N965" s="73">
        <f t="shared" si="202"/>
        <v>-0.5334436682982403</v>
      </c>
      <c r="O965" s="13">
        <f t="shared" si="203"/>
        <v>961485</v>
      </c>
      <c r="P965" s="13">
        <f t="shared" si="204"/>
        <v>962175</v>
      </c>
      <c r="Q965" s="13">
        <f t="shared" si="205"/>
        <v>953140</v>
      </c>
      <c r="R965" s="33">
        <f t="shared" si="206"/>
        <v>-8.679282568110791E-3</v>
      </c>
      <c r="S965" s="33">
        <f t="shared" si="207"/>
        <v>-9.3901836983916187E-3</v>
      </c>
    </row>
    <row r="966" spans="1:19" x14ac:dyDescent="0.25">
      <c r="A966" t="s">
        <v>41</v>
      </c>
      <c r="B966" s="65">
        <v>2</v>
      </c>
      <c r="C966" t="s">
        <v>11</v>
      </c>
      <c r="D966" s="68">
        <v>5724</v>
      </c>
      <c r="E966" s="68">
        <v>5724</v>
      </c>
      <c r="F966" s="67">
        <v>5652</v>
      </c>
      <c r="G966" s="13">
        <f t="shared" si="195"/>
        <v>-72</v>
      </c>
      <c r="H966" s="13">
        <f t="shared" si="196"/>
        <v>-72</v>
      </c>
      <c r="I966" s="73">
        <f t="shared" si="197"/>
        <v>-1.2578616352201255E-2</v>
      </c>
      <c r="J966" s="73">
        <f t="shared" si="198"/>
        <v>-1.2578616352201255E-2</v>
      </c>
      <c r="K966" s="72" t="str">
        <f t="shared" si="199"/>
        <v>MAJA1</v>
      </c>
      <c r="L966" s="72" t="str">
        <f t="shared" si="200"/>
        <v>JULY-2-MAJA1</v>
      </c>
      <c r="M966" s="73">
        <f t="shared" si="201"/>
        <v>-0.5384998016377488</v>
      </c>
      <c r="N966" s="73">
        <f t="shared" si="202"/>
        <v>-0.5334436682982403</v>
      </c>
      <c r="O966" s="13">
        <f t="shared" si="203"/>
        <v>961485</v>
      </c>
      <c r="P966" s="13">
        <f t="shared" si="204"/>
        <v>962175</v>
      </c>
      <c r="Q966" s="13">
        <f t="shared" si="205"/>
        <v>953140</v>
      </c>
      <c r="R966" s="33">
        <f t="shared" si="206"/>
        <v>-8.679282568110791E-3</v>
      </c>
      <c r="S966" s="33">
        <f t="shared" si="207"/>
        <v>-9.3901836983916187E-3</v>
      </c>
    </row>
    <row r="967" spans="1:19" x14ac:dyDescent="0.25">
      <c r="A967" t="s">
        <v>41</v>
      </c>
      <c r="B967" s="65">
        <v>2</v>
      </c>
      <c r="C967" t="s">
        <v>11</v>
      </c>
      <c r="D967" s="68">
        <v>3240</v>
      </c>
      <c r="E967" s="68">
        <v>3240</v>
      </c>
      <c r="F967" s="67">
        <v>3207</v>
      </c>
      <c r="G967" s="13">
        <f t="shared" si="195"/>
        <v>-33</v>
      </c>
      <c r="H967" s="13">
        <f t="shared" si="196"/>
        <v>-33</v>
      </c>
      <c r="I967" s="73">
        <f t="shared" si="197"/>
        <v>-1.0185185185185186E-2</v>
      </c>
      <c r="J967" s="73">
        <f t="shared" si="198"/>
        <v>-1.0185185185185186E-2</v>
      </c>
      <c r="K967" s="72" t="str">
        <f t="shared" si="199"/>
        <v>MAJA1</v>
      </c>
      <c r="L967" s="72" t="str">
        <f t="shared" si="200"/>
        <v>JULY-2-MAJA1</v>
      </c>
      <c r="M967" s="73">
        <f t="shared" si="201"/>
        <v>-0.5384998016377488</v>
      </c>
      <c r="N967" s="73">
        <f t="shared" si="202"/>
        <v>-0.5334436682982403</v>
      </c>
      <c r="O967" s="13">
        <f t="shared" si="203"/>
        <v>961485</v>
      </c>
      <c r="P967" s="13">
        <f t="shared" si="204"/>
        <v>962175</v>
      </c>
      <c r="Q967" s="13">
        <f t="shared" si="205"/>
        <v>953140</v>
      </c>
      <c r="R967" s="33">
        <f t="shared" si="206"/>
        <v>-8.679282568110791E-3</v>
      </c>
      <c r="S967" s="33">
        <f t="shared" si="207"/>
        <v>-9.3901836983916187E-3</v>
      </c>
    </row>
    <row r="968" spans="1:19" x14ac:dyDescent="0.25">
      <c r="A968" t="s">
        <v>41</v>
      </c>
      <c r="B968" s="65">
        <v>2</v>
      </c>
      <c r="C968" t="s">
        <v>11</v>
      </c>
      <c r="D968" s="68">
        <v>6480</v>
      </c>
      <c r="E968" s="68">
        <v>6480</v>
      </c>
      <c r="F968" s="67">
        <v>6351</v>
      </c>
      <c r="G968" s="13">
        <f t="shared" si="195"/>
        <v>-129</v>
      </c>
      <c r="H968" s="13">
        <f t="shared" si="196"/>
        <v>-129</v>
      </c>
      <c r="I968" s="73">
        <f t="shared" si="197"/>
        <v>-1.9907407407407374E-2</v>
      </c>
      <c r="J968" s="73">
        <f t="shared" si="198"/>
        <v>-1.9907407407407374E-2</v>
      </c>
      <c r="K968" s="72" t="str">
        <f t="shared" si="199"/>
        <v>MAJA1</v>
      </c>
      <c r="L968" s="72" t="str">
        <f t="shared" si="200"/>
        <v>JULY-2-MAJA1</v>
      </c>
      <c r="M968" s="73">
        <f t="shared" si="201"/>
        <v>-0.5384998016377488</v>
      </c>
      <c r="N968" s="73">
        <f t="shared" si="202"/>
        <v>-0.5334436682982403</v>
      </c>
      <c r="O968" s="13">
        <f t="shared" si="203"/>
        <v>961485</v>
      </c>
      <c r="P968" s="13">
        <f t="shared" si="204"/>
        <v>962175</v>
      </c>
      <c r="Q968" s="13">
        <f t="shared" si="205"/>
        <v>953140</v>
      </c>
      <c r="R968" s="33">
        <f t="shared" si="206"/>
        <v>-8.679282568110791E-3</v>
      </c>
      <c r="S968" s="33">
        <f t="shared" si="207"/>
        <v>-9.3901836983916187E-3</v>
      </c>
    </row>
    <row r="969" spans="1:19" x14ac:dyDescent="0.25">
      <c r="A969" t="s">
        <v>41</v>
      </c>
      <c r="B969" s="65">
        <v>2</v>
      </c>
      <c r="C969" t="s">
        <v>11</v>
      </c>
      <c r="D969" s="68">
        <v>1728</v>
      </c>
      <c r="E969" s="68">
        <v>1728</v>
      </c>
      <c r="F969" s="67">
        <v>1668</v>
      </c>
      <c r="G969" s="13">
        <f t="shared" si="195"/>
        <v>-60</v>
      </c>
      <c r="H969" s="13">
        <f t="shared" si="196"/>
        <v>-60</v>
      </c>
      <c r="I969" s="73">
        <f t="shared" si="197"/>
        <v>-3.472222222222221E-2</v>
      </c>
      <c r="J969" s="73">
        <f t="shared" si="198"/>
        <v>-3.472222222222221E-2</v>
      </c>
      <c r="K969" s="72" t="str">
        <f t="shared" si="199"/>
        <v>MAJA1</v>
      </c>
      <c r="L969" s="72" t="str">
        <f t="shared" si="200"/>
        <v>JULY-2-MAJA1</v>
      </c>
      <c r="M969" s="73">
        <f t="shared" si="201"/>
        <v>-0.5384998016377488</v>
      </c>
      <c r="N969" s="73">
        <f t="shared" si="202"/>
        <v>-0.5334436682982403</v>
      </c>
      <c r="O969" s="13">
        <f t="shared" si="203"/>
        <v>961485</v>
      </c>
      <c r="P969" s="13">
        <f t="shared" si="204"/>
        <v>962175</v>
      </c>
      <c r="Q969" s="13">
        <f t="shared" si="205"/>
        <v>953140</v>
      </c>
      <c r="R969" s="33">
        <f t="shared" si="206"/>
        <v>-8.679282568110791E-3</v>
      </c>
      <c r="S969" s="33">
        <f t="shared" si="207"/>
        <v>-9.3901836983916187E-3</v>
      </c>
    </row>
    <row r="970" spans="1:19" x14ac:dyDescent="0.25">
      <c r="A970" t="s">
        <v>41</v>
      </c>
      <c r="B970" s="65">
        <v>2</v>
      </c>
      <c r="C970" t="s">
        <v>11</v>
      </c>
      <c r="D970" s="68">
        <v>1080</v>
      </c>
      <c r="E970" s="68">
        <v>1080</v>
      </c>
      <c r="F970" s="67">
        <v>1050</v>
      </c>
      <c r="G970" s="13">
        <f t="shared" si="195"/>
        <v>-30</v>
      </c>
      <c r="H970" s="13">
        <f t="shared" si="196"/>
        <v>-30</v>
      </c>
      <c r="I970" s="73">
        <f t="shared" si="197"/>
        <v>-2.777777777777779E-2</v>
      </c>
      <c r="J970" s="73">
        <f t="shared" si="198"/>
        <v>-2.777777777777779E-2</v>
      </c>
      <c r="K970" s="72" t="str">
        <f t="shared" si="199"/>
        <v>MAJA1</v>
      </c>
      <c r="L970" s="72" t="str">
        <f t="shared" si="200"/>
        <v>JULY-2-MAJA1</v>
      </c>
      <c r="M970" s="73">
        <f t="shared" si="201"/>
        <v>-0.5384998016377488</v>
      </c>
      <c r="N970" s="73">
        <f t="shared" si="202"/>
        <v>-0.5334436682982403</v>
      </c>
      <c r="O970" s="13">
        <f t="shared" si="203"/>
        <v>961485</v>
      </c>
      <c r="P970" s="13">
        <f t="shared" si="204"/>
        <v>962175</v>
      </c>
      <c r="Q970" s="13">
        <f t="shared" si="205"/>
        <v>953140</v>
      </c>
      <c r="R970" s="33">
        <f t="shared" si="206"/>
        <v>-8.679282568110791E-3</v>
      </c>
      <c r="S970" s="33">
        <f t="shared" si="207"/>
        <v>-9.3901836983916187E-3</v>
      </c>
    </row>
    <row r="971" spans="1:19" x14ac:dyDescent="0.25">
      <c r="A971" t="s">
        <v>41</v>
      </c>
      <c r="B971" s="65">
        <v>2</v>
      </c>
      <c r="C971" t="s">
        <v>11</v>
      </c>
      <c r="D971" s="68">
        <v>1080</v>
      </c>
      <c r="E971" s="68">
        <v>1080</v>
      </c>
      <c r="F971" s="67">
        <v>1032</v>
      </c>
      <c r="G971" s="13">
        <f t="shared" si="195"/>
        <v>-48</v>
      </c>
      <c r="H971" s="13">
        <f t="shared" si="196"/>
        <v>-48</v>
      </c>
      <c r="I971" s="73">
        <f t="shared" si="197"/>
        <v>-4.4444444444444398E-2</v>
      </c>
      <c r="J971" s="73">
        <f t="shared" si="198"/>
        <v>-4.4444444444444398E-2</v>
      </c>
      <c r="K971" s="72" t="str">
        <f t="shared" si="199"/>
        <v>MAJA1</v>
      </c>
      <c r="L971" s="72" t="str">
        <f t="shared" si="200"/>
        <v>JULY-2-MAJA1</v>
      </c>
      <c r="M971" s="73">
        <f t="shared" si="201"/>
        <v>-0.5384998016377488</v>
      </c>
      <c r="N971" s="73">
        <f t="shared" si="202"/>
        <v>-0.5334436682982403</v>
      </c>
      <c r="O971" s="13">
        <f t="shared" si="203"/>
        <v>961485</v>
      </c>
      <c r="P971" s="13">
        <f t="shared" si="204"/>
        <v>962175</v>
      </c>
      <c r="Q971" s="13">
        <f t="shared" si="205"/>
        <v>953140</v>
      </c>
      <c r="R971" s="33">
        <f t="shared" si="206"/>
        <v>-8.679282568110791E-3</v>
      </c>
      <c r="S971" s="33">
        <f t="shared" si="207"/>
        <v>-9.3901836983916187E-3</v>
      </c>
    </row>
    <row r="972" spans="1:19" x14ac:dyDescent="0.25">
      <c r="A972" t="s">
        <v>41</v>
      </c>
      <c r="B972" s="65">
        <v>2</v>
      </c>
      <c r="C972" t="s">
        <v>11</v>
      </c>
      <c r="D972" s="68">
        <v>216</v>
      </c>
      <c r="E972" s="68">
        <v>216</v>
      </c>
      <c r="F972" s="67">
        <v>216</v>
      </c>
      <c r="G972" s="13">
        <f t="shared" si="195"/>
        <v>0</v>
      </c>
      <c r="H972" s="13">
        <f t="shared" si="196"/>
        <v>0</v>
      </c>
      <c r="I972" s="73">
        <f t="shared" si="197"/>
        <v>0</v>
      </c>
      <c r="J972" s="73">
        <f t="shared" si="198"/>
        <v>0</v>
      </c>
      <c r="K972" s="72" t="str">
        <f t="shared" si="199"/>
        <v>MAJA1</v>
      </c>
      <c r="L972" s="72" t="str">
        <f t="shared" si="200"/>
        <v>JULY-2-MAJA1</v>
      </c>
      <c r="M972" s="73">
        <f t="shared" si="201"/>
        <v>-0.5384998016377488</v>
      </c>
      <c r="N972" s="73">
        <f t="shared" si="202"/>
        <v>-0.5334436682982403</v>
      </c>
      <c r="O972" s="13">
        <f t="shared" si="203"/>
        <v>961485</v>
      </c>
      <c r="P972" s="13">
        <f t="shared" si="204"/>
        <v>962175</v>
      </c>
      <c r="Q972" s="13">
        <f t="shared" si="205"/>
        <v>953140</v>
      </c>
      <c r="R972" s="33">
        <f t="shared" si="206"/>
        <v>-8.679282568110791E-3</v>
      </c>
      <c r="S972" s="33">
        <f t="shared" si="207"/>
        <v>-9.3901836983916187E-3</v>
      </c>
    </row>
    <row r="973" spans="1:19" x14ac:dyDescent="0.25">
      <c r="A973" t="s">
        <v>41</v>
      </c>
      <c r="B973" s="65">
        <v>2</v>
      </c>
      <c r="C973" t="s">
        <v>11</v>
      </c>
      <c r="D973" s="68">
        <v>252</v>
      </c>
      <c r="E973" s="68">
        <v>254</v>
      </c>
      <c r="F973" s="67">
        <v>244</v>
      </c>
      <c r="G973" s="13">
        <f t="shared" si="195"/>
        <v>-10</v>
      </c>
      <c r="H973" s="13">
        <f t="shared" si="196"/>
        <v>-8</v>
      </c>
      <c r="I973" s="73">
        <f t="shared" si="197"/>
        <v>-3.1746031746031744E-2</v>
      </c>
      <c r="J973" s="73">
        <f t="shared" si="198"/>
        <v>-3.9370078740157521E-2</v>
      </c>
      <c r="K973" s="72" t="str">
        <f t="shared" si="199"/>
        <v>MAJA1</v>
      </c>
      <c r="L973" s="72" t="str">
        <f t="shared" si="200"/>
        <v>JULY-2-MAJA1</v>
      </c>
      <c r="M973" s="73">
        <f t="shared" si="201"/>
        <v>-0.5384998016377488</v>
      </c>
      <c r="N973" s="73">
        <f t="shared" si="202"/>
        <v>-0.5334436682982403</v>
      </c>
      <c r="O973" s="13">
        <f t="shared" si="203"/>
        <v>961485</v>
      </c>
      <c r="P973" s="13">
        <f t="shared" si="204"/>
        <v>962175</v>
      </c>
      <c r="Q973" s="13">
        <f t="shared" si="205"/>
        <v>953140</v>
      </c>
      <c r="R973" s="33">
        <f t="shared" si="206"/>
        <v>-8.679282568110791E-3</v>
      </c>
      <c r="S973" s="33">
        <f t="shared" si="207"/>
        <v>-9.3901836983916187E-3</v>
      </c>
    </row>
    <row r="974" spans="1:19" x14ac:dyDescent="0.25">
      <c r="A974" t="s">
        <v>41</v>
      </c>
      <c r="B974" s="65">
        <v>2</v>
      </c>
      <c r="C974" t="s">
        <v>11</v>
      </c>
      <c r="D974" s="68">
        <v>216</v>
      </c>
      <c r="E974" s="68">
        <v>216</v>
      </c>
      <c r="F974" s="67">
        <v>216</v>
      </c>
      <c r="G974" s="13">
        <f t="shared" si="195"/>
        <v>0</v>
      </c>
      <c r="H974" s="13">
        <f t="shared" si="196"/>
        <v>0</v>
      </c>
      <c r="I974" s="73">
        <f t="shared" si="197"/>
        <v>0</v>
      </c>
      <c r="J974" s="73">
        <f t="shared" si="198"/>
        <v>0</v>
      </c>
      <c r="K974" s="72" t="str">
        <f t="shared" si="199"/>
        <v>MAJA1</v>
      </c>
      <c r="L974" s="72" t="str">
        <f t="shared" si="200"/>
        <v>JULY-2-MAJA1</v>
      </c>
      <c r="M974" s="73">
        <f t="shared" si="201"/>
        <v>-0.5384998016377488</v>
      </c>
      <c r="N974" s="73">
        <f t="shared" si="202"/>
        <v>-0.5334436682982403</v>
      </c>
      <c r="O974" s="13">
        <f t="shared" si="203"/>
        <v>961485</v>
      </c>
      <c r="P974" s="13">
        <f t="shared" si="204"/>
        <v>962175</v>
      </c>
      <c r="Q974" s="13">
        <f t="shared" si="205"/>
        <v>953140</v>
      </c>
      <c r="R974" s="33">
        <f t="shared" si="206"/>
        <v>-8.679282568110791E-3</v>
      </c>
      <c r="S974" s="33">
        <f t="shared" si="207"/>
        <v>-9.3901836983916187E-3</v>
      </c>
    </row>
    <row r="975" spans="1:19" x14ac:dyDescent="0.25">
      <c r="A975" t="s">
        <v>41</v>
      </c>
      <c r="B975" s="65">
        <v>2</v>
      </c>
      <c r="C975" t="s">
        <v>11</v>
      </c>
      <c r="D975" s="68">
        <v>5184</v>
      </c>
      <c r="E975" s="68">
        <v>5184</v>
      </c>
      <c r="F975" s="67">
        <v>5154</v>
      </c>
      <c r="G975" s="13">
        <f t="shared" si="195"/>
        <v>-30</v>
      </c>
      <c r="H975" s="13">
        <f t="shared" si="196"/>
        <v>-30</v>
      </c>
      <c r="I975" s="73">
        <f t="shared" si="197"/>
        <v>-5.7870370370370905E-3</v>
      </c>
      <c r="J975" s="73">
        <f t="shared" si="198"/>
        <v>-5.7870370370370905E-3</v>
      </c>
      <c r="K975" s="72" t="str">
        <f t="shared" si="199"/>
        <v>MAJA1</v>
      </c>
      <c r="L975" s="72" t="str">
        <f t="shared" si="200"/>
        <v>JULY-2-MAJA1</v>
      </c>
      <c r="M975" s="73">
        <f t="shared" si="201"/>
        <v>-0.5384998016377488</v>
      </c>
      <c r="N975" s="73">
        <f t="shared" si="202"/>
        <v>-0.5334436682982403</v>
      </c>
      <c r="O975" s="13">
        <f t="shared" si="203"/>
        <v>961485</v>
      </c>
      <c r="P975" s="13">
        <f t="shared" si="204"/>
        <v>962175</v>
      </c>
      <c r="Q975" s="13">
        <f t="shared" si="205"/>
        <v>953140</v>
      </c>
      <c r="R975" s="33">
        <f t="shared" si="206"/>
        <v>-8.679282568110791E-3</v>
      </c>
      <c r="S975" s="33">
        <f t="shared" si="207"/>
        <v>-9.3901836983916187E-3</v>
      </c>
    </row>
    <row r="976" spans="1:19" x14ac:dyDescent="0.25">
      <c r="A976" t="s">
        <v>41</v>
      </c>
      <c r="B976" s="65">
        <v>2</v>
      </c>
      <c r="C976" t="s">
        <v>11</v>
      </c>
      <c r="D976" s="68">
        <v>2268</v>
      </c>
      <c r="E976" s="68">
        <v>2269</v>
      </c>
      <c r="F976" s="67">
        <v>2181</v>
      </c>
      <c r="G976" s="13">
        <f t="shared" si="195"/>
        <v>-88</v>
      </c>
      <c r="H976" s="13">
        <f t="shared" si="196"/>
        <v>-87</v>
      </c>
      <c r="I976" s="73">
        <f t="shared" si="197"/>
        <v>-3.8359788359788372E-2</v>
      </c>
      <c r="J976" s="73">
        <f t="shared" si="198"/>
        <v>-3.8783605112384323E-2</v>
      </c>
      <c r="K976" s="72" t="str">
        <f t="shared" si="199"/>
        <v>MAJA1</v>
      </c>
      <c r="L976" s="72" t="str">
        <f t="shared" si="200"/>
        <v>JULY-2-MAJA1</v>
      </c>
      <c r="M976" s="73">
        <f t="shared" si="201"/>
        <v>-0.5384998016377488</v>
      </c>
      <c r="N976" s="73">
        <f t="shared" si="202"/>
        <v>-0.5334436682982403</v>
      </c>
      <c r="O976" s="13">
        <f t="shared" si="203"/>
        <v>961485</v>
      </c>
      <c r="P976" s="13">
        <f t="shared" si="204"/>
        <v>962175</v>
      </c>
      <c r="Q976" s="13">
        <f t="shared" si="205"/>
        <v>953140</v>
      </c>
      <c r="R976" s="33">
        <f t="shared" si="206"/>
        <v>-8.679282568110791E-3</v>
      </c>
      <c r="S976" s="33">
        <f t="shared" si="207"/>
        <v>-9.3901836983916187E-3</v>
      </c>
    </row>
    <row r="977" spans="1:19" x14ac:dyDescent="0.25">
      <c r="A977" t="s">
        <v>41</v>
      </c>
      <c r="B977" s="65">
        <v>2</v>
      </c>
      <c r="C977" t="s">
        <v>11</v>
      </c>
      <c r="D977" s="68">
        <v>2376</v>
      </c>
      <c r="E977" s="68">
        <v>2376</v>
      </c>
      <c r="F977" s="67">
        <v>2265</v>
      </c>
      <c r="G977" s="13">
        <f t="shared" si="195"/>
        <v>-111</v>
      </c>
      <c r="H977" s="13">
        <f t="shared" si="196"/>
        <v>-111</v>
      </c>
      <c r="I977" s="73">
        <f t="shared" si="197"/>
        <v>-4.6717171717171713E-2</v>
      </c>
      <c r="J977" s="73">
        <f t="shared" si="198"/>
        <v>-4.6717171717171713E-2</v>
      </c>
      <c r="K977" s="72" t="str">
        <f t="shared" si="199"/>
        <v>MAJA1</v>
      </c>
      <c r="L977" s="72" t="str">
        <f t="shared" si="200"/>
        <v>JULY-2-MAJA1</v>
      </c>
      <c r="M977" s="73">
        <f t="shared" si="201"/>
        <v>-0.5384998016377488</v>
      </c>
      <c r="N977" s="73">
        <f t="shared" si="202"/>
        <v>-0.5334436682982403</v>
      </c>
      <c r="O977" s="13">
        <f t="shared" si="203"/>
        <v>961485</v>
      </c>
      <c r="P977" s="13">
        <f t="shared" si="204"/>
        <v>962175</v>
      </c>
      <c r="Q977" s="13">
        <f t="shared" si="205"/>
        <v>953140</v>
      </c>
      <c r="R977" s="33">
        <f t="shared" si="206"/>
        <v>-8.679282568110791E-3</v>
      </c>
      <c r="S977" s="33">
        <f t="shared" si="207"/>
        <v>-9.3901836983916187E-3</v>
      </c>
    </row>
    <row r="978" spans="1:19" x14ac:dyDescent="0.25">
      <c r="A978" t="s">
        <v>41</v>
      </c>
      <c r="B978" s="65">
        <v>2</v>
      </c>
      <c r="C978" t="s">
        <v>11</v>
      </c>
      <c r="D978" s="68">
        <v>1404</v>
      </c>
      <c r="E978" s="68">
        <v>1406</v>
      </c>
      <c r="F978" s="67">
        <v>1335</v>
      </c>
      <c r="G978" s="13">
        <f t="shared" si="195"/>
        <v>-71</v>
      </c>
      <c r="H978" s="13">
        <f t="shared" si="196"/>
        <v>-69</v>
      </c>
      <c r="I978" s="73">
        <f t="shared" si="197"/>
        <v>-4.9145299145299193E-2</v>
      </c>
      <c r="J978" s="73">
        <f t="shared" si="198"/>
        <v>-5.0497866287339988E-2</v>
      </c>
      <c r="K978" s="72" t="str">
        <f t="shared" si="199"/>
        <v>MAJA1</v>
      </c>
      <c r="L978" s="72" t="str">
        <f t="shared" si="200"/>
        <v>JULY-2-MAJA1</v>
      </c>
      <c r="M978" s="73">
        <f t="shared" si="201"/>
        <v>-0.5384998016377488</v>
      </c>
      <c r="N978" s="73">
        <f t="shared" si="202"/>
        <v>-0.5334436682982403</v>
      </c>
      <c r="O978" s="13">
        <f t="shared" si="203"/>
        <v>961485</v>
      </c>
      <c r="P978" s="13">
        <f t="shared" si="204"/>
        <v>962175</v>
      </c>
      <c r="Q978" s="13">
        <f t="shared" si="205"/>
        <v>953140</v>
      </c>
      <c r="R978" s="33">
        <f t="shared" si="206"/>
        <v>-8.679282568110791E-3</v>
      </c>
      <c r="S978" s="33">
        <f t="shared" si="207"/>
        <v>-9.3901836983916187E-3</v>
      </c>
    </row>
    <row r="979" spans="1:19" x14ac:dyDescent="0.25">
      <c r="A979" t="s">
        <v>41</v>
      </c>
      <c r="B979" s="65">
        <v>2</v>
      </c>
      <c r="C979" t="s">
        <v>11</v>
      </c>
      <c r="D979" s="68">
        <v>2808</v>
      </c>
      <c r="E979" s="68">
        <v>2810</v>
      </c>
      <c r="F979" s="67">
        <v>2679</v>
      </c>
      <c r="G979" s="13">
        <f t="shared" si="195"/>
        <v>-131</v>
      </c>
      <c r="H979" s="13">
        <f t="shared" si="196"/>
        <v>-129</v>
      </c>
      <c r="I979" s="73">
        <f t="shared" si="197"/>
        <v>-4.5940170940170888E-2</v>
      </c>
      <c r="J979" s="73">
        <f t="shared" si="198"/>
        <v>-4.6619217081850572E-2</v>
      </c>
      <c r="K979" s="72" t="str">
        <f t="shared" si="199"/>
        <v>MAJA1</v>
      </c>
      <c r="L979" s="72" t="str">
        <f t="shared" si="200"/>
        <v>JULY-2-MAJA1</v>
      </c>
      <c r="M979" s="73">
        <f t="shared" si="201"/>
        <v>-0.5384998016377488</v>
      </c>
      <c r="N979" s="73">
        <f t="shared" si="202"/>
        <v>-0.5334436682982403</v>
      </c>
      <c r="O979" s="13">
        <f t="shared" si="203"/>
        <v>961485</v>
      </c>
      <c r="P979" s="13">
        <f t="shared" si="204"/>
        <v>962175</v>
      </c>
      <c r="Q979" s="13">
        <f t="shared" si="205"/>
        <v>953140</v>
      </c>
      <c r="R979" s="33">
        <f t="shared" si="206"/>
        <v>-8.679282568110791E-3</v>
      </c>
      <c r="S979" s="33">
        <f t="shared" si="207"/>
        <v>-9.3901836983916187E-3</v>
      </c>
    </row>
    <row r="980" spans="1:19" x14ac:dyDescent="0.25">
      <c r="A980" t="s">
        <v>41</v>
      </c>
      <c r="B980" s="65">
        <v>2</v>
      </c>
      <c r="C980" t="s">
        <v>11</v>
      </c>
      <c r="D980" s="68">
        <v>1296</v>
      </c>
      <c r="E980" s="68">
        <v>1283</v>
      </c>
      <c r="F980" s="67">
        <v>1248</v>
      </c>
      <c r="G980" s="13">
        <f t="shared" si="195"/>
        <v>-35</v>
      </c>
      <c r="H980" s="13">
        <f t="shared" si="196"/>
        <v>-48</v>
      </c>
      <c r="I980" s="73">
        <f t="shared" si="197"/>
        <v>-3.703703703703709E-2</v>
      </c>
      <c r="J980" s="73">
        <f t="shared" si="198"/>
        <v>-2.7279812938425518E-2</v>
      </c>
      <c r="K980" s="72" t="str">
        <f t="shared" si="199"/>
        <v>MAJA1</v>
      </c>
      <c r="L980" s="72" t="str">
        <f t="shared" si="200"/>
        <v>JULY-2-MAJA1</v>
      </c>
      <c r="M980" s="73">
        <f t="shared" si="201"/>
        <v>-0.5384998016377488</v>
      </c>
      <c r="N980" s="73">
        <f t="shared" si="202"/>
        <v>-0.5334436682982403</v>
      </c>
      <c r="O980" s="13">
        <f t="shared" si="203"/>
        <v>961485</v>
      </c>
      <c r="P980" s="13">
        <f t="shared" si="204"/>
        <v>962175</v>
      </c>
      <c r="Q980" s="13">
        <f t="shared" si="205"/>
        <v>953140</v>
      </c>
      <c r="R980" s="33">
        <f t="shared" si="206"/>
        <v>-8.679282568110791E-3</v>
      </c>
      <c r="S980" s="33">
        <f t="shared" si="207"/>
        <v>-9.3901836983916187E-3</v>
      </c>
    </row>
    <row r="981" spans="1:19" x14ac:dyDescent="0.25">
      <c r="A981" t="s">
        <v>41</v>
      </c>
      <c r="B981" s="65">
        <v>2</v>
      </c>
      <c r="C981" t="s">
        <v>11</v>
      </c>
      <c r="D981" s="68">
        <v>7344</v>
      </c>
      <c r="E981" s="68">
        <v>7344</v>
      </c>
      <c r="F981" s="67">
        <v>7221</v>
      </c>
      <c r="G981" s="13">
        <f t="shared" si="195"/>
        <v>-123</v>
      </c>
      <c r="H981" s="13">
        <f t="shared" si="196"/>
        <v>-123</v>
      </c>
      <c r="I981" s="73">
        <f t="shared" si="197"/>
        <v>-1.6748366013071947E-2</v>
      </c>
      <c r="J981" s="73">
        <f t="shared" si="198"/>
        <v>-1.6748366013071947E-2</v>
      </c>
      <c r="K981" s="72" t="str">
        <f t="shared" si="199"/>
        <v>MAJA1</v>
      </c>
      <c r="L981" s="72" t="str">
        <f t="shared" si="200"/>
        <v>JULY-2-MAJA1</v>
      </c>
      <c r="M981" s="73">
        <f t="shared" si="201"/>
        <v>-0.5384998016377488</v>
      </c>
      <c r="N981" s="73">
        <f t="shared" si="202"/>
        <v>-0.5334436682982403</v>
      </c>
      <c r="O981" s="13">
        <f t="shared" si="203"/>
        <v>961485</v>
      </c>
      <c r="P981" s="13">
        <f t="shared" si="204"/>
        <v>962175</v>
      </c>
      <c r="Q981" s="13">
        <f t="shared" si="205"/>
        <v>953140</v>
      </c>
      <c r="R981" s="33">
        <f t="shared" si="206"/>
        <v>-8.679282568110791E-3</v>
      </c>
      <c r="S981" s="33">
        <f t="shared" si="207"/>
        <v>-9.3901836983916187E-3</v>
      </c>
    </row>
    <row r="982" spans="1:19" x14ac:dyDescent="0.25">
      <c r="A982" t="s">
        <v>41</v>
      </c>
      <c r="B982" s="65">
        <v>2</v>
      </c>
      <c r="C982" t="s">
        <v>11</v>
      </c>
      <c r="D982" s="68">
        <v>324</v>
      </c>
      <c r="E982" s="68">
        <v>324</v>
      </c>
      <c r="F982" s="67">
        <v>324</v>
      </c>
      <c r="G982" s="13">
        <f t="shared" si="195"/>
        <v>0</v>
      </c>
      <c r="H982" s="13">
        <f t="shared" si="196"/>
        <v>0</v>
      </c>
      <c r="I982" s="73">
        <f t="shared" si="197"/>
        <v>0</v>
      </c>
      <c r="J982" s="73">
        <f t="shared" si="198"/>
        <v>0</v>
      </c>
      <c r="K982" s="72" t="str">
        <f t="shared" si="199"/>
        <v>MAJA1</v>
      </c>
      <c r="L982" s="72" t="str">
        <f t="shared" si="200"/>
        <v>JULY-2-MAJA1</v>
      </c>
      <c r="M982" s="73">
        <f t="shared" si="201"/>
        <v>-0.5384998016377488</v>
      </c>
      <c r="N982" s="73">
        <f t="shared" si="202"/>
        <v>-0.5334436682982403</v>
      </c>
      <c r="O982" s="13">
        <f t="shared" si="203"/>
        <v>961485</v>
      </c>
      <c r="P982" s="13">
        <f t="shared" si="204"/>
        <v>962175</v>
      </c>
      <c r="Q982" s="13">
        <f t="shared" si="205"/>
        <v>953140</v>
      </c>
      <c r="R982" s="33">
        <f t="shared" si="206"/>
        <v>-8.679282568110791E-3</v>
      </c>
      <c r="S982" s="33">
        <f t="shared" si="207"/>
        <v>-9.3901836983916187E-3</v>
      </c>
    </row>
    <row r="983" spans="1:19" x14ac:dyDescent="0.25">
      <c r="A983" t="s">
        <v>41</v>
      </c>
      <c r="B983" s="65">
        <v>2</v>
      </c>
      <c r="C983" t="s">
        <v>11</v>
      </c>
      <c r="D983" s="68">
        <v>864</v>
      </c>
      <c r="E983" s="68">
        <v>864</v>
      </c>
      <c r="F983" s="67">
        <v>864</v>
      </c>
      <c r="G983" s="13">
        <f t="shared" si="195"/>
        <v>0</v>
      </c>
      <c r="H983" s="13">
        <f t="shared" si="196"/>
        <v>0</v>
      </c>
      <c r="I983" s="73">
        <f t="shared" si="197"/>
        <v>0</v>
      </c>
      <c r="J983" s="73">
        <f t="shared" si="198"/>
        <v>0</v>
      </c>
      <c r="K983" s="72" t="str">
        <f t="shared" si="199"/>
        <v>MAJA1</v>
      </c>
      <c r="L983" s="72" t="str">
        <f t="shared" si="200"/>
        <v>JULY-2-MAJA1</v>
      </c>
      <c r="M983" s="73">
        <f t="shared" si="201"/>
        <v>-0.5384998016377488</v>
      </c>
      <c r="N983" s="73">
        <f t="shared" si="202"/>
        <v>-0.5334436682982403</v>
      </c>
      <c r="O983" s="13">
        <f t="shared" si="203"/>
        <v>961485</v>
      </c>
      <c r="P983" s="13">
        <f t="shared" si="204"/>
        <v>962175</v>
      </c>
      <c r="Q983" s="13">
        <f t="shared" si="205"/>
        <v>953140</v>
      </c>
      <c r="R983" s="33">
        <f t="shared" si="206"/>
        <v>-8.679282568110791E-3</v>
      </c>
      <c r="S983" s="33">
        <f t="shared" si="207"/>
        <v>-9.3901836983916187E-3</v>
      </c>
    </row>
    <row r="984" spans="1:19" x14ac:dyDescent="0.25">
      <c r="A984" t="s">
        <v>41</v>
      </c>
      <c r="B984" s="65">
        <v>2</v>
      </c>
      <c r="C984" t="s">
        <v>11</v>
      </c>
      <c r="D984" s="68">
        <v>4860</v>
      </c>
      <c r="E984" s="68">
        <v>4860</v>
      </c>
      <c r="F984" s="67">
        <v>4800</v>
      </c>
      <c r="G984" s="13">
        <f t="shared" si="195"/>
        <v>-60</v>
      </c>
      <c r="H984" s="13">
        <f t="shared" si="196"/>
        <v>-60</v>
      </c>
      <c r="I984" s="73">
        <f t="shared" si="197"/>
        <v>-1.2345679012345734E-2</v>
      </c>
      <c r="J984" s="73">
        <f t="shared" si="198"/>
        <v>-1.2345679012345734E-2</v>
      </c>
      <c r="K984" s="72" t="str">
        <f t="shared" si="199"/>
        <v>MAJA1</v>
      </c>
      <c r="L984" s="72" t="str">
        <f t="shared" si="200"/>
        <v>JULY-2-MAJA1</v>
      </c>
      <c r="M984" s="73">
        <f t="shared" si="201"/>
        <v>-0.5384998016377488</v>
      </c>
      <c r="N984" s="73">
        <f t="shared" si="202"/>
        <v>-0.5334436682982403</v>
      </c>
      <c r="O984" s="13">
        <f t="shared" si="203"/>
        <v>961485</v>
      </c>
      <c r="P984" s="13">
        <f t="shared" si="204"/>
        <v>962175</v>
      </c>
      <c r="Q984" s="13">
        <f t="shared" si="205"/>
        <v>953140</v>
      </c>
      <c r="R984" s="33">
        <f t="shared" si="206"/>
        <v>-8.679282568110791E-3</v>
      </c>
      <c r="S984" s="33">
        <f t="shared" si="207"/>
        <v>-9.3901836983916187E-3</v>
      </c>
    </row>
    <row r="985" spans="1:19" x14ac:dyDescent="0.25">
      <c r="A985" t="s">
        <v>41</v>
      </c>
      <c r="B985" s="65">
        <v>2</v>
      </c>
      <c r="C985" t="s">
        <v>11</v>
      </c>
      <c r="D985" s="68">
        <v>324</v>
      </c>
      <c r="E985" s="68">
        <v>324</v>
      </c>
      <c r="F985" s="67">
        <v>324</v>
      </c>
      <c r="G985" s="13">
        <f t="shared" si="195"/>
        <v>0</v>
      </c>
      <c r="H985" s="13">
        <f t="shared" si="196"/>
        <v>0</v>
      </c>
      <c r="I985" s="73">
        <f t="shared" si="197"/>
        <v>0</v>
      </c>
      <c r="J985" s="73">
        <f t="shared" si="198"/>
        <v>0</v>
      </c>
      <c r="K985" s="72" t="str">
        <f t="shared" si="199"/>
        <v>MAJA1</v>
      </c>
      <c r="L985" s="72" t="str">
        <f t="shared" si="200"/>
        <v>JULY-2-MAJA1</v>
      </c>
      <c r="M985" s="73">
        <f t="shared" si="201"/>
        <v>-0.5384998016377488</v>
      </c>
      <c r="N985" s="73">
        <f t="shared" si="202"/>
        <v>-0.5334436682982403</v>
      </c>
      <c r="O985" s="13">
        <f t="shared" si="203"/>
        <v>961485</v>
      </c>
      <c r="P985" s="13">
        <f t="shared" si="204"/>
        <v>962175</v>
      </c>
      <c r="Q985" s="13">
        <f t="shared" si="205"/>
        <v>953140</v>
      </c>
      <c r="R985" s="33">
        <f t="shared" si="206"/>
        <v>-8.679282568110791E-3</v>
      </c>
      <c r="S985" s="33">
        <f t="shared" si="207"/>
        <v>-9.3901836983916187E-3</v>
      </c>
    </row>
    <row r="986" spans="1:19" x14ac:dyDescent="0.25">
      <c r="A986" t="s">
        <v>41</v>
      </c>
      <c r="B986" s="65">
        <v>2</v>
      </c>
      <c r="C986" t="s">
        <v>11</v>
      </c>
      <c r="D986" s="68">
        <v>1152</v>
      </c>
      <c r="E986" s="68">
        <v>1152</v>
      </c>
      <c r="F986" s="67">
        <v>1152</v>
      </c>
      <c r="G986" s="13">
        <f t="shared" si="195"/>
        <v>0</v>
      </c>
      <c r="H986" s="13">
        <f t="shared" si="196"/>
        <v>0</v>
      </c>
      <c r="I986" s="73">
        <f t="shared" si="197"/>
        <v>0</v>
      </c>
      <c r="J986" s="73">
        <f t="shared" si="198"/>
        <v>0</v>
      </c>
      <c r="K986" s="72" t="str">
        <f t="shared" si="199"/>
        <v>MAJA1</v>
      </c>
      <c r="L986" s="72" t="str">
        <f t="shared" si="200"/>
        <v>JULY-2-MAJA1</v>
      </c>
      <c r="M986" s="73">
        <f t="shared" si="201"/>
        <v>-0.5384998016377488</v>
      </c>
      <c r="N986" s="73">
        <f t="shared" si="202"/>
        <v>-0.5334436682982403</v>
      </c>
      <c r="O986" s="13">
        <f t="shared" si="203"/>
        <v>961485</v>
      </c>
      <c r="P986" s="13">
        <f t="shared" si="204"/>
        <v>962175</v>
      </c>
      <c r="Q986" s="13">
        <f t="shared" si="205"/>
        <v>953140</v>
      </c>
      <c r="R986" s="33">
        <f t="shared" si="206"/>
        <v>-8.679282568110791E-3</v>
      </c>
      <c r="S986" s="33">
        <f t="shared" si="207"/>
        <v>-9.3901836983916187E-3</v>
      </c>
    </row>
    <row r="987" spans="1:19" x14ac:dyDescent="0.25">
      <c r="A987" t="s">
        <v>41</v>
      </c>
      <c r="B987" s="65">
        <v>2</v>
      </c>
      <c r="C987" t="s">
        <v>11</v>
      </c>
      <c r="D987" s="68">
        <v>17172</v>
      </c>
      <c r="E987" s="68">
        <v>17137</v>
      </c>
      <c r="F987" s="67">
        <v>16941</v>
      </c>
      <c r="G987" s="13">
        <f t="shared" si="195"/>
        <v>-196</v>
      </c>
      <c r="H987" s="13">
        <f t="shared" si="196"/>
        <v>-231</v>
      </c>
      <c r="I987" s="73">
        <f t="shared" si="197"/>
        <v>-1.3452131376659682E-2</v>
      </c>
      <c r="J987" s="73">
        <f t="shared" si="198"/>
        <v>-1.1437241057361214E-2</v>
      </c>
      <c r="K987" s="72" t="str">
        <f t="shared" si="199"/>
        <v>MAJA1</v>
      </c>
      <c r="L987" s="72" t="str">
        <f t="shared" si="200"/>
        <v>JULY-2-MAJA1</v>
      </c>
      <c r="M987" s="73">
        <f t="shared" si="201"/>
        <v>-0.5384998016377488</v>
      </c>
      <c r="N987" s="73">
        <f t="shared" si="202"/>
        <v>-0.5334436682982403</v>
      </c>
      <c r="O987" s="13">
        <f t="shared" si="203"/>
        <v>961485</v>
      </c>
      <c r="P987" s="13">
        <f t="shared" si="204"/>
        <v>962175</v>
      </c>
      <c r="Q987" s="13">
        <f t="shared" si="205"/>
        <v>953140</v>
      </c>
      <c r="R987" s="33">
        <f t="shared" si="206"/>
        <v>-8.679282568110791E-3</v>
      </c>
      <c r="S987" s="33">
        <f t="shared" si="207"/>
        <v>-9.3901836983916187E-3</v>
      </c>
    </row>
    <row r="988" spans="1:19" x14ac:dyDescent="0.25">
      <c r="A988" t="s">
        <v>41</v>
      </c>
      <c r="B988" s="65">
        <v>2</v>
      </c>
      <c r="C988" t="s">
        <v>11</v>
      </c>
      <c r="D988" s="68">
        <v>2160</v>
      </c>
      <c r="E988" s="68">
        <v>2160</v>
      </c>
      <c r="F988" s="67">
        <v>2121</v>
      </c>
      <c r="G988" s="13">
        <f t="shared" si="195"/>
        <v>-39</v>
      </c>
      <c r="H988" s="13">
        <f t="shared" si="196"/>
        <v>-39</v>
      </c>
      <c r="I988" s="73">
        <f t="shared" si="197"/>
        <v>-1.8055555555555602E-2</v>
      </c>
      <c r="J988" s="73">
        <f t="shared" si="198"/>
        <v>-1.8055555555555602E-2</v>
      </c>
      <c r="K988" s="72" t="str">
        <f t="shared" si="199"/>
        <v>MAJA1</v>
      </c>
      <c r="L988" s="72" t="str">
        <f t="shared" si="200"/>
        <v>JULY-2-MAJA1</v>
      </c>
      <c r="M988" s="73">
        <f t="shared" si="201"/>
        <v>-0.5384998016377488</v>
      </c>
      <c r="N988" s="73">
        <f t="shared" si="202"/>
        <v>-0.5334436682982403</v>
      </c>
      <c r="O988" s="13">
        <f t="shared" si="203"/>
        <v>961485</v>
      </c>
      <c r="P988" s="13">
        <f t="shared" si="204"/>
        <v>962175</v>
      </c>
      <c r="Q988" s="13">
        <f t="shared" si="205"/>
        <v>953140</v>
      </c>
      <c r="R988" s="33">
        <f t="shared" si="206"/>
        <v>-8.679282568110791E-3</v>
      </c>
      <c r="S988" s="33">
        <f t="shared" si="207"/>
        <v>-9.3901836983916187E-3</v>
      </c>
    </row>
    <row r="989" spans="1:19" x14ac:dyDescent="0.25">
      <c r="A989" t="s">
        <v>41</v>
      </c>
      <c r="B989" s="65">
        <v>2</v>
      </c>
      <c r="C989" t="s">
        <v>13</v>
      </c>
      <c r="D989" s="68">
        <v>50220</v>
      </c>
      <c r="E989" s="68">
        <v>50751</v>
      </c>
      <c r="F989" s="67">
        <v>50508</v>
      </c>
      <c r="G989" s="13">
        <f t="shared" si="195"/>
        <v>-243</v>
      </c>
      <c r="H989" s="13">
        <f t="shared" si="196"/>
        <v>288</v>
      </c>
      <c r="I989" s="73">
        <f t="shared" si="197"/>
        <v>5.734767025089571E-3</v>
      </c>
      <c r="J989" s="73">
        <f t="shared" si="198"/>
        <v>-4.7880829934385805E-3</v>
      </c>
      <c r="K989" s="72" t="str">
        <f t="shared" si="199"/>
        <v>KALIBENDA</v>
      </c>
      <c r="L989" s="72" t="str">
        <f t="shared" si="200"/>
        <v>JULY-2-KALIBENDA</v>
      </c>
      <c r="M989" s="73">
        <f t="shared" si="201"/>
        <v>-4.8049799647486791E-2</v>
      </c>
      <c r="N989" s="73">
        <f t="shared" si="202"/>
        <v>-5.8572649666014942E-2</v>
      </c>
      <c r="O989" s="13">
        <f t="shared" si="203"/>
        <v>961485</v>
      </c>
      <c r="P989" s="13">
        <f t="shared" si="204"/>
        <v>962175</v>
      </c>
      <c r="Q989" s="13">
        <f t="shared" si="205"/>
        <v>953140</v>
      </c>
      <c r="R989" s="33">
        <f t="shared" si="206"/>
        <v>-8.679282568110791E-3</v>
      </c>
      <c r="S989" s="33">
        <f t="shared" si="207"/>
        <v>-9.3901836983916187E-3</v>
      </c>
    </row>
    <row r="990" spans="1:19" x14ac:dyDescent="0.25">
      <c r="A990" t="s">
        <v>41</v>
      </c>
      <c r="B990" s="65">
        <v>2</v>
      </c>
      <c r="C990" t="s">
        <v>13</v>
      </c>
      <c r="D990" s="68">
        <v>3996</v>
      </c>
      <c r="E990" s="68">
        <v>3996</v>
      </c>
      <c r="F990" s="67">
        <v>3987</v>
      </c>
      <c r="G990" s="13">
        <f t="shared" si="195"/>
        <v>-9</v>
      </c>
      <c r="H990" s="13">
        <f t="shared" si="196"/>
        <v>-9</v>
      </c>
      <c r="I990" s="73">
        <f t="shared" si="197"/>
        <v>-2.2522522522522292E-3</v>
      </c>
      <c r="J990" s="73">
        <f t="shared" si="198"/>
        <v>-2.2522522522522292E-3</v>
      </c>
      <c r="K990" s="72" t="str">
        <f t="shared" si="199"/>
        <v>KALIBENDA</v>
      </c>
      <c r="L990" s="72" t="str">
        <f t="shared" si="200"/>
        <v>JULY-2-KALIBENDA</v>
      </c>
      <c r="M990" s="73">
        <f t="shared" si="201"/>
        <v>-4.8049799647486791E-2</v>
      </c>
      <c r="N990" s="73">
        <f t="shared" si="202"/>
        <v>-5.8572649666014942E-2</v>
      </c>
      <c r="O990" s="13">
        <f t="shared" si="203"/>
        <v>961485</v>
      </c>
      <c r="P990" s="13">
        <f t="shared" si="204"/>
        <v>962175</v>
      </c>
      <c r="Q990" s="13">
        <f t="shared" si="205"/>
        <v>953140</v>
      </c>
      <c r="R990" s="33">
        <f t="shared" si="206"/>
        <v>-8.679282568110791E-3</v>
      </c>
      <c r="S990" s="33">
        <f t="shared" si="207"/>
        <v>-9.3901836983916187E-3</v>
      </c>
    </row>
    <row r="991" spans="1:19" x14ac:dyDescent="0.25">
      <c r="A991" t="s">
        <v>41</v>
      </c>
      <c r="B991" s="65">
        <v>2</v>
      </c>
      <c r="C991" t="s">
        <v>13</v>
      </c>
      <c r="D991" s="68">
        <v>20088</v>
      </c>
      <c r="E991" s="68">
        <v>20088</v>
      </c>
      <c r="F991" s="67">
        <v>19920</v>
      </c>
      <c r="G991" s="13">
        <f t="shared" si="195"/>
        <v>-168</v>
      </c>
      <c r="H991" s="13">
        <f t="shared" si="196"/>
        <v>-168</v>
      </c>
      <c r="I991" s="73">
        <f t="shared" si="197"/>
        <v>-8.3632019115890133E-3</v>
      </c>
      <c r="J991" s="73">
        <f t="shared" si="198"/>
        <v>-8.3632019115890133E-3</v>
      </c>
      <c r="K991" s="72" t="str">
        <f t="shared" si="199"/>
        <v>KALIBENDA</v>
      </c>
      <c r="L991" s="72" t="str">
        <f t="shared" si="200"/>
        <v>JULY-2-KALIBENDA</v>
      </c>
      <c r="M991" s="73">
        <f t="shared" si="201"/>
        <v>-4.8049799647486791E-2</v>
      </c>
      <c r="N991" s="73">
        <f t="shared" si="202"/>
        <v>-5.8572649666014942E-2</v>
      </c>
      <c r="O991" s="13">
        <f t="shared" si="203"/>
        <v>961485</v>
      </c>
      <c r="P991" s="13">
        <f t="shared" si="204"/>
        <v>962175</v>
      </c>
      <c r="Q991" s="13">
        <f t="shared" si="205"/>
        <v>953140</v>
      </c>
      <c r="R991" s="33">
        <f t="shared" si="206"/>
        <v>-8.679282568110791E-3</v>
      </c>
      <c r="S991" s="33">
        <f t="shared" si="207"/>
        <v>-9.3901836983916187E-3</v>
      </c>
    </row>
    <row r="992" spans="1:19" x14ac:dyDescent="0.25">
      <c r="A992" t="s">
        <v>41</v>
      </c>
      <c r="B992" s="65">
        <v>2</v>
      </c>
      <c r="C992" t="s">
        <v>13</v>
      </c>
      <c r="D992" s="68">
        <v>2160</v>
      </c>
      <c r="E992" s="68">
        <v>2160</v>
      </c>
      <c r="F992" s="67">
        <v>2142</v>
      </c>
      <c r="G992" s="13">
        <f t="shared" si="195"/>
        <v>-18</v>
      </c>
      <c r="H992" s="13">
        <f t="shared" si="196"/>
        <v>-18</v>
      </c>
      <c r="I992" s="73">
        <f t="shared" si="197"/>
        <v>-8.3333333333333037E-3</v>
      </c>
      <c r="J992" s="73">
        <f t="shared" si="198"/>
        <v>-8.3333333333333037E-3</v>
      </c>
      <c r="K992" s="72" t="str">
        <f t="shared" si="199"/>
        <v>KALIBENDA</v>
      </c>
      <c r="L992" s="72" t="str">
        <f t="shared" si="200"/>
        <v>JULY-2-KALIBENDA</v>
      </c>
      <c r="M992" s="73">
        <f t="shared" si="201"/>
        <v>-4.8049799647486791E-2</v>
      </c>
      <c r="N992" s="73">
        <f t="shared" si="202"/>
        <v>-5.8572649666014942E-2</v>
      </c>
      <c r="O992" s="13">
        <f t="shared" si="203"/>
        <v>961485</v>
      </c>
      <c r="P992" s="13">
        <f t="shared" si="204"/>
        <v>962175</v>
      </c>
      <c r="Q992" s="13">
        <f t="shared" si="205"/>
        <v>953140</v>
      </c>
      <c r="R992" s="33">
        <f t="shared" si="206"/>
        <v>-8.679282568110791E-3</v>
      </c>
      <c r="S992" s="33">
        <f t="shared" si="207"/>
        <v>-9.3901836983916187E-3</v>
      </c>
    </row>
    <row r="993" spans="1:19" x14ac:dyDescent="0.25">
      <c r="A993" t="s">
        <v>41</v>
      </c>
      <c r="B993" s="65">
        <v>2</v>
      </c>
      <c r="C993" t="s">
        <v>13</v>
      </c>
      <c r="D993" s="68">
        <v>17172</v>
      </c>
      <c r="E993" s="68">
        <v>17172</v>
      </c>
      <c r="F993" s="67">
        <v>16860</v>
      </c>
      <c r="G993" s="13">
        <f t="shared" si="195"/>
        <v>-312</v>
      </c>
      <c r="H993" s="13">
        <f t="shared" si="196"/>
        <v>-312</v>
      </c>
      <c r="I993" s="73">
        <f t="shared" si="197"/>
        <v>-1.8169112508735097E-2</v>
      </c>
      <c r="J993" s="73">
        <f t="shared" si="198"/>
        <v>-1.8169112508735097E-2</v>
      </c>
      <c r="K993" s="72" t="str">
        <f t="shared" si="199"/>
        <v>KALIBENDA</v>
      </c>
      <c r="L993" s="72" t="str">
        <f t="shared" si="200"/>
        <v>JULY-2-KALIBENDA</v>
      </c>
      <c r="M993" s="73">
        <f t="shared" si="201"/>
        <v>-4.8049799647486791E-2</v>
      </c>
      <c r="N993" s="73">
        <f t="shared" si="202"/>
        <v>-5.8572649666014942E-2</v>
      </c>
      <c r="O993" s="13">
        <f t="shared" si="203"/>
        <v>961485</v>
      </c>
      <c r="P993" s="13">
        <f t="shared" si="204"/>
        <v>962175</v>
      </c>
      <c r="Q993" s="13">
        <f t="shared" si="205"/>
        <v>953140</v>
      </c>
      <c r="R993" s="33">
        <f t="shared" si="206"/>
        <v>-8.679282568110791E-3</v>
      </c>
      <c r="S993" s="33">
        <f t="shared" si="207"/>
        <v>-9.3901836983916187E-3</v>
      </c>
    </row>
    <row r="994" spans="1:19" x14ac:dyDescent="0.25">
      <c r="A994" t="s">
        <v>41</v>
      </c>
      <c r="B994" s="65">
        <v>2</v>
      </c>
      <c r="C994" t="s">
        <v>13</v>
      </c>
      <c r="D994" s="68">
        <v>2160</v>
      </c>
      <c r="E994" s="68">
        <v>2160</v>
      </c>
      <c r="F994" s="67">
        <v>2124</v>
      </c>
      <c r="G994" s="13">
        <f t="shared" si="195"/>
        <v>-36</v>
      </c>
      <c r="H994" s="13">
        <f t="shared" si="196"/>
        <v>-36</v>
      </c>
      <c r="I994" s="73">
        <f t="shared" si="197"/>
        <v>-1.6666666666666718E-2</v>
      </c>
      <c r="J994" s="73">
        <f t="shared" si="198"/>
        <v>-1.6666666666666718E-2</v>
      </c>
      <c r="K994" s="72" t="str">
        <f t="shared" si="199"/>
        <v>KALIBENDA</v>
      </c>
      <c r="L994" s="72" t="str">
        <f t="shared" si="200"/>
        <v>JULY-2-KALIBENDA</v>
      </c>
      <c r="M994" s="73">
        <f t="shared" si="201"/>
        <v>-4.8049799647486791E-2</v>
      </c>
      <c r="N994" s="73">
        <f t="shared" si="202"/>
        <v>-5.8572649666014942E-2</v>
      </c>
      <c r="O994" s="13">
        <f t="shared" si="203"/>
        <v>961485</v>
      </c>
      <c r="P994" s="13">
        <f t="shared" si="204"/>
        <v>962175</v>
      </c>
      <c r="Q994" s="13">
        <f t="shared" si="205"/>
        <v>953140</v>
      </c>
      <c r="R994" s="33">
        <f t="shared" si="206"/>
        <v>-8.679282568110791E-3</v>
      </c>
      <c r="S994" s="33">
        <f t="shared" si="207"/>
        <v>-9.3901836983916187E-3</v>
      </c>
    </row>
    <row r="995" spans="1:19" x14ac:dyDescent="0.25">
      <c r="A995" t="s">
        <v>41</v>
      </c>
      <c r="B995" s="65">
        <v>3</v>
      </c>
      <c r="C995" t="s">
        <v>15</v>
      </c>
      <c r="D995" s="70">
        <v>75</v>
      </c>
      <c r="E995" s="70">
        <v>75</v>
      </c>
      <c r="F995" s="68">
        <v>75</v>
      </c>
      <c r="G995" s="13">
        <f t="shared" si="195"/>
        <v>0</v>
      </c>
      <c r="H995" s="13">
        <f t="shared" si="196"/>
        <v>0</v>
      </c>
      <c r="I995" s="73">
        <f t="shared" si="197"/>
        <v>0</v>
      </c>
      <c r="J995" s="73">
        <f t="shared" si="198"/>
        <v>0</v>
      </c>
      <c r="K995" s="72" t="str">
        <f t="shared" si="199"/>
        <v>CHAWAN</v>
      </c>
      <c r="L995" s="72" t="str">
        <f t="shared" si="200"/>
        <v>JULY-3-CHAWAN</v>
      </c>
      <c r="M995" s="73">
        <f t="shared" si="201"/>
        <v>-1.1494252873563204E-2</v>
      </c>
      <c r="N995" s="73">
        <f t="shared" si="202"/>
        <v>-1.1494252873563204E-2</v>
      </c>
      <c r="O995" s="13">
        <f t="shared" si="203"/>
        <v>961485</v>
      </c>
      <c r="P995" s="13">
        <f t="shared" si="204"/>
        <v>962175</v>
      </c>
      <c r="Q995" s="13">
        <f t="shared" si="205"/>
        <v>953140</v>
      </c>
      <c r="R995" s="33">
        <f t="shared" si="206"/>
        <v>-8.679282568110791E-3</v>
      </c>
      <c r="S995" s="33">
        <f t="shared" si="207"/>
        <v>-9.3901836983916187E-3</v>
      </c>
    </row>
    <row r="996" spans="1:19" x14ac:dyDescent="0.25">
      <c r="A996" t="s">
        <v>41</v>
      </c>
      <c r="B996" s="65">
        <v>3</v>
      </c>
      <c r="C996" t="s">
        <v>15</v>
      </c>
      <c r="D996" s="68">
        <v>435</v>
      </c>
      <c r="E996" s="68">
        <v>435</v>
      </c>
      <c r="F996" s="68">
        <v>430</v>
      </c>
      <c r="G996" s="13">
        <f t="shared" si="195"/>
        <v>-5</v>
      </c>
      <c r="H996" s="13">
        <f t="shared" si="196"/>
        <v>-5</v>
      </c>
      <c r="I996" s="73">
        <f t="shared" si="197"/>
        <v>-1.1494252873563204E-2</v>
      </c>
      <c r="J996" s="73">
        <f t="shared" si="198"/>
        <v>-1.1494252873563204E-2</v>
      </c>
      <c r="K996" s="72" t="str">
        <f t="shared" si="199"/>
        <v>CHAWAN</v>
      </c>
      <c r="L996" s="72" t="str">
        <f t="shared" si="200"/>
        <v>JULY-3-CHAWAN</v>
      </c>
      <c r="M996" s="73">
        <f t="shared" si="201"/>
        <v>-1.1494252873563204E-2</v>
      </c>
      <c r="N996" s="73">
        <f t="shared" si="202"/>
        <v>-1.1494252873563204E-2</v>
      </c>
      <c r="O996" s="13">
        <f t="shared" si="203"/>
        <v>961485</v>
      </c>
      <c r="P996" s="13">
        <f t="shared" si="204"/>
        <v>962175</v>
      </c>
      <c r="Q996" s="13">
        <f t="shared" si="205"/>
        <v>953140</v>
      </c>
      <c r="R996" s="33">
        <f t="shared" si="206"/>
        <v>-8.679282568110791E-3</v>
      </c>
      <c r="S996" s="33">
        <f t="shared" si="207"/>
        <v>-9.3901836983916187E-3</v>
      </c>
    </row>
    <row r="997" spans="1:19" x14ac:dyDescent="0.25">
      <c r="A997" t="s">
        <v>41</v>
      </c>
      <c r="B997" s="65">
        <v>3</v>
      </c>
      <c r="C997" t="s">
        <v>11</v>
      </c>
      <c r="D997" s="68">
        <v>830</v>
      </c>
      <c r="E997" s="68">
        <v>830</v>
      </c>
      <c r="F997" s="68">
        <v>824</v>
      </c>
      <c r="G997" s="13">
        <f t="shared" si="195"/>
        <v>-6</v>
      </c>
      <c r="H997" s="13">
        <f t="shared" si="196"/>
        <v>-6</v>
      </c>
      <c r="I997" s="73">
        <f t="shared" si="197"/>
        <v>-7.2289156626506035E-3</v>
      </c>
      <c r="J997" s="73">
        <f t="shared" si="198"/>
        <v>-7.2289156626506035E-3</v>
      </c>
      <c r="K997" s="72" t="str">
        <f t="shared" si="199"/>
        <v>MAJA1</v>
      </c>
      <c r="L997" s="72" t="str">
        <f t="shared" si="200"/>
        <v>JULY-3-MAJA1</v>
      </c>
      <c r="M997" s="73">
        <f t="shared" si="201"/>
        <v>-2.6506024096385583E-2</v>
      </c>
      <c r="N997" s="73">
        <f t="shared" si="202"/>
        <v>-4.8776884114051233E-2</v>
      </c>
      <c r="O997" s="13">
        <f t="shared" si="203"/>
        <v>961485</v>
      </c>
      <c r="P997" s="13">
        <f t="shared" si="204"/>
        <v>962175</v>
      </c>
      <c r="Q997" s="13">
        <f t="shared" si="205"/>
        <v>953140</v>
      </c>
      <c r="R997" s="33">
        <f t="shared" si="206"/>
        <v>-8.679282568110791E-3</v>
      </c>
      <c r="S997" s="33">
        <f t="shared" si="207"/>
        <v>-9.3901836983916187E-3</v>
      </c>
    </row>
    <row r="998" spans="1:19" x14ac:dyDescent="0.25">
      <c r="A998" t="s">
        <v>41</v>
      </c>
      <c r="B998" s="65">
        <v>3</v>
      </c>
      <c r="C998" t="s">
        <v>11</v>
      </c>
      <c r="D998" s="68">
        <v>830</v>
      </c>
      <c r="E998" s="68">
        <v>830</v>
      </c>
      <c r="F998" s="68">
        <v>814</v>
      </c>
      <c r="G998" s="13">
        <f t="shared" si="195"/>
        <v>-16</v>
      </c>
      <c r="H998" s="13">
        <f t="shared" si="196"/>
        <v>-16</v>
      </c>
      <c r="I998" s="73">
        <f t="shared" si="197"/>
        <v>-1.927710843373498E-2</v>
      </c>
      <c r="J998" s="73">
        <f t="shared" si="198"/>
        <v>-1.927710843373498E-2</v>
      </c>
      <c r="K998" s="72" t="str">
        <f t="shared" si="199"/>
        <v>MAJA1</v>
      </c>
      <c r="L998" s="72" t="str">
        <f t="shared" si="200"/>
        <v>JULY-3-MAJA1</v>
      </c>
      <c r="M998" s="73">
        <f t="shared" si="201"/>
        <v>-2.6506024096385583E-2</v>
      </c>
      <c r="N998" s="73">
        <f t="shared" si="202"/>
        <v>-4.8776884114051233E-2</v>
      </c>
      <c r="O998" s="13">
        <f t="shared" si="203"/>
        <v>961485</v>
      </c>
      <c r="P998" s="13">
        <f t="shared" si="204"/>
        <v>962175</v>
      </c>
      <c r="Q998" s="13">
        <f t="shared" si="205"/>
        <v>953140</v>
      </c>
      <c r="R998" s="33">
        <f t="shared" si="206"/>
        <v>-8.679282568110791E-3</v>
      </c>
      <c r="S998" s="33">
        <f t="shared" si="207"/>
        <v>-9.3901836983916187E-3</v>
      </c>
    </row>
    <row r="999" spans="1:19" x14ac:dyDescent="0.25">
      <c r="A999" t="s">
        <v>41</v>
      </c>
      <c r="B999" s="65">
        <v>3</v>
      </c>
      <c r="C999" t="s">
        <v>11</v>
      </c>
      <c r="D999">
        <v>900</v>
      </c>
      <c r="E999" s="68">
        <v>906</v>
      </c>
      <c r="F999" s="68">
        <v>900</v>
      </c>
      <c r="G999" s="13">
        <f t="shared" si="195"/>
        <v>-6</v>
      </c>
      <c r="H999" s="13">
        <f t="shared" si="196"/>
        <v>0</v>
      </c>
      <c r="I999" s="73">
        <f t="shared" si="197"/>
        <v>0</v>
      </c>
      <c r="J999" s="73">
        <f t="shared" si="198"/>
        <v>-6.6225165562914245E-3</v>
      </c>
      <c r="K999" s="72" t="str">
        <f t="shared" si="199"/>
        <v>MAJA1</v>
      </c>
      <c r="L999" s="72" t="str">
        <f t="shared" si="200"/>
        <v>JULY-3-MAJA1</v>
      </c>
      <c r="M999" s="73">
        <f t="shared" si="201"/>
        <v>-2.6506024096385583E-2</v>
      </c>
      <c r="N999" s="73">
        <f t="shared" si="202"/>
        <v>-4.8776884114051233E-2</v>
      </c>
      <c r="O999" s="13">
        <f t="shared" si="203"/>
        <v>961485</v>
      </c>
      <c r="P999" s="13">
        <f t="shared" si="204"/>
        <v>962175</v>
      </c>
      <c r="Q999" s="13">
        <f t="shared" si="205"/>
        <v>953140</v>
      </c>
      <c r="R999" s="33">
        <f t="shared" si="206"/>
        <v>-8.679282568110791E-3</v>
      </c>
      <c r="S999" s="33">
        <f t="shared" si="207"/>
        <v>-9.3901836983916187E-3</v>
      </c>
    </row>
    <row r="1000" spans="1:19" x14ac:dyDescent="0.25">
      <c r="A1000" t="s">
        <v>41</v>
      </c>
      <c r="B1000" s="65">
        <v>3</v>
      </c>
      <c r="C1000" t="s">
        <v>11</v>
      </c>
      <c r="D1000">
        <v>80</v>
      </c>
      <c r="E1000" s="68">
        <v>80</v>
      </c>
      <c r="F1000" s="68">
        <v>80</v>
      </c>
      <c r="G1000" s="13">
        <f t="shared" si="195"/>
        <v>0</v>
      </c>
      <c r="H1000" s="13">
        <f t="shared" si="196"/>
        <v>0</v>
      </c>
      <c r="I1000" s="73">
        <f t="shared" si="197"/>
        <v>0</v>
      </c>
      <c r="J1000" s="73">
        <f t="shared" si="198"/>
        <v>0</v>
      </c>
      <c r="K1000" s="72" t="str">
        <f t="shared" si="199"/>
        <v>MAJA1</v>
      </c>
      <c r="L1000" s="72" t="str">
        <f t="shared" si="200"/>
        <v>JULY-3-MAJA1</v>
      </c>
      <c r="M1000" s="73">
        <f t="shared" si="201"/>
        <v>-2.6506024096385583E-2</v>
      </c>
      <c r="N1000" s="73">
        <f t="shared" si="202"/>
        <v>-4.8776884114051233E-2</v>
      </c>
      <c r="O1000" s="13">
        <f t="shared" si="203"/>
        <v>961485</v>
      </c>
      <c r="P1000" s="13">
        <f t="shared" si="204"/>
        <v>962175</v>
      </c>
      <c r="Q1000" s="13">
        <f t="shared" si="205"/>
        <v>953140</v>
      </c>
      <c r="R1000" s="33">
        <f t="shared" si="206"/>
        <v>-8.679282568110791E-3</v>
      </c>
      <c r="S1000" s="33">
        <f t="shared" si="207"/>
        <v>-9.3901836983916187E-3</v>
      </c>
    </row>
    <row r="1001" spans="1:19" x14ac:dyDescent="0.25">
      <c r="A1001" t="s">
        <v>41</v>
      </c>
      <c r="B1001" s="65">
        <v>3</v>
      </c>
      <c r="C1001" t="s">
        <v>11</v>
      </c>
      <c r="D1001">
        <v>320</v>
      </c>
      <c r="E1001" s="68">
        <v>322</v>
      </c>
      <c r="F1001" s="68">
        <v>320</v>
      </c>
      <c r="G1001" s="13">
        <f t="shared" si="195"/>
        <v>-2</v>
      </c>
      <c r="H1001" s="13">
        <f t="shared" si="196"/>
        <v>0</v>
      </c>
      <c r="I1001" s="73">
        <f t="shared" si="197"/>
        <v>0</v>
      </c>
      <c r="J1001" s="73">
        <f t="shared" si="198"/>
        <v>-6.2111801242236142E-3</v>
      </c>
      <c r="K1001" s="72" t="str">
        <f t="shared" si="199"/>
        <v>MAJA1</v>
      </c>
      <c r="L1001" s="72" t="str">
        <f t="shared" si="200"/>
        <v>JULY-3-MAJA1</v>
      </c>
      <c r="M1001" s="73">
        <f t="shared" si="201"/>
        <v>-2.6506024096385583E-2</v>
      </c>
      <c r="N1001" s="73">
        <f t="shared" si="202"/>
        <v>-4.8776884114051233E-2</v>
      </c>
      <c r="O1001" s="13">
        <f t="shared" si="203"/>
        <v>961485</v>
      </c>
      <c r="P1001" s="13">
        <f t="shared" si="204"/>
        <v>962175</v>
      </c>
      <c r="Q1001" s="13">
        <f t="shared" si="205"/>
        <v>953140</v>
      </c>
      <c r="R1001" s="33">
        <f t="shared" si="206"/>
        <v>-8.679282568110791E-3</v>
      </c>
      <c r="S1001" s="33">
        <f t="shared" si="207"/>
        <v>-9.3901836983916187E-3</v>
      </c>
    </row>
    <row r="1002" spans="1:19" x14ac:dyDescent="0.25">
      <c r="A1002" t="s">
        <v>41</v>
      </c>
      <c r="B1002" s="65">
        <v>3</v>
      </c>
      <c r="C1002" t="s">
        <v>11</v>
      </c>
      <c r="D1002">
        <v>1730</v>
      </c>
      <c r="E1002" s="68">
        <v>1740</v>
      </c>
      <c r="F1002" s="68">
        <v>1730</v>
      </c>
      <c r="G1002" s="13">
        <f t="shared" si="195"/>
        <v>-10</v>
      </c>
      <c r="H1002" s="13">
        <f t="shared" si="196"/>
        <v>0</v>
      </c>
      <c r="I1002" s="73">
        <f t="shared" si="197"/>
        <v>0</v>
      </c>
      <c r="J1002" s="73">
        <f t="shared" si="198"/>
        <v>-5.7471264367816577E-3</v>
      </c>
      <c r="K1002" s="72" t="str">
        <f t="shared" si="199"/>
        <v>MAJA1</v>
      </c>
      <c r="L1002" s="72" t="str">
        <f t="shared" si="200"/>
        <v>JULY-3-MAJA1</v>
      </c>
      <c r="M1002" s="73">
        <f t="shared" si="201"/>
        <v>-2.6506024096385583E-2</v>
      </c>
      <c r="N1002" s="73">
        <f t="shared" si="202"/>
        <v>-4.8776884114051233E-2</v>
      </c>
      <c r="O1002" s="13">
        <f t="shared" si="203"/>
        <v>961485</v>
      </c>
      <c r="P1002" s="13">
        <f t="shared" si="204"/>
        <v>962175</v>
      </c>
      <c r="Q1002" s="13">
        <f t="shared" si="205"/>
        <v>953140</v>
      </c>
      <c r="R1002" s="33">
        <f t="shared" si="206"/>
        <v>-8.679282568110791E-3</v>
      </c>
      <c r="S1002" s="33">
        <f t="shared" si="207"/>
        <v>-9.3901836983916187E-3</v>
      </c>
    </row>
    <row r="1003" spans="1:19" x14ac:dyDescent="0.25">
      <c r="A1003" t="s">
        <v>41</v>
      </c>
      <c r="B1003" s="65">
        <v>3</v>
      </c>
      <c r="C1003" t="s">
        <v>11</v>
      </c>
      <c r="D1003">
        <v>270</v>
      </c>
      <c r="E1003" s="68">
        <v>271</v>
      </c>
      <c r="F1003" s="68">
        <v>270</v>
      </c>
      <c r="G1003" s="13">
        <f t="shared" si="195"/>
        <v>-1</v>
      </c>
      <c r="H1003" s="13">
        <f t="shared" si="196"/>
        <v>0</v>
      </c>
      <c r="I1003" s="73">
        <f t="shared" si="197"/>
        <v>0</v>
      </c>
      <c r="J1003" s="73">
        <f t="shared" si="198"/>
        <v>-3.6900369003689537E-3</v>
      </c>
      <c r="K1003" s="72" t="str">
        <f t="shared" si="199"/>
        <v>MAJA1</v>
      </c>
      <c r="L1003" s="72" t="str">
        <f t="shared" si="200"/>
        <v>JULY-3-MAJA1</v>
      </c>
      <c r="M1003" s="73">
        <f t="shared" si="201"/>
        <v>-2.6506024096385583E-2</v>
      </c>
      <c r="N1003" s="73">
        <f t="shared" si="202"/>
        <v>-4.8776884114051233E-2</v>
      </c>
      <c r="O1003" s="13">
        <f t="shared" si="203"/>
        <v>961485</v>
      </c>
      <c r="P1003" s="13">
        <f t="shared" si="204"/>
        <v>962175</v>
      </c>
      <c r="Q1003" s="13">
        <f t="shared" si="205"/>
        <v>953140</v>
      </c>
      <c r="R1003" s="33">
        <f t="shared" si="206"/>
        <v>-8.679282568110791E-3</v>
      </c>
      <c r="S1003" s="33">
        <f t="shared" si="207"/>
        <v>-9.3901836983916187E-3</v>
      </c>
    </row>
    <row r="1004" spans="1:19" x14ac:dyDescent="0.25">
      <c r="A1004" t="s">
        <v>42</v>
      </c>
      <c r="B1004">
        <v>1</v>
      </c>
      <c r="C1004" t="s">
        <v>11</v>
      </c>
      <c r="D1004" s="68">
        <v>600</v>
      </c>
      <c r="E1004" s="68">
        <v>600</v>
      </c>
      <c r="F1004" s="68">
        <v>600</v>
      </c>
      <c r="G1004" s="13">
        <f t="shared" si="195"/>
        <v>0</v>
      </c>
      <c r="H1004" s="13">
        <f t="shared" si="196"/>
        <v>0</v>
      </c>
      <c r="I1004" s="73">
        <f t="shared" si="197"/>
        <v>0</v>
      </c>
      <c r="J1004" s="73">
        <f t="shared" si="198"/>
        <v>0</v>
      </c>
      <c r="K1004" s="72" t="str">
        <f t="shared" si="199"/>
        <v>MAJA1</v>
      </c>
      <c r="L1004" s="72" t="str">
        <f t="shared" si="200"/>
        <v>AUGUST-1-MAJA1</v>
      </c>
      <c r="M1004" s="73">
        <f t="shared" si="201"/>
        <v>0</v>
      </c>
      <c r="N1004" s="73">
        <f t="shared" si="202"/>
        <v>-3.4001648222618308E-2</v>
      </c>
      <c r="O1004" s="13">
        <f t="shared" si="203"/>
        <v>2101778</v>
      </c>
      <c r="P1004" s="13">
        <f t="shared" si="204"/>
        <v>2128806</v>
      </c>
      <c r="Q1004" s="13">
        <f t="shared" si="205"/>
        <v>2117221</v>
      </c>
      <c r="R1004" s="33">
        <f t="shared" si="206"/>
        <v>7.3475885654907813E-3</v>
      </c>
      <c r="S1004" s="33">
        <f t="shared" si="207"/>
        <v>-5.4420177320055885E-3</v>
      </c>
    </row>
    <row r="1005" spans="1:19" x14ac:dyDescent="0.25">
      <c r="A1005" t="s">
        <v>42</v>
      </c>
      <c r="B1005">
        <v>1</v>
      </c>
      <c r="C1005" t="s">
        <v>11</v>
      </c>
      <c r="D1005" s="68">
        <v>335</v>
      </c>
      <c r="E1005" s="68">
        <v>335</v>
      </c>
      <c r="F1005" s="68">
        <v>335</v>
      </c>
      <c r="G1005" s="13">
        <f t="shared" si="195"/>
        <v>0</v>
      </c>
      <c r="H1005" s="13">
        <f t="shared" si="196"/>
        <v>0</v>
      </c>
      <c r="I1005" s="73">
        <f t="shared" si="197"/>
        <v>0</v>
      </c>
      <c r="J1005" s="73">
        <f t="shared" si="198"/>
        <v>0</v>
      </c>
      <c r="K1005" s="72" t="str">
        <f t="shared" si="199"/>
        <v>MAJA1</v>
      </c>
      <c r="L1005" s="72" t="str">
        <f t="shared" si="200"/>
        <v>AUGUST-1-MAJA1</v>
      </c>
      <c r="M1005" s="73">
        <f t="shared" si="201"/>
        <v>0</v>
      </c>
      <c r="N1005" s="73">
        <f t="shared" si="202"/>
        <v>-3.4001648222618308E-2</v>
      </c>
      <c r="O1005" s="13">
        <f t="shared" si="203"/>
        <v>2101778</v>
      </c>
      <c r="P1005" s="13">
        <f t="shared" si="204"/>
        <v>2128806</v>
      </c>
      <c r="Q1005" s="13">
        <f t="shared" si="205"/>
        <v>2117221</v>
      </c>
      <c r="R1005" s="33">
        <f t="shared" si="206"/>
        <v>7.3475885654907813E-3</v>
      </c>
      <c r="S1005" s="33">
        <f t="shared" si="207"/>
        <v>-5.4420177320055885E-3</v>
      </c>
    </row>
    <row r="1006" spans="1:19" x14ac:dyDescent="0.25">
      <c r="A1006" t="s">
        <v>42</v>
      </c>
      <c r="B1006">
        <v>1</v>
      </c>
      <c r="C1006" t="s">
        <v>11</v>
      </c>
      <c r="D1006" s="68">
        <v>932</v>
      </c>
      <c r="E1006" s="68">
        <v>932</v>
      </c>
      <c r="F1006" s="68">
        <v>932</v>
      </c>
      <c r="G1006" s="13">
        <f t="shared" si="195"/>
        <v>0</v>
      </c>
      <c r="H1006" s="13">
        <f t="shared" si="196"/>
        <v>0</v>
      </c>
      <c r="I1006" s="73">
        <f t="shared" si="197"/>
        <v>0</v>
      </c>
      <c r="J1006" s="73">
        <f t="shared" si="198"/>
        <v>0</v>
      </c>
      <c r="K1006" s="72" t="str">
        <f t="shared" si="199"/>
        <v>MAJA1</v>
      </c>
      <c r="L1006" s="72" t="str">
        <f t="shared" si="200"/>
        <v>AUGUST-1-MAJA1</v>
      </c>
      <c r="M1006" s="73">
        <f t="shared" si="201"/>
        <v>0</v>
      </c>
      <c r="N1006" s="73">
        <f t="shared" si="202"/>
        <v>-3.4001648222618308E-2</v>
      </c>
      <c r="O1006" s="13">
        <f t="shared" si="203"/>
        <v>2101778</v>
      </c>
      <c r="P1006" s="13">
        <f t="shared" si="204"/>
        <v>2128806</v>
      </c>
      <c r="Q1006" s="13">
        <f t="shared" si="205"/>
        <v>2117221</v>
      </c>
      <c r="R1006" s="33">
        <f t="shared" si="206"/>
        <v>7.3475885654907813E-3</v>
      </c>
      <c r="S1006" s="33">
        <f t="shared" si="207"/>
        <v>-5.4420177320055885E-3</v>
      </c>
    </row>
    <row r="1007" spans="1:19" x14ac:dyDescent="0.25">
      <c r="A1007" t="s">
        <v>42</v>
      </c>
      <c r="B1007">
        <v>1</v>
      </c>
      <c r="C1007" t="s">
        <v>11</v>
      </c>
      <c r="D1007" s="68">
        <v>10</v>
      </c>
      <c r="E1007" s="68">
        <v>10</v>
      </c>
      <c r="F1007" s="68">
        <v>10</v>
      </c>
      <c r="G1007" s="13">
        <f t="shared" si="195"/>
        <v>0</v>
      </c>
      <c r="H1007" s="13">
        <f t="shared" si="196"/>
        <v>0</v>
      </c>
      <c r="I1007" s="73">
        <f t="shared" si="197"/>
        <v>0</v>
      </c>
      <c r="J1007" s="73">
        <f t="shared" si="198"/>
        <v>0</v>
      </c>
      <c r="K1007" s="72" t="str">
        <f t="shared" si="199"/>
        <v>MAJA1</v>
      </c>
      <c r="L1007" s="72" t="str">
        <f t="shared" si="200"/>
        <v>AUGUST-1-MAJA1</v>
      </c>
      <c r="M1007" s="73">
        <f t="shared" si="201"/>
        <v>0</v>
      </c>
      <c r="N1007" s="73">
        <f t="shared" si="202"/>
        <v>-3.4001648222618308E-2</v>
      </c>
      <c r="O1007" s="13">
        <f t="shared" si="203"/>
        <v>2101778</v>
      </c>
      <c r="P1007" s="13">
        <f t="shared" si="204"/>
        <v>2128806</v>
      </c>
      <c r="Q1007" s="13">
        <f t="shared" si="205"/>
        <v>2117221</v>
      </c>
      <c r="R1007" s="33">
        <f t="shared" si="206"/>
        <v>7.3475885654907813E-3</v>
      </c>
      <c r="S1007" s="33">
        <f t="shared" si="207"/>
        <v>-5.4420177320055885E-3</v>
      </c>
    </row>
    <row r="1008" spans="1:19" x14ac:dyDescent="0.25">
      <c r="A1008" t="s">
        <v>42</v>
      </c>
      <c r="B1008">
        <v>1</v>
      </c>
      <c r="C1008" t="s">
        <v>11</v>
      </c>
      <c r="D1008" s="68">
        <v>190</v>
      </c>
      <c r="E1008" s="68">
        <v>193</v>
      </c>
      <c r="F1008" s="68">
        <v>190</v>
      </c>
      <c r="G1008" s="13">
        <f t="shared" si="195"/>
        <v>-3</v>
      </c>
      <c r="H1008" s="13">
        <f t="shared" si="196"/>
        <v>0</v>
      </c>
      <c r="I1008" s="73">
        <f t="shared" si="197"/>
        <v>0</v>
      </c>
      <c r="J1008" s="73">
        <f t="shared" si="198"/>
        <v>-1.5544041450777257E-2</v>
      </c>
      <c r="K1008" s="72" t="str">
        <f t="shared" si="199"/>
        <v>MAJA1</v>
      </c>
      <c r="L1008" s="72" t="str">
        <f t="shared" si="200"/>
        <v>AUGUST-1-MAJA1</v>
      </c>
      <c r="M1008" s="73">
        <f t="shared" si="201"/>
        <v>0</v>
      </c>
      <c r="N1008" s="73">
        <f t="shared" si="202"/>
        <v>-3.4001648222618308E-2</v>
      </c>
      <c r="O1008" s="13">
        <f t="shared" si="203"/>
        <v>2101778</v>
      </c>
      <c r="P1008" s="13">
        <f t="shared" si="204"/>
        <v>2128806</v>
      </c>
      <c r="Q1008" s="13">
        <f t="shared" si="205"/>
        <v>2117221</v>
      </c>
      <c r="R1008" s="33">
        <f t="shared" si="206"/>
        <v>7.3475885654907813E-3</v>
      </c>
      <c r="S1008" s="33">
        <f t="shared" si="207"/>
        <v>-5.4420177320055885E-3</v>
      </c>
    </row>
    <row r="1009" spans="1:19" x14ac:dyDescent="0.25">
      <c r="A1009" t="s">
        <v>42</v>
      </c>
      <c r="B1009">
        <v>1</v>
      </c>
      <c r="C1009" t="s">
        <v>11</v>
      </c>
      <c r="D1009" s="68">
        <v>460</v>
      </c>
      <c r="E1009" s="68">
        <v>464</v>
      </c>
      <c r="F1009" s="68">
        <v>460</v>
      </c>
      <c r="G1009" s="13">
        <f t="shared" si="195"/>
        <v>-4</v>
      </c>
      <c r="H1009" s="13">
        <f t="shared" si="196"/>
        <v>0</v>
      </c>
      <c r="I1009" s="73">
        <f t="shared" si="197"/>
        <v>0</v>
      </c>
      <c r="J1009" s="73">
        <f t="shared" si="198"/>
        <v>-8.6206896551723755E-3</v>
      </c>
      <c r="K1009" s="72" t="str">
        <f t="shared" si="199"/>
        <v>MAJA1</v>
      </c>
      <c r="L1009" s="72" t="str">
        <f t="shared" si="200"/>
        <v>AUGUST-1-MAJA1</v>
      </c>
      <c r="M1009" s="73">
        <f t="shared" si="201"/>
        <v>0</v>
      </c>
      <c r="N1009" s="73">
        <f t="shared" si="202"/>
        <v>-3.4001648222618308E-2</v>
      </c>
      <c r="O1009" s="13">
        <f t="shared" si="203"/>
        <v>2101778</v>
      </c>
      <c r="P1009" s="13">
        <f t="shared" si="204"/>
        <v>2128806</v>
      </c>
      <c r="Q1009" s="13">
        <f t="shared" si="205"/>
        <v>2117221</v>
      </c>
      <c r="R1009" s="33">
        <f t="shared" si="206"/>
        <v>7.3475885654907813E-3</v>
      </c>
      <c r="S1009" s="33">
        <f t="shared" si="207"/>
        <v>-5.4420177320055885E-3</v>
      </c>
    </row>
    <row r="1010" spans="1:19" x14ac:dyDescent="0.25">
      <c r="A1010" t="s">
        <v>42</v>
      </c>
      <c r="B1010">
        <v>1</v>
      </c>
      <c r="C1010" t="s">
        <v>11</v>
      </c>
      <c r="D1010" s="68">
        <v>610</v>
      </c>
      <c r="E1010" s="68">
        <v>614</v>
      </c>
      <c r="F1010" s="68">
        <v>610</v>
      </c>
      <c r="G1010" s="13">
        <f t="shared" si="195"/>
        <v>-4</v>
      </c>
      <c r="H1010" s="13">
        <f t="shared" si="196"/>
        <v>0</v>
      </c>
      <c r="I1010" s="73">
        <f t="shared" si="197"/>
        <v>0</v>
      </c>
      <c r="J1010" s="73">
        <f t="shared" si="198"/>
        <v>-6.514657980456029E-3</v>
      </c>
      <c r="K1010" s="72" t="str">
        <f t="shared" si="199"/>
        <v>MAJA1</v>
      </c>
      <c r="L1010" s="72" t="str">
        <f t="shared" si="200"/>
        <v>AUGUST-1-MAJA1</v>
      </c>
      <c r="M1010" s="73">
        <f t="shared" si="201"/>
        <v>0</v>
      </c>
      <c r="N1010" s="73">
        <f t="shared" si="202"/>
        <v>-3.4001648222618308E-2</v>
      </c>
      <c r="O1010" s="13">
        <f t="shared" si="203"/>
        <v>2101778</v>
      </c>
      <c r="P1010" s="13">
        <f t="shared" si="204"/>
        <v>2128806</v>
      </c>
      <c r="Q1010" s="13">
        <f t="shared" si="205"/>
        <v>2117221</v>
      </c>
      <c r="R1010" s="33">
        <f t="shared" si="206"/>
        <v>7.3475885654907813E-3</v>
      </c>
      <c r="S1010" s="33">
        <f t="shared" si="207"/>
        <v>-5.4420177320055885E-3</v>
      </c>
    </row>
    <row r="1011" spans="1:19" x14ac:dyDescent="0.25">
      <c r="A1011" t="s">
        <v>42</v>
      </c>
      <c r="B1011">
        <v>1</v>
      </c>
      <c r="C1011" t="s">
        <v>11</v>
      </c>
      <c r="D1011" s="68">
        <v>140</v>
      </c>
      <c r="E1011" s="68">
        <v>140</v>
      </c>
      <c r="F1011" s="68">
        <v>140</v>
      </c>
      <c r="G1011" s="13">
        <f t="shared" si="195"/>
        <v>0</v>
      </c>
      <c r="H1011" s="13">
        <f t="shared" si="196"/>
        <v>0</v>
      </c>
      <c r="I1011" s="73">
        <f t="shared" si="197"/>
        <v>0</v>
      </c>
      <c r="J1011" s="73">
        <f t="shared" si="198"/>
        <v>0</v>
      </c>
      <c r="K1011" s="72" t="str">
        <f t="shared" si="199"/>
        <v>MAJA1</v>
      </c>
      <c r="L1011" s="72" t="str">
        <f t="shared" si="200"/>
        <v>AUGUST-1-MAJA1</v>
      </c>
      <c r="M1011" s="73">
        <f t="shared" si="201"/>
        <v>0</v>
      </c>
      <c r="N1011" s="73">
        <f t="shared" si="202"/>
        <v>-3.4001648222618308E-2</v>
      </c>
      <c r="O1011" s="13">
        <f t="shared" si="203"/>
        <v>2101778</v>
      </c>
      <c r="P1011" s="13">
        <f t="shared" si="204"/>
        <v>2128806</v>
      </c>
      <c r="Q1011" s="13">
        <f t="shared" si="205"/>
        <v>2117221</v>
      </c>
      <c r="R1011" s="33">
        <f t="shared" si="206"/>
        <v>7.3475885654907813E-3</v>
      </c>
      <c r="S1011" s="33">
        <f t="shared" si="207"/>
        <v>-5.4420177320055885E-3</v>
      </c>
    </row>
    <row r="1012" spans="1:19" x14ac:dyDescent="0.25">
      <c r="A1012" t="s">
        <v>42</v>
      </c>
      <c r="B1012">
        <v>1</v>
      </c>
      <c r="C1012" t="s">
        <v>11</v>
      </c>
      <c r="D1012" s="68">
        <v>300</v>
      </c>
      <c r="E1012" s="68">
        <v>301</v>
      </c>
      <c r="F1012" s="68">
        <v>300</v>
      </c>
      <c r="G1012" s="13">
        <f t="shared" si="195"/>
        <v>-1</v>
      </c>
      <c r="H1012" s="13">
        <f t="shared" si="196"/>
        <v>0</v>
      </c>
      <c r="I1012" s="73">
        <f t="shared" si="197"/>
        <v>0</v>
      </c>
      <c r="J1012" s="73">
        <f t="shared" si="198"/>
        <v>-3.3222591362126463E-3</v>
      </c>
      <c r="K1012" s="72" t="str">
        <f t="shared" si="199"/>
        <v>MAJA1</v>
      </c>
      <c r="L1012" s="72" t="str">
        <f t="shared" si="200"/>
        <v>AUGUST-1-MAJA1</v>
      </c>
      <c r="M1012" s="73">
        <f t="shared" si="201"/>
        <v>0</v>
      </c>
      <c r="N1012" s="73">
        <f t="shared" si="202"/>
        <v>-3.4001648222618308E-2</v>
      </c>
      <c r="O1012" s="13">
        <f t="shared" si="203"/>
        <v>2101778</v>
      </c>
      <c r="P1012" s="13">
        <f t="shared" si="204"/>
        <v>2128806</v>
      </c>
      <c r="Q1012" s="13">
        <f t="shared" si="205"/>
        <v>2117221</v>
      </c>
      <c r="R1012" s="33">
        <f t="shared" si="206"/>
        <v>7.3475885654907813E-3</v>
      </c>
      <c r="S1012" s="33">
        <f t="shared" si="207"/>
        <v>-5.4420177320055885E-3</v>
      </c>
    </row>
    <row r="1013" spans="1:19" x14ac:dyDescent="0.25">
      <c r="A1013" t="s">
        <v>42</v>
      </c>
      <c r="B1013">
        <v>1</v>
      </c>
      <c r="C1013" t="s">
        <v>11</v>
      </c>
      <c r="D1013" s="68">
        <v>600</v>
      </c>
      <c r="E1013" s="68">
        <v>600</v>
      </c>
      <c r="F1013" s="68">
        <v>600</v>
      </c>
      <c r="G1013" s="13">
        <f t="shared" si="195"/>
        <v>0</v>
      </c>
      <c r="H1013" s="13">
        <f t="shared" si="196"/>
        <v>0</v>
      </c>
      <c r="I1013" s="73">
        <f t="shared" si="197"/>
        <v>0</v>
      </c>
      <c r="J1013" s="73">
        <f t="shared" si="198"/>
        <v>0</v>
      </c>
      <c r="K1013" s="72" t="str">
        <f t="shared" si="199"/>
        <v>MAJA1</v>
      </c>
      <c r="L1013" s="72" t="str">
        <f t="shared" si="200"/>
        <v>AUGUST-1-MAJA1</v>
      </c>
      <c r="M1013" s="73">
        <f t="shared" si="201"/>
        <v>0</v>
      </c>
      <c r="N1013" s="73">
        <f t="shared" si="202"/>
        <v>-3.4001648222618308E-2</v>
      </c>
      <c r="O1013" s="13">
        <f t="shared" si="203"/>
        <v>2101778</v>
      </c>
      <c r="P1013" s="13">
        <f t="shared" si="204"/>
        <v>2128806</v>
      </c>
      <c r="Q1013" s="13">
        <f t="shared" si="205"/>
        <v>2117221</v>
      </c>
      <c r="R1013" s="33">
        <f t="shared" si="206"/>
        <v>7.3475885654907813E-3</v>
      </c>
      <c r="S1013" s="33">
        <f t="shared" si="207"/>
        <v>-5.4420177320055885E-3</v>
      </c>
    </row>
    <row r="1014" spans="1:19" x14ac:dyDescent="0.25">
      <c r="A1014" t="s">
        <v>42</v>
      </c>
      <c r="B1014">
        <v>1</v>
      </c>
      <c r="C1014" t="s">
        <v>13</v>
      </c>
      <c r="D1014" s="70">
        <v>15660</v>
      </c>
      <c r="E1014" s="70">
        <v>15825</v>
      </c>
      <c r="F1014" s="70">
        <v>15801</v>
      </c>
      <c r="G1014" s="13">
        <f t="shared" si="195"/>
        <v>-24</v>
      </c>
      <c r="H1014" s="13">
        <f t="shared" si="196"/>
        <v>141</v>
      </c>
      <c r="I1014" s="73">
        <f t="shared" si="197"/>
        <v>9.0038314176246192E-3</v>
      </c>
      <c r="J1014" s="73">
        <f t="shared" si="198"/>
        <v>-1.5165876777251119E-3</v>
      </c>
      <c r="K1014" s="72" t="str">
        <f t="shared" si="199"/>
        <v>KALIBENDA</v>
      </c>
      <c r="L1014" s="72" t="str">
        <f t="shared" si="200"/>
        <v>AUGUST-1-KALIBENDA</v>
      </c>
      <c r="M1014" s="73">
        <f t="shared" si="201"/>
        <v>3.3017302164049855E-2</v>
      </c>
      <c r="N1014" s="73">
        <f t="shared" si="202"/>
        <v>-7.3472587058744931E-3</v>
      </c>
      <c r="O1014" s="13">
        <f t="shared" si="203"/>
        <v>2101778</v>
      </c>
      <c r="P1014" s="13">
        <f t="shared" si="204"/>
        <v>2128806</v>
      </c>
      <c r="Q1014" s="13">
        <f t="shared" si="205"/>
        <v>2117221</v>
      </c>
      <c r="R1014" s="33">
        <f t="shared" si="206"/>
        <v>7.3475885654907813E-3</v>
      </c>
      <c r="S1014" s="33">
        <f t="shared" si="207"/>
        <v>-5.4420177320055885E-3</v>
      </c>
    </row>
    <row r="1015" spans="1:19" x14ac:dyDescent="0.25">
      <c r="A1015" t="s">
        <v>42</v>
      </c>
      <c r="B1015">
        <v>1</v>
      </c>
      <c r="C1015" t="s">
        <v>13</v>
      </c>
      <c r="D1015" s="70">
        <v>13824</v>
      </c>
      <c r="E1015" s="70">
        <v>13962</v>
      </c>
      <c r="F1015" s="70">
        <v>13932</v>
      </c>
      <c r="G1015" s="13">
        <f t="shared" si="195"/>
        <v>-30</v>
      </c>
      <c r="H1015" s="13">
        <f t="shared" si="196"/>
        <v>108</v>
      </c>
      <c r="I1015" s="73">
        <f t="shared" si="197"/>
        <v>7.8125E-3</v>
      </c>
      <c r="J1015" s="73">
        <f t="shared" si="198"/>
        <v>-2.1486892995272733E-3</v>
      </c>
      <c r="K1015" s="72" t="str">
        <f t="shared" si="199"/>
        <v>KALIBENDA</v>
      </c>
      <c r="L1015" s="72" t="str">
        <f t="shared" si="200"/>
        <v>AUGUST-1-KALIBENDA</v>
      </c>
      <c r="M1015" s="73">
        <f t="shared" si="201"/>
        <v>3.3017302164049855E-2</v>
      </c>
      <c r="N1015" s="73">
        <f t="shared" si="202"/>
        <v>-7.3472587058744931E-3</v>
      </c>
      <c r="O1015" s="13">
        <f t="shared" si="203"/>
        <v>2101778</v>
      </c>
      <c r="P1015" s="13">
        <f t="shared" si="204"/>
        <v>2128806</v>
      </c>
      <c r="Q1015" s="13">
        <f t="shared" si="205"/>
        <v>2117221</v>
      </c>
      <c r="R1015" s="33">
        <f t="shared" si="206"/>
        <v>7.3475885654907813E-3</v>
      </c>
      <c r="S1015" s="33">
        <f t="shared" si="207"/>
        <v>-5.4420177320055885E-3</v>
      </c>
    </row>
    <row r="1016" spans="1:19" x14ac:dyDescent="0.25">
      <c r="A1016" t="s">
        <v>42</v>
      </c>
      <c r="B1016">
        <v>1</v>
      </c>
      <c r="C1016" t="s">
        <v>13</v>
      </c>
      <c r="D1016" s="70">
        <v>78408</v>
      </c>
      <c r="E1016" s="70">
        <v>79192</v>
      </c>
      <c r="F1016" s="70">
        <v>79056</v>
      </c>
      <c r="G1016" s="13">
        <f t="shared" si="195"/>
        <v>-136</v>
      </c>
      <c r="H1016" s="13">
        <f t="shared" si="196"/>
        <v>648</v>
      </c>
      <c r="I1016" s="73">
        <f t="shared" si="197"/>
        <v>8.2644628099173278E-3</v>
      </c>
      <c r="J1016" s="73">
        <f t="shared" si="198"/>
        <v>-1.7173451863824463E-3</v>
      </c>
      <c r="K1016" s="72" t="str">
        <f t="shared" si="199"/>
        <v>KALIBENDA</v>
      </c>
      <c r="L1016" s="72" t="str">
        <f t="shared" si="200"/>
        <v>AUGUST-1-KALIBENDA</v>
      </c>
      <c r="M1016" s="73">
        <f t="shared" si="201"/>
        <v>3.3017302164049855E-2</v>
      </c>
      <c r="N1016" s="73">
        <f t="shared" si="202"/>
        <v>-7.3472587058744931E-3</v>
      </c>
      <c r="O1016" s="13">
        <f t="shared" si="203"/>
        <v>2101778</v>
      </c>
      <c r="P1016" s="13">
        <f t="shared" si="204"/>
        <v>2128806</v>
      </c>
      <c r="Q1016" s="13">
        <f t="shared" si="205"/>
        <v>2117221</v>
      </c>
      <c r="R1016" s="33">
        <f t="shared" si="206"/>
        <v>7.3475885654907813E-3</v>
      </c>
      <c r="S1016" s="33">
        <f t="shared" si="207"/>
        <v>-5.4420177320055885E-3</v>
      </c>
    </row>
    <row r="1017" spans="1:19" x14ac:dyDescent="0.25">
      <c r="A1017" t="s">
        <v>42</v>
      </c>
      <c r="B1017">
        <v>1</v>
      </c>
      <c r="C1017" t="s">
        <v>13</v>
      </c>
      <c r="D1017" s="70">
        <v>1512</v>
      </c>
      <c r="E1017" s="70">
        <v>1527</v>
      </c>
      <c r="F1017" s="70">
        <v>1524</v>
      </c>
      <c r="G1017" s="13">
        <f t="shared" si="195"/>
        <v>-3</v>
      </c>
      <c r="H1017" s="13">
        <f t="shared" si="196"/>
        <v>12</v>
      </c>
      <c r="I1017" s="73">
        <f t="shared" si="197"/>
        <v>7.9365079365079083E-3</v>
      </c>
      <c r="J1017" s="73">
        <f t="shared" si="198"/>
        <v>-1.9646365422396617E-3</v>
      </c>
      <c r="K1017" s="72" t="str">
        <f t="shared" si="199"/>
        <v>KALIBENDA</v>
      </c>
      <c r="L1017" s="72" t="str">
        <f t="shared" si="200"/>
        <v>AUGUST-1-KALIBENDA</v>
      </c>
      <c r="M1017" s="73">
        <f t="shared" si="201"/>
        <v>3.3017302164049855E-2</v>
      </c>
      <c r="N1017" s="73">
        <f t="shared" si="202"/>
        <v>-7.3472587058744931E-3</v>
      </c>
      <c r="O1017" s="13">
        <f t="shared" si="203"/>
        <v>2101778</v>
      </c>
      <c r="P1017" s="13">
        <f t="shared" si="204"/>
        <v>2128806</v>
      </c>
      <c r="Q1017" s="13">
        <f t="shared" si="205"/>
        <v>2117221</v>
      </c>
      <c r="R1017" s="33">
        <f t="shared" si="206"/>
        <v>7.3475885654907813E-3</v>
      </c>
      <c r="S1017" s="33">
        <f t="shared" si="207"/>
        <v>-5.4420177320055885E-3</v>
      </c>
    </row>
    <row r="1018" spans="1:19" x14ac:dyDescent="0.25">
      <c r="A1018" t="s">
        <v>42</v>
      </c>
      <c r="B1018">
        <v>1</v>
      </c>
      <c r="C1018" t="s">
        <v>72</v>
      </c>
      <c r="D1018" s="68">
        <v>5832</v>
      </c>
      <c r="E1018" s="66">
        <v>5529</v>
      </c>
      <c r="F1018" s="68">
        <v>5496</v>
      </c>
      <c r="G1018" s="13">
        <f t="shared" si="195"/>
        <v>-33</v>
      </c>
      <c r="H1018" s="13">
        <f t="shared" si="196"/>
        <v>-336</v>
      </c>
      <c r="I1018" s="73">
        <f t="shared" si="197"/>
        <v>-5.7613168724279795E-2</v>
      </c>
      <c r="J1018" s="73">
        <f t="shared" si="198"/>
        <v>-5.9685295713510778E-3</v>
      </c>
      <c r="K1018" s="72" t="str">
        <f t="shared" si="199"/>
        <v>GM1</v>
      </c>
      <c r="L1018" s="72" t="str">
        <f t="shared" si="200"/>
        <v>AUGUST-1-GM1</v>
      </c>
      <c r="M1018" s="73">
        <f t="shared" si="201"/>
        <v>2.9741522144454247E-2</v>
      </c>
      <c r="N1018" s="73">
        <f t="shared" si="202"/>
        <v>-0.33703515555485075</v>
      </c>
      <c r="O1018" s="13">
        <f t="shared" si="203"/>
        <v>2101778</v>
      </c>
      <c r="P1018" s="13">
        <f t="shared" si="204"/>
        <v>2128806</v>
      </c>
      <c r="Q1018" s="13">
        <f t="shared" si="205"/>
        <v>2117221</v>
      </c>
      <c r="R1018" s="33">
        <f t="shared" si="206"/>
        <v>7.3475885654907813E-3</v>
      </c>
      <c r="S1018" s="33">
        <f t="shared" si="207"/>
        <v>-5.4420177320055885E-3</v>
      </c>
    </row>
    <row r="1019" spans="1:19" x14ac:dyDescent="0.25">
      <c r="A1019" t="s">
        <v>42</v>
      </c>
      <c r="B1019">
        <v>1</v>
      </c>
      <c r="C1019" t="s">
        <v>72</v>
      </c>
      <c r="D1019" s="68">
        <v>4428</v>
      </c>
      <c r="E1019" s="66">
        <v>4561</v>
      </c>
      <c r="F1019" s="68">
        <v>4371</v>
      </c>
      <c r="G1019" s="13">
        <f t="shared" si="195"/>
        <v>-190</v>
      </c>
      <c r="H1019" s="13">
        <f t="shared" si="196"/>
        <v>-57</v>
      </c>
      <c r="I1019" s="73">
        <f t="shared" si="197"/>
        <v>-1.287262872628725E-2</v>
      </c>
      <c r="J1019" s="73">
        <f t="shared" si="198"/>
        <v>-4.1657531243148416E-2</v>
      </c>
      <c r="K1019" s="72" t="str">
        <f t="shared" si="199"/>
        <v>GM1</v>
      </c>
      <c r="L1019" s="72" t="str">
        <f t="shared" si="200"/>
        <v>AUGUST-1-GM1</v>
      </c>
      <c r="M1019" s="73">
        <f t="shared" si="201"/>
        <v>2.9741522144454247E-2</v>
      </c>
      <c r="N1019" s="73">
        <f t="shared" si="202"/>
        <v>-0.33703515555485075</v>
      </c>
      <c r="O1019" s="13">
        <f t="shared" si="203"/>
        <v>2101778</v>
      </c>
      <c r="P1019" s="13">
        <f t="shared" si="204"/>
        <v>2128806</v>
      </c>
      <c r="Q1019" s="13">
        <f t="shared" si="205"/>
        <v>2117221</v>
      </c>
      <c r="R1019" s="33">
        <f t="shared" si="206"/>
        <v>7.3475885654907813E-3</v>
      </c>
      <c r="S1019" s="33">
        <f t="shared" si="207"/>
        <v>-5.4420177320055885E-3</v>
      </c>
    </row>
    <row r="1020" spans="1:19" x14ac:dyDescent="0.25">
      <c r="A1020" t="s">
        <v>42</v>
      </c>
      <c r="B1020">
        <v>1</v>
      </c>
      <c r="C1020" t="s">
        <v>72</v>
      </c>
      <c r="D1020" s="68">
        <v>1080</v>
      </c>
      <c r="E1020" s="66">
        <v>1119</v>
      </c>
      <c r="F1020" s="68">
        <v>1089</v>
      </c>
      <c r="G1020" s="13">
        <f t="shared" si="195"/>
        <v>-30</v>
      </c>
      <c r="H1020" s="13">
        <f t="shared" si="196"/>
        <v>9</v>
      </c>
      <c r="I1020" s="73">
        <f t="shared" si="197"/>
        <v>8.3333333333333037E-3</v>
      </c>
      <c r="J1020" s="73">
        <f t="shared" si="198"/>
        <v>-2.6809651474530849E-2</v>
      </c>
      <c r="K1020" s="72" t="str">
        <f t="shared" si="199"/>
        <v>GM1</v>
      </c>
      <c r="L1020" s="72" t="str">
        <f t="shared" si="200"/>
        <v>AUGUST-1-GM1</v>
      </c>
      <c r="M1020" s="73">
        <f t="shared" si="201"/>
        <v>2.9741522144454247E-2</v>
      </c>
      <c r="N1020" s="73">
        <f t="shared" si="202"/>
        <v>-0.33703515555485075</v>
      </c>
      <c r="O1020" s="13">
        <f t="shared" si="203"/>
        <v>2101778</v>
      </c>
      <c r="P1020" s="13">
        <f t="shared" si="204"/>
        <v>2128806</v>
      </c>
      <c r="Q1020" s="13">
        <f t="shared" si="205"/>
        <v>2117221</v>
      </c>
      <c r="R1020" s="33">
        <f t="shared" si="206"/>
        <v>7.3475885654907813E-3</v>
      </c>
      <c r="S1020" s="33">
        <f t="shared" si="207"/>
        <v>-5.4420177320055885E-3</v>
      </c>
    </row>
    <row r="1021" spans="1:19" x14ac:dyDescent="0.25">
      <c r="A1021" t="s">
        <v>42</v>
      </c>
      <c r="B1021">
        <v>1</v>
      </c>
      <c r="C1021" t="s">
        <v>72</v>
      </c>
      <c r="D1021" s="68">
        <v>4320</v>
      </c>
      <c r="E1021" s="66">
        <v>4516</v>
      </c>
      <c r="F1021" s="68">
        <v>4401</v>
      </c>
      <c r="G1021" s="13">
        <f t="shared" si="195"/>
        <v>-115</v>
      </c>
      <c r="H1021" s="13">
        <f t="shared" si="196"/>
        <v>81</v>
      </c>
      <c r="I1021" s="73">
        <f t="shared" si="197"/>
        <v>1.8750000000000044E-2</v>
      </c>
      <c r="J1021" s="73">
        <f t="shared" si="198"/>
        <v>-2.5465013286093852E-2</v>
      </c>
      <c r="K1021" s="72" t="str">
        <f t="shared" si="199"/>
        <v>GM1</v>
      </c>
      <c r="L1021" s="72" t="str">
        <f t="shared" si="200"/>
        <v>AUGUST-1-GM1</v>
      </c>
      <c r="M1021" s="73">
        <f t="shared" si="201"/>
        <v>2.9741522144454247E-2</v>
      </c>
      <c r="N1021" s="73">
        <f t="shared" si="202"/>
        <v>-0.33703515555485075</v>
      </c>
      <c r="O1021" s="13">
        <f t="shared" si="203"/>
        <v>2101778</v>
      </c>
      <c r="P1021" s="13">
        <f t="shared" si="204"/>
        <v>2128806</v>
      </c>
      <c r="Q1021" s="13">
        <f t="shared" si="205"/>
        <v>2117221</v>
      </c>
      <c r="R1021" s="33">
        <f t="shared" si="206"/>
        <v>7.3475885654907813E-3</v>
      </c>
      <c r="S1021" s="33">
        <f t="shared" si="207"/>
        <v>-5.4420177320055885E-3</v>
      </c>
    </row>
    <row r="1022" spans="1:19" x14ac:dyDescent="0.25">
      <c r="A1022" t="s">
        <v>42</v>
      </c>
      <c r="B1022">
        <v>1</v>
      </c>
      <c r="C1022" t="s">
        <v>72</v>
      </c>
      <c r="D1022" s="68">
        <v>1080</v>
      </c>
      <c r="E1022" s="66">
        <v>1086</v>
      </c>
      <c r="F1022" s="68">
        <v>1065</v>
      </c>
      <c r="G1022" s="13">
        <f t="shared" si="195"/>
        <v>-21</v>
      </c>
      <c r="H1022" s="13">
        <f t="shared" si="196"/>
        <v>-15</v>
      </c>
      <c r="I1022" s="73">
        <f t="shared" si="197"/>
        <v>-1.388888888888884E-2</v>
      </c>
      <c r="J1022" s="73">
        <f t="shared" si="198"/>
        <v>-1.9337016574585641E-2</v>
      </c>
      <c r="K1022" s="72" t="str">
        <f t="shared" si="199"/>
        <v>GM1</v>
      </c>
      <c r="L1022" s="72" t="str">
        <f t="shared" si="200"/>
        <v>AUGUST-1-GM1</v>
      </c>
      <c r="M1022" s="73">
        <f t="shared" si="201"/>
        <v>2.9741522144454247E-2</v>
      </c>
      <c r="N1022" s="73">
        <f t="shared" si="202"/>
        <v>-0.33703515555485075</v>
      </c>
      <c r="O1022" s="13">
        <f t="shared" si="203"/>
        <v>2101778</v>
      </c>
      <c r="P1022" s="13">
        <f t="shared" si="204"/>
        <v>2128806</v>
      </c>
      <c r="Q1022" s="13">
        <f t="shared" si="205"/>
        <v>2117221</v>
      </c>
      <c r="R1022" s="33">
        <f t="shared" si="206"/>
        <v>7.3475885654907813E-3</v>
      </c>
      <c r="S1022" s="33">
        <f t="shared" si="207"/>
        <v>-5.4420177320055885E-3</v>
      </c>
    </row>
    <row r="1023" spans="1:19" x14ac:dyDescent="0.25">
      <c r="A1023" t="s">
        <v>42</v>
      </c>
      <c r="B1023">
        <v>1</v>
      </c>
      <c r="C1023" t="s">
        <v>72</v>
      </c>
      <c r="D1023" s="68">
        <v>4320</v>
      </c>
      <c r="E1023" s="66">
        <v>4440</v>
      </c>
      <c r="F1023" s="68">
        <v>4344</v>
      </c>
      <c r="G1023" s="13">
        <f t="shared" si="195"/>
        <v>-96</v>
      </c>
      <c r="H1023" s="13">
        <f t="shared" si="196"/>
        <v>24</v>
      </c>
      <c r="I1023" s="73">
        <f t="shared" si="197"/>
        <v>5.5555555555555358E-3</v>
      </c>
      <c r="J1023" s="73">
        <f t="shared" si="198"/>
        <v>-2.1621621621621623E-2</v>
      </c>
      <c r="K1023" s="72" t="str">
        <f t="shared" si="199"/>
        <v>GM1</v>
      </c>
      <c r="L1023" s="72" t="str">
        <f t="shared" si="200"/>
        <v>AUGUST-1-GM1</v>
      </c>
      <c r="M1023" s="73">
        <f t="shared" si="201"/>
        <v>2.9741522144454247E-2</v>
      </c>
      <c r="N1023" s="73">
        <f t="shared" si="202"/>
        <v>-0.33703515555485075</v>
      </c>
      <c r="O1023" s="13">
        <f t="shared" si="203"/>
        <v>2101778</v>
      </c>
      <c r="P1023" s="13">
        <f t="shared" si="204"/>
        <v>2128806</v>
      </c>
      <c r="Q1023" s="13">
        <f t="shared" si="205"/>
        <v>2117221</v>
      </c>
      <c r="R1023" s="33">
        <f t="shared" si="206"/>
        <v>7.3475885654907813E-3</v>
      </c>
      <c r="S1023" s="33">
        <f t="shared" si="207"/>
        <v>-5.4420177320055885E-3</v>
      </c>
    </row>
    <row r="1024" spans="1:19" x14ac:dyDescent="0.25">
      <c r="A1024" t="s">
        <v>42</v>
      </c>
      <c r="B1024">
        <v>1</v>
      </c>
      <c r="C1024" t="s">
        <v>72</v>
      </c>
      <c r="D1024" s="68">
        <v>4320</v>
      </c>
      <c r="E1024" s="66">
        <v>4537</v>
      </c>
      <c r="F1024" s="68">
        <v>4422</v>
      </c>
      <c r="G1024" s="13">
        <f t="shared" si="195"/>
        <v>-115</v>
      </c>
      <c r="H1024" s="13">
        <f t="shared" si="196"/>
        <v>102</v>
      </c>
      <c r="I1024" s="73">
        <f t="shared" si="197"/>
        <v>2.3611111111111027E-2</v>
      </c>
      <c r="J1024" s="73">
        <f t="shared" si="198"/>
        <v>-2.5347145690985284E-2</v>
      </c>
      <c r="K1024" s="72" t="str">
        <f t="shared" si="199"/>
        <v>GM1</v>
      </c>
      <c r="L1024" s="72" t="str">
        <f t="shared" si="200"/>
        <v>AUGUST-1-GM1</v>
      </c>
      <c r="M1024" s="73">
        <f t="shared" si="201"/>
        <v>2.9741522144454247E-2</v>
      </c>
      <c r="N1024" s="73">
        <f t="shared" si="202"/>
        <v>-0.33703515555485075</v>
      </c>
      <c r="O1024" s="13">
        <f t="shared" si="203"/>
        <v>2101778</v>
      </c>
      <c r="P1024" s="13">
        <f t="shared" si="204"/>
        <v>2128806</v>
      </c>
      <c r="Q1024" s="13">
        <f t="shared" si="205"/>
        <v>2117221</v>
      </c>
      <c r="R1024" s="33">
        <f t="shared" si="206"/>
        <v>7.3475885654907813E-3</v>
      </c>
      <c r="S1024" s="33">
        <f t="shared" si="207"/>
        <v>-5.4420177320055885E-3</v>
      </c>
    </row>
    <row r="1025" spans="1:19" x14ac:dyDescent="0.25">
      <c r="A1025" t="s">
        <v>42</v>
      </c>
      <c r="B1025">
        <v>1</v>
      </c>
      <c r="C1025" t="s">
        <v>72</v>
      </c>
      <c r="D1025" s="68">
        <v>1080</v>
      </c>
      <c r="E1025" s="66">
        <v>1134</v>
      </c>
      <c r="F1025" s="68">
        <v>1113</v>
      </c>
      <c r="G1025" s="13">
        <f t="shared" si="195"/>
        <v>-21</v>
      </c>
      <c r="H1025" s="13">
        <f t="shared" si="196"/>
        <v>33</v>
      </c>
      <c r="I1025" s="73">
        <f t="shared" si="197"/>
        <v>3.0555555555555447E-2</v>
      </c>
      <c r="J1025" s="73">
        <f t="shared" si="198"/>
        <v>-1.851851851851849E-2</v>
      </c>
      <c r="K1025" s="72" t="str">
        <f t="shared" si="199"/>
        <v>GM1</v>
      </c>
      <c r="L1025" s="72" t="str">
        <f t="shared" si="200"/>
        <v>AUGUST-1-GM1</v>
      </c>
      <c r="M1025" s="73">
        <f t="shared" si="201"/>
        <v>2.9741522144454247E-2</v>
      </c>
      <c r="N1025" s="73">
        <f t="shared" si="202"/>
        <v>-0.33703515555485075</v>
      </c>
      <c r="O1025" s="13">
        <f t="shared" si="203"/>
        <v>2101778</v>
      </c>
      <c r="P1025" s="13">
        <f t="shared" si="204"/>
        <v>2128806</v>
      </c>
      <c r="Q1025" s="13">
        <f t="shared" si="205"/>
        <v>2117221</v>
      </c>
      <c r="R1025" s="33">
        <f t="shared" si="206"/>
        <v>7.3475885654907813E-3</v>
      </c>
      <c r="S1025" s="33">
        <f t="shared" si="207"/>
        <v>-5.4420177320055885E-3</v>
      </c>
    </row>
    <row r="1026" spans="1:19" x14ac:dyDescent="0.25">
      <c r="A1026" t="s">
        <v>42</v>
      </c>
      <c r="B1026">
        <v>1</v>
      </c>
      <c r="C1026" t="s">
        <v>72</v>
      </c>
      <c r="D1026" s="68">
        <v>4320</v>
      </c>
      <c r="E1026" s="66">
        <v>4509</v>
      </c>
      <c r="F1026" s="68">
        <v>4389</v>
      </c>
      <c r="G1026" s="13">
        <f t="shared" ref="G1026:G1089" si="208">F1026-E1026</f>
        <v>-120</v>
      </c>
      <c r="H1026" s="13">
        <f t="shared" ref="H1026:H1089" si="209">F1026-D1026</f>
        <v>69</v>
      </c>
      <c r="I1026" s="73">
        <f t="shared" ref="I1026:I1089" si="210">F1026/D1026-1</f>
        <v>1.5972222222222276E-2</v>
      </c>
      <c r="J1026" s="73">
        <f t="shared" ref="J1026:J1089" si="211">F1026/E1026-1</f>
        <v>-2.6613439787092519E-2</v>
      </c>
      <c r="K1026" s="72" t="str">
        <f t="shared" ref="K1026:K1089" si="212">CLEAN(SUBSTITUTE(C1026," ",""))</f>
        <v>GM1</v>
      </c>
      <c r="L1026" s="72" t="str">
        <f t="shared" ref="L1026:L1089" si="213">A1026&amp;"-"&amp;B1026&amp;"-"&amp;K1026</f>
        <v>AUGUST-1-GM1</v>
      </c>
      <c r="M1026" s="73">
        <f t="shared" ref="M1026:M1089" si="214">SUMIF($L$2:$L$1396,L1026,$I$2:$I$1396)</f>
        <v>2.9741522144454247E-2</v>
      </c>
      <c r="N1026" s="73">
        <f t="shared" ref="N1026:N1089" si="215">SUMIF($L$2:$L$1396,L1026,$J$2:$J$1396)</f>
        <v>-0.33703515555485075</v>
      </c>
      <c r="O1026" s="13">
        <f t="shared" ref="O1026:O1089" si="216">SUMIF($A$2:$A$1396,A1026,$D$2:$D$1396)</f>
        <v>2101778</v>
      </c>
      <c r="P1026" s="13">
        <f t="shared" ref="P1026:P1089" si="217">SUMIF($A$2:$A$1396,A1026,$E$2:$E$1396)</f>
        <v>2128806</v>
      </c>
      <c r="Q1026" s="13">
        <f t="shared" ref="Q1026:Q1089" si="218">SUMIF($A$2:$A$1396,A1026,$F$2:$F$1396)</f>
        <v>2117221</v>
      </c>
      <c r="R1026" s="33">
        <f t="shared" ref="R1026:R1089" si="219">Q1026/O1026-1</f>
        <v>7.3475885654907813E-3</v>
      </c>
      <c r="S1026" s="33">
        <f t="shared" ref="S1026:S1089" si="220">Q1026/P1026-1</f>
        <v>-5.4420177320055885E-3</v>
      </c>
    </row>
    <row r="1027" spans="1:19" x14ac:dyDescent="0.25">
      <c r="A1027" t="s">
        <v>42</v>
      </c>
      <c r="B1027">
        <v>1</v>
      </c>
      <c r="C1027" t="s">
        <v>72</v>
      </c>
      <c r="D1027" s="68">
        <v>1080</v>
      </c>
      <c r="E1027" s="66">
        <v>1130</v>
      </c>
      <c r="F1027" s="68">
        <v>1080</v>
      </c>
      <c r="G1027" s="13">
        <f t="shared" si="208"/>
        <v>-50</v>
      </c>
      <c r="H1027" s="13">
        <f t="shared" si="209"/>
        <v>0</v>
      </c>
      <c r="I1027" s="73">
        <f t="shared" si="210"/>
        <v>0</v>
      </c>
      <c r="J1027" s="73">
        <f t="shared" si="211"/>
        <v>-4.4247787610619427E-2</v>
      </c>
      <c r="K1027" s="72" t="str">
        <f t="shared" si="212"/>
        <v>GM1</v>
      </c>
      <c r="L1027" s="72" t="str">
        <f t="shared" si="213"/>
        <v>AUGUST-1-GM1</v>
      </c>
      <c r="M1027" s="73">
        <f t="shared" si="214"/>
        <v>2.9741522144454247E-2</v>
      </c>
      <c r="N1027" s="73">
        <f t="shared" si="215"/>
        <v>-0.33703515555485075</v>
      </c>
      <c r="O1027" s="13">
        <f t="shared" si="216"/>
        <v>2101778</v>
      </c>
      <c r="P1027" s="13">
        <f t="shared" si="217"/>
        <v>2128806</v>
      </c>
      <c r="Q1027" s="13">
        <f t="shared" si="218"/>
        <v>2117221</v>
      </c>
      <c r="R1027" s="33">
        <f t="shared" si="219"/>
        <v>7.3475885654907813E-3</v>
      </c>
      <c r="S1027" s="33">
        <f t="shared" si="220"/>
        <v>-5.4420177320055885E-3</v>
      </c>
    </row>
    <row r="1028" spans="1:19" x14ac:dyDescent="0.25">
      <c r="A1028" t="s">
        <v>42</v>
      </c>
      <c r="B1028">
        <v>1</v>
      </c>
      <c r="C1028" t="s">
        <v>72</v>
      </c>
      <c r="D1028" s="68">
        <v>4320</v>
      </c>
      <c r="E1028" s="66">
        <v>4496</v>
      </c>
      <c r="F1028" s="68">
        <v>4401</v>
      </c>
      <c r="G1028" s="13">
        <f t="shared" si="208"/>
        <v>-95</v>
      </c>
      <c r="H1028" s="13">
        <f t="shared" si="209"/>
        <v>81</v>
      </c>
      <c r="I1028" s="73">
        <f t="shared" si="210"/>
        <v>1.8750000000000044E-2</v>
      </c>
      <c r="J1028" s="73">
        <f t="shared" si="211"/>
        <v>-2.1129893238434172E-2</v>
      </c>
      <c r="K1028" s="72" t="str">
        <f t="shared" si="212"/>
        <v>GM1</v>
      </c>
      <c r="L1028" s="72" t="str">
        <f t="shared" si="213"/>
        <v>AUGUST-1-GM1</v>
      </c>
      <c r="M1028" s="73">
        <f t="shared" si="214"/>
        <v>2.9741522144454247E-2</v>
      </c>
      <c r="N1028" s="73">
        <f t="shared" si="215"/>
        <v>-0.33703515555485075</v>
      </c>
      <c r="O1028" s="13">
        <f t="shared" si="216"/>
        <v>2101778</v>
      </c>
      <c r="P1028" s="13">
        <f t="shared" si="217"/>
        <v>2128806</v>
      </c>
      <c r="Q1028" s="13">
        <f t="shared" si="218"/>
        <v>2117221</v>
      </c>
      <c r="R1028" s="33">
        <f t="shared" si="219"/>
        <v>7.3475885654907813E-3</v>
      </c>
      <c r="S1028" s="33">
        <f t="shared" si="220"/>
        <v>-5.4420177320055885E-3</v>
      </c>
    </row>
    <row r="1029" spans="1:19" x14ac:dyDescent="0.25">
      <c r="A1029" t="s">
        <v>42</v>
      </c>
      <c r="B1029">
        <v>1</v>
      </c>
      <c r="C1029" t="s">
        <v>72</v>
      </c>
      <c r="D1029" s="68">
        <v>4320</v>
      </c>
      <c r="E1029" s="66">
        <v>4309</v>
      </c>
      <c r="F1029" s="68">
        <v>4242</v>
      </c>
      <c r="G1029" s="13">
        <f t="shared" si="208"/>
        <v>-67</v>
      </c>
      <c r="H1029" s="13">
        <f t="shared" si="209"/>
        <v>-78</v>
      </c>
      <c r="I1029" s="73">
        <f t="shared" si="210"/>
        <v>-1.8055555555555602E-2</v>
      </c>
      <c r="J1029" s="73">
        <f t="shared" si="211"/>
        <v>-1.5548851241587336E-2</v>
      </c>
      <c r="K1029" s="72" t="str">
        <f t="shared" si="212"/>
        <v>GM1</v>
      </c>
      <c r="L1029" s="72" t="str">
        <f t="shared" si="213"/>
        <v>AUGUST-1-GM1</v>
      </c>
      <c r="M1029" s="73">
        <f t="shared" si="214"/>
        <v>2.9741522144454247E-2</v>
      </c>
      <c r="N1029" s="73">
        <f t="shared" si="215"/>
        <v>-0.33703515555485075</v>
      </c>
      <c r="O1029" s="13">
        <f t="shared" si="216"/>
        <v>2101778</v>
      </c>
      <c r="P1029" s="13">
        <f t="shared" si="217"/>
        <v>2128806</v>
      </c>
      <c r="Q1029" s="13">
        <f t="shared" si="218"/>
        <v>2117221</v>
      </c>
      <c r="R1029" s="33">
        <f t="shared" si="219"/>
        <v>7.3475885654907813E-3</v>
      </c>
      <c r="S1029" s="33">
        <f t="shared" si="220"/>
        <v>-5.4420177320055885E-3</v>
      </c>
    </row>
    <row r="1030" spans="1:19" x14ac:dyDescent="0.25">
      <c r="A1030" t="s">
        <v>42</v>
      </c>
      <c r="B1030">
        <v>1</v>
      </c>
      <c r="C1030" t="s">
        <v>72</v>
      </c>
      <c r="D1030" s="68">
        <v>1080</v>
      </c>
      <c r="E1030" s="66">
        <v>1080</v>
      </c>
      <c r="F1030" s="68">
        <v>1065</v>
      </c>
      <c r="G1030" s="13">
        <f t="shared" si="208"/>
        <v>-15</v>
      </c>
      <c r="H1030" s="13">
        <f t="shared" si="209"/>
        <v>-15</v>
      </c>
      <c r="I1030" s="73">
        <f t="shared" si="210"/>
        <v>-1.388888888888884E-2</v>
      </c>
      <c r="J1030" s="73">
        <f t="shared" si="211"/>
        <v>-1.388888888888884E-2</v>
      </c>
      <c r="K1030" s="72" t="str">
        <f t="shared" si="212"/>
        <v>GM1</v>
      </c>
      <c r="L1030" s="72" t="str">
        <f t="shared" si="213"/>
        <v>AUGUST-1-GM1</v>
      </c>
      <c r="M1030" s="73">
        <f t="shared" si="214"/>
        <v>2.9741522144454247E-2</v>
      </c>
      <c r="N1030" s="73">
        <f t="shared" si="215"/>
        <v>-0.33703515555485075</v>
      </c>
      <c r="O1030" s="13">
        <f t="shared" si="216"/>
        <v>2101778</v>
      </c>
      <c r="P1030" s="13">
        <f t="shared" si="217"/>
        <v>2128806</v>
      </c>
      <c r="Q1030" s="13">
        <f t="shared" si="218"/>
        <v>2117221</v>
      </c>
      <c r="R1030" s="33">
        <f t="shared" si="219"/>
        <v>7.3475885654907813E-3</v>
      </c>
      <c r="S1030" s="33">
        <f t="shared" si="220"/>
        <v>-5.4420177320055885E-3</v>
      </c>
    </row>
    <row r="1031" spans="1:19" x14ac:dyDescent="0.25">
      <c r="A1031" t="s">
        <v>42</v>
      </c>
      <c r="B1031">
        <v>1</v>
      </c>
      <c r="C1031" t="s">
        <v>72</v>
      </c>
      <c r="D1031" s="68">
        <v>7884</v>
      </c>
      <c r="E1031" s="66">
        <v>7987</v>
      </c>
      <c r="F1031" s="68">
        <v>7977</v>
      </c>
      <c r="G1031" s="13">
        <f t="shared" si="208"/>
        <v>-10</v>
      </c>
      <c r="H1031" s="13">
        <f t="shared" si="209"/>
        <v>93</v>
      </c>
      <c r="I1031" s="73">
        <f t="shared" si="210"/>
        <v>1.1796042617960412E-2</v>
      </c>
      <c r="J1031" s="73">
        <f t="shared" si="211"/>
        <v>-1.2520345561537471E-3</v>
      </c>
      <c r="K1031" s="72" t="str">
        <f t="shared" si="212"/>
        <v>GM1</v>
      </c>
      <c r="L1031" s="72" t="str">
        <f t="shared" si="213"/>
        <v>AUGUST-1-GM1</v>
      </c>
      <c r="M1031" s="73">
        <f t="shared" si="214"/>
        <v>2.9741522144454247E-2</v>
      </c>
      <c r="N1031" s="73">
        <f t="shared" si="215"/>
        <v>-0.33703515555485075</v>
      </c>
      <c r="O1031" s="13">
        <f t="shared" si="216"/>
        <v>2101778</v>
      </c>
      <c r="P1031" s="13">
        <f t="shared" si="217"/>
        <v>2128806</v>
      </c>
      <c r="Q1031" s="13">
        <f t="shared" si="218"/>
        <v>2117221</v>
      </c>
      <c r="R1031" s="33">
        <f t="shared" si="219"/>
        <v>7.3475885654907813E-3</v>
      </c>
      <c r="S1031" s="33">
        <f t="shared" si="220"/>
        <v>-5.4420177320055885E-3</v>
      </c>
    </row>
    <row r="1032" spans="1:19" x14ac:dyDescent="0.25">
      <c r="A1032" t="s">
        <v>42</v>
      </c>
      <c r="B1032">
        <v>1</v>
      </c>
      <c r="C1032" t="s">
        <v>72</v>
      </c>
      <c r="D1032" s="68">
        <v>13068</v>
      </c>
      <c r="E1032" s="66">
        <v>13213</v>
      </c>
      <c r="F1032" s="68">
        <v>13128</v>
      </c>
      <c r="G1032" s="13">
        <f t="shared" si="208"/>
        <v>-85</v>
      </c>
      <c r="H1032" s="13">
        <f t="shared" si="209"/>
        <v>60</v>
      </c>
      <c r="I1032" s="73">
        <f t="shared" si="210"/>
        <v>4.5913682277318735E-3</v>
      </c>
      <c r="J1032" s="73">
        <f t="shared" si="211"/>
        <v>-6.4330583516234441E-3</v>
      </c>
      <c r="K1032" s="72" t="str">
        <f t="shared" si="212"/>
        <v>GM1</v>
      </c>
      <c r="L1032" s="72" t="str">
        <f t="shared" si="213"/>
        <v>AUGUST-1-GM1</v>
      </c>
      <c r="M1032" s="73">
        <f t="shared" si="214"/>
        <v>2.9741522144454247E-2</v>
      </c>
      <c r="N1032" s="73">
        <f t="shared" si="215"/>
        <v>-0.33703515555485075</v>
      </c>
      <c r="O1032" s="13">
        <f t="shared" si="216"/>
        <v>2101778</v>
      </c>
      <c r="P1032" s="13">
        <f t="shared" si="217"/>
        <v>2128806</v>
      </c>
      <c r="Q1032" s="13">
        <f t="shared" si="218"/>
        <v>2117221</v>
      </c>
      <c r="R1032" s="33">
        <f t="shared" si="219"/>
        <v>7.3475885654907813E-3</v>
      </c>
      <c r="S1032" s="33">
        <f t="shared" si="220"/>
        <v>-5.4420177320055885E-3</v>
      </c>
    </row>
    <row r="1033" spans="1:19" x14ac:dyDescent="0.25">
      <c r="A1033" t="s">
        <v>42</v>
      </c>
      <c r="B1033">
        <v>1</v>
      </c>
      <c r="C1033" t="s">
        <v>72</v>
      </c>
      <c r="D1033" s="68">
        <v>5400</v>
      </c>
      <c r="E1033" s="66">
        <v>5465</v>
      </c>
      <c r="F1033" s="68">
        <v>5400</v>
      </c>
      <c r="G1033" s="13">
        <f t="shared" si="208"/>
        <v>-65</v>
      </c>
      <c r="H1033" s="13">
        <f t="shared" si="209"/>
        <v>0</v>
      </c>
      <c r="I1033" s="73">
        <f t="shared" si="210"/>
        <v>0</v>
      </c>
      <c r="J1033" s="73">
        <f t="shared" si="211"/>
        <v>-1.1893870082342217E-2</v>
      </c>
      <c r="K1033" s="72" t="str">
        <f t="shared" si="212"/>
        <v>GM1</v>
      </c>
      <c r="L1033" s="72" t="str">
        <f t="shared" si="213"/>
        <v>AUGUST-1-GM1</v>
      </c>
      <c r="M1033" s="73">
        <f t="shared" si="214"/>
        <v>2.9741522144454247E-2</v>
      </c>
      <c r="N1033" s="73">
        <f t="shared" si="215"/>
        <v>-0.33703515555485075</v>
      </c>
      <c r="O1033" s="13">
        <f t="shared" si="216"/>
        <v>2101778</v>
      </c>
      <c r="P1033" s="13">
        <f t="shared" si="217"/>
        <v>2128806</v>
      </c>
      <c r="Q1033" s="13">
        <f t="shared" si="218"/>
        <v>2117221</v>
      </c>
      <c r="R1033" s="33">
        <f t="shared" si="219"/>
        <v>7.3475885654907813E-3</v>
      </c>
      <c r="S1033" s="33">
        <f t="shared" si="220"/>
        <v>-5.4420177320055885E-3</v>
      </c>
    </row>
    <row r="1034" spans="1:19" x14ac:dyDescent="0.25">
      <c r="A1034" t="s">
        <v>42</v>
      </c>
      <c r="B1034">
        <v>1</v>
      </c>
      <c r="C1034" t="s">
        <v>72</v>
      </c>
      <c r="D1034" s="68">
        <v>22356</v>
      </c>
      <c r="E1034" s="66">
        <v>22545</v>
      </c>
      <c r="F1034" s="68">
        <v>22476</v>
      </c>
      <c r="G1034" s="13">
        <f t="shared" si="208"/>
        <v>-69</v>
      </c>
      <c r="H1034" s="13">
        <f t="shared" si="209"/>
        <v>120</v>
      </c>
      <c r="I1034" s="73">
        <f t="shared" si="210"/>
        <v>5.3676865271068408E-3</v>
      </c>
      <c r="J1034" s="73">
        <f t="shared" si="211"/>
        <v>-3.0605455755156052E-3</v>
      </c>
      <c r="K1034" s="72" t="str">
        <f t="shared" si="212"/>
        <v>GM1</v>
      </c>
      <c r="L1034" s="72" t="str">
        <f t="shared" si="213"/>
        <v>AUGUST-1-GM1</v>
      </c>
      <c r="M1034" s="73">
        <f t="shared" si="214"/>
        <v>2.9741522144454247E-2</v>
      </c>
      <c r="N1034" s="73">
        <f t="shared" si="215"/>
        <v>-0.33703515555485075</v>
      </c>
      <c r="O1034" s="13">
        <f t="shared" si="216"/>
        <v>2101778</v>
      </c>
      <c r="P1034" s="13">
        <f t="shared" si="217"/>
        <v>2128806</v>
      </c>
      <c r="Q1034" s="13">
        <f t="shared" si="218"/>
        <v>2117221</v>
      </c>
      <c r="R1034" s="33">
        <f t="shared" si="219"/>
        <v>7.3475885654907813E-3</v>
      </c>
      <c r="S1034" s="33">
        <f t="shared" si="220"/>
        <v>-5.4420177320055885E-3</v>
      </c>
    </row>
    <row r="1035" spans="1:19" x14ac:dyDescent="0.25">
      <c r="A1035" t="s">
        <v>42</v>
      </c>
      <c r="B1035">
        <v>1</v>
      </c>
      <c r="C1035" t="s">
        <v>72</v>
      </c>
      <c r="D1035" s="68">
        <v>1080</v>
      </c>
      <c r="E1035" s="66">
        <v>1092</v>
      </c>
      <c r="F1035" s="68">
        <v>1083</v>
      </c>
      <c r="G1035" s="13">
        <f t="shared" si="208"/>
        <v>-9</v>
      </c>
      <c r="H1035" s="13">
        <f t="shared" si="209"/>
        <v>3</v>
      </c>
      <c r="I1035" s="73">
        <f t="shared" si="210"/>
        <v>2.7777777777777679E-3</v>
      </c>
      <c r="J1035" s="73">
        <f t="shared" si="211"/>
        <v>-8.2417582417582125E-3</v>
      </c>
      <c r="K1035" s="72" t="str">
        <f t="shared" si="212"/>
        <v>GM1</v>
      </c>
      <c r="L1035" s="72" t="str">
        <f t="shared" si="213"/>
        <v>AUGUST-1-GM1</v>
      </c>
      <c r="M1035" s="73">
        <f t="shared" si="214"/>
        <v>2.9741522144454247E-2</v>
      </c>
      <c r="N1035" s="73">
        <f t="shared" si="215"/>
        <v>-0.33703515555485075</v>
      </c>
      <c r="O1035" s="13">
        <f t="shared" si="216"/>
        <v>2101778</v>
      </c>
      <c r="P1035" s="13">
        <f t="shared" si="217"/>
        <v>2128806</v>
      </c>
      <c r="Q1035" s="13">
        <f t="shared" si="218"/>
        <v>2117221</v>
      </c>
      <c r="R1035" s="33">
        <f t="shared" si="219"/>
        <v>7.3475885654907813E-3</v>
      </c>
      <c r="S1035" s="33">
        <f t="shared" si="220"/>
        <v>-5.4420177320055885E-3</v>
      </c>
    </row>
    <row r="1036" spans="1:19" x14ac:dyDescent="0.25">
      <c r="A1036" t="s">
        <v>42</v>
      </c>
      <c r="B1036">
        <v>1</v>
      </c>
      <c r="C1036" t="s">
        <v>28</v>
      </c>
      <c r="D1036">
        <v>648</v>
      </c>
      <c r="E1036" s="68">
        <v>648</v>
      </c>
      <c r="F1036" s="68">
        <v>648</v>
      </c>
      <c r="G1036" s="13">
        <f t="shared" si="208"/>
        <v>0</v>
      </c>
      <c r="H1036" s="13">
        <f t="shared" si="209"/>
        <v>0</v>
      </c>
      <c r="I1036" s="73">
        <f t="shared" si="210"/>
        <v>0</v>
      </c>
      <c r="J1036" s="73">
        <f t="shared" si="211"/>
        <v>0</v>
      </c>
      <c r="K1036" s="72" t="str">
        <f t="shared" si="212"/>
        <v>GM2</v>
      </c>
      <c r="L1036" s="72" t="str">
        <f t="shared" si="213"/>
        <v>AUGUST-1-GM2</v>
      </c>
      <c r="M1036" s="73">
        <f t="shared" si="214"/>
        <v>6.6251503360073682E-2</v>
      </c>
      <c r="N1036" s="73">
        <f t="shared" si="215"/>
        <v>-0.19341123951991168</v>
      </c>
      <c r="O1036" s="13">
        <f t="shared" si="216"/>
        <v>2101778</v>
      </c>
      <c r="P1036" s="13">
        <f t="shared" si="217"/>
        <v>2128806</v>
      </c>
      <c r="Q1036" s="13">
        <f t="shared" si="218"/>
        <v>2117221</v>
      </c>
      <c r="R1036" s="33">
        <f t="shared" si="219"/>
        <v>7.3475885654907813E-3</v>
      </c>
      <c r="S1036" s="33">
        <f t="shared" si="220"/>
        <v>-5.4420177320055885E-3</v>
      </c>
    </row>
    <row r="1037" spans="1:19" x14ac:dyDescent="0.25">
      <c r="A1037" t="s">
        <v>42</v>
      </c>
      <c r="B1037">
        <v>1</v>
      </c>
      <c r="C1037" t="s">
        <v>28</v>
      </c>
      <c r="D1037">
        <v>21816</v>
      </c>
      <c r="E1037" s="68">
        <v>22254</v>
      </c>
      <c r="F1037" s="68">
        <v>22137</v>
      </c>
      <c r="G1037" s="13">
        <f t="shared" si="208"/>
        <v>-117</v>
      </c>
      <c r="H1037" s="13">
        <f t="shared" si="209"/>
        <v>321</v>
      </c>
      <c r="I1037" s="73">
        <f t="shared" si="210"/>
        <v>1.4713971397139813E-2</v>
      </c>
      <c r="J1037" s="73">
        <f t="shared" si="211"/>
        <v>-5.2574818010245883E-3</v>
      </c>
      <c r="K1037" s="72" t="str">
        <f t="shared" si="212"/>
        <v>GM2</v>
      </c>
      <c r="L1037" s="72" t="str">
        <f t="shared" si="213"/>
        <v>AUGUST-1-GM2</v>
      </c>
      <c r="M1037" s="73">
        <f t="shared" si="214"/>
        <v>6.6251503360073682E-2</v>
      </c>
      <c r="N1037" s="73">
        <f t="shared" si="215"/>
        <v>-0.19341123951991168</v>
      </c>
      <c r="O1037" s="13">
        <f t="shared" si="216"/>
        <v>2101778</v>
      </c>
      <c r="P1037" s="13">
        <f t="shared" si="217"/>
        <v>2128806</v>
      </c>
      <c r="Q1037" s="13">
        <f t="shared" si="218"/>
        <v>2117221</v>
      </c>
      <c r="R1037" s="33">
        <f t="shared" si="219"/>
        <v>7.3475885654907813E-3</v>
      </c>
      <c r="S1037" s="33">
        <f t="shared" si="220"/>
        <v>-5.4420177320055885E-3</v>
      </c>
    </row>
    <row r="1038" spans="1:19" x14ac:dyDescent="0.25">
      <c r="A1038" t="s">
        <v>42</v>
      </c>
      <c r="B1038">
        <v>1</v>
      </c>
      <c r="C1038" t="s">
        <v>28</v>
      </c>
      <c r="D1038">
        <v>540</v>
      </c>
      <c r="E1038" s="68">
        <v>552</v>
      </c>
      <c r="F1038" s="68">
        <v>552</v>
      </c>
      <c r="G1038" s="13">
        <f t="shared" si="208"/>
        <v>0</v>
      </c>
      <c r="H1038" s="13">
        <f t="shared" si="209"/>
        <v>12</v>
      </c>
      <c r="I1038" s="73">
        <f t="shared" si="210"/>
        <v>2.2222222222222143E-2</v>
      </c>
      <c r="J1038" s="73">
        <f t="shared" si="211"/>
        <v>0</v>
      </c>
      <c r="K1038" s="72" t="str">
        <f t="shared" si="212"/>
        <v>GM2</v>
      </c>
      <c r="L1038" s="72" t="str">
        <f t="shared" si="213"/>
        <v>AUGUST-1-GM2</v>
      </c>
      <c r="M1038" s="73">
        <f t="shared" si="214"/>
        <v>6.6251503360073682E-2</v>
      </c>
      <c r="N1038" s="73">
        <f t="shared" si="215"/>
        <v>-0.19341123951991168</v>
      </c>
      <c r="O1038" s="13">
        <f t="shared" si="216"/>
        <v>2101778</v>
      </c>
      <c r="P1038" s="13">
        <f t="shared" si="217"/>
        <v>2128806</v>
      </c>
      <c r="Q1038" s="13">
        <f t="shared" si="218"/>
        <v>2117221</v>
      </c>
      <c r="R1038" s="33">
        <f t="shared" si="219"/>
        <v>7.3475885654907813E-3</v>
      </c>
      <c r="S1038" s="33">
        <f t="shared" si="220"/>
        <v>-5.4420177320055885E-3</v>
      </c>
    </row>
    <row r="1039" spans="1:19" x14ac:dyDescent="0.25">
      <c r="A1039" t="s">
        <v>42</v>
      </c>
      <c r="B1039">
        <v>1</v>
      </c>
      <c r="C1039" t="s">
        <v>28</v>
      </c>
      <c r="D1039">
        <v>2448</v>
      </c>
      <c r="E1039" s="68">
        <v>2458</v>
      </c>
      <c r="F1039" s="68">
        <v>2440</v>
      </c>
      <c r="G1039" s="13">
        <f t="shared" si="208"/>
        <v>-18</v>
      </c>
      <c r="H1039" s="13">
        <f t="shared" si="209"/>
        <v>-8</v>
      </c>
      <c r="I1039" s="73">
        <f t="shared" si="210"/>
        <v>-3.2679738562091387E-3</v>
      </c>
      <c r="J1039" s="73">
        <f t="shared" si="211"/>
        <v>-7.3230268510984242E-3</v>
      </c>
      <c r="K1039" s="72" t="str">
        <f t="shared" si="212"/>
        <v>GM2</v>
      </c>
      <c r="L1039" s="72" t="str">
        <f t="shared" si="213"/>
        <v>AUGUST-1-GM2</v>
      </c>
      <c r="M1039" s="73">
        <f t="shared" si="214"/>
        <v>6.6251503360073682E-2</v>
      </c>
      <c r="N1039" s="73">
        <f t="shared" si="215"/>
        <v>-0.19341123951991168</v>
      </c>
      <c r="O1039" s="13">
        <f t="shared" si="216"/>
        <v>2101778</v>
      </c>
      <c r="P1039" s="13">
        <f t="shared" si="217"/>
        <v>2128806</v>
      </c>
      <c r="Q1039" s="13">
        <f t="shared" si="218"/>
        <v>2117221</v>
      </c>
      <c r="R1039" s="33">
        <f t="shared" si="219"/>
        <v>7.3475885654907813E-3</v>
      </c>
      <c r="S1039" s="33">
        <f t="shared" si="220"/>
        <v>-5.4420177320055885E-3</v>
      </c>
    </row>
    <row r="1040" spans="1:19" x14ac:dyDescent="0.25">
      <c r="A1040" t="s">
        <v>42</v>
      </c>
      <c r="B1040">
        <v>1</v>
      </c>
      <c r="C1040" t="s">
        <v>28</v>
      </c>
      <c r="D1040">
        <v>3024</v>
      </c>
      <c r="E1040" s="68">
        <v>3034</v>
      </c>
      <c r="F1040" s="68">
        <v>3024</v>
      </c>
      <c r="G1040" s="13">
        <f t="shared" si="208"/>
        <v>-10</v>
      </c>
      <c r="H1040" s="13">
        <f t="shared" si="209"/>
        <v>0</v>
      </c>
      <c r="I1040" s="73">
        <f t="shared" si="210"/>
        <v>0</v>
      </c>
      <c r="J1040" s="73">
        <f t="shared" si="211"/>
        <v>-3.2959789057349642E-3</v>
      </c>
      <c r="K1040" s="72" t="str">
        <f t="shared" si="212"/>
        <v>GM2</v>
      </c>
      <c r="L1040" s="72" t="str">
        <f t="shared" si="213"/>
        <v>AUGUST-1-GM2</v>
      </c>
      <c r="M1040" s="73">
        <f t="shared" si="214"/>
        <v>6.6251503360073682E-2</v>
      </c>
      <c r="N1040" s="73">
        <f t="shared" si="215"/>
        <v>-0.19341123951991168</v>
      </c>
      <c r="O1040" s="13">
        <f t="shared" si="216"/>
        <v>2101778</v>
      </c>
      <c r="P1040" s="13">
        <f t="shared" si="217"/>
        <v>2128806</v>
      </c>
      <c r="Q1040" s="13">
        <f t="shared" si="218"/>
        <v>2117221</v>
      </c>
      <c r="R1040" s="33">
        <f t="shared" si="219"/>
        <v>7.3475885654907813E-3</v>
      </c>
      <c r="S1040" s="33">
        <f t="shared" si="220"/>
        <v>-5.4420177320055885E-3</v>
      </c>
    </row>
    <row r="1041" spans="1:19" x14ac:dyDescent="0.25">
      <c r="A1041" t="s">
        <v>42</v>
      </c>
      <c r="B1041">
        <v>1</v>
      </c>
      <c r="C1041" t="s">
        <v>28</v>
      </c>
      <c r="D1041">
        <v>1296</v>
      </c>
      <c r="E1041" s="68">
        <v>1307</v>
      </c>
      <c r="F1041" s="68">
        <v>1296</v>
      </c>
      <c r="G1041" s="13">
        <f t="shared" si="208"/>
        <v>-11</v>
      </c>
      <c r="H1041" s="13">
        <f t="shared" si="209"/>
        <v>0</v>
      </c>
      <c r="I1041" s="73">
        <f t="shared" si="210"/>
        <v>0</v>
      </c>
      <c r="J1041" s="73">
        <f t="shared" si="211"/>
        <v>-8.4162203519509982E-3</v>
      </c>
      <c r="K1041" s="72" t="str">
        <f t="shared" si="212"/>
        <v>GM2</v>
      </c>
      <c r="L1041" s="72" t="str">
        <f t="shared" si="213"/>
        <v>AUGUST-1-GM2</v>
      </c>
      <c r="M1041" s="73">
        <f t="shared" si="214"/>
        <v>6.6251503360073682E-2</v>
      </c>
      <c r="N1041" s="73">
        <f t="shared" si="215"/>
        <v>-0.19341123951991168</v>
      </c>
      <c r="O1041" s="13">
        <f t="shared" si="216"/>
        <v>2101778</v>
      </c>
      <c r="P1041" s="13">
        <f t="shared" si="217"/>
        <v>2128806</v>
      </c>
      <c r="Q1041" s="13">
        <f t="shared" si="218"/>
        <v>2117221</v>
      </c>
      <c r="R1041" s="33">
        <f t="shared" si="219"/>
        <v>7.3475885654907813E-3</v>
      </c>
      <c r="S1041" s="33">
        <f t="shared" si="220"/>
        <v>-5.4420177320055885E-3</v>
      </c>
    </row>
    <row r="1042" spans="1:19" x14ac:dyDescent="0.25">
      <c r="A1042" t="s">
        <v>42</v>
      </c>
      <c r="B1042">
        <v>1</v>
      </c>
      <c r="C1042" t="s">
        <v>28</v>
      </c>
      <c r="D1042">
        <v>1008</v>
      </c>
      <c r="E1042" s="68">
        <v>1020</v>
      </c>
      <c r="F1042" s="68">
        <v>1008</v>
      </c>
      <c r="G1042" s="13">
        <f t="shared" si="208"/>
        <v>-12</v>
      </c>
      <c r="H1042" s="13">
        <f t="shared" si="209"/>
        <v>0</v>
      </c>
      <c r="I1042" s="73">
        <f t="shared" si="210"/>
        <v>0</v>
      </c>
      <c r="J1042" s="73">
        <f t="shared" si="211"/>
        <v>-1.1764705882352899E-2</v>
      </c>
      <c r="K1042" s="72" t="str">
        <f t="shared" si="212"/>
        <v>GM2</v>
      </c>
      <c r="L1042" s="72" t="str">
        <f t="shared" si="213"/>
        <v>AUGUST-1-GM2</v>
      </c>
      <c r="M1042" s="73">
        <f t="shared" si="214"/>
        <v>6.6251503360073682E-2</v>
      </c>
      <c r="N1042" s="73">
        <f t="shared" si="215"/>
        <v>-0.19341123951991168</v>
      </c>
      <c r="O1042" s="13">
        <f t="shared" si="216"/>
        <v>2101778</v>
      </c>
      <c r="P1042" s="13">
        <f t="shared" si="217"/>
        <v>2128806</v>
      </c>
      <c r="Q1042" s="13">
        <f t="shared" si="218"/>
        <v>2117221</v>
      </c>
      <c r="R1042" s="33">
        <f t="shared" si="219"/>
        <v>7.3475885654907813E-3</v>
      </c>
      <c r="S1042" s="33">
        <f t="shared" si="220"/>
        <v>-5.4420177320055885E-3</v>
      </c>
    </row>
    <row r="1043" spans="1:19" x14ac:dyDescent="0.25">
      <c r="A1043" t="s">
        <v>42</v>
      </c>
      <c r="B1043">
        <v>1</v>
      </c>
      <c r="C1043" t="s">
        <v>28</v>
      </c>
      <c r="D1043">
        <v>30240</v>
      </c>
      <c r="E1043" s="68">
        <v>30547</v>
      </c>
      <c r="F1043" s="68">
        <v>30450</v>
      </c>
      <c r="G1043" s="13">
        <f t="shared" si="208"/>
        <v>-97</v>
      </c>
      <c r="H1043" s="13">
        <f t="shared" si="209"/>
        <v>210</v>
      </c>
      <c r="I1043" s="73">
        <f t="shared" si="210"/>
        <v>6.9444444444444198E-3</v>
      </c>
      <c r="J1043" s="73">
        <f t="shared" si="211"/>
        <v>-3.175434576226821E-3</v>
      </c>
      <c r="K1043" s="72" t="str">
        <f t="shared" si="212"/>
        <v>GM2</v>
      </c>
      <c r="L1043" s="72" t="str">
        <f t="shared" si="213"/>
        <v>AUGUST-1-GM2</v>
      </c>
      <c r="M1043" s="73">
        <f t="shared" si="214"/>
        <v>6.6251503360073682E-2</v>
      </c>
      <c r="N1043" s="73">
        <f t="shared" si="215"/>
        <v>-0.19341123951991168</v>
      </c>
      <c r="O1043" s="13">
        <f t="shared" si="216"/>
        <v>2101778</v>
      </c>
      <c r="P1043" s="13">
        <f t="shared" si="217"/>
        <v>2128806</v>
      </c>
      <c r="Q1043" s="13">
        <f t="shared" si="218"/>
        <v>2117221</v>
      </c>
      <c r="R1043" s="33">
        <f t="shared" si="219"/>
        <v>7.3475885654907813E-3</v>
      </c>
      <c r="S1043" s="33">
        <f t="shared" si="220"/>
        <v>-5.4420177320055885E-3</v>
      </c>
    </row>
    <row r="1044" spans="1:19" x14ac:dyDescent="0.25">
      <c r="A1044" t="s">
        <v>42</v>
      </c>
      <c r="B1044">
        <v>1</v>
      </c>
      <c r="C1044" t="s">
        <v>28</v>
      </c>
      <c r="D1044">
        <v>4212</v>
      </c>
      <c r="E1044" s="68">
        <v>4275</v>
      </c>
      <c r="F1044" s="68">
        <v>4194</v>
      </c>
      <c r="G1044" s="13">
        <f t="shared" si="208"/>
        <v>-81</v>
      </c>
      <c r="H1044" s="13">
        <f t="shared" si="209"/>
        <v>-18</v>
      </c>
      <c r="I1044" s="73">
        <f t="shared" si="210"/>
        <v>-4.2735042735042583E-3</v>
      </c>
      <c r="J1044" s="73">
        <f t="shared" si="211"/>
        <v>-1.8947368421052602E-2</v>
      </c>
      <c r="K1044" s="72" t="str">
        <f t="shared" si="212"/>
        <v>GM2</v>
      </c>
      <c r="L1044" s="72" t="str">
        <f t="shared" si="213"/>
        <v>AUGUST-1-GM2</v>
      </c>
      <c r="M1044" s="73">
        <f t="shared" si="214"/>
        <v>6.6251503360073682E-2</v>
      </c>
      <c r="N1044" s="73">
        <f t="shared" si="215"/>
        <v>-0.19341123951991168</v>
      </c>
      <c r="O1044" s="13">
        <f t="shared" si="216"/>
        <v>2101778</v>
      </c>
      <c r="P1044" s="13">
        <f t="shared" si="217"/>
        <v>2128806</v>
      </c>
      <c r="Q1044" s="13">
        <f t="shared" si="218"/>
        <v>2117221</v>
      </c>
      <c r="R1044" s="33">
        <f t="shared" si="219"/>
        <v>7.3475885654907813E-3</v>
      </c>
      <c r="S1044" s="33">
        <f t="shared" si="220"/>
        <v>-5.4420177320055885E-3</v>
      </c>
    </row>
    <row r="1045" spans="1:19" x14ac:dyDescent="0.25">
      <c r="A1045" t="s">
        <v>42</v>
      </c>
      <c r="B1045">
        <v>1</v>
      </c>
      <c r="C1045" t="s">
        <v>28</v>
      </c>
      <c r="D1045">
        <v>21600</v>
      </c>
      <c r="E1045" s="68">
        <v>21811</v>
      </c>
      <c r="F1045" s="68">
        <v>21420</v>
      </c>
      <c r="G1045" s="13">
        <f t="shared" si="208"/>
        <v>-391</v>
      </c>
      <c r="H1045" s="13">
        <f t="shared" si="209"/>
        <v>-180</v>
      </c>
      <c r="I1045" s="73">
        <f t="shared" si="210"/>
        <v>-8.3333333333333037E-3</v>
      </c>
      <c r="J1045" s="73">
        <f t="shared" si="211"/>
        <v>-1.7926734216679674E-2</v>
      </c>
      <c r="K1045" s="72" t="str">
        <f t="shared" si="212"/>
        <v>GM2</v>
      </c>
      <c r="L1045" s="72" t="str">
        <f t="shared" si="213"/>
        <v>AUGUST-1-GM2</v>
      </c>
      <c r="M1045" s="73">
        <f t="shared" si="214"/>
        <v>6.6251503360073682E-2</v>
      </c>
      <c r="N1045" s="73">
        <f t="shared" si="215"/>
        <v>-0.19341123951991168</v>
      </c>
      <c r="O1045" s="13">
        <f t="shared" si="216"/>
        <v>2101778</v>
      </c>
      <c r="P1045" s="13">
        <f t="shared" si="217"/>
        <v>2128806</v>
      </c>
      <c r="Q1045" s="13">
        <f t="shared" si="218"/>
        <v>2117221</v>
      </c>
      <c r="R1045" s="33">
        <f t="shared" si="219"/>
        <v>7.3475885654907813E-3</v>
      </c>
      <c r="S1045" s="33">
        <f t="shared" si="220"/>
        <v>-5.4420177320055885E-3</v>
      </c>
    </row>
    <row r="1046" spans="1:19" x14ac:dyDescent="0.25">
      <c r="A1046" t="s">
        <v>42</v>
      </c>
      <c r="B1046">
        <v>1</v>
      </c>
      <c r="C1046" t="s">
        <v>28</v>
      </c>
      <c r="D1046">
        <v>12420</v>
      </c>
      <c r="E1046" s="68">
        <v>12563</v>
      </c>
      <c r="F1046" s="68">
        <v>12399</v>
      </c>
      <c r="G1046" s="13">
        <f t="shared" si="208"/>
        <v>-164</v>
      </c>
      <c r="H1046" s="13">
        <f t="shared" si="209"/>
        <v>-21</v>
      </c>
      <c r="I1046" s="73">
        <f t="shared" si="210"/>
        <v>-1.6908212560386993E-3</v>
      </c>
      <c r="J1046" s="73">
        <f t="shared" si="211"/>
        <v>-1.3054206797739387E-2</v>
      </c>
      <c r="K1046" s="72" t="str">
        <f t="shared" si="212"/>
        <v>GM2</v>
      </c>
      <c r="L1046" s="72" t="str">
        <f t="shared" si="213"/>
        <v>AUGUST-1-GM2</v>
      </c>
      <c r="M1046" s="73">
        <f t="shared" si="214"/>
        <v>6.6251503360073682E-2</v>
      </c>
      <c r="N1046" s="73">
        <f t="shared" si="215"/>
        <v>-0.19341123951991168</v>
      </c>
      <c r="O1046" s="13">
        <f t="shared" si="216"/>
        <v>2101778</v>
      </c>
      <c r="P1046" s="13">
        <f t="shared" si="217"/>
        <v>2128806</v>
      </c>
      <c r="Q1046" s="13">
        <f t="shared" si="218"/>
        <v>2117221</v>
      </c>
      <c r="R1046" s="33">
        <f t="shared" si="219"/>
        <v>7.3475885654907813E-3</v>
      </c>
      <c r="S1046" s="33">
        <f t="shared" si="220"/>
        <v>-5.4420177320055885E-3</v>
      </c>
    </row>
    <row r="1047" spans="1:19" x14ac:dyDescent="0.25">
      <c r="A1047" t="s">
        <v>42</v>
      </c>
      <c r="B1047">
        <v>1</v>
      </c>
      <c r="C1047" t="s">
        <v>28</v>
      </c>
      <c r="D1047">
        <v>1080</v>
      </c>
      <c r="E1047" s="68">
        <v>1091</v>
      </c>
      <c r="F1047" s="68">
        <v>1089</v>
      </c>
      <c r="G1047" s="13">
        <f t="shared" si="208"/>
        <v>-2</v>
      </c>
      <c r="H1047" s="13">
        <f t="shared" si="209"/>
        <v>9</v>
      </c>
      <c r="I1047" s="73">
        <f t="shared" si="210"/>
        <v>8.3333333333333037E-3</v>
      </c>
      <c r="J1047" s="73">
        <f t="shared" si="211"/>
        <v>-1.8331805682859637E-3</v>
      </c>
      <c r="K1047" s="72" t="str">
        <f t="shared" si="212"/>
        <v>GM2</v>
      </c>
      <c r="L1047" s="72" t="str">
        <f t="shared" si="213"/>
        <v>AUGUST-1-GM2</v>
      </c>
      <c r="M1047" s="73">
        <f t="shared" si="214"/>
        <v>6.6251503360073682E-2</v>
      </c>
      <c r="N1047" s="73">
        <f t="shared" si="215"/>
        <v>-0.19341123951991168</v>
      </c>
      <c r="O1047" s="13">
        <f t="shared" si="216"/>
        <v>2101778</v>
      </c>
      <c r="P1047" s="13">
        <f t="shared" si="217"/>
        <v>2128806</v>
      </c>
      <c r="Q1047" s="13">
        <f t="shared" si="218"/>
        <v>2117221</v>
      </c>
      <c r="R1047" s="33">
        <f t="shared" si="219"/>
        <v>7.3475885654907813E-3</v>
      </c>
      <c r="S1047" s="33">
        <f t="shared" si="220"/>
        <v>-5.4420177320055885E-3</v>
      </c>
    </row>
    <row r="1048" spans="1:19" x14ac:dyDescent="0.25">
      <c r="A1048" t="s">
        <v>42</v>
      </c>
      <c r="B1048">
        <v>1</v>
      </c>
      <c r="C1048" t="s">
        <v>28</v>
      </c>
      <c r="D1048">
        <v>2952</v>
      </c>
      <c r="E1048" s="68">
        <v>2955</v>
      </c>
      <c r="F1048" s="68">
        <v>2949</v>
      </c>
      <c r="G1048" s="13">
        <f t="shared" si="208"/>
        <v>-6</v>
      </c>
      <c r="H1048" s="13">
        <f t="shared" si="209"/>
        <v>-3</v>
      </c>
      <c r="I1048" s="73">
        <f t="shared" si="210"/>
        <v>-1.0162601626015899E-3</v>
      </c>
      <c r="J1048" s="73">
        <f t="shared" si="211"/>
        <v>-2.0304568527919065E-3</v>
      </c>
      <c r="K1048" s="72" t="str">
        <f t="shared" si="212"/>
        <v>GM2</v>
      </c>
      <c r="L1048" s="72" t="str">
        <f t="shared" si="213"/>
        <v>AUGUST-1-GM2</v>
      </c>
      <c r="M1048" s="73">
        <f t="shared" si="214"/>
        <v>6.6251503360073682E-2</v>
      </c>
      <c r="N1048" s="73">
        <f t="shared" si="215"/>
        <v>-0.19341123951991168</v>
      </c>
      <c r="O1048" s="13">
        <f t="shared" si="216"/>
        <v>2101778</v>
      </c>
      <c r="P1048" s="13">
        <f t="shared" si="217"/>
        <v>2128806</v>
      </c>
      <c r="Q1048" s="13">
        <f t="shared" si="218"/>
        <v>2117221</v>
      </c>
      <c r="R1048" s="33">
        <f t="shared" si="219"/>
        <v>7.3475885654907813E-3</v>
      </c>
      <c r="S1048" s="33">
        <f t="shared" si="220"/>
        <v>-5.4420177320055885E-3</v>
      </c>
    </row>
    <row r="1049" spans="1:19" x14ac:dyDescent="0.25">
      <c r="A1049" t="s">
        <v>42</v>
      </c>
      <c r="B1049">
        <v>1</v>
      </c>
      <c r="C1049" t="s">
        <v>28</v>
      </c>
      <c r="D1049">
        <v>1800</v>
      </c>
      <c r="E1049" s="68">
        <v>1803</v>
      </c>
      <c r="F1049" s="68">
        <v>1798</v>
      </c>
      <c r="G1049" s="13">
        <f t="shared" si="208"/>
        <v>-5</v>
      </c>
      <c r="H1049" s="13">
        <f t="shared" si="209"/>
        <v>-2</v>
      </c>
      <c r="I1049" s="73">
        <f t="shared" si="210"/>
        <v>-1.1111111111110628E-3</v>
      </c>
      <c r="J1049" s="73">
        <f t="shared" si="211"/>
        <v>-2.7731558513588439E-3</v>
      </c>
      <c r="K1049" s="72" t="str">
        <f t="shared" si="212"/>
        <v>GM2</v>
      </c>
      <c r="L1049" s="72" t="str">
        <f t="shared" si="213"/>
        <v>AUGUST-1-GM2</v>
      </c>
      <c r="M1049" s="73">
        <f t="shared" si="214"/>
        <v>6.6251503360073682E-2</v>
      </c>
      <c r="N1049" s="73">
        <f t="shared" si="215"/>
        <v>-0.19341123951991168</v>
      </c>
      <c r="O1049" s="13">
        <f t="shared" si="216"/>
        <v>2101778</v>
      </c>
      <c r="P1049" s="13">
        <f t="shared" si="217"/>
        <v>2128806</v>
      </c>
      <c r="Q1049" s="13">
        <f t="shared" si="218"/>
        <v>2117221</v>
      </c>
      <c r="R1049" s="33">
        <f t="shared" si="219"/>
        <v>7.3475885654907813E-3</v>
      </c>
      <c r="S1049" s="33">
        <f t="shared" si="220"/>
        <v>-5.4420177320055885E-3</v>
      </c>
    </row>
    <row r="1050" spans="1:19" x14ac:dyDescent="0.25">
      <c r="A1050" t="s">
        <v>42</v>
      </c>
      <c r="B1050">
        <v>1</v>
      </c>
      <c r="C1050" t="s">
        <v>28</v>
      </c>
      <c r="D1050">
        <v>2484</v>
      </c>
      <c r="E1050" s="68">
        <v>2484</v>
      </c>
      <c r="F1050" s="68">
        <v>2469</v>
      </c>
      <c r="G1050" s="13">
        <f t="shared" si="208"/>
        <v>-15</v>
      </c>
      <c r="H1050" s="13">
        <f t="shared" si="209"/>
        <v>-15</v>
      </c>
      <c r="I1050" s="73">
        <f t="shared" si="210"/>
        <v>-6.0386473429951959E-3</v>
      </c>
      <c r="J1050" s="73">
        <f t="shared" si="211"/>
        <v>-6.0386473429951959E-3</v>
      </c>
      <c r="K1050" s="72" t="str">
        <f t="shared" si="212"/>
        <v>GM2</v>
      </c>
      <c r="L1050" s="72" t="str">
        <f t="shared" si="213"/>
        <v>AUGUST-1-GM2</v>
      </c>
      <c r="M1050" s="73">
        <f t="shared" si="214"/>
        <v>6.6251503360073682E-2</v>
      </c>
      <c r="N1050" s="73">
        <f t="shared" si="215"/>
        <v>-0.19341123951991168</v>
      </c>
      <c r="O1050" s="13">
        <f t="shared" si="216"/>
        <v>2101778</v>
      </c>
      <c r="P1050" s="13">
        <f t="shared" si="217"/>
        <v>2128806</v>
      </c>
      <c r="Q1050" s="13">
        <f t="shared" si="218"/>
        <v>2117221</v>
      </c>
      <c r="R1050" s="33">
        <f t="shared" si="219"/>
        <v>7.3475885654907813E-3</v>
      </c>
      <c r="S1050" s="33">
        <f t="shared" si="220"/>
        <v>-5.4420177320055885E-3</v>
      </c>
    </row>
    <row r="1051" spans="1:19" x14ac:dyDescent="0.25">
      <c r="A1051" t="s">
        <v>42</v>
      </c>
      <c r="B1051">
        <v>1</v>
      </c>
      <c r="C1051" t="s">
        <v>28</v>
      </c>
      <c r="D1051">
        <v>1224</v>
      </c>
      <c r="E1051" s="68">
        <v>1225</v>
      </c>
      <c r="F1051" s="68">
        <v>1224</v>
      </c>
      <c r="G1051" s="13">
        <f t="shared" si="208"/>
        <v>-1</v>
      </c>
      <c r="H1051" s="13">
        <f t="shared" si="209"/>
        <v>0</v>
      </c>
      <c r="I1051" s="73">
        <f t="shared" si="210"/>
        <v>0</v>
      </c>
      <c r="J1051" s="73">
        <f t="shared" si="211"/>
        <v>-8.1632653061225469E-4</v>
      </c>
      <c r="K1051" s="72" t="str">
        <f t="shared" si="212"/>
        <v>GM2</v>
      </c>
      <c r="L1051" s="72" t="str">
        <f t="shared" si="213"/>
        <v>AUGUST-1-GM2</v>
      </c>
      <c r="M1051" s="73">
        <f t="shared" si="214"/>
        <v>6.6251503360073682E-2</v>
      </c>
      <c r="N1051" s="73">
        <f t="shared" si="215"/>
        <v>-0.19341123951991168</v>
      </c>
      <c r="O1051" s="13">
        <f t="shared" si="216"/>
        <v>2101778</v>
      </c>
      <c r="P1051" s="13">
        <f t="shared" si="217"/>
        <v>2128806</v>
      </c>
      <c r="Q1051" s="13">
        <f t="shared" si="218"/>
        <v>2117221</v>
      </c>
      <c r="R1051" s="33">
        <f t="shared" si="219"/>
        <v>7.3475885654907813E-3</v>
      </c>
      <c r="S1051" s="33">
        <f t="shared" si="220"/>
        <v>-5.4420177320055885E-3</v>
      </c>
    </row>
    <row r="1052" spans="1:19" x14ac:dyDescent="0.25">
      <c r="A1052" t="s">
        <v>42</v>
      </c>
      <c r="B1052">
        <v>1</v>
      </c>
      <c r="C1052" t="s">
        <v>28</v>
      </c>
      <c r="D1052">
        <v>11232</v>
      </c>
      <c r="E1052" s="68">
        <v>11241</v>
      </c>
      <c r="F1052" s="68">
        <v>11232</v>
      </c>
      <c r="G1052" s="13">
        <f t="shared" si="208"/>
        <v>-9</v>
      </c>
      <c r="H1052" s="13">
        <f t="shared" si="209"/>
        <v>0</v>
      </c>
      <c r="I1052" s="73">
        <f t="shared" si="210"/>
        <v>0</v>
      </c>
      <c r="J1052" s="73">
        <f t="shared" si="211"/>
        <v>-8.0064051240991141E-4</v>
      </c>
      <c r="K1052" s="72" t="str">
        <f t="shared" si="212"/>
        <v>GM2</v>
      </c>
      <c r="L1052" s="72" t="str">
        <f t="shared" si="213"/>
        <v>AUGUST-1-GM2</v>
      </c>
      <c r="M1052" s="73">
        <f t="shared" si="214"/>
        <v>6.6251503360073682E-2</v>
      </c>
      <c r="N1052" s="73">
        <f t="shared" si="215"/>
        <v>-0.19341123951991168</v>
      </c>
      <c r="O1052" s="13">
        <f t="shared" si="216"/>
        <v>2101778</v>
      </c>
      <c r="P1052" s="13">
        <f t="shared" si="217"/>
        <v>2128806</v>
      </c>
      <c r="Q1052" s="13">
        <f t="shared" si="218"/>
        <v>2117221</v>
      </c>
      <c r="R1052" s="33">
        <f t="shared" si="219"/>
        <v>7.3475885654907813E-3</v>
      </c>
      <c r="S1052" s="33">
        <f t="shared" si="220"/>
        <v>-5.4420177320055885E-3</v>
      </c>
    </row>
    <row r="1053" spans="1:19" x14ac:dyDescent="0.25">
      <c r="A1053" t="s">
        <v>42</v>
      </c>
      <c r="B1053">
        <v>1</v>
      </c>
      <c r="C1053" t="s">
        <v>28</v>
      </c>
      <c r="D1053">
        <v>3672</v>
      </c>
      <c r="E1053" s="68">
        <v>3681</v>
      </c>
      <c r="F1053" s="68">
        <v>3648</v>
      </c>
      <c r="G1053" s="13">
        <f t="shared" si="208"/>
        <v>-33</v>
      </c>
      <c r="H1053" s="13">
        <f t="shared" si="209"/>
        <v>-24</v>
      </c>
      <c r="I1053" s="73">
        <f t="shared" si="210"/>
        <v>-6.5359477124182774E-3</v>
      </c>
      <c r="J1053" s="73">
        <f t="shared" si="211"/>
        <v>-8.9649551752241097E-3</v>
      </c>
      <c r="K1053" s="72" t="str">
        <f t="shared" si="212"/>
        <v>GM2</v>
      </c>
      <c r="L1053" s="72" t="str">
        <f t="shared" si="213"/>
        <v>AUGUST-1-GM2</v>
      </c>
      <c r="M1053" s="73">
        <f t="shared" si="214"/>
        <v>6.6251503360073682E-2</v>
      </c>
      <c r="N1053" s="73">
        <f t="shared" si="215"/>
        <v>-0.19341123951991168</v>
      </c>
      <c r="O1053" s="13">
        <f t="shared" si="216"/>
        <v>2101778</v>
      </c>
      <c r="P1053" s="13">
        <f t="shared" si="217"/>
        <v>2128806</v>
      </c>
      <c r="Q1053" s="13">
        <f t="shared" si="218"/>
        <v>2117221</v>
      </c>
      <c r="R1053" s="33">
        <f t="shared" si="219"/>
        <v>7.3475885654907813E-3</v>
      </c>
      <c r="S1053" s="33">
        <f t="shared" si="220"/>
        <v>-5.4420177320055885E-3</v>
      </c>
    </row>
    <row r="1054" spans="1:19" x14ac:dyDescent="0.25">
      <c r="A1054" t="s">
        <v>42</v>
      </c>
      <c r="B1054">
        <v>1</v>
      </c>
      <c r="C1054" t="s">
        <v>28</v>
      </c>
      <c r="D1054">
        <v>4968</v>
      </c>
      <c r="E1054" s="68">
        <v>4977</v>
      </c>
      <c r="F1054" s="68">
        <v>4926</v>
      </c>
      <c r="G1054" s="13">
        <f t="shared" si="208"/>
        <v>-51</v>
      </c>
      <c r="H1054" s="13">
        <f t="shared" si="209"/>
        <v>-42</v>
      </c>
      <c r="I1054" s="73">
        <f t="shared" si="210"/>
        <v>-8.4541062801932743E-3</v>
      </c>
      <c r="J1054" s="73">
        <f t="shared" si="211"/>
        <v>-1.024713682941536E-2</v>
      </c>
      <c r="K1054" s="72" t="str">
        <f t="shared" si="212"/>
        <v>GM2</v>
      </c>
      <c r="L1054" s="72" t="str">
        <f t="shared" si="213"/>
        <v>AUGUST-1-GM2</v>
      </c>
      <c r="M1054" s="73">
        <f t="shared" si="214"/>
        <v>6.6251503360073682E-2</v>
      </c>
      <c r="N1054" s="73">
        <f t="shared" si="215"/>
        <v>-0.19341123951991168</v>
      </c>
      <c r="O1054" s="13">
        <f t="shared" si="216"/>
        <v>2101778</v>
      </c>
      <c r="P1054" s="13">
        <f t="shared" si="217"/>
        <v>2128806</v>
      </c>
      <c r="Q1054" s="13">
        <f t="shared" si="218"/>
        <v>2117221</v>
      </c>
      <c r="R1054" s="33">
        <f t="shared" si="219"/>
        <v>7.3475885654907813E-3</v>
      </c>
      <c r="S1054" s="33">
        <f t="shared" si="220"/>
        <v>-5.4420177320055885E-3</v>
      </c>
    </row>
    <row r="1055" spans="1:19" x14ac:dyDescent="0.25">
      <c r="A1055" t="s">
        <v>42</v>
      </c>
      <c r="B1055">
        <v>1</v>
      </c>
      <c r="C1055" t="s">
        <v>28</v>
      </c>
      <c r="D1055">
        <v>1188</v>
      </c>
      <c r="E1055" s="68">
        <v>1188</v>
      </c>
      <c r="F1055" s="68">
        <v>1188</v>
      </c>
      <c r="G1055" s="13">
        <f t="shared" si="208"/>
        <v>0</v>
      </c>
      <c r="H1055" s="13">
        <f t="shared" si="209"/>
        <v>0</v>
      </c>
      <c r="I1055" s="73">
        <f t="shared" si="210"/>
        <v>0</v>
      </c>
      <c r="J1055" s="73">
        <f t="shared" si="211"/>
        <v>0</v>
      </c>
      <c r="K1055" s="72" t="str">
        <f t="shared" si="212"/>
        <v>GM2</v>
      </c>
      <c r="L1055" s="72" t="str">
        <f t="shared" si="213"/>
        <v>AUGUST-1-GM2</v>
      </c>
      <c r="M1055" s="73">
        <f t="shared" si="214"/>
        <v>6.6251503360073682E-2</v>
      </c>
      <c r="N1055" s="73">
        <f t="shared" si="215"/>
        <v>-0.19341123951991168</v>
      </c>
      <c r="O1055" s="13">
        <f t="shared" si="216"/>
        <v>2101778</v>
      </c>
      <c r="P1055" s="13">
        <f t="shared" si="217"/>
        <v>2128806</v>
      </c>
      <c r="Q1055" s="13">
        <f t="shared" si="218"/>
        <v>2117221</v>
      </c>
      <c r="R1055" s="33">
        <f t="shared" si="219"/>
        <v>7.3475885654907813E-3</v>
      </c>
      <c r="S1055" s="33">
        <f t="shared" si="220"/>
        <v>-5.4420177320055885E-3</v>
      </c>
    </row>
    <row r="1056" spans="1:19" x14ac:dyDescent="0.25">
      <c r="A1056" t="s">
        <v>42</v>
      </c>
      <c r="B1056">
        <v>1</v>
      </c>
      <c r="C1056" t="s">
        <v>28</v>
      </c>
      <c r="D1056">
        <v>4536</v>
      </c>
      <c r="E1056" s="68">
        <v>4545</v>
      </c>
      <c r="F1056" s="68">
        <v>4536</v>
      </c>
      <c r="G1056" s="13">
        <f t="shared" si="208"/>
        <v>-9</v>
      </c>
      <c r="H1056" s="13">
        <f t="shared" si="209"/>
        <v>0</v>
      </c>
      <c r="I1056" s="73">
        <f t="shared" si="210"/>
        <v>0</v>
      </c>
      <c r="J1056" s="73">
        <f t="shared" si="211"/>
        <v>-1.980198019801982E-3</v>
      </c>
      <c r="K1056" s="72" t="str">
        <f t="shared" si="212"/>
        <v>GM2</v>
      </c>
      <c r="L1056" s="72" t="str">
        <f t="shared" si="213"/>
        <v>AUGUST-1-GM2</v>
      </c>
      <c r="M1056" s="73">
        <f t="shared" si="214"/>
        <v>6.6251503360073682E-2</v>
      </c>
      <c r="N1056" s="73">
        <f t="shared" si="215"/>
        <v>-0.19341123951991168</v>
      </c>
      <c r="O1056" s="13">
        <f t="shared" si="216"/>
        <v>2101778</v>
      </c>
      <c r="P1056" s="13">
        <f t="shared" si="217"/>
        <v>2128806</v>
      </c>
      <c r="Q1056" s="13">
        <f t="shared" si="218"/>
        <v>2117221</v>
      </c>
      <c r="R1056" s="33">
        <f t="shared" si="219"/>
        <v>7.3475885654907813E-3</v>
      </c>
      <c r="S1056" s="33">
        <f t="shared" si="220"/>
        <v>-5.4420177320055885E-3</v>
      </c>
    </row>
    <row r="1057" spans="1:19" x14ac:dyDescent="0.25">
      <c r="A1057" t="s">
        <v>42</v>
      </c>
      <c r="B1057">
        <v>1</v>
      </c>
      <c r="C1057" t="s">
        <v>28</v>
      </c>
      <c r="D1057">
        <v>2052</v>
      </c>
      <c r="E1057" s="68">
        <v>2052</v>
      </c>
      <c r="F1057" s="68">
        <v>2052</v>
      </c>
      <c r="G1057" s="13">
        <f t="shared" si="208"/>
        <v>0</v>
      </c>
      <c r="H1057" s="13">
        <f t="shared" si="209"/>
        <v>0</v>
      </c>
      <c r="I1057" s="73">
        <f t="shared" si="210"/>
        <v>0</v>
      </c>
      <c r="J1057" s="73">
        <f t="shared" si="211"/>
        <v>0</v>
      </c>
      <c r="K1057" s="72" t="str">
        <f t="shared" si="212"/>
        <v>GM2</v>
      </c>
      <c r="L1057" s="72" t="str">
        <f t="shared" si="213"/>
        <v>AUGUST-1-GM2</v>
      </c>
      <c r="M1057" s="73">
        <f t="shared" si="214"/>
        <v>6.6251503360073682E-2</v>
      </c>
      <c r="N1057" s="73">
        <f t="shared" si="215"/>
        <v>-0.19341123951991168</v>
      </c>
      <c r="O1057" s="13">
        <f t="shared" si="216"/>
        <v>2101778</v>
      </c>
      <c r="P1057" s="13">
        <f t="shared" si="217"/>
        <v>2128806</v>
      </c>
      <c r="Q1057" s="13">
        <f t="shared" si="218"/>
        <v>2117221</v>
      </c>
      <c r="R1057" s="33">
        <f t="shared" si="219"/>
        <v>7.3475885654907813E-3</v>
      </c>
      <c r="S1057" s="33">
        <f t="shared" si="220"/>
        <v>-5.4420177320055885E-3</v>
      </c>
    </row>
    <row r="1058" spans="1:19" x14ac:dyDescent="0.25">
      <c r="A1058" t="s">
        <v>42</v>
      </c>
      <c r="B1058">
        <v>1</v>
      </c>
      <c r="C1058" t="s">
        <v>28</v>
      </c>
      <c r="D1058">
        <v>14040</v>
      </c>
      <c r="E1058" s="68">
        <v>14045</v>
      </c>
      <c r="F1058" s="68">
        <v>13953</v>
      </c>
      <c r="G1058" s="13">
        <f t="shared" si="208"/>
        <v>-92</v>
      </c>
      <c r="H1058" s="13">
        <f t="shared" si="209"/>
        <v>-87</v>
      </c>
      <c r="I1058" s="73">
        <f t="shared" si="210"/>
        <v>-6.1965811965811746E-3</v>
      </c>
      <c r="J1058" s="73">
        <f t="shared" si="211"/>
        <v>-6.5503737985047605E-3</v>
      </c>
      <c r="K1058" s="72" t="str">
        <f t="shared" si="212"/>
        <v>GM2</v>
      </c>
      <c r="L1058" s="72" t="str">
        <f t="shared" si="213"/>
        <v>AUGUST-1-GM2</v>
      </c>
      <c r="M1058" s="73">
        <f t="shared" si="214"/>
        <v>6.6251503360073682E-2</v>
      </c>
      <c r="N1058" s="73">
        <f t="shared" si="215"/>
        <v>-0.19341123951991168</v>
      </c>
      <c r="O1058" s="13">
        <f t="shared" si="216"/>
        <v>2101778</v>
      </c>
      <c r="P1058" s="13">
        <f t="shared" si="217"/>
        <v>2128806</v>
      </c>
      <c r="Q1058" s="13">
        <f t="shared" si="218"/>
        <v>2117221</v>
      </c>
      <c r="R1058" s="33">
        <f t="shared" si="219"/>
        <v>7.3475885654907813E-3</v>
      </c>
      <c r="S1058" s="33">
        <f t="shared" si="220"/>
        <v>-5.4420177320055885E-3</v>
      </c>
    </row>
    <row r="1059" spans="1:19" x14ac:dyDescent="0.25">
      <c r="A1059" t="s">
        <v>42</v>
      </c>
      <c r="B1059">
        <v>1</v>
      </c>
      <c r="C1059" t="s">
        <v>28</v>
      </c>
      <c r="D1059">
        <v>5184</v>
      </c>
      <c r="E1059" s="68">
        <v>5194</v>
      </c>
      <c r="F1059" s="68">
        <v>5184</v>
      </c>
      <c r="G1059" s="13">
        <f t="shared" si="208"/>
        <v>-10</v>
      </c>
      <c r="H1059" s="13">
        <f t="shared" si="209"/>
        <v>0</v>
      </c>
      <c r="I1059" s="73">
        <f t="shared" si="210"/>
        <v>0</v>
      </c>
      <c r="J1059" s="73">
        <f t="shared" si="211"/>
        <v>-1.9252984212553281E-3</v>
      </c>
      <c r="K1059" s="72" t="str">
        <f t="shared" si="212"/>
        <v>GM2</v>
      </c>
      <c r="L1059" s="72" t="str">
        <f t="shared" si="213"/>
        <v>AUGUST-1-GM2</v>
      </c>
      <c r="M1059" s="73">
        <f t="shared" si="214"/>
        <v>6.6251503360073682E-2</v>
      </c>
      <c r="N1059" s="73">
        <f t="shared" si="215"/>
        <v>-0.19341123951991168</v>
      </c>
      <c r="O1059" s="13">
        <f t="shared" si="216"/>
        <v>2101778</v>
      </c>
      <c r="P1059" s="13">
        <f t="shared" si="217"/>
        <v>2128806</v>
      </c>
      <c r="Q1059" s="13">
        <f t="shared" si="218"/>
        <v>2117221</v>
      </c>
      <c r="R1059" s="33">
        <f t="shared" si="219"/>
        <v>7.3475885654907813E-3</v>
      </c>
      <c r="S1059" s="33">
        <f t="shared" si="220"/>
        <v>-5.4420177320055885E-3</v>
      </c>
    </row>
    <row r="1060" spans="1:19" x14ac:dyDescent="0.25">
      <c r="A1060" t="s">
        <v>42</v>
      </c>
      <c r="B1060">
        <v>1</v>
      </c>
      <c r="C1060" t="s">
        <v>28</v>
      </c>
      <c r="D1060">
        <v>4608</v>
      </c>
      <c r="E1060" s="68">
        <v>4619</v>
      </c>
      <c r="F1060" s="68">
        <v>4608</v>
      </c>
      <c r="G1060" s="13">
        <f t="shared" si="208"/>
        <v>-11</v>
      </c>
      <c r="H1060" s="13">
        <f t="shared" si="209"/>
        <v>0</v>
      </c>
      <c r="I1060" s="73">
        <f t="shared" si="210"/>
        <v>0</v>
      </c>
      <c r="J1060" s="73">
        <f t="shared" si="211"/>
        <v>-2.3814678501840048E-3</v>
      </c>
      <c r="K1060" s="72" t="str">
        <f t="shared" si="212"/>
        <v>GM2</v>
      </c>
      <c r="L1060" s="72" t="str">
        <f t="shared" si="213"/>
        <v>AUGUST-1-GM2</v>
      </c>
      <c r="M1060" s="73">
        <f t="shared" si="214"/>
        <v>6.6251503360073682E-2</v>
      </c>
      <c r="N1060" s="73">
        <f t="shared" si="215"/>
        <v>-0.19341123951991168</v>
      </c>
      <c r="O1060" s="13">
        <f t="shared" si="216"/>
        <v>2101778</v>
      </c>
      <c r="P1060" s="13">
        <f t="shared" si="217"/>
        <v>2128806</v>
      </c>
      <c r="Q1060" s="13">
        <f t="shared" si="218"/>
        <v>2117221</v>
      </c>
      <c r="R1060" s="33">
        <f t="shared" si="219"/>
        <v>7.3475885654907813E-3</v>
      </c>
      <c r="S1060" s="33">
        <f t="shared" si="220"/>
        <v>-5.4420177320055885E-3</v>
      </c>
    </row>
    <row r="1061" spans="1:19" x14ac:dyDescent="0.25">
      <c r="A1061" t="s">
        <v>42</v>
      </c>
      <c r="B1061">
        <v>1</v>
      </c>
      <c r="C1061" t="s">
        <v>28</v>
      </c>
      <c r="D1061">
        <v>12528</v>
      </c>
      <c r="E1061" s="68">
        <v>12537</v>
      </c>
      <c r="F1061" s="68">
        <v>12528</v>
      </c>
      <c r="G1061" s="13">
        <f t="shared" si="208"/>
        <v>-9</v>
      </c>
      <c r="H1061" s="13">
        <f t="shared" si="209"/>
        <v>0</v>
      </c>
      <c r="I1061" s="73">
        <f t="shared" si="210"/>
        <v>0</v>
      </c>
      <c r="J1061" s="73">
        <f t="shared" si="211"/>
        <v>-7.1787508973442105E-4</v>
      </c>
      <c r="K1061" s="72" t="str">
        <f t="shared" si="212"/>
        <v>GM2</v>
      </c>
      <c r="L1061" s="72" t="str">
        <f t="shared" si="213"/>
        <v>AUGUST-1-GM2</v>
      </c>
      <c r="M1061" s="73">
        <f t="shared" si="214"/>
        <v>6.6251503360073682E-2</v>
      </c>
      <c r="N1061" s="73">
        <f t="shared" si="215"/>
        <v>-0.19341123951991168</v>
      </c>
      <c r="O1061" s="13">
        <f t="shared" si="216"/>
        <v>2101778</v>
      </c>
      <c r="P1061" s="13">
        <f t="shared" si="217"/>
        <v>2128806</v>
      </c>
      <c r="Q1061" s="13">
        <f t="shared" si="218"/>
        <v>2117221</v>
      </c>
      <c r="R1061" s="33">
        <f t="shared" si="219"/>
        <v>7.3475885654907813E-3</v>
      </c>
      <c r="S1061" s="33">
        <f t="shared" si="220"/>
        <v>-5.4420177320055885E-3</v>
      </c>
    </row>
    <row r="1062" spans="1:19" x14ac:dyDescent="0.25">
      <c r="A1062" t="s">
        <v>42</v>
      </c>
      <c r="B1062">
        <v>1</v>
      </c>
      <c r="C1062" t="s">
        <v>28</v>
      </c>
      <c r="D1062">
        <v>12240</v>
      </c>
      <c r="E1062" s="68">
        <v>12255</v>
      </c>
      <c r="F1062" s="68">
        <v>12240</v>
      </c>
      <c r="G1062" s="13">
        <f t="shared" si="208"/>
        <v>-15</v>
      </c>
      <c r="H1062" s="13">
        <f t="shared" si="209"/>
        <v>0</v>
      </c>
      <c r="I1062" s="73">
        <f t="shared" si="210"/>
        <v>0</v>
      </c>
      <c r="J1062" s="73">
        <f t="shared" si="211"/>
        <v>-1.223990208078285E-3</v>
      </c>
      <c r="K1062" s="72" t="str">
        <f t="shared" si="212"/>
        <v>GM2</v>
      </c>
      <c r="L1062" s="72" t="str">
        <f t="shared" si="213"/>
        <v>AUGUST-1-GM2</v>
      </c>
      <c r="M1062" s="73">
        <f t="shared" si="214"/>
        <v>6.6251503360073682E-2</v>
      </c>
      <c r="N1062" s="73">
        <f t="shared" si="215"/>
        <v>-0.19341123951991168</v>
      </c>
      <c r="O1062" s="13">
        <f t="shared" si="216"/>
        <v>2101778</v>
      </c>
      <c r="P1062" s="13">
        <f t="shared" si="217"/>
        <v>2128806</v>
      </c>
      <c r="Q1062" s="13">
        <f t="shared" si="218"/>
        <v>2117221</v>
      </c>
      <c r="R1062" s="33">
        <f t="shared" si="219"/>
        <v>7.3475885654907813E-3</v>
      </c>
      <c r="S1062" s="33">
        <f t="shared" si="220"/>
        <v>-5.4420177320055885E-3</v>
      </c>
    </row>
    <row r="1063" spans="1:19" x14ac:dyDescent="0.25">
      <c r="A1063" t="s">
        <v>42</v>
      </c>
      <c r="B1063">
        <v>1</v>
      </c>
      <c r="C1063" t="s">
        <v>28</v>
      </c>
      <c r="D1063" s="68">
        <v>9648</v>
      </c>
      <c r="E1063" s="68">
        <v>9666</v>
      </c>
      <c r="F1063" s="68">
        <v>9648</v>
      </c>
      <c r="G1063" s="13">
        <f t="shared" si="208"/>
        <v>-18</v>
      </c>
      <c r="H1063" s="13">
        <f t="shared" si="209"/>
        <v>0</v>
      </c>
      <c r="I1063" s="73">
        <f t="shared" si="210"/>
        <v>0</v>
      </c>
      <c r="J1063" s="73">
        <f t="shared" si="211"/>
        <v>-1.8621973929237035E-3</v>
      </c>
      <c r="K1063" s="72" t="str">
        <f t="shared" si="212"/>
        <v>GM2</v>
      </c>
      <c r="L1063" s="72" t="str">
        <f t="shared" si="213"/>
        <v>AUGUST-1-GM2</v>
      </c>
      <c r="M1063" s="73">
        <f t="shared" si="214"/>
        <v>6.6251503360073682E-2</v>
      </c>
      <c r="N1063" s="73">
        <f t="shared" si="215"/>
        <v>-0.19341123951991168</v>
      </c>
      <c r="O1063" s="13">
        <f t="shared" si="216"/>
        <v>2101778</v>
      </c>
      <c r="P1063" s="13">
        <f t="shared" si="217"/>
        <v>2128806</v>
      </c>
      <c r="Q1063" s="13">
        <f t="shared" si="218"/>
        <v>2117221</v>
      </c>
      <c r="R1063" s="33">
        <f t="shared" si="219"/>
        <v>7.3475885654907813E-3</v>
      </c>
      <c r="S1063" s="33">
        <f t="shared" si="220"/>
        <v>-5.4420177320055885E-3</v>
      </c>
    </row>
    <row r="1064" spans="1:19" x14ac:dyDescent="0.25">
      <c r="A1064" t="s">
        <v>42</v>
      </c>
      <c r="B1064">
        <v>1</v>
      </c>
      <c r="C1064" t="s">
        <v>28</v>
      </c>
      <c r="D1064">
        <v>17856</v>
      </c>
      <c r="E1064" s="68">
        <v>17864</v>
      </c>
      <c r="F1064" s="68">
        <v>17672</v>
      </c>
      <c r="G1064" s="13">
        <f t="shared" si="208"/>
        <v>-192</v>
      </c>
      <c r="H1064" s="13">
        <f t="shared" si="209"/>
        <v>-184</v>
      </c>
      <c r="I1064" s="73">
        <f t="shared" si="210"/>
        <v>-1.0304659498207913E-2</v>
      </c>
      <c r="J1064" s="73">
        <f t="shared" si="211"/>
        <v>-1.0747872816838311E-2</v>
      </c>
      <c r="K1064" s="72" t="str">
        <f t="shared" si="212"/>
        <v>GM2</v>
      </c>
      <c r="L1064" s="72" t="str">
        <f t="shared" si="213"/>
        <v>AUGUST-1-GM2</v>
      </c>
      <c r="M1064" s="73">
        <f t="shared" si="214"/>
        <v>6.6251503360073682E-2</v>
      </c>
      <c r="N1064" s="73">
        <f t="shared" si="215"/>
        <v>-0.19341123951991168</v>
      </c>
      <c r="O1064" s="13">
        <f t="shared" si="216"/>
        <v>2101778</v>
      </c>
      <c r="P1064" s="13">
        <f t="shared" si="217"/>
        <v>2128806</v>
      </c>
      <c r="Q1064" s="13">
        <f t="shared" si="218"/>
        <v>2117221</v>
      </c>
      <c r="R1064" s="33">
        <f t="shared" si="219"/>
        <v>7.3475885654907813E-3</v>
      </c>
      <c r="S1064" s="33">
        <f t="shared" si="220"/>
        <v>-5.4420177320055885E-3</v>
      </c>
    </row>
    <row r="1065" spans="1:19" x14ac:dyDescent="0.25">
      <c r="A1065" t="s">
        <v>42</v>
      </c>
      <c r="B1065">
        <v>1</v>
      </c>
      <c r="C1065" t="s">
        <v>28</v>
      </c>
      <c r="D1065">
        <v>8640</v>
      </c>
      <c r="E1065" s="68">
        <v>8640</v>
      </c>
      <c r="F1065" s="68">
        <v>8628</v>
      </c>
      <c r="G1065" s="13">
        <f t="shared" si="208"/>
        <v>-12</v>
      </c>
      <c r="H1065" s="13">
        <f t="shared" si="209"/>
        <v>-12</v>
      </c>
      <c r="I1065" s="73">
        <f t="shared" si="210"/>
        <v>-1.388888888888884E-3</v>
      </c>
      <c r="J1065" s="73">
        <f t="shared" si="211"/>
        <v>-1.388888888888884E-3</v>
      </c>
      <c r="K1065" s="72" t="str">
        <f t="shared" si="212"/>
        <v>GM2</v>
      </c>
      <c r="L1065" s="72" t="str">
        <f t="shared" si="213"/>
        <v>AUGUST-1-GM2</v>
      </c>
      <c r="M1065" s="73">
        <f t="shared" si="214"/>
        <v>6.6251503360073682E-2</v>
      </c>
      <c r="N1065" s="73">
        <f t="shared" si="215"/>
        <v>-0.19341123951991168</v>
      </c>
      <c r="O1065" s="13">
        <f t="shared" si="216"/>
        <v>2101778</v>
      </c>
      <c r="P1065" s="13">
        <f t="shared" si="217"/>
        <v>2128806</v>
      </c>
      <c r="Q1065" s="13">
        <f t="shared" si="218"/>
        <v>2117221</v>
      </c>
      <c r="R1065" s="33">
        <f t="shared" si="219"/>
        <v>7.3475885654907813E-3</v>
      </c>
      <c r="S1065" s="33">
        <f t="shared" si="220"/>
        <v>-5.4420177320055885E-3</v>
      </c>
    </row>
    <row r="1066" spans="1:19" x14ac:dyDescent="0.25">
      <c r="A1066" t="s">
        <v>42</v>
      </c>
      <c r="B1066">
        <v>1</v>
      </c>
      <c r="C1066" t="s">
        <v>28</v>
      </c>
      <c r="D1066">
        <v>8784</v>
      </c>
      <c r="E1066" s="68">
        <v>8796</v>
      </c>
      <c r="F1066" s="68">
        <v>8784</v>
      </c>
      <c r="G1066" s="13">
        <f t="shared" si="208"/>
        <v>-12</v>
      </c>
      <c r="H1066" s="13">
        <f t="shared" si="209"/>
        <v>0</v>
      </c>
      <c r="I1066" s="73">
        <f t="shared" si="210"/>
        <v>0</v>
      </c>
      <c r="J1066" s="73">
        <f t="shared" si="211"/>
        <v>-1.3642564802183177E-3</v>
      </c>
      <c r="K1066" s="72" t="str">
        <f t="shared" si="212"/>
        <v>GM2</v>
      </c>
      <c r="L1066" s="72" t="str">
        <f t="shared" si="213"/>
        <v>AUGUST-1-GM2</v>
      </c>
      <c r="M1066" s="73">
        <f t="shared" si="214"/>
        <v>6.6251503360073682E-2</v>
      </c>
      <c r="N1066" s="73">
        <f t="shared" si="215"/>
        <v>-0.19341123951991168</v>
      </c>
      <c r="O1066" s="13">
        <f t="shared" si="216"/>
        <v>2101778</v>
      </c>
      <c r="P1066" s="13">
        <f t="shared" si="217"/>
        <v>2128806</v>
      </c>
      <c r="Q1066" s="13">
        <f t="shared" si="218"/>
        <v>2117221</v>
      </c>
      <c r="R1066" s="33">
        <f t="shared" si="219"/>
        <v>7.3475885654907813E-3</v>
      </c>
      <c r="S1066" s="33">
        <f t="shared" si="220"/>
        <v>-5.4420177320055885E-3</v>
      </c>
    </row>
    <row r="1067" spans="1:19" x14ac:dyDescent="0.25">
      <c r="A1067" t="s">
        <v>42</v>
      </c>
      <c r="B1067">
        <v>1</v>
      </c>
      <c r="C1067" t="s">
        <v>28</v>
      </c>
      <c r="D1067">
        <v>4320</v>
      </c>
      <c r="E1067" s="68">
        <v>4375</v>
      </c>
      <c r="F1067" s="68">
        <v>4368</v>
      </c>
      <c r="G1067" s="13">
        <f t="shared" si="208"/>
        <v>-7</v>
      </c>
      <c r="H1067" s="13">
        <f t="shared" si="209"/>
        <v>48</v>
      </c>
      <c r="I1067" s="73">
        <f t="shared" si="210"/>
        <v>1.1111111111111072E-2</v>
      </c>
      <c r="J1067" s="73">
        <f t="shared" si="211"/>
        <v>-1.6000000000000458E-3</v>
      </c>
      <c r="K1067" s="72" t="str">
        <f t="shared" si="212"/>
        <v>GM2</v>
      </c>
      <c r="L1067" s="72" t="str">
        <f t="shared" si="213"/>
        <v>AUGUST-1-GM2</v>
      </c>
      <c r="M1067" s="73">
        <f t="shared" si="214"/>
        <v>6.6251503360073682E-2</v>
      </c>
      <c r="N1067" s="73">
        <f t="shared" si="215"/>
        <v>-0.19341123951991168</v>
      </c>
      <c r="O1067" s="13">
        <f t="shared" si="216"/>
        <v>2101778</v>
      </c>
      <c r="P1067" s="13">
        <f t="shared" si="217"/>
        <v>2128806</v>
      </c>
      <c r="Q1067" s="13">
        <f t="shared" si="218"/>
        <v>2117221</v>
      </c>
      <c r="R1067" s="33">
        <f t="shared" si="219"/>
        <v>7.3475885654907813E-3</v>
      </c>
      <c r="S1067" s="33">
        <f t="shared" si="220"/>
        <v>-5.4420177320055885E-3</v>
      </c>
    </row>
    <row r="1068" spans="1:19" x14ac:dyDescent="0.25">
      <c r="A1068" t="s">
        <v>42</v>
      </c>
      <c r="B1068">
        <v>1</v>
      </c>
      <c r="C1068" t="s">
        <v>28</v>
      </c>
      <c r="D1068">
        <v>540</v>
      </c>
      <c r="E1068" s="68">
        <v>547</v>
      </c>
      <c r="F1068" s="68">
        <v>546</v>
      </c>
      <c r="G1068" s="13">
        <f t="shared" si="208"/>
        <v>-1</v>
      </c>
      <c r="H1068" s="13">
        <f t="shared" si="209"/>
        <v>6</v>
      </c>
      <c r="I1068" s="73">
        <f t="shared" si="210"/>
        <v>1.1111111111111072E-2</v>
      </c>
      <c r="J1068" s="73">
        <f t="shared" si="211"/>
        <v>-1.8281535648994041E-3</v>
      </c>
      <c r="K1068" s="72" t="str">
        <f t="shared" si="212"/>
        <v>GM2</v>
      </c>
      <c r="L1068" s="72" t="str">
        <f t="shared" si="213"/>
        <v>AUGUST-1-GM2</v>
      </c>
      <c r="M1068" s="73">
        <f t="shared" si="214"/>
        <v>6.6251503360073682E-2</v>
      </c>
      <c r="N1068" s="73">
        <f t="shared" si="215"/>
        <v>-0.19341123951991168</v>
      </c>
      <c r="O1068" s="13">
        <f t="shared" si="216"/>
        <v>2101778</v>
      </c>
      <c r="P1068" s="13">
        <f t="shared" si="217"/>
        <v>2128806</v>
      </c>
      <c r="Q1068" s="13">
        <f t="shared" si="218"/>
        <v>2117221</v>
      </c>
      <c r="R1068" s="33">
        <f t="shared" si="219"/>
        <v>7.3475885654907813E-3</v>
      </c>
      <c r="S1068" s="33">
        <f t="shared" si="220"/>
        <v>-5.4420177320055885E-3</v>
      </c>
    </row>
    <row r="1069" spans="1:19" x14ac:dyDescent="0.25">
      <c r="A1069" t="s">
        <v>42</v>
      </c>
      <c r="B1069">
        <v>1</v>
      </c>
      <c r="C1069" t="s">
        <v>28</v>
      </c>
      <c r="D1069">
        <v>23436</v>
      </c>
      <c r="E1069" s="68">
        <v>23688</v>
      </c>
      <c r="F1069" s="68">
        <v>23631</v>
      </c>
      <c r="G1069" s="13">
        <f t="shared" si="208"/>
        <v>-57</v>
      </c>
      <c r="H1069" s="13">
        <f t="shared" si="209"/>
        <v>195</v>
      </c>
      <c r="I1069" s="73">
        <f t="shared" si="210"/>
        <v>8.3205325140809361E-3</v>
      </c>
      <c r="J1069" s="73">
        <f t="shared" si="211"/>
        <v>-2.4062816616008398E-3</v>
      </c>
      <c r="K1069" s="72" t="str">
        <f t="shared" si="212"/>
        <v>GM2</v>
      </c>
      <c r="L1069" s="72" t="str">
        <f t="shared" si="213"/>
        <v>AUGUST-1-GM2</v>
      </c>
      <c r="M1069" s="73">
        <f t="shared" si="214"/>
        <v>6.6251503360073682E-2</v>
      </c>
      <c r="N1069" s="73">
        <f t="shared" si="215"/>
        <v>-0.19341123951991168</v>
      </c>
      <c r="O1069" s="13">
        <f t="shared" si="216"/>
        <v>2101778</v>
      </c>
      <c r="P1069" s="13">
        <f t="shared" si="217"/>
        <v>2128806</v>
      </c>
      <c r="Q1069" s="13">
        <f t="shared" si="218"/>
        <v>2117221</v>
      </c>
      <c r="R1069" s="33">
        <f t="shared" si="219"/>
        <v>7.3475885654907813E-3</v>
      </c>
      <c r="S1069" s="33">
        <f t="shared" si="220"/>
        <v>-5.4420177320055885E-3</v>
      </c>
    </row>
    <row r="1070" spans="1:19" x14ac:dyDescent="0.25">
      <c r="A1070" t="s">
        <v>42</v>
      </c>
      <c r="B1070">
        <v>1</v>
      </c>
      <c r="C1070" t="s">
        <v>28</v>
      </c>
      <c r="D1070">
        <v>1620</v>
      </c>
      <c r="E1070" s="68">
        <v>1636</v>
      </c>
      <c r="F1070" s="68">
        <v>1632</v>
      </c>
      <c r="G1070" s="13">
        <f t="shared" si="208"/>
        <v>-4</v>
      </c>
      <c r="H1070" s="13">
        <f t="shared" si="209"/>
        <v>12</v>
      </c>
      <c r="I1070" s="73">
        <f t="shared" si="210"/>
        <v>7.4074074074073071E-3</v>
      </c>
      <c r="J1070" s="73">
        <f t="shared" si="211"/>
        <v>-2.4449877750610804E-3</v>
      </c>
      <c r="K1070" s="72" t="str">
        <f t="shared" si="212"/>
        <v>GM2</v>
      </c>
      <c r="L1070" s="72" t="str">
        <f t="shared" si="213"/>
        <v>AUGUST-1-GM2</v>
      </c>
      <c r="M1070" s="73">
        <f t="shared" si="214"/>
        <v>6.6251503360073682E-2</v>
      </c>
      <c r="N1070" s="73">
        <f t="shared" si="215"/>
        <v>-0.19341123951991168</v>
      </c>
      <c r="O1070" s="13">
        <f t="shared" si="216"/>
        <v>2101778</v>
      </c>
      <c r="P1070" s="13">
        <f t="shared" si="217"/>
        <v>2128806</v>
      </c>
      <c r="Q1070" s="13">
        <f t="shared" si="218"/>
        <v>2117221</v>
      </c>
      <c r="R1070" s="33">
        <f t="shared" si="219"/>
        <v>7.3475885654907813E-3</v>
      </c>
      <c r="S1070" s="33">
        <f t="shared" si="220"/>
        <v>-5.4420177320055885E-3</v>
      </c>
    </row>
    <row r="1071" spans="1:19" x14ac:dyDescent="0.25">
      <c r="A1071" t="s">
        <v>42</v>
      </c>
      <c r="B1071">
        <v>1</v>
      </c>
      <c r="C1071" t="s">
        <v>28</v>
      </c>
      <c r="D1071">
        <v>18468</v>
      </c>
      <c r="E1071" s="68">
        <v>18673</v>
      </c>
      <c r="F1071" s="68">
        <v>18585</v>
      </c>
      <c r="G1071" s="13">
        <f t="shared" si="208"/>
        <v>-88</v>
      </c>
      <c r="H1071" s="13">
        <f t="shared" si="209"/>
        <v>117</v>
      </c>
      <c r="I1071" s="73">
        <f t="shared" si="210"/>
        <v>6.3352826510720828E-3</v>
      </c>
      <c r="J1071" s="73">
        <f t="shared" si="211"/>
        <v>-4.712686766989771E-3</v>
      </c>
      <c r="K1071" s="72" t="str">
        <f t="shared" si="212"/>
        <v>GM2</v>
      </c>
      <c r="L1071" s="72" t="str">
        <f t="shared" si="213"/>
        <v>AUGUST-1-GM2</v>
      </c>
      <c r="M1071" s="73">
        <f t="shared" si="214"/>
        <v>6.6251503360073682E-2</v>
      </c>
      <c r="N1071" s="73">
        <f t="shared" si="215"/>
        <v>-0.19341123951991168</v>
      </c>
      <c r="O1071" s="13">
        <f t="shared" si="216"/>
        <v>2101778</v>
      </c>
      <c r="P1071" s="13">
        <f t="shared" si="217"/>
        <v>2128806</v>
      </c>
      <c r="Q1071" s="13">
        <f t="shared" si="218"/>
        <v>2117221</v>
      </c>
      <c r="R1071" s="33">
        <f t="shared" si="219"/>
        <v>7.3475885654907813E-3</v>
      </c>
      <c r="S1071" s="33">
        <f t="shared" si="220"/>
        <v>-5.4420177320055885E-3</v>
      </c>
    </row>
    <row r="1072" spans="1:19" x14ac:dyDescent="0.25">
      <c r="A1072" t="s">
        <v>42</v>
      </c>
      <c r="B1072">
        <v>1</v>
      </c>
      <c r="C1072" t="s">
        <v>28</v>
      </c>
      <c r="D1072">
        <v>1944</v>
      </c>
      <c r="E1072" s="68">
        <v>1962</v>
      </c>
      <c r="F1072" s="68">
        <v>1956</v>
      </c>
      <c r="G1072" s="13">
        <f t="shared" si="208"/>
        <v>-6</v>
      </c>
      <c r="H1072" s="13">
        <f t="shared" si="209"/>
        <v>12</v>
      </c>
      <c r="I1072" s="73">
        <f t="shared" si="210"/>
        <v>6.1728395061728669E-3</v>
      </c>
      <c r="J1072" s="73">
        <f t="shared" si="211"/>
        <v>-3.0581039755351869E-3</v>
      </c>
      <c r="K1072" s="72" t="str">
        <f t="shared" si="212"/>
        <v>GM2</v>
      </c>
      <c r="L1072" s="72" t="str">
        <f t="shared" si="213"/>
        <v>AUGUST-1-GM2</v>
      </c>
      <c r="M1072" s="73">
        <f t="shared" si="214"/>
        <v>6.6251503360073682E-2</v>
      </c>
      <c r="N1072" s="73">
        <f t="shared" si="215"/>
        <v>-0.19341123951991168</v>
      </c>
      <c r="O1072" s="13">
        <f t="shared" si="216"/>
        <v>2101778</v>
      </c>
      <c r="P1072" s="13">
        <f t="shared" si="217"/>
        <v>2128806</v>
      </c>
      <c r="Q1072" s="13">
        <f t="shared" si="218"/>
        <v>2117221</v>
      </c>
      <c r="R1072" s="33">
        <f t="shared" si="219"/>
        <v>7.3475885654907813E-3</v>
      </c>
      <c r="S1072" s="33">
        <f t="shared" si="220"/>
        <v>-5.4420177320055885E-3</v>
      </c>
    </row>
    <row r="1073" spans="1:19" x14ac:dyDescent="0.25">
      <c r="A1073" t="s">
        <v>42</v>
      </c>
      <c r="B1073">
        <v>1</v>
      </c>
      <c r="C1073" t="s">
        <v>28</v>
      </c>
      <c r="D1073">
        <v>18576</v>
      </c>
      <c r="E1073" s="68">
        <v>18634</v>
      </c>
      <c r="F1073" s="68">
        <v>18519</v>
      </c>
      <c r="G1073" s="13">
        <f t="shared" si="208"/>
        <v>-115</v>
      </c>
      <c r="H1073" s="13">
        <f t="shared" si="209"/>
        <v>-57</v>
      </c>
      <c r="I1073" s="73">
        <f t="shared" si="210"/>
        <v>-3.0684754521963509E-3</v>
      </c>
      <c r="J1073" s="73">
        <f t="shared" si="211"/>
        <v>-6.1715144359772989E-3</v>
      </c>
      <c r="K1073" s="72" t="str">
        <f t="shared" si="212"/>
        <v>GM2</v>
      </c>
      <c r="L1073" s="72" t="str">
        <f t="shared" si="213"/>
        <v>AUGUST-1-GM2</v>
      </c>
      <c r="M1073" s="73">
        <f t="shared" si="214"/>
        <v>6.6251503360073682E-2</v>
      </c>
      <c r="N1073" s="73">
        <f t="shared" si="215"/>
        <v>-0.19341123951991168</v>
      </c>
      <c r="O1073" s="13">
        <f t="shared" si="216"/>
        <v>2101778</v>
      </c>
      <c r="P1073" s="13">
        <f t="shared" si="217"/>
        <v>2128806</v>
      </c>
      <c r="Q1073" s="13">
        <f t="shared" si="218"/>
        <v>2117221</v>
      </c>
      <c r="R1073" s="33">
        <f t="shared" si="219"/>
        <v>7.3475885654907813E-3</v>
      </c>
      <c r="S1073" s="33">
        <f t="shared" si="220"/>
        <v>-5.4420177320055885E-3</v>
      </c>
    </row>
    <row r="1074" spans="1:19" x14ac:dyDescent="0.25">
      <c r="A1074" t="s">
        <v>42</v>
      </c>
      <c r="B1074">
        <v>1</v>
      </c>
      <c r="C1074" t="s">
        <v>28</v>
      </c>
      <c r="D1074">
        <v>5400</v>
      </c>
      <c r="E1074" s="68">
        <v>5457</v>
      </c>
      <c r="F1074" s="68">
        <v>5448</v>
      </c>
      <c r="G1074" s="13">
        <f t="shared" si="208"/>
        <v>-9</v>
      </c>
      <c r="H1074" s="13">
        <f t="shared" si="209"/>
        <v>48</v>
      </c>
      <c r="I1074" s="73">
        <f t="shared" si="210"/>
        <v>8.8888888888889461E-3</v>
      </c>
      <c r="J1074" s="73">
        <f t="shared" si="211"/>
        <v>-1.6492578339747377E-3</v>
      </c>
      <c r="K1074" s="72" t="str">
        <f t="shared" si="212"/>
        <v>GM2</v>
      </c>
      <c r="L1074" s="72" t="str">
        <f t="shared" si="213"/>
        <v>AUGUST-1-GM2</v>
      </c>
      <c r="M1074" s="73">
        <f t="shared" si="214"/>
        <v>6.6251503360073682E-2</v>
      </c>
      <c r="N1074" s="73">
        <f t="shared" si="215"/>
        <v>-0.19341123951991168</v>
      </c>
      <c r="O1074" s="13">
        <f t="shared" si="216"/>
        <v>2101778</v>
      </c>
      <c r="P1074" s="13">
        <f t="shared" si="217"/>
        <v>2128806</v>
      </c>
      <c r="Q1074" s="13">
        <f t="shared" si="218"/>
        <v>2117221</v>
      </c>
      <c r="R1074" s="33">
        <f t="shared" si="219"/>
        <v>7.3475885654907813E-3</v>
      </c>
      <c r="S1074" s="33">
        <f t="shared" si="220"/>
        <v>-5.4420177320055885E-3</v>
      </c>
    </row>
    <row r="1075" spans="1:19" x14ac:dyDescent="0.25">
      <c r="A1075" t="s">
        <v>42</v>
      </c>
      <c r="B1075">
        <v>1</v>
      </c>
      <c r="C1075" t="s">
        <v>28</v>
      </c>
      <c r="D1075">
        <v>1188</v>
      </c>
      <c r="E1075" s="68">
        <v>1200</v>
      </c>
      <c r="F1075" s="68">
        <v>1197</v>
      </c>
      <c r="G1075" s="13">
        <f t="shared" si="208"/>
        <v>-3</v>
      </c>
      <c r="H1075" s="13">
        <f t="shared" si="209"/>
        <v>9</v>
      </c>
      <c r="I1075" s="73">
        <f t="shared" si="210"/>
        <v>7.575757575757569E-3</v>
      </c>
      <c r="J1075" s="73">
        <f t="shared" si="211"/>
        <v>-2.4999999999999467E-3</v>
      </c>
      <c r="K1075" s="72" t="str">
        <f t="shared" si="212"/>
        <v>GM2</v>
      </c>
      <c r="L1075" s="72" t="str">
        <f t="shared" si="213"/>
        <v>AUGUST-1-GM2</v>
      </c>
      <c r="M1075" s="73">
        <f t="shared" si="214"/>
        <v>6.6251503360073682E-2</v>
      </c>
      <c r="N1075" s="73">
        <f t="shared" si="215"/>
        <v>-0.19341123951991168</v>
      </c>
      <c r="O1075" s="13">
        <f t="shared" si="216"/>
        <v>2101778</v>
      </c>
      <c r="P1075" s="13">
        <f t="shared" si="217"/>
        <v>2128806</v>
      </c>
      <c r="Q1075" s="13">
        <f t="shared" si="218"/>
        <v>2117221</v>
      </c>
      <c r="R1075" s="33">
        <f t="shared" si="219"/>
        <v>7.3475885654907813E-3</v>
      </c>
      <c r="S1075" s="33">
        <f t="shared" si="220"/>
        <v>-5.4420177320055885E-3</v>
      </c>
    </row>
    <row r="1076" spans="1:19" x14ac:dyDescent="0.25">
      <c r="A1076" t="s">
        <v>42</v>
      </c>
      <c r="B1076">
        <v>1</v>
      </c>
      <c r="C1076" t="s">
        <v>28</v>
      </c>
      <c r="D1076" s="68">
        <v>5508</v>
      </c>
      <c r="E1076" s="68">
        <v>5579</v>
      </c>
      <c r="F1076" s="68">
        <v>5565</v>
      </c>
      <c r="G1076" s="13">
        <f t="shared" si="208"/>
        <v>-14</v>
      </c>
      <c r="H1076" s="13">
        <f t="shared" si="209"/>
        <v>57</v>
      </c>
      <c r="I1076" s="73">
        <f t="shared" si="210"/>
        <v>1.0348583877995532E-2</v>
      </c>
      <c r="J1076" s="73">
        <f t="shared" si="211"/>
        <v>-2.5094102885822034E-3</v>
      </c>
      <c r="K1076" s="72" t="str">
        <f t="shared" si="212"/>
        <v>GM2</v>
      </c>
      <c r="L1076" s="72" t="str">
        <f t="shared" si="213"/>
        <v>AUGUST-1-GM2</v>
      </c>
      <c r="M1076" s="73">
        <f t="shared" si="214"/>
        <v>6.6251503360073682E-2</v>
      </c>
      <c r="N1076" s="73">
        <f t="shared" si="215"/>
        <v>-0.19341123951991168</v>
      </c>
      <c r="O1076" s="13">
        <f t="shared" si="216"/>
        <v>2101778</v>
      </c>
      <c r="P1076" s="13">
        <f t="shared" si="217"/>
        <v>2128806</v>
      </c>
      <c r="Q1076" s="13">
        <f t="shared" si="218"/>
        <v>2117221</v>
      </c>
      <c r="R1076" s="33">
        <f t="shared" si="219"/>
        <v>7.3475885654907813E-3</v>
      </c>
      <c r="S1076" s="33">
        <f t="shared" si="220"/>
        <v>-5.4420177320055885E-3</v>
      </c>
    </row>
    <row r="1077" spans="1:19" x14ac:dyDescent="0.25">
      <c r="A1077" t="s">
        <v>42</v>
      </c>
      <c r="B1077">
        <v>1</v>
      </c>
      <c r="C1077" t="s">
        <v>28</v>
      </c>
      <c r="D1077">
        <v>1080</v>
      </c>
      <c r="E1077" s="68">
        <v>1091</v>
      </c>
      <c r="F1077" s="68">
        <v>1089</v>
      </c>
      <c r="G1077" s="13">
        <f t="shared" si="208"/>
        <v>-2</v>
      </c>
      <c r="H1077" s="13">
        <f t="shared" si="209"/>
        <v>9</v>
      </c>
      <c r="I1077" s="73">
        <f t="shared" si="210"/>
        <v>8.3333333333333037E-3</v>
      </c>
      <c r="J1077" s="73">
        <f t="shared" si="211"/>
        <v>-1.8331805682859637E-3</v>
      </c>
      <c r="K1077" s="72" t="str">
        <f t="shared" si="212"/>
        <v>GM2</v>
      </c>
      <c r="L1077" s="72" t="str">
        <f t="shared" si="213"/>
        <v>AUGUST-1-GM2</v>
      </c>
      <c r="M1077" s="73">
        <f t="shared" si="214"/>
        <v>6.6251503360073682E-2</v>
      </c>
      <c r="N1077" s="73">
        <f t="shared" si="215"/>
        <v>-0.19341123951991168</v>
      </c>
      <c r="O1077" s="13">
        <f t="shared" si="216"/>
        <v>2101778</v>
      </c>
      <c r="P1077" s="13">
        <f t="shared" si="217"/>
        <v>2128806</v>
      </c>
      <c r="Q1077" s="13">
        <f t="shared" si="218"/>
        <v>2117221</v>
      </c>
      <c r="R1077" s="33">
        <f t="shared" si="219"/>
        <v>7.3475885654907813E-3</v>
      </c>
      <c r="S1077" s="33">
        <f t="shared" si="220"/>
        <v>-5.4420177320055885E-3</v>
      </c>
    </row>
    <row r="1078" spans="1:19" x14ac:dyDescent="0.25">
      <c r="A1078" t="s">
        <v>42</v>
      </c>
      <c r="B1078">
        <v>1</v>
      </c>
      <c r="C1078" t="s">
        <v>28</v>
      </c>
      <c r="D1078">
        <v>6480</v>
      </c>
      <c r="E1078" s="68">
        <v>6489</v>
      </c>
      <c r="F1078" s="68">
        <v>6480</v>
      </c>
      <c r="G1078" s="13">
        <f t="shared" si="208"/>
        <v>-9</v>
      </c>
      <c r="H1078" s="13">
        <f t="shared" si="209"/>
        <v>0</v>
      </c>
      <c r="I1078" s="73">
        <f t="shared" si="210"/>
        <v>0</v>
      </c>
      <c r="J1078" s="73">
        <f t="shared" si="211"/>
        <v>-1.3869625520110951E-3</v>
      </c>
      <c r="K1078" s="72" t="str">
        <f t="shared" si="212"/>
        <v>GM2</v>
      </c>
      <c r="L1078" s="72" t="str">
        <f t="shared" si="213"/>
        <v>AUGUST-1-GM2</v>
      </c>
      <c r="M1078" s="73">
        <f t="shared" si="214"/>
        <v>6.6251503360073682E-2</v>
      </c>
      <c r="N1078" s="73">
        <f t="shared" si="215"/>
        <v>-0.19341123951991168</v>
      </c>
      <c r="O1078" s="13">
        <f t="shared" si="216"/>
        <v>2101778</v>
      </c>
      <c r="P1078" s="13">
        <f t="shared" si="217"/>
        <v>2128806</v>
      </c>
      <c r="Q1078" s="13">
        <f t="shared" si="218"/>
        <v>2117221</v>
      </c>
      <c r="R1078" s="33">
        <f t="shared" si="219"/>
        <v>7.3475885654907813E-3</v>
      </c>
      <c r="S1078" s="33">
        <f t="shared" si="220"/>
        <v>-5.4420177320055885E-3</v>
      </c>
    </row>
    <row r="1079" spans="1:19" x14ac:dyDescent="0.25">
      <c r="A1079" t="s">
        <v>42</v>
      </c>
      <c r="B1079">
        <v>1</v>
      </c>
      <c r="C1079" t="s">
        <v>28</v>
      </c>
      <c r="D1079">
        <v>5184</v>
      </c>
      <c r="E1079" s="68">
        <v>5193</v>
      </c>
      <c r="F1079" s="68">
        <v>5184</v>
      </c>
      <c r="G1079" s="13">
        <f t="shared" si="208"/>
        <v>-9</v>
      </c>
      <c r="H1079" s="13">
        <f t="shared" si="209"/>
        <v>0</v>
      </c>
      <c r="I1079" s="73">
        <f t="shared" si="210"/>
        <v>0</v>
      </c>
      <c r="J1079" s="73">
        <f t="shared" si="211"/>
        <v>-1.7331022530329143E-3</v>
      </c>
      <c r="K1079" s="72" t="str">
        <f t="shared" si="212"/>
        <v>GM2</v>
      </c>
      <c r="L1079" s="72" t="str">
        <f t="shared" si="213"/>
        <v>AUGUST-1-GM2</v>
      </c>
      <c r="M1079" s="73">
        <f t="shared" si="214"/>
        <v>6.6251503360073682E-2</v>
      </c>
      <c r="N1079" s="73">
        <f t="shared" si="215"/>
        <v>-0.19341123951991168</v>
      </c>
      <c r="O1079" s="13">
        <f t="shared" si="216"/>
        <v>2101778</v>
      </c>
      <c r="P1079" s="13">
        <f t="shared" si="217"/>
        <v>2128806</v>
      </c>
      <c r="Q1079" s="13">
        <f t="shared" si="218"/>
        <v>2117221</v>
      </c>
      <c r="R1079" s="33">
        <f t="shared" si="219"/>
        <v>7.3475885654907813E-3</v>
      </c>
      <c r="S1079" s="33">
        <f t="shared" si="220"/>
        <v>-5.4420177320055885E-3</v>
      </c>
    </row>
    <row r="1080" spans="1:19" x14ac:dyDescent="0.25">
      <c r="A1080" t="s">
        <v>42</v>
      </c>
      <c r="B1080">
        <v>1</v>
      </c>
      <c r="C1080" t="s">
        <v>28</v>
      </c>
      <c r="D1080">
        <v>12744</v>
      </c>
      <c r="E1080" s="68">
        <v>12704</v>
      </c>
      <c r="F1080" s="68">
        <v>12618</v>
      </c>
      <c r="G1080" s="13">
        <f t="shared" si="208"/>
        <v>-86</v>
      </c>
      <c r="H1080" s="13">
        <f t="shared" si="209"/>
        <v>-126</v>
      </c>
      <c r="I1080" s="73">
        <f t="shared" si="210"/>
        <v>-9.8870056497175618E-3</v>
      </c>
      <c r="J1080" s="73">
        <f t="shared" si="211"/>
        <v>-6.7695214105792934E-3</v>
      </c>
      <c r="K1080" s="72" t="str">
        <f t="shared" si="212"/>
        <v>GM2</v>
      </c>
      <c r="L1080" s="72" t="str">
        <f t="shared" si="213"/>
        <v>AUGUST-1-GM2</v>
      </c>
      <c r="M1080" s="73">
        <f t="shared" si="214"/>
        <v>6.6251503360073682E-2</v>
      </c>
      <c r="N1080" s="73">
        <f t="shared" si="215"/>
        <v>-0.19341123951991168</v>
      </c>
      <c r="O1080" s="13">
        <f t="shared" si="216"/>
        <v>2101778</v>
      </c>
      <c r="P1080" s="13">
        <f t="shared" si="217"/>
        <v>2128806</v>
      </c>
      <c r="Q1080" s="13">
        <f t="shared" si="218"/>
        <v>2117221</v>
      </c>
      <c r="R1080" s="33">
        <f t="shared" si="219"/>
        <v>7.3475885654907813E-3</v>
      </c>
      <c r="S1080" s="33">
        <f t="shared" si="220"/>
        <v>-5.4420177320055885E-3</v>
      </c>
    </row>
    <row r="1081" spans="1:19" x14ac:dyDescent="0.25">
      <c r="A1081" t="s">
        <v>42</v>
      </c>
      <c r="B1081">
        <v>1</v>
      </c>
      <c r="C1081" t="s">
        <v>27</v>
      </c>
      <c r="D1081" s="68">
        <v>350</v>
      </c>
      <c r="E1081" s="68">
        <v>372</v>
      </c>
      <c r="F1081" s="68">
        <v>350</v>
      </c>
      <c r="G1081" s="13">
        <f t="shared" si="208"/>
        <v>-22</v>
      </c>
      <c r="H1081" s="13">
        <f t="shared" si="209"/>
        <v>0</v>
      </c>
      <c r="I1081" s="73">
        <f t="shared" si="210"/>
        <v>0</v>
      </c>
      <c r="J1081" s="73">
        <f t="shared" si="211"/>
        <v>-5.9139784946236507E-2</v>
      </c>
      <c r="K1081" s="72" t="str">
        <f t="shared" si="212"/>
        <v>CNJ2</v>
      </c>
      <c r="L1081" s="72" t="str">
        <f t="shared" si="213"/>
        <v>AUGUST-1-CNJ2</v>
      </c>
      <c r="M1081" s="73">
        <f t="shared" si="214"/>
        <v>0</v>
      </c>
      <c r="N1081" s="73">
        <f t="shared" si="215"/>
        <v>-0.37224215738628508</v>
      </c>
      <c r="O1081" s="13">
        <f t="shared" si="216"/>
        <v>2101778</v>
      </c>
      <c r="P1081" s="13">
        <f t="shared" si="217"/>
        <v>2128806</v>
      </c>
      <c r="Q1081" s="13">
        <f t="shared" si="218"/>
        <v>2117221</v>
      </c>
      <c r="R1081" s="33">
        <f t="shared" si="219"/>
        <v>7.3475885654907813E-3</v>
      </c>
      <c r="S1081" s="33">
        <f t="shared" si="220"/>
        <v>-5.4420177320055885E-3</v>
      </c>
    </row>
    <row r="1082" spans="1:19" x14ac:dyDescent="0.25">
      <c r="A1082" t="s">
        <v>42</v>
      </c>
      <c r="B1082">
        <v>1</v>
      </c>
      <c r="C1082" t="s">
        <v>27</v>
      </c>
      <c r="D1082" s="68">
        <v>740</v>
      </c>
      <c r="E1082" s="68">
        <v>756</v>
      </c>
      <c r="F1082" s="68">
        <v>740</v>
      </c>
      <c r="G1082" s="13">
        <f t="shared" si="208"/>
        <v>-16</v>
      </c>
      <c r="H1082" s="13">
        <f t="shared" si="209"/>
        <v>0</v>
      </c>
      <c r="I1082" s="73">
        <f t="shared" si="210"/>
        <v>0</v>
      </c>
      <c r="J1082" s="73">
        <f t="shared" si="211"/>
        <v>-2.1164021164021163E-2</v>
      </c>
      <c r="K1082" s="72" t="str">
        <f t="shared" si="212"/>
        <v>CNJ2</v>
      </c>
      <c r="L1082" s="72" t="str">
        <f t="shared" si="213"/>
        <v>AUGUST-1-CNJ2</v>
      </c>
      <c r="M1082" s="73">
        <f t="shared" si="214"/>
        <v>0</v>
      </c>
      <c r="N1082" s="73">
        <f t="shared" si="215"/>
        <v>-0.37224215738628508</v>
      </c>
      <c r="O1082" s="13">
        <f t="shared" si="216"/>
        <v>2101778</v>
      </c>
      <c r="P1082" s="13">
        <f t="shared" si="217"/>
        <v>2128806</v>
      </c>
      <c r="Q1082" s="13">
        <f t="shared" si="218"/>
        <v>2117221</v>
      </c>
      <c r="R1082" s="33">
        <f t="shared" si="219"/>
        <v>7.3475885654907813E-3</v>
      </c>
      <c r="S1082" s="33">
        <f t="shared" si="220"/>
        <v>-5.4420177320055885E-3</v>
      </c>
    </row>
    <row r="1083" spans="1:19" x14ac:dyDescent="0.25">
      <c r="A1083" t="s">
        <v>42</v>
      </c>
      <c r="B1083">
        <v>1</v>
      </c>
      <c r="C1083" t="s">
        <v>27</v>
      </c>
      <c r="D1083" s="68">
        <v>1940</v>
      </c>
      <c r="E1083" s="68">
        <v>1986</v>
      </c>
      <c r="F1083" s="68">
        <v>1940</v>
      </c>
      <c r="G1083" s="13">
        <f t="shared" si="208"/>
        <v>-46</v>
      </c>
      <c r="H1083" s="13">
        <f t="shared" si="209"/>
        <v>0</v>
      </c>
      <c r="I1083" s="73">
        <f t="shared" si="210"/>
        <v>0</v>
      </c>
      <c r="J1083" s="73">
        <f t="shared" si="211"/>
        <v>-2.3162134944612278E-2</v>
      </c>
      <c r="K1083" s="72" t="str">
        <f t="shared" si="212"/>
        <v>CNJ2</v>
      </c>
      <c r="L1083" s="72" t="str">
        <f t="shared" si="213"/>
        <v>AUGUST-1-CNJ2</v>
      </c>
      <c r="M1083" s="73">
        <f t="shared" si="214"/>
        <v>0</v>
      </c>
      <c r="N1083" s="73">
        <f t="shared" si="215"/>
        <v>-0.37224215738628508</v>
      </c>
      <c r="O1083" s="13">
        <f t="shared" si="216"/>
        <v>2101778</v>
      </c>
      <c r="P1083" s="13">
        <f t="shared" si="217"/>
        <v>2128806</v>
      </c>
      <c r="Q1083" s="13">
        <f t="shared" si="218"/>
        <v>2117221</v>
      </c>
      <c r="R1083" s="33">
        <f t="shared" si="219"/>
        <v>7.3475885654907813E-3</v>
      </c>
      <c r="S1083" s="33">
        <f t="shared" si="220"/>
        <v>-5.4420177320055885E-3</v>
      </c>
    </row>
    <row r="1084" spans="1:19" x14ac:dyDescent="0.25">
      <c r="A1084" t="s">
        <v>42</v>
      </c>
      <c r="B1084">
        <v>1</v>
      </c>
      <c r="C1084" t="s">
        <v>27</v>
      </c>
      <c r="D1084" s="68">
        <v>630</v>
      </c>
      <c r="E1084" s="68">
        <v>637</v>
      </c>
      <c r="F1084" s="68">
        <v>630</v>
      </c>
      <c r="G1084" s="13">
        <f t="shared" si="208"/>
        <v>-7</v>
      </c>
      <c r="H1084" s="13">
        <f t="shared" si="209"/>
        <v>0</v>
      </c>
      <c r="I1084" s="73">
        <f t="shared" si="210"/>
        <v>0</v>
      </c>
      <c r="J1084" s="73">
        <f t="shared" si="211"/>
        <v>-1.098901098901095E-2</v>
      </c>
      <c r="K1084" s="72" t="str">
        <f t="shared" si="212"/>
        <v>CNJ2</v>
      </c>
      <c r="L1084" s="72" t="str">
        <f t="shared" si="213"/>
        <v>AUGUST-1-CNJ2</v>
      </c>
      <c r="M1084" s="73">
        <f t="shared" si="214"/>
        <v>0</v>
      </c>
      <c r="N1084" s="73">
        <f t="shared" si="215"/>
        <v>-0.37224215738628508</v>
      </c>
      <c r="O1084" s="13">
        <f t="shared" si="216"/>
        <v>2101778</v>
      </c>
      <c r="P1084" s="13">
        <f t="shared" si="217"/>
        <v>2128806</v>
      </c>
      <c r="Q1084" s="13">
        <f t="shared" si="218"/>
        <v>2117221</v>
      </c>
      <c r="R1084" s="33">
        <f t="shared" si="219"/>
        <v>7.3475885654907813E-3</v>
      </c>
      <c r="S1084" s="33">
        <f t="shared" si="220"/>
        <v>-5.4420177320055885E-3</v>
      </c>
    </row>
    <row r="1085" spans="1:19" x14ac:dyDescent="0.25">
      <c r="A1085" t="s">
        <v>42</v>
      </c>
      <c r="B1085">
        <v>1</v>
      </c>
      <c r="C1085" t="s">
        <v>27</v>
      </c>
      <c r="D1085" s="68">
        <v>1280</v>
      </c>
      <c r="E1085" s="68">
        <v>1292</v>
      </c>
      <c r="F1085" s="68">
        <v>1280</v>
      </c>
      <c r="G1085" s="13">
        <f t="shared" si="208"/>
        <v>-12</v>
      </c>
      <c r="H1085" s="13">
        <f t="shared" si="209"/>
        <v>0</v>
      </c>
      <c r="I1085" s="73">
        <f t="shared" si="210"/>
        <v>0</v>
      </c>
      <c r="J1085" s="73">
        <f t="shared" si="211"/>
        <v>-9.2879256965944235E-3</v>
      </c>
      <c r="K1085" s="72" t="str">
        <f t="shared" si="212"/>
        <v>CNJ2</v>
      </c>
      <c r="L1085" s="72" t="str">
        <f t="shared" si="213"/>
        <v>AUGUST-1-CNJ2</v>
      </c>
      <c r="M1085" s="73">
        <f t="shared" si="214"/>
        <v>0</v>
      </c>
      <c r="N1085" s="73">
        <f t="shared" si="215"/>
        <v>-0.37224215738628508</v>
      </c>
      <c r="O1085" s="13">
        <f t="shared" si="216"/>
        <v>2101778</v>
      </c>
      <c r="P1085" s="13">
        <f t="shared" si="217"/>
        <v>2128806</v>
      </c>
      <c r="Q1085" s="13">
        <f t="shared" si="218"/>
        <v>2117221</v>
      </c>
      <c r="R1085" s="33">
        <f t="shared" si="219"/>
        <v>7.3475885654907813E-3</v>
      </c>
      <c r="S1085" s="33">
        <f t="shared" si="220"/>
        <v>-5.4420177320055885E-3</v>
      </c>
    </row>
    <row r="1086" spans="1:19" x14ac:dyDescent="0.25">
      <c r="A1086" t="s">
        <v>42</v>
      </c>
      <c r="B1086">
        <v>1</v>
      </c>
      <c r="C1086" t="s">
        <v>27</v>
      </c>
      <c r="D1086" s="68">
        <v>4240</v>
      </c>
      <c r="E1086" s="68">
        <v>4276</v>
      </c>
      <c r="F1086" s="68">
        <v>4240</v>
      </c>
      <c r="G1086" s="13">
        <f t="shared" si="208"/>
        <v>-36</v>
      </c>
      <c r="H1086" s="13">
        <f t="shared" si="209"/>
        <v>0</v>
      </c>
      <c r="I1086" s="73">
        <f t="shared" si="210"/>
        <v>0</v>
      </c>
      <c r="J1086" s="73">
        <f t="shared" si="211"/>
        <v>-8.4190832553788786E-3</v>
      </c>
      <c r="K1086" s="72" t="str">
        <f t="shared" si="212"/>
        <v>CNJ2</v>
      </c>
      <c r="L1086" s="72" t="str">
        <f t="shared" si="213"/>
        <v>AUGUST-1-CNJ2</v>
      </c>
      <c r="M1086" s="73">
        <f t="shared" si="214"/>
        <v>0</v>
      </c>
      <c r="N1086" s="73">
        <f t="shared" si="215"/>
        <v>-0.37224215738628508</v>
      </c>
      <c r="O1086" s="13">
        <f t="shared" si="216"/>
        <v>2101778</v>
      </c>
      <c r="P1086" s="13">
        <f t="shared" si="217"/>
        <v>2128806</v>
      </c>
      <c r="Q1086" s="13">
        <f t="shared" si="218"/>
        <v>2117221</v>
      </c>
      <c r="R1086" s="33">
        <f t="shared" si="219"/>
        <v>7.3475885654907813E-3</v>
      </c>
      <c r="S1086" s="33">
        <f t="shared" si="220"/>
        <v>-5.4420177320055885E-3</v>
      </c>
    </row>
    <row r="1087" spans="1:19" x14ac:dyDescent="0.25">
      <c r="A1087" t="s">
        <v>42</v>
      </c>
      <c r="B1087">
        <v>1</v>
      </c>
      <c r="C1087" t="s">
        <v>27</v>
      </c>
      <c r="D1087" s="68">
        <v>600</v>
      </c>
      <c r="E1087" s="68">
        <v>630</v>
      </c>
      <c r="F1087" s="68">
        <v>600</v>
      </c>
      <c r="G1087" s="13">
        <f t="shared" si="208"/>
        <v>-30</v>
      </c>
      <c r="H1087" s="13">
        <f t="shared" si="209"/>
        <v>0</v>
      </c>
      <c r="I1087" s="73">
        <f t="shared" si="210"/>
        <v>0</v>
      </c>
      <c r="J1087" s="73">
        <f t="shared" si="211"/>
        <v>-4.7619047619047672E-2</v>
      </c>
      <c r="K1087" s="72" t="str">
        <f t="shared" si="212"/>
        <v>CNJ2</v>
      </c>
      <c r="L1087" s="72" t="str">
        <f t="shared" si="213"/>
        <v>AUGUST-1-CNJ2</v>
      </c>
      <c r="M1087" s="73">
        <f t="shared" si="214"/>
        <v>0</v>
      </c>
      <c r="N1087" s="73">
        <f t="shared" si="215"/>
        <v>-0.37224215738628508</v>
      </c>
      <c r="O1087" s="13">
        <f t="shared" si="216"/>
        <v>2101778</v>
      </c>
      <c r="P1087" s="13">
        <f t="shared" si="217"/>
        <v>2128806</v>
      </c>
      <c r="Q1087" s="13">
        <f t="shared" si="218"/>
        <v>2117221</v>
      </c>
      <c r="R1087" s="33">
        <f t="shared" si="219"/>
        <v>7.3475885654907813E-3</v>
      </c>
      <c r="S1087" s="33">
        <f t="shared" si="220"/>
        <v>-5.4420177320055885E-3</v>
      </c>
    </row>
    <row r="1088" spans="1:19" x14ac:dyDescent="0.25">
      <c r="A1088" t="s">
        <v>42</v>
      </c>
      <c r="B1088">
        <v>1</v>
      </c>
      <c r="C1088" t="s">
        <v>17</v>
      </c>
      <c r="D1088" s="68">
        <v>1290</v>
      </c>
      <c r="E1088" s="68">
        <v>1306</v>
      </c>
      <c r="F1088" s="68">
        <v>1290</v>
      </c>
      <c r="G1088" s="13">
        <f t="shared" si="208"/>
        <v>-16</v>
      </c>
      <c r="H1088" s="13">
        <f t="shared" si="209"/>
        <v>0</v>
      </c>
      <c r="I1088" s="73">
        <f t="shared" si="210"/>
        <v>0</v>
      </c>
      <c r="J1088" s="73">
        <f t="shared" si="211"/>
        <v>-1.225114854517606E-2</v>
      </c>
      <c r="K1088" s="72" t="str">
        <f t="shared" si="212"/>
        <v>CBA</v>
      </c>
      <c r="L1088" s="72" t="str">
        <f t="shared" si="213"/>
        <v>AUGUST-1-CBA</v>
      </c>
      <c r="M1088" s="73">
        <f t="shared" si="214"/>
        <v>0</v>
      </c>
      <c r="N1088" s="73">
        <f t="shared" si="215"/>
        <v>-0.10845587910335031</v>
      </c>
      <c r="O1088" s="13">
        <f t="shared" si="216"/>
        <v>2101778</v>
      </c>
      <c r="P1088" s="13">
        <f t="shared" si="217"/>
        <v>2128806</v>
      </c>
      <c r="Q1088" s="13">
        <f t="shared" si="218"/>
        <v>2117221</v>
      </c>
      <c r="R1088" s="33">
        <f t="shared" si="219"/>
        <v>7.3475885654907813E-3</v>
      </c>
      <c r="S1088" s="33">
        <f t="shared" si="220"/>
        <v>-5.4420177320055885E-3</v>
      </c>
    </row>
    <row r="1089" spans="1:19" x14ac:dyDescent="0.25">
      <c r="A1089" t="s">
        <v>42</v>
      </c>
      <c r="B1089">
        <v>1</v>
      </c>
      <c r="C1089" t="s">
        <v>17</v>
      </c>
      <c r="D1089" s="68">
        <v>1050</v>
      </c>
      <c r="E1089" s="68">
        <v>1074</v>
      </c>
      <c r="F1089" s="68">
        <v>1050</v>
      </c>
      <c r="G1089" s="13">
        <f t="shared" si="208"/>
        <v>-24</v>
      </c>
      <c r="H1089" s="13">
        <f t="shared" si="209"/>
        <v>0</v>
      </c>
      <c r="I1089" s="73">
        <f t="shared" si="210"/>
        <v>0</v>
      </c>
      <c r="J1089" s="73">
        <f t="shared" si="211"/>
        <v>-2.2346368715083775E-2</v>
      </c>
      <c r="K1089" s="72" t="str">
        <f t="shared" si="212"/>
        <v>CBA</v>
      </c>
      <c r="L1089" s="72" t="str">
        <f t="shared" si="213"/>
        <v>AUGUST-1-CBA</v>
      </c>
      <c r="M1089" s="73">
        <f t="shared" si="214"/>
        <v>0</v>
      </c>
      <c r="N1089" s="73">
        <f t="shared" si="215"/>
        <v>-0.10845587910335031</v>
      </c>
      <c r="O1089" s="13">
        <f t="shared" si="216"/>
        <v>2101778</v>
      </c>
      <c r="P1089" s="13">
        <f t="shared" si="217"/>
        <v>2128806</v>
      </c>
      <c r="Q1089" s="13">
        <f t="shared" si="218"/>
        <v>2117221</v>
      </c>
      <c r="R1089" s="33">
        <f t="shared" si="219"/>
        <v>7.3475885654907813E-3</v>
      </c>
      <c r="S1089" s="33">
        <f t="shared" si="220"/>
        <v>-5.4420177320055885E-3</v>
      </c>
    </row>
    <row r="1090" spans="1:19" x14ac:dyDescent="0.25">
      <c r="A1090" t="s">
        <v>42</v>
      </c>
      <c r="B1090">
        <v>1</v>
      </c>
      <c r="C1090" t="s">
        <v>17</v>
      </c>
      <c r="D1090" s="68">
        <v>1360</v>
      </c>
      <c r="E1090" s="68">
        <v>1388</v>
      </c>
      <c r="F1090" s="68">
        <v>1360</v>
      </c>
      <c r="G1090" s="13">
        <f t="shared" ref="G1090:G1153" si="221">F1090-E1090</f>
        <v>-28</v>
      </c>
      <c r="H1090" s="13">
        <f t="shared" ref="H1090:H1153" si="222">F1090-D1090</f>
        <v>0</v>
      </c>
      <c r="I1090" s="73">
        <f t="shared" ref="I1090:I1153" si="223">F1090/D1090-1</f>
        <v>0</v>
      </c>
      <c r="J1090" s="73">
        <f t="shared" ref="J1090:J1153" si="224">F1090/E1090-1</f>
        <v>-2.0172910662824228E-2</v>
      </c>
      <c r="K1090" s="72" t="str">
        <f t="shared" ref="K1090:K1153" si="225">CLEAN(SUBSTITUTE(C1090," ",""))</f>
        <v>CBA</v>
      </c>
      <c r="L1090" s="72" t="str">
        <f t="shared" ref="L1090:L1153" si="226">A1090&amp;"-"&amp;B1090&amp;"-"&amp;K1090</f>
        <v>AUGUST-1-CBA</v>
      </c>
      <c r="M1090" s="73">
        <f t="shared" ref="M1090:M1153" si="227">SUMIF($L$2:$L$1396,L1090,$I$2:$I$1396)</f>
        <v>0</v>
      </c>
      <c r="N1090" s="73">
        <f t="shared" ref="N1090:N1153" si="228">SUMIF($L$2:$L$1396,L1090,$J$2:$J$1396)</f>
        <v>-0.10845587910335031</v>
      </c>
      <c r="O1090" s="13">
        <f t="shared" ref="O1090:O1153" si="229">SUMIF($A$2:$A$1396,A1090,$D$2:$D$1396)</f>
        <v>2101778</v>
      </c>
      <c r="P1090" s="13">
        <f t="shared" ref="P1090:P1153" si="230">SUMIF($A$2:$A$1396,A1090,$E$2:$E$1396)</f>
        <v>2128806</v>
      </c>
      <c r="Q1090" s="13">
        <f t="shared" ref="Q1090:Q1153" si="231">SUMIF($A$2:$A$1396,A1090,$F$2:$F$1396)</f>
        <v>2117221</v>
      </c>
      <c r="R1090" s="33">
        <f t="shared" ref="R1090:R1153" si="232">Q1090/O1090-1</f>
        <v>7.3475885654907813E-3</v>
      </c>
      <c r="S1090" s="33">
        <f t="shared" ref="S1090:S1153" si="233">Q1090/P1090-1</f>
        <v>-5.4420177320055885E-3</v>
      </c>
    </row>
    <row r="1091" spans="1:19" x14ac:dyDescent="0.25">
      <c r="A1091" t="s">
        <v>42</v>
      </c>
      <c r="B1091">
        <v>1</v>
      </c>
      <c r="C1091" t="s">
        <v>17</v>
      </c>
      <c r="D1091" s="68">
        <v>3290</v>
      </c>
      <c r="E1091" s="68">
        <v>3330</v>
      </c>
      <c r="F1091" s="68">
        <v>3290</v>
      </c>
      <c r="G1091" s="13">
        <f t="shared" si="221"/>
        <v>-40</v>
      </c>
      <c r="H1091" s="13">
        <f t="shared" si="222"/>
        <v>0</v>
      </c>
      <c r="I1091" s="73">
        <f t="shared" si="223"/>
        <v>0</v>
      </c>
      <c r="J1091" s="73">
        <f t="shared" si="224"/>
        <v>-1.2012012012011963E-2</v>
      </c>
      <c r="K1091" s="72" t="str">
        <f t="shared" si="225"/>
        <v>CBA</v>
      </c>
      <c r="L1091" s="72" t="str">
        <f t="shared" si="226"/>
        <v>AUGUST-1-CBA</v>
      </c>
      <c r="M1091" s="73">
        <f t="shared" si="227"/>
        <v>0</v>
      </c>
      <c r="N1091" s="73">
        <f t="shared" si="228"/>
        <v>-0.10845587910335031</v>
      </c>
      <c r="O1091" s="13">
        <f t="shared" si="229"/>
        <v>2101778</v>
      </c>
      <c r="P1091" s="13">
        <f t="shared" si="230"/>
        <v>2128806</v>
      </c>
      <c r="Q1091" s="13">
        <f t="shared" si="231"/>
        <v>2117221</v>
      </c>
      <c r="R1091" s="33">
        <f t="shared" si="232"/>
        <v>7.3475885654907813E-3</v>
      </c>
      <c r="S1091" s="33">
        <f t="shared" si="233"/>
        <v>-5.4420177320055885E-3</v>
      </c>
    </row>
    <row r="1092" spans="1:19" x14ac:dyDescent="0.25">
      <c r="A1092" t="s">
        <v>42</v>
      </c>
      <c r="B1092">
        <v>1</v>
      </c>
      <c r="C1092" t="s">
        <v>27</v>
      </c>
      <c r="D1092" s="68">
        <v>1690</v>
      </c>
      <c r="E1092" s="68">
        <v>1728</v>
      </c>
      <c r="F1092" s="68">
        <v>1690</v>
      </c>
      <c r="G1092" s="13">
        <f t="shared" si="221"/>
        <v>-38</v>
      </c>
      <c r="H1092" s="13">
        <f t="shared" si="222"/>
        <v>0</v>
      </c>
      <c r="I1092" s="73">
        <f t="shared" si="223"/>
        <v>0</v>
      </c>
      <c r="J1092" s="73">
        <f t="shared" si="224"/>
        <v>-2.19907407407407E-2</v>
      </c>
      <c r="K1092" s="72" t="str">
        <f t="shared" si="225"/>
        <v>CNJ2</v>
      </c>
      <c r="L1092" s="72" t="str">
        <f t="shared" si="226"/>
        <v>AUGUST-1-CNJ2</v>
      </c>
      <c r="M1092" s="73">
        <f t="shared" si="227"/>
        <v>0</v>
      </c>
      <c r="N1092" s="73">
        <f t="shared" si="228"/>
        <v>-0.37224215738628508</v>
      </c>
      <c r="O1092" s="13">
        <f t="shared" si="229"/>
        <v>2101778</v>
      </c>
      <c r="P1092" s="13">
        <f t="shared" si="230"/>
        <v>2128806</v>
      </c>
      <c r="Q1092" s="13">
        <f t="shared" si="231"/>
        <v>2117221</v>
      </c>
      <c r="R1092" s="33">
        <f t="shared" si="232"/>
        <v>7.3475885654907813E-3</v>
      </c>
      <c r="S1092" s="33">
        <f t="shared" si="233"/>
        <v>-5.4420177320055885E-3</v>
      </c>
    </row>
    <row r="1093" spans="1:19" x14ac:dyDescent="0.25">
      <c r="A1093" t="s">
        <v>42</v>
      </c>
      <c r="B1093">
        <v>1</v>
      </c>
      <c r="C1093" t="s">
        <v>27</v>
      </c>
      <c r="D1093" s="68">
        <v>3000</v>
      </c>
      <c r="E1093" s="68">
        <v>3060</v>
      </c>
      <c r="F1093" s="68">
        <v>3000</v>
      </c>
      <c r="G1093" s="13">
        <f t="shared" si="221"/>
        <v>-60</v>
      </c>
      <c r="H1093" s="13">
        <f t="shared" si="222"/>
        <v>0</v>
      </c>
      <c r="I1093" s="73">
        <f t="shared" si="223"/>
        <v>0</v>
      </c>
      <c r="J1093" s="73">
        <f t="shared" si="224"/>
        <v>-1.9607843137254943E-2</v>
      </c>
      <c r="K1093" s="72" t="str">
        <f t="shared" si="225"/>
        <v>CNJ2</v>
      </c>
      <c r="L1093" s="72" t="str">
        <f t="shared" si="226"/>
        <v>AUGUST-1-CNJ2</v>
      </c>
      <c r="M1093" s="73">
        <f t="shared" si="227"/>
        <v>0</v>
      </c>
      <c r="N1093" s="73">
        <f t="shared" si="228"/>
        <v>-0.37224215738628508</v>
      </c>
      <c r="O1093" s="13">
        <f t="shared" si="229"/>
        <v>2101778</v>
      </c>
      <c r="P1093" s="13">
        <f t="shared" si="230"/>
        <v>2128806</v>
      </c>
      <c r="Q1093" s="13">
        <f t="shared" si="231"/>
        <v>2117221</v>
      </c>
      <c r="R1093" s="33">
        <f t="shared" si="232"/>
        <v>7.3475885654907813E-3</v>
      </c>
      <c r="S1093" s="33">
        <f t="shared" si="233"/>
        <v>-5.4420177320055885E-3</v>
      </c>
    </row>
    <row r="1094" spans="1:19" x14ac:dyDescent="0.25">
      <c r="A1094" t="s">
        <v>42</v>
      </c>
      <c r="B1094">
        <v>1</v>
      </c>
      <c r="C1094" t="s">
        <v>17</v>
      </c>
      <c r="D1094" s="68">
        <v>1680</v>
      </c>
      <c r="E1094" s="68">
        <v>1707</v>
      </c>
      <c r="F1094" s="68">
        <v>1680</v>
      </c>
      <c r="G1094" s="13">
        <f t="shared" si="221"/>
        <v>-27</v>
      </c>
      <c r="H1094" s="13">
        <f t="shared" si="222"/>
        <v>0</v>
      </c>
      <c r="I1094" s="73">
        <f t="shared" si="223"/>
        <v>0</v>
      </c>
      <c r="J1094" s="73">
        <f t="shared" si="224"/>
        <v>-1.5817223198594021E-2</v>
      </c>
      <c r="K1094" s="72" t="str">
        <f t="shared" si="225"/>
        <v>CBA</v>
      </c>
      <c r="L1094" s="72" t="str">
        <f t="shared" si="226"/>
        <v>AUGUST-1-CBA</v>
      </c>
      <c r="M1094" s="73">
        <f t="shared" si="227"/>
        <v>0</v>
      </c>
      <c r="N1094" s="73">
        <f t="shared" si="228"/>
        <v>-0.10845587910335031</v>
      </c>
      <c r="O1094" s="13">
        <f t="shared" si="229"/>
        <v>2101778</v>
      </c>
      <c r="P1094" s="13">
        <f t="shared" si="230"/>
        <v>2128806</v>
      </c>
      <c r="Q1094" s="13">
        <f t="shared" si="231"/>
        <v>2117221</v>
      </c>
      <c r="R1094" s="33">
        <f t="shared" si="232"/>
        <v>7.3475885654907813E-3</v>
      </c>
      <c r="S1094" s="33">
        <f t="shared" si="233"/>
        <v>-5.4420177320055885E-3</v>
      </c>
    </row>
    <row r="1095" spans="1:19" x14ac:dyDescent="0.25">
      <c r="A1095" t="s">
        <v>42</v>
      </c>
      <c r="B1095">
        <v>1</v>
      </c>
      <c r="C1095" t="s">
        <v>27</v>
      </c>
      <c r="D1095" s="68">
        <v>3490</v>
      </c>
      <c r="E1095" s="68">
        <v>3521</v>
      </c>
      <c r="F1095" s="68">
        <v>3490</v>
      </c>
      <c r="G1095" s="13">
        <f t="shared" si="221"/>
        <v>-31</v>
      </c>
      <c r="H1095" s="13">
        <f t="shared" si="222"/>
        <v>0</v>
      </c>
      <c r="I1095" s="73">
        <f t="shared" si="223"/>
        <v>0</v>
      </c>
      <c r="J1095" s="73">
        <f t="shared" si="224"/>
        <v>-8.8043169554103962E-3</v>
      </c>
      <c r="K1095" s="72" t="str">
        <f t="shared" si="225"/>
        <v>CNJ2</v>
      </c>
      <c r="L1095" s="72" t="str">
        <f t="shared" si="226"/>
        <v>AUGUST-1-CNJ2</v>
      </c>
      <c r="M1095" s="73">
        <f t="shared" si="227"/>
        <v>0</v>
      </c>
      <c r="N1095" s="73">
        <f t="shared" si="228"/>
        <v>-0.37224215738628508</v>
      </c>
      <c r="O1095" s="13">
        <f t="shared" si="229"/>
        <v>2101778</v>
      </c>
      <c r="P1095" s="13">
        <f t="shared" si="230"/>
        <v>2128806</v>
      </c>
      <c r="Q1095" s="13">
        <f t="shared" si="231"/>
        <v>2117221</v>
      </c>
      <c r="R1095" s="33">
        <f t="shared" si="232"/>
        <v>7.3475885654907813E-3</v>
      </c>
      <c r="S1095" s="33">
        <f t="shared" si="233"/>
        <v>-5.4420177320055885E-3</v>
      </c>
    </row>
    <row r="1096" spans="1:19" x14ac:dyDescent="0.25">
      <c r="A1096" t="s">
        <v>42</v>
      </c>
      <c r="B1096">
        <v>1</v>
      </c>
      <c r="C1096" t="s">
        <v>27</v>
      </c>
      <c r="D1096" s="68">
        <v>200</v>
      </c>
      <c r="E1096" s="68">
        <v>208</v>
      </c>
      <c r="F1096" s="68">
        <v>200</v>
      </c>
      <c r="G1096" s="13">
        <f t="shared" si="221"/>
        <v>-8</v>
      </c>
      <c r="H1096" s="13">
        <f t="shared" si="222"/>
        <v>0</v>
      </c>
      <c r="I1096" s="73">
        <f t="shared" si="223"/>
        <v>0</v>
      </c>
      <c r="J1096" s="73">
        <f t="shared" si="224"/>
        <v>-3.8461538461538436E-2</v>
      </c>
      <c r="K1096" s="72" t="str">
        <f t="shared" si="225"/>
        <v>CNJ2</v>
      </c>
      <c r="L1096" s="72" t="str">
        <f t="shared" si="226"/>
        <v>AUGUST-1-CNJ2</v>
      </c>
      <c r="M1096" s="73">
        <f t="shared" si="227"/>
        <v>0</v>
      </c>
      <c r="N1096" s="73">
        <f t="shared" si="228"/>
        <v>-0.37224215738628508</v>
      </c>
      <c r="O1096" s="13">
        <f t="shared" si="229"/>
        <v>2101778</v>
      </c>
      <c r="P1096" s="13">
        <f t="shared" si="230"/>
        <v>2128806</v>
      </c>
      <c r="Q1096" s="13">
        <f t="shared" si="231"/>
        <v>2117221</v>
      </c>
      <c r="R1096" s="33">
        <f t="shared" si="232"/>
        <v>7.3475885654907813E-3</v>
      </c>
      <c r="S1096" s="33">
        <f t="shared" si="233"/>
        <v>-5.4420177320055885E-3</v>
      </c>
    </row>
    <row r="1097" spans="1:19" x14ac:dyDescent="0.25">
      <c r="A1097" t="s">
        <v>42</v>
      </c>
      <c r="B1097">
        <v>1</v>
      </c>
      <c r="C1097" t="s">
        <v>27</v>
      </c>
      <c r="D1097" s="68">
        <v>6580</v>
      </c>
      <c r="E1097" s="68">
        <v>6608</v>
      </c>
      <c r="F1097" s="68">
        <v>6580</v>
      </c>
      <c r="G1097" s="13">
        <f t="shared" si="221"/>
        <v>-28</v>
      </c>
      <c r="H1097" s="13">
        <f t="shared" si="222"/>
        <v>0</v>
      </c>
      <c r="I1097" s="73">
        <f t="shared" si="223"/>
        <v>0</v>
      </c>
      <c r="J1097" s="73">
        <f t="shared" si="224"/>
        <v>-4.237288135593209E-3</v>
      </c>
      <c r="K1097" s="72" t="str">
        <f t="shared" si="225"/>
        <v>CNJ2</v>
      </c>
      <c r="L1097" s="72" t="str">
        <f t="shared" si="226"/>
        <v>AUGUST-1-CNJ2</v>
      </c>
      <c r="M1097" s="73">
        <f t="shared" si="227"/>
        <v>0</v>
      </c>
      <c r="N1097" s="73">
        <f t="shared" si="228"/>
        <v>-0.37224215738628508</v>
      </c>
      <c r="O1097" s="13">
        <f t="shared" si="229"/>
        <v>2101778</v>
      </c>
      <c r="P1097" s="13">
        <f t="shared" si="230"/>
        <v>2128806</v>
      </c>
      <c r="Q1097" s="13">
        <f t="shared" si="231"/>
        <v>2117221</v>
      </c>
      <c r="R1097" s="33">
        <f t="shared" si="232"/>
        <v>7.3475885654907813E-3</v>
      </c>
      <c r="S1097" s="33">
        <f t="shared" si="233"/>
        <v>-5.4420177320055885E-3</v>
      </c>
    </row>
    <row r="1098" spans="1:19" x14ac:dyDescent="0.25">
      <c r="A1098" t="s">
        <v>42</v>
      </c>
      <c r="B1098">
        <v>1</v>
      </c>
      <c r="C1098" t="s">
        <v>27</v>
      </c>
      <c r="D1098" s="68">
        <v>330</v>
      </c>
      <c r="E1098" s="68">
        <v>342</v>
      </c>
      <c r="F1098" s="68">
        <v>330</v>
      </c>
      <c r="G1098" s="13">
        <f t="shared" si="221"/>
        <v>-12</v>
      </c>
      <c r="H1098" s="13">
        <f t="shared" si="222"/>
        <v>0</v>
      </c>
      <c r="I1098" s="73">
        <f t="shared" si="223"/>
        <v>0</v>
      </c>
      <c r="J1098" s="73">
        <f t="shared" si="224"/>
        <v>-3.5087719298245612E-2</v>
      </c>
      <c r="K1098" s="72" t="str">
        <f t="shared" si="225"/>
        <v>CNJ2</v>
      </c>
      <c r="L1098" s="72" t="str">
        <f t="shared" si="226"/>
        <v>AUGUST-1-CNJ2</v>
      </c>
      <c r="M1098" s="73">
        <f t="shared" si="227"/>
        <v>0</v>
      </c>
      <c r="N1098" s="73">
        <f t="shared" si="228"/>
        <v>-0.37224215738628508</v>
      </c>
      <c r="O1098" s="13">
        <f t="shared" si="229"/>
        <v>2101778</v>
      </c>
      <c r="P1098" s="13">
        <f t="shared" si="230"/>
        <v>2128806</v>
      </c>
      <c r="Q1098" s="13">
        <f t="shared" si="231"/>
        <v>2117221</v>
      </c>
      <c r="R1098" s="33">
        <f t="shared" si="232"/>
        <v>7.3475885654907813E-3</v>
      </c>
      <c r="S1098" s="33">
        <f t="shared" si="233"/>
        <v>-5.4420177320055885E-3</v>
      </c>
    </row>
    <row r="1099" spans="1:19" x14ac:dyDescent="0.25">
      <c r="A1099" t="s">
        <v>42</v>
      </c>
      <c r="B1099">
        <v>1</v>
      </c>
      <c r="C1099" t="s">
        <v>27</v>
      </c>
      <c r="D1099" s="68">
        <v>310</v>
      </c>
      <c r="E1099" s="68">
        <v>323</v>
      </c>
      <c r="F1099" s="68">
        <v>310</v>
      </c>
      <c r="G1099" s="13">
        <f t="shared" si="221"/>
        <v>-13</v>
      </c>
      <c r="H1099" s="13">
        <f t="shared" si="222"/>
        <v>0</v>
      </c>
      <c r="I1099" s="73">
        <f t="shared" si="223"/>
        <v>0</v>
      </c>
      <c r="J1099" s="73">
        <f t="shared" si="224"/>
        <v>-4.0247678018575872E-2</v>
      </c>
      <c r="K1099" s="72" t="str">
        <f t="shared" si="225"/>
        <v>CNJ2</v>
      </c>
      <c r="L1099" s="72" t="str">
        <f t="shared" si="226"/>
        <v>AUGUST-1-CNJ2</v>
      </c>
      <c r="M1099" s="73">
        <f t="shared" si="227"/>
        <v>0</v>
      </c>
      <c r="N1099" s="73">
        <f t="shared" si="228"/>
        <v>-0.37224215738628508</v>
      </c>
      <c r="O1099" s="13">
        <f t="shared" si="229"/>
        <v>2101778</v>
      </c>
      <c r="P1099" s="13">
        <f t="shared" si="230"/>
        <v>2128806</v>
      </c>
      <c r="Q1099" s="13">
        <f t="shared" si="231"/>
        <v>2117221</v>
      </c>
      <c r="R1099" s="33">
        <f t="shared" si="232"/>
        <v>7.3475885654907813E-3</v>
      </c>
      <c r="S1099" s="33">
        <f t="shared" si="233"/>
        <v>-5.4420177320055885E-3</v>
      </c>
    </row>
    <row r="1100" spans="1:19" x14ac:dyDescent="0.25">
      <c r="A1100" t="s">
        <v>42</v>
      </c>
      <c r="B1100">
        <v>1</v>
      </c>
      <c r="C1100" t="s">
        <v>27</v>
      </c>
      <c r="D1100" s="68">
        <v>650</v>
      </c>
      <c r="E1100" s="68">
        <v>666</v>
      </c>
      <c r="F1100" s="68">
        <v>650</v>
      </c>
      <c r="G1100" s="13">
        <f t="shared" si="221"/>
        <v>-16</v>
      </c>
      <c r="H1100" s="13">
        <f t="shared" si="222"/>
        <v>0</v>
      </c>
      <c r="I1100" s="73">
        <f t="shared" si="223"/>
        <v>0</v>
      </c>
      <c r="J1100" s="73">
        <f t="shared" si="224"/>
        <v>-2.4024024024024038E-2</v>
      </c>
      <c r="K1100" s="72" t="str">
        <f t="shared" si="225"/>
        <v>CNJ2</v>
      </c>
      <c r="L1100" s="72" t="str">
        <f t="shared" si="226"/>
        <v>AUGUST-1-CNJ2</v>
      </c>
      <c r="M1100" s="73">
        <f t="shared" si="227"/>
        <v>0</v>
      </c>
      <c r="N1100" s="73">
        <f t="shared" si="228"/>
        <v>-0.37224215738628508</v>
      </c>
      <c r="O1100" s="13">
        <f t="shared" si="229"/>
        <v>2101778</v>
      </c>
      <c r="P1100" s="13">
        <f t="shared" si="230"/>
        <v>2128806</v>
      </c>
      <c r="Q1100" s="13">
        <f t="shared" si="231"/>
        <v>2117221</v>
      </c>
      <c r="R1100" s="33">
        <f t="shared" si="232"/>
        <v>7.3475885654907813E-3</v>
      </c>
      <c r="S1100" s="33">
        <f t="shared" si="233"/>
        <v>-5.4420177320055885E-3</v>
      </c>
    </row>
    <row r="1101" spans="1:19" x14ac:dyDescent="0.25">
      <c r="A1101" t="s">
        <v>42</v>
      </c>
      <c r="B1101">
        <v>1</v>
      </c>
      <c r="C1101" t="s">
        <v>17</v>
      </c>
      <c r="D1101" s="68">
        <v>8440</v>
      </c>
      <c r="E1101" s="68">
        <v>8510</v>
      </c>
      <c r="F1101" s="68">
        <v>8440</v>
      </c>
      <c r="G1101" s="13">
        <f t="shared" si="221"/>
        <v>-70</v>
      </c>
      <c r="H1101" s="13">
        <f t="shared" si="222"/>
        <v>0</v>
      </c>
      <c r="I1101" s="73">
        <f t="shared" si="223"/>
        <v>0</v>
      </c>
      <c r="J1101" s="73">
        <f t="shared" si="224"/>
        <v>-8.2256169212691077E-3</v>
      </c>
      <c r="K1101" s="72" t="str">
        <f t="shared" si="225"/>
        <v>CBA</v>
      </c>
      <c r="L1101" s="72" t="str">
        <f t="shared" si="226"/>
        <v>AUGUST-1-CBA</v>
      </c>
      <c r="M1101" s="73">
        <f t="shared" si="227"/>
        <v>0</v>
      </c>
      <c r="N1101" s="73">
        <f t="shared" si="228"/>
        <v>-0.10845587910335031</v>
      </c>
      <c r="O1101" s="13">
        <f t="shared" si="229"/>
        <v>2101778</v>
      </c>
      <c r="P1101" s="13">
        <f t="shared" si="230"/>
        <v>2128806</v>
      </c>
      <c r="Q1101" s="13">
        <f t="shared" si="231"/>
        <v>2117221</v>
      </c>
      <c r="R1101" s="33">
        <f t="shared" si="232"/>
        <v>7.3475885654907813E-3</v>
      </c>
      <c r="S1101" s="33">
        <f t="shared" si="233"/>
        <v>-5.4420177320055885E-3</v>
      </c>
    </row>
    <row r="1102" spans="1:19" x14ac:dyDescent="0.25">
      <c r="A1102" t="s">
        <v>42</v>
      </c>
      <c r="B1102">
        <v>1</v>
      </c>
      <c r="C1102" t="s">
        <v>17</v>
      </c>
      <c r="D1102" s="68">
        <v>15120</v>
      </c>
      <c r="E1102" s="68">
        <v>15329</v>
      </c>
      <c r="F1102" s="68">
        <v>15120</v>
      </c>
      <c r="G1102" s="13">
        <f t="shared" si="221"/>
        <v>-209</v>
      </c>
      <c r="H1102" s="13">
        <f t="shared" si="222"/>
        <v>0</v>
      </c>
      <c r="I1102" s="73">
        <f t="shared" si="223"/>
        <v>0</v>
      </c>
      <c r="J1102" s="73">
        <f t="shared" si="224"/>
        <v>-1.3634287950942681E-2</v>
      </c>
      <c r="K1102" s="72" t="str">
        <f t="shared" si="225"/>
        <v>CBA</v>
      </c>
      <c r="L1102" s="72" t="str">
        <f t="shared" si="226"/>
        <v>AUGUST-1-CBA</v>
      </c>
      <c r="M1102" s="73">
        <f t="shared" si="227"/>
        <v>0</v>
      </c>
      <c r="N1102" s="73">
        <f t="shared" si="228"/>
        <v>-0.10845587910335031</v>
      </c>
      <c r="O1102" s="13">
        <f t="shared" si="229"/>
        <v>2101778</v>
      </c>
      <c r="P1102" s="13">
        <f t="shared" si="230"/>
        <v>2128806</v>
      </c>
      <c r="Q1102" s="13">
        <f t="shared" si="231"/>
        <v>2117221</v>
      </c>
      <c r="R1102" s="33">
        <f t="shared" si="232"/>
        <v>7.3475885654907813E-3</v>
      </c>
      <c r="S1102" s="33">
        <f t="shared" si="233"/>
        <v>-5.4420177320055885E-3</v>
      </c>
    </row>
    <row r="1103" spans="1:19" x14ac:dyDescent="0.25">
      <c r="A1103" t="s">
        <v>42</v>
      </c>
      <c r="B1103">
        <v>1</v>
      </c>
      <c r="C1103" t="s">
        <v>17</v>
      </c>
      <c r="D1103" s="68">
        <v>3240</v>
      </c>
      <c r="E1103" s="68">
        <v>3253</v>
      </c>
      <c r="F1103" s="68">
        <v>3240</v>
      </c>
      <c r="G1103" s="13">
        <f t="shared" si="221"/>
        <v>-13</v>
      </c>
      <c r="H1103" s="13">
        <f t="shared" si="222"/>
        <v>0</v>
      </c>
      <c r="I1103" s="73">
        <f t="shared" si="223"/>
        <v>0</v>
      </c>
      <c r="J1103" s="73">
        <f t="shared" si="224"/>
        <v>-3.9963110974484684E-3</v>
      </c>
      <c r="K1103" s="72" t="str">
        <f t="shared" si="225"/>
        <v>CBA</v>
      </c>
      <c r="L1103" s="72" t="str">
        <f t="shared" si="226"/>
        <v>AUGUST-1-CBA</v>
      </c>
      <c r="M1103" s="73">
        <f t="shared" si="227"/>
        <v>0</v>
      </c>
      <c r="N1103" s="73">
        <f t="shared" si="228"/>
        <v>-0.10845587910335031</v>
      </c>
      <c r="O1103" s="13">
        <f t="shared" si="229"/>
        <v>2101778</v>
      </c>
      <c r="P1103" s="13">
        <f t="shared" si="230"/>
        <v>2128806</v>
      </c>
      <c r="Q1103" s="13">
        <f t="shared" si="231"/>
        <v>2117221</v>
      </c>
      <c r="R1103" s="33">
        <f t="shared" si="232"/>
        <v>7.3475885654907813E-3</v>
      </c>
      <c r="S1103" s="33">
        <f t="shared" si="233"/>
        <v>-5.4420177320055885E-3</v>
      </c>
    </row>
    <row r="1104" spans="1:19" x14ac:dyDescent="0.25">
      <c r="A1104" t="s">
        <v>42</v>
      </c>
      <c r="B1104">
        <v>1</v>
      </c>
      <c r="C1104" t="s">
        <v>70</v>
      </c>
      <c r="D1104" s="68">
        <v>1002</v>
      </c>
      <c r="E1104" s="68">
        <v>1002</v>
      </c>
      <c r="F1104" s="68">
        <v>989</v>
      </c>
      <c r="G1104" s="13">
        <f t="shared" si="221"/>
        <v>-13</v>
      </c>
      <c r="H1104" s="13">
        <f t="shared" si="222"/>
        <v>-13</v>
      </c>
      <c r="I1104" s="73">
        <f t="shared" si="223"/>
        <v>-1.2974051896207595E-2</v>
      </c>
      <c r="J1104" s="73">
        <f t="shared" si="224"/>
        <v>-1.2974051896207595E-2</v>
      </c>
      <c r="K1104" s="72" t="str">
        <f t="shared" si="225"/>
        <v>CLN</v>
      </c>
      <c r="L1104" s="72" t="str">
        <f t="shared" si="226"/>
        <v>AUGUST-1-CLN</v>
      </c>
      <c r="M1104" s="73">
        <f t="shared" si="227"/>
        <v>-1.2974051896207595E-2</v>
      </c>
      <c r="N1104" s="73">
        <f t="shared" si="228"/>
        <v>-1.2974051896207595E-2</v>
      </c>
      <c r="O1104" s="13">
        <f t="shared" si="229"/>
        <v>2101778</v>
      </c>
      <c r="P1104" s="13">
        <f t="shared" si="230"/>
        <v>2128806</v>
      </c>
      <c r="Q1104" s="13">
        <f t="shared" si="231"/>
        <v>2117221</v>
      </c>
      <c r="R1104" s="33">
        <f t="shared" si="232"/>
        <v>7.3475885654907813E-3</v>
      </c>
      <c r="S1104" s="33">
        <f t="shared" si="233"/>
        <v>-5.4420177320055885E-3</v>
      </c>
    </row>
    <row r="1105" spans="1:19" x14ac:dyDescent="0.25">
      <c r="A1105" t="s">
        <v>42</v>
      </c>
      <c r="B1105">
        <v>1</v>
      </c>
      <c r="C1105" t="s">
        <v>15</v>
      </c>
      <c r="D1105" s="68">
        <v>1002</v>
      </c>
      <c r="E1105" s="68">
        <v>1002</v>
      </c>
      <c r="F1105" s="68">
        <v>981</v>
      </c>
      <c r="G1105" s="13">
        <f t="shared" si="221"/>
        <v>-21</v>
      </c>
      <c r="H1105" s="13">
        <f t="shared" si="222"/>
        <v>-21</v>
      </c>
      <c r="I1105" s="73">
        <f t="shared" si="223"/>
        <v>-2.0958083832335328E-2</v>
      </c>
      <c r="J1105" s="73">
        <f t="shared" si="224"/>
        <v>-2.0958083832335328E-2</v>
      </c>
      <c r="K1105" s="72" t="str">
        <f t="shared" si="225"/>
        <v>CHAWAN</v>
      </c>
      <c r="L1105" s="72" t="str">
        <f t="shared" si="226"/>
        <v>AUGUST-1-CHAWAN</v>
      </c>
      <c r="M1105" s="73">
        <f t="shared" si="227"/>
        <v>-2.0958083832335328E-2</v>
      </c>
      <c r="N1105" s="73">
        <f t="shared" si="228"/>
        <v>-2.0958083832335328E-2</v>
      </c>
      <c r="O1105" s="13">
        <f t="shared" si="229"/>
        <v>2101778</v>
      </c>
      <c r="P1105" s="13">
        <f t="shared" si="230"/>
        <v>2128806</v>
      </c>
      <c r="Q1105" s="13">
        <f t="shared" si="231"/>
        <v>2117221</v>
      </c>
      <c r="R1105" s="33">
        <f t="shared" si="232"/>
        <v>7.3475885654907813E-3</v>
      </c>
      <c r="S1105" s="33">
        <f t="shared" si="233"/>
        <v>-5.4420177320055885E-3</v>
      </c>
    </row>
    <row r="1106" spans="1:19" x14ac:dyDescent="0.25">
      <c r="A1106" t="s">
        <v>42</v>
      </c>
      <c r="B1106">
        <v>2</v>
      </c>
      <c r="C1106" t="s">
        <v>15</v>
      </c>
      <c r="D1106" s="68">
        <v>1552</v>
      </c>
      <c r="E1106" s="68">
        <v>1568</v>
      </c>
      <c r="F1106" s="68">
        <v>1552</v>
      </c>
      <c r="G1106" s="13">
        <f t="shared" si="221"/>
        <v>-16</v>
      </c>
      <c r="H1106" s="13">
        <f t="shared" si="222"/>
        <v>0</v>
      </c>
      <c r="I1106" s="73">
        <f t="shared" si="223"/>
        <v>0</v>
      </c>
      <c r="J1106" s="73">
        <f t="shared" si="224"/>
        <v>-1.0204081632653073E-2</v>
      </c>
      <c r="K1106" s="72" t="str">
        <f t="shared" si="225"/>
        <v>CHAWAN</v>
      </c>
      <c r="L1106" s="72" t="str">
        <f t="shared" si="226"/>
        <v>AUGUST-2-CHAWAN</v>
      </c>
      <c r="M1106" s="73">
        <f t="shared" si="227"/>
        <v>7.25559268331466E-3</v>
      </c>
      <c r="N1106" s="73">
        <f t="shared" si="228"/>
        <v>-1.0204081632653073E-2</v>
      </c>
      <c r="O1106" s="13">
        <f t="shared" si="229"/>
        <v>2101778</v>
      </c>
      <c r="P1106" s="13">
        <f t="shared" si="230"/>
        <v>2128806</v>
      </c>
      <c r="Q1106" s="13">
        <f t="shared" si="231"/>
        <v>2117221</v>
      </c>
      <c r="R1106" s="33">
        <f t="shared" si="232"/>
        <v>7.3475885654907813E-3</v>
      </c>
      <c r="S1106" s="33">
        <f t="shared" si="233"/>
        <v>-5.4420177320055885E-3</v>
      </c>
    </row>
    <row r="1107" spans="1:19" x14ac:dyDescent="0.25">
      <c r="A1107" t="s">
        <v>42</v>
      </c>
      <c r="B1107">
        <v>2</v>
      </c>
      <c r="C1107" t="s">
        <v>15</v>
      </c>
      <c r="D1107" s="68">
        <v>21</v>
      </c>
      <c r="E1107" s="70">
        <v>21</v>
      </c>
      <c r="F1107" s="70">
        <v>21</v>
      </c>
      <c r="G1107" s="13">
        <f t="shared" si="221"/>
        <v>0</v>
      </c>
      <c r="H1107" s="13">
        <f t="shared" si="222"/>
        <v>0</v>
      </c>
      <c r="I1107" s="73">
        <f t="shared" si="223"/>
        <v>0</v>
      </c>
      <c r="J1107" s="73">
        <f t="shared" si="224"/>
        <v>0</v>
      </c>
      <c r="K1107" s="72" t="str">
        <f t="shared" si="225"/>
        <v>CHAWAN</v>
      </c>
      <c r="L1107" s="72" t="str">
        <f t="shared" si="226"/>
        <v>AUGUST-2-CHAWAN</v>
      </c>
      <c r="M1107" s="73">
        <f t="shared" si="227"/>
        <v>7.25559268331466E-3</v>
      </c>
      <c r="N1107" s="73">
        <f t="shared" si="228"/>
        <v>-1.0204081632653073E-2</v>
      </c>
      <c r="O1107" s="13">
        <f t="shared" si="229"/>
        <v>2101778</v>
      </c>
      <c r="P1107" s="13">
        <f t="shared" si="230"/>
        <v>2128806</v>
      </c>
      <c r="Q1107" s="13">
        <f t="shared" si="231"/>
        <v>2117221</v>
      </c>
      <c r="R1107" s="33">
        <f t="shared" si="232"/>
        <v>7.3475885654907813E-3</v>
      </c>
      <c r="S1107" s="33">
        <f t="shared" si="233"/>
        <v>-5.4420177320055885E-3</v>
      </c>
    </row>
    <row r="1108" spans="1:19" x14ac:dyDescent="0.25">
      <c r="A1108" t="s">
        <v>42</v>
      </c>
      <c r="B1108">
        <v>2</v>
      </c>
      <c r="C1108" t="s">
        <v>15</v>
      </c>
      <c r="D1108" s="68">
        <v>2406</v>
      </c>
      <c r="E1108" s="70">
        <v>2406</v>
      </c>
      <c r="F1108" s="70">
        <v>2406</v>
      </c>
      <c r="G1108" s="13">
        <f t="shared" si="221"/>
        <v>0</v>
      </c>
      <c r="H1108" s="13">
        <f t="shared" si="222"/>
        <v>0</v>
      </c>
      <c r="I1108" s="73">
        <f t="shared" si="223"/>
        <v>0</v>
      </c>
      <c r="J1108" s="73">
        <f t="shared" si="224"/>
        <v>0</v>
      </c>
      <c r="K1108" s="72" t="str">
        <f t="shared" si="225"/>
        <v>CHAWAN</v>
      </c>
      <c r="L1108" s="72" t="str">
        <f t="shared" si="226"/>
        <v>AUGUST-2-CHAWAN</v>
      </c>
      <c r="M1108" s="73">
        <f t="shared" si="227"/>
        <v>7.25559268331466E-3</v>
      </c>
      <c r="N1108" s="73">
        <f t="shared" si="228"/>
        <v>-1.0204081632653073E-2</v>
      </c>
      <c r="O1108" s="13">
        <f t="shared" si="229"/>
        <v>2101778</v>
      </c>
      <c r="P1108" s="13">
        <f t="shared" si="230"/>
        <v>2128806</v>
      </c>
      <c r="Q1108" s="13">
        <f t="shared" si="231"/>
        <v>2117221</v>
      </c>
      <c r="R1108" s="33">
        <f t="shared" si="232"/>
        <v>7.3475885654907813E-3</v>
      </c>
      <c r="S1108" s="33">
        <f t="shared" si="233"/>
        <v>-5.4420177320055885E-3</v>
      </c>
    </row>
    <row r="1109" spans="1:19" x14ac:dyDescent="0.25">
      <c r="A1109" t="s">
        <v>42</v>
      </c>
      <c r="B1109">
        <v>2</v>
      </c>
      <c r="C1109" t="s">
        <v>15</v>
      </c>
      <c r="D1109" s="68">
        <v>2406</v>
      </c>
      <c r="E1109" s="70">
        <v>2406</v>
      </c>
      <c r="F1109" s="70">
        <v>2406</v>
      </c>
      <c r="G1109" s="13">
        <f t="shared" si="221"/>
        <v>0</v>
      </c>
      <c r="H1109" s="13">
        <f t="shared" si="222"/>
        <v>0</v>
      </c>
      <c r="I1109" s="73">
        <f t="shared" si="223"/>
        <v>0</v>
      </c>
      <c r="J1109" s="73">
        <f t="shared" si="224"/>
        <v>0</v>
      </c>
      <c r="K1109" s="72" t="str">
        <f t="shared" si="225"/>
        <v>CHAWAN</v>
      </c>
      <c r="L1109" s="72" t="str">
        <f t="shared" si="226"/>
        <v>AUGUST-2-CHAWAN</v>
      </c>
      <c r="M1109" s="73">
        <f t="shared" si="227"/>
        <v>7.25559268331466E-3</v>
      </c>
      <c r="N1109" s="73">
        <f t="shared" si="228"/>
        <v>-1.0204081632653073E-2</v>
      </c>
      <c r="O1109" s="13">
        <f t="shared" si="229"/>
        <v>2101778</v>
      </c>
      <c r="P1109" s="13">
        <f t="shared" si="230"/>
        <v>2128806</v>
      </c>
      <c r="Q1109" s="13">
        <f t="shared" si="231"/>
        <v>2117221</v>
      </c>
      <c r="R1109" s="33">
        <f t="shared" si="232"/>
        <v>7.3475885654907813E-3</v>
      </c>
      <c r="S1109" s="33">
        <f t="shared" si="233"/>
        <v>-5.4420177320055885E-3</v>
      </c>
    </row>
    <row r="1110" spans="1:19" x14ac:dyDescent="0.25">
      <c r="A1110" t="s">
        <v>42</v>
      </c>
      <c r="B1110">
        <v>2</v>
      </c>
      <c r="C1110" t="s">
        <v>15</v>
      </c>
      <c r="D1110" s="68">
        <v>71</v>
      </c>
      <c r="E1110" s="70">
        <v>71</v>
      </c>
      <c r="F1110" s="70">
        <v>71</v>
      </c>
      <c r="G1110" s="13">
        <f t="shared" si="221"/>
        <v>0</v>
      </c>
      <c r="H1110" s="13">
        <f t="shared" si="222"/>
        <v>0</v>
      </c>
      <c r="I1110" s="73">
        <f t="shared" si="223"/>
        <v>0</v>
      </c>
      <c r="J1110" s="73">
        <f t="shared" si="224"/>
        <v>0</v>
      </c>
      <c r="K1110" s="72" t="str">
        <f t="shared" si="225"/>
        <v>CHAWAN</v>
      </c>
      <c r="L1110" s="72" t="str">
        <f t="shared" si="226"/>
        <v>AUGUST-2-CHAWAN</v>
      </c>
      <c r="M1110" s="73">
        <f t="shared" si="227"/>
        <v>7.25559268331466E-3</v>
      </c>
      <c r="N1110" s="73">
        <f t="shared" si="228"/>
        <v>-1.0204081632653073E-2</v>
      </c>
      <c r="O1110" s="13">
        <f t="shared" si="229"/>
        <v>2101778</v>
      </c>
      <c r="P1110" s="13">
        <f t="shared" si="230"/>
        <v>2128806</v>
      </c>
      <c r="Q1110" s="13">
        <f t="shared" si="231"/>
        <v>2117221</v>
      </c>
      <c r="R1110" s="33">
        <f t="shared" si="232"/>
        <v>7.3475885654907813E-3</v>
      </c>
      <c r="S1110" s="33">
        <f t="shared" si="233"/>
        <v>-5.4420177320055885E-3</v>
      </c>
    </row>
    <row r="1111" spans="1:19" x14ac:dyDescent="0.25">
      <c r="A1111" t="s">
        <v>42</v>
      </c>
      <c r="B1111">
        <v>2</v>
      </c>
      <c r="C1111" t="s">
        <v>15</v>
      </c>
      <c r="D1111" s="68">
        <v>71</v>
      </c>
      <c r="E1111" s="70">
        <v>71</v>
      </c>
      <c r="F1111" s="70">
        <v>71</v>
      </c>
      <c r="G1111" s="13">
        <f t="shared" si="221"/>
        <v>0</v>
      </c>
      <c r="H1111" s="13">
        <f t="shared" si="222"/>
        <v>0</v>
      </c>
      <c r="I1111" s="73">
        <f t="shared" si="223"/>
        <v>0</v>
      </c>
      <c r="J1111" s="73">
        <f t="shared" si="224"/>
        <v>0</v>
      </c>
      <c r="K1111" s="72" t="str">
        <f t="shared" si="225"/>
        <v>CHAWAN</v>
      </c>
      <c r="L1111" s="72" t="str">
        <f t="shared" si="226"/>
        <v>AUGUST-2-CHAWAN</v>
      </c>
      <c r="M1111" s="73">
        <f t="shared" si="227"/>
        <v>7.25559268331466E-3</v>
      </c>
      <c r="N1111" s="73">
        <f t="shared" si="228"/>
        <v>-1.0204081632653073E-2</v>
      </c>
      <c r="O1111" s="13">
        <f t="shared" si="229"/>
        <v>2101778</v>
      </c>
      <c r="P1111" s="13">
        <f t="shared" si="230"/>
        <v>2128806</v>
      </c>
      <c r="Q1111" s="13">
        <f t="shared" si="231"/>
        <v>2117221</v>
      </c>
      <c r="R1111" s="33">
        <f t="shared" si="232"/>
        <v>7.3475885654907813E-3</v>
      </c>
      <c r="S1111" s="33">
        <f t="shared" si="233"/>
        <v>-5.4420177320055885E-3</v>
      </c>
    </row>
    <row r="1112" spans="1:19" x14ac:dyDescent="0.25">
      <c r="A1112" t="s">
        <v>42</v>
      </c>
      <c r="B1112">
        <v>2</v>
      </c>
      <c r="C1112" t="s">
        <v>15</v>
      </c>
      <c r="D1112" s="68">
        <v>21</v>
      </c>
      <c r="E1112" s="70">
        <v>21</v>
      </c>
      <c r="F1112" s="70">
        <v>21</v>
      </c>
      <c r="G1112" s="13">
        <f t="shared" si="221"/>
        <v>0</v>
      </c>
      <c r="H1112" s="13">
        <f t="shared" si="222"/>
        <v>0</v>
      </c>
      <c r="I1112" s="73">
        <f t="shared" si="223"/>
        <v>0</v>
      </c>
      <c r="J1112" s="73">
        <f t="shared" si="224"/>
        <v>0</v>
      </c>
      <c r="K1112" s="72" t="str">
        <f t="shared" si="225"/>
        <v>CHAWAN</v>
      </c>
      <c r="L1112" s="72" t="str">
        <f t="shared" si="226"/>
        <v>AUGUST-2-CHAWAN</v>
      </c>
      <c r="M1112" s="73">
        <f t="shared" si="227"/>
        <v>7.25559268331466E-3</v>
      </c>
      <c r="N1112" s="73">
        <f t="shared" si="228"/>
        <v>-1.0204081632653073E-2</v>
      </c>
      <c r="O1112" s="13">
        <f t="shared" si="229"/>
        <v>2101778</v>
      </c>
      <c r="P1112" s="13">
        <f t="shared" si="230"/>
        <v>2128806</v>
      </c>
      <c r="Q1112" s="13">
        <f t="shared" si="231"/>
        <v>2117221</v>
      </c>
      <c r="R1112" s="33">
        <f t="shared" si="232"/>
        <v>7.3475885654907813E-3</v>
      </c>
      <c r="S1112" s="33">
        <f t="shared" si="233"/>
        <v>-5.4420177320055885E-3</v>
      </c>
    </row>
    <row r="1113" spans="1:19" x14ac:dyDescent="0.25">
      <c r="A1113" t="s">
        <v>42</v>
      </c>
      <c r="B1113">
        <v>2</v>
      </c>
      <c r="C1113" t="s">
        <v>15</v>
      </c>
      <c r="D1113" s="68">
        <v>21</v>
      </c>
      <c r="E1113" s="70">
        <v>21</v>
      </c>
      <c r="F1113" s="70">
        <v>21</v>
      </c>
      <c r="G1113" s="13">
        <f t="shared" si="221"/>
        <v>0</v>
      </c>
      <c r="H1113" s="13">
        <f t="shared" si="222"/>
        <v>0</v>
      </c>
      <c r="I1113" s="73">
        <f t="shared" si="223"/>
        <v>0</v>
      </c>
      <c r="J1113" s="73">
        <f t="shared" si="224"/>
        <v>0</v>
      </c>
      <c r="K1113" s="72" t="str">
        <f t="shared" si="225"/>
        <v>CHAWAN</v>
      </c>
      <c r="L1113" s="72" t="str">
        <f t="shared" si="226"/>
        <v>AUGUST-2-CHAWAN</v>
      </c>
      <c r="M1113" s="73">
        <f t="shared" si="227"/>
        <v>7.25559268331466E-3</v>
      </c>
      <c r="N1113" s="73">
        <f t="shared" si="228"/>
        <v>-1.0204081632653073E-2</v>
      </c>
      <c r="O1113" s="13">
        <f t="shared" si="229"/>
        <v>2101778</v>
      </c>
      <c r="P1113" s="13">
        <f t="shared" si="230"/>
        <v>2128806</v>
      </c>
      <c r="Q1113" s="13">
        <f t="shared" si="231"/>
        <v>2117221</v>
      </c>
      <c r="R1113" s="33">
        <f t="shared" si="232"/>
        <v>7.3475885654907813E-3</v>
      </c>
      <c r="S1113" s="33">
        <f t="shared" si="233"/>
        <v>-5.4420177320055885E-3</v>
      </c>
    </row>
    <row r="1114" spans="1:19" x14ac:dyDescent="0.25">
      <c r="A1114" t="s">
        <v>42</v>
      </c>
      <c r="B1114">
        <v>2</v>
      </c>
      <c r="C1114" t="s">
        <v>15</v>
      </c>
      <c r="D1114" s="68">
        <v>594</v>
      </c>
      <c r="E1114" s="70">
        <v>594</v>
      </c>
      <c r="F1114" s="70">
        <v>594</v>
      </c>
      <c r="G1114" s="13">
        <f t="shared" si="221"/>
        <v>0</v>
      </c>
      <c r="H1114" s="13">
        <f t="shared" si="222"/>
        <v>0</v>
      </c>
      <c r="I1114" s="73">
        <f t="shared" si="223"/>
        <v>0</v>
      </c>
      <c r="J1114" s="73">
        <f t="shared" si="224"/>
        <v>0</v>
      </c>
      <c r="K1114" s="72" t="str">
        <f t="shared" si="225"/>
        <v>CHAWAN</v>
      </c>
      <c r="L1114" s="72" t="str">
        <f t="shared" si="226"/>
        <v>AUGUST-2-CHAWAN</v>
      </c>
      <c r="M1114" s="73">
        <f t="shared" si="227"/>
        <v>7.25559268331466E-3</v>
      </c>
      <c r="N1114" s="73">
        <f t="shared" si="228"/>
        <v>-1.0204081632653073E-2</v>
      </c>
      <c r="O1114" s="13">
        <f t="shared" si="229"/>
        <v>2101778</v>
      </c>
      <c r="P1114" s="13">
        <f t="shared" si="230"/>
        <v>2128806</v>
      </c>
      <c r="Q1114" s="13">
        <f t="shared" si="231"/>
        <v>2117221</v>
      </c>
      <c r="R1114" s="33">
        <f t="shared" si="232"/>
        <v>7.3475885654907813E-3</v>
      </c>
      <c r="S1114" s="33">
        <f t="shared" si="233"/>
        <v>-5.4420177320055885E-3</v>
      </c>
    </row>
    <row r="1115" spans="1:19" x14ac:dyDescent="0.25">
      <c r="A1115" t="s">
        <v>42</v>
      </c>
      <c r="B1115">
        <v>2</v>
      </c>
      <c r="C1115" t="s">
        <v>15</v>
      </c>
      <c r="D1115" s="68">
        <v>594</v>
      </c>
      <c r="E1115" s="70">
        <v>594</v>
      </c>
      <c r="F1115" s="70">
        <v>594</v>
      </c>
      <c r="G1115" s="13">
        <f t="shared" si="221"/>
        <v>0</v>
      </c>
      <c r="H1115" s="13">
        <f t="shared" si="222"/>
        <v>0</v>
      </c>
      <c r="I1115" s="73">
        <f t="shared" si="223"/>
        <v>0</v>
      </c>
      <c r="J1115" s="73">
        <f t="shared" si="224"/>
        <v>0</v>
      </c>
      <c r="K1115" s="72" t="str">
        <f t="shared" si="225"/>
        <v>CHAWAN</v>
      </c>
      <c r="L1115" s="72" t="str">
        <f t="shared" si="226"/>
        <v>AUGUST-2-CHAWAN</v>
      </c>
      <c r="M1115" s="73">
        <f t="shared" si="227"/>
        <v>7.25559268331466E-3</v>
      </c>
      <c r="N1115" s="73">
        <f t="shared" si="228"/>
        <v>-1.0204081632653073E-2</v>
      </c>
      <c r="O1115" s="13">
        <f t="shared" si="229"/>
        <v>2101778</v>
      </c>
      <c r="P1115" s="13">
        <f t="shared" si="230"/>
        <v>2128806</v>
      </c>
      <c r="Q1115" s="13">
        <f t="shared" si="231"/>
        <v>2117221</v>
      </c>
      <c r="R1115" s="33">
        <f t="shared" si="232"/>
        <v>7.3475885654907813E-3</v>
      </c>
      <c r="S1115" s="33">
        <f t="shared" si="233"/>
        <v>-5.4420177320055885E-3</v>
      </c>
    </row>
    <row r="1116" spans="1:19" x14ac:dyDescent="0.25">
      <c r="A1116" t="s">
        <v>42</v>
      </c>
      <c r="B1116">
        <v>2</v>
      </c>
      <c r="C1116" t="s">
        <v>15</v>
      </c>
      <c r="D1116" s="68">
        <v>135</v>
      </c>
      <c r="E1116" s="70">
        <v>135</v>
      </c>
      <c r="F1116" s="70">
        <v>135</v>
      </c>
      <c r="G1116" s="13">
        <f t="shared" si="221"/>
        <v>0</v>
      </c>
      <c r="H1116" s="13">
        <f t="shared" si="222"/>
        <v>0</v>
      </c>
      <c r="I1116" s="73">
        <f t="shared" si="223"/>
        <v>0</v>
      </c>
      <c r="J1116" s="73">
        <f t="shared" si="224"/>
        <v>0</v>
      </c>
      <c r="K1116" s="72" t="str">
        <f t="shared" si="225"/>
        <v>CHAWAN</v>
      </c>
      <c r="L1116" s="72" t="str">
        <f t="shared" si="226"/>
        <v>AUGUST-2-CHAWAN</v>
      </c>
      <c r="M1116" s="73">
        <f t="shared" si="227"/>
        <v>7.25559268331466E-3</v>
      </c>
      <c r="N1116" s="73">
        <f t="shared" si="228"/>
        <v>-1.0204081632653073E-2</v>
      </c>
      <c r="O1116" s="13">
        <f t="shared" si="229"/>
        <v>2101778</v>
      </c>
      <c r="P1116" s="13">
        <f t="shared" si="230"/>
        <v>2128806</v>
      </c>
      <c r="Q1116" s="13">
        <f t="shared" si="231"/>
        <v>2117221</v>
      </c>
      <c r="R1116" s="33">
        <f t="shared" si="232"/>
        <v>7.3475885654907813E-3</v>
      </c>
      <c r="S1116" s="33">
        <f t="shared" si="233"/>
        <v>-5.4420177320055885E-3</v>
      </c>
    </row>
    <row r="1117" spans="1:19" x14ac:dyDescent="0.25">
      <c r="A1117" t="s">
        <v>42</v>
      </c>
      <c r="B1117">
        <v>2</v>
      </c>
      <c r="C1117" t="s">
        <v>15</v>
      </c>
      <c r="D1117" s="68">
        <v>135</v>
      </c>
      <c r="E1117" s="70">
        <v>135</v>
      </c>
      <c r="F1117" s="70">
        <v>135</v>
      </c>
      <c r="G1117" s="13">
        <f t="shared" si="221"/>
        <v>0</v>
      </c>
      <c r="H1117" s="13">
        <f t="shared" si="222"/>
        <v>0</v>
      </c>
      <c r="I1117" s="73">
        <f t="shared" si="223"/>
        <v>0</v>
      </c>
      <c r="J1117" s="73">
        <f t="shared" si="224"/>
        <v>0</v>
      </c>
      <c r="K1117" s="72" t="str">
        <f t="shared" si="225"/>
        <v>CHAWAN</v>
      </c>
      <c r="L1117" s="72" t="str">
        <f t="shared" si="226"/>
        <v>AUGUST-2-CHAWAN</v>
      </c>
      <c r="M1117" s="73">
        <f t="shared" si="227"/>
        <v>7.25559268331466E-3</v>
      </c>
      <c r="N1117" s="73">
        <f t="shared" si="228"/>
        <v>-1.0204081632653073E-2</v>
      </c>
      <c r="O1117" s="13">
        <f t="shared" si="229"/>
        <v>2101778</v>
      </c>
      <c r="P1117" s="13">
        <f t="shared" si="230"/>
        <v>2128806</v>
      </c>
      <c r="Q1117" s="13">
        <f t="shared" si="231"/>
        <v>2117221</v>
      </c>
      <c r="R1117" s="33">
        <f t="shared" si="232"/>
        <v>7.3475885654907813E-3</v>
      </c>
      <c r="S1117" s="33">
        <f t="shared" si="233"/>
        <v>-5.4420177320055885E-3</v>
      </c>
    </row>
    <row r="1118" spans="1:19" x14ac:dyDescent="0.25">
      <c r="A1118" t="s">
        <v>42</v>
      </c>
      <c r="B1118">
        <v>2</v>
      </c>
      <c r="C1118" t="s">
        <v>15</v>
      </c>
      <c r="D1118" s="68">
        <v>26</v>
      </c>
      <c r="E1118" s="70">
        <v>26</v>
      </c>
      <c r="F1118" s="70">
        <v>26</v>
      </c>
      <c r="G1118" s="13">
        <f t="shared" si="221"/>
        <v>0</v>
      </c>
      <c r="H1118" s="13">
        <f t="shared" si="222"/>
        <v>0</v>
      </c>
      <c r="I1118" s="73">
        <f t="shared" si="223"/>
        <v>0</v>
      </c>
      <c r="J1118" s="73">
        <f t="shared" si="224"/>
        <v>0</v>
      </c>
      <c r="K1118" s="72" t="str">
        <f t="shared" si="225"/>
        <v>CHAWAN</v>
      </c>
      <c r="L1118" s="72" t="str">
        <f t="shared" si="226"/>
        <v>AUGUST-2-CHAWAN</v>
      </c>
      <c r="M1118" s="73">
        <f t="shared" si="227"/>
        <v>7.25559268331466E-3</v>
      </c>
      <c r="N1118" s="73">
        <f t="shared" si="228"/>
        <v>-1.0204081632653073E-2</v>
      </c>
      <c r="O1118" s="13">
        <f t="shared" si="229"/>
        <v>2101778</v>
      </c>
      <c r="P1118" s="13">
        <f t="shared" si="230"/>
        <v>2128806</v>
      </c>
      <c r="Q1118" s="13">
        <f t="shared" si="231"/>
        <v>2117221</v>
      </c>
      <c r="R1118" s="33">
        <f t="shared" si="232"/>
        <v>7.3475885654907813E-3</v>
      </c>
      <c r="S1118" s="33">
        <f t="shared" si="233"/>
        <v>-5.4420177320055885E-3</v>
      </c>
    </row>
    <row r="1119" spans="1:19" x14ac:dyDescent="0.25">
      <c r="A1119" t="s">
        <v>42</v>
      </c>
      <c r="B1119">
        <v>2</v>
      </c>
      <c r="C1119" t="s">
        <v>15</v>
      </c>
      <c r="D1119" s="68">
        <v>26</v>
      </c>
      <c r="E1119" s="70">
        <v>26</v>
      </c>
      <c r="F1119" s="70">
        <v>26</v>
      </c>
      <c r="G1119" s="13">
        <f t="shared" si="221"/>
        <v>0</v>
      </c>
      <c r="H1119" s="13">
        <f t="shared" si="222"/>
        <v>0</v>
      </c>
      <c r="I1119" s="73">
        <f t="shared" si="223"/>
        <v>0</v>
      </c>
      <c r="J1119" s="73">
        <f t="shared" si="224"/>
        <v>0</v>
      </c>
      <c r="K1119" s="72" t="str">
        <f t="shared" si="225"/>
        <v>CHAWAN</v>
      </c>
      <c r="L1119" s="72" t="str">
        <f t="shared" si="226"/>
        <v>AUGUST-2-CHAWAN</v>
      </c>
      <c r="M1119" s="73">
        <f t="shared" si="227"/>
        <v>7.25559268331466E-3</v>
      </c>
      <c r="N1119" s="73">
        <f t="shared" si="228"/>
        <v>-1.0204081632653073E-2</v>
      </c>
      <c r="O1119" s="13">
        <f t="shared" si="229"/>
        <v>2101778</v>
      </c>
      <c r="P1119" s="13">
        <f t="shared" si="230"/>
        <v>2128806</v>
      </c>
      <c r="Q1119" s="13">
        <f t="shared" si="231"/>
        <v>2117221</v>
      </c>
      <c r="R1119" s="33">
        <f t="shared" si="232"/>
        <v>7.3475885654907813E-3</v>
      </c>
      <c r="S1119" s="33">
        <f t="shared" si="233"/>
        <v>-5.4420177320055885E-3</v>
      </c>
    </row>
    <row r="1120" spans="1:19" x14ac:dyDescent="0.25">
      <c r="A1120" t="s">
        <v>42</v>
      </c>
      <c r="B1120">
        <v>2</v>
      </c>
      <c r="C1120" t="s">
        <v>15</v>
      </c>
      <c r="D1120" s="68">
        <v>53</v>
      </c>
      <c r="E1120" s="70">
        <v>53</v>
      </c>
      <c r="F1120" s="70">
        <v>53</v>
      </c>
      <c r="G1120" s="13">
        <f t="shared" si="221"/>
        <v>0</v>
      </c>
      <c r="H1120" s="13">
        <f t="shared" si="222"/>
        <v>0</v>
      </c>
      <c r="I1120" s="73">
        <f t="shared" si="223"/>
        <v>0</v>
      </c>
      <c r="J1120" s="73">
        <f t="shared" si="224"/>
        <v>0</v>
      </c>
      <c r="K1120" s="72" t="str">
        <f t="shared" si="225"/>
        <v>CHAWAN</v>
      </c>
      <c r="L1120" s="72" t="str">
        <f t="shared" si="226"/>
        <v>AUGUST-2-CHAWAN</v>
      </c>
      <c r="M1120" s="73">
        <f t="shared" si="227"/>
        <v>7.25559268331466E-3</v>
      </c>
      <c r="N1120" s="73">
        <f t="shared" si="228"/>
        <v>-1.0204081632653073E-2</v>
      </c>
      <c r="O1120" s="13">
        <f t="shared" si="229"/>
        <v>2101778</v>
      </c>
      <c r="P1120" s="13">
        <f t="shared" si="230"/>
        <v>2128806</v>
      </c>
      <c r="Q1120" s="13">
        <f t="shared" si="231"/>
        <v>2117221</v>
      </c>
      <c r="R1120" s="33">
        <f t="shared" si="232"/>
        <v>7.3475885654907813E-3</v>
      </c>
      <c r="S1120" s="33">
        <f t="shared" si="233"/>
        <v>-5.4420177320055885E-3</v>
      </c>
    </row>
    <row r="1121" spans="1:19" x14ac:dyDescent="0.25">
      <c r="A1121" t="s">
        <v>42</v>
      </c>
      <c r="B1121">
        <v>2</v>
      </c>
      <c r="C1121" t="s">
        <v>15</v>
      </c>
      <c r="D1121" s="68">
        <v>15</v>
      </c>
      <c r="E1121" s="70">
        <v>15</v>
      </c>
      <c r="F1121" s="70">
        <v>15</v>
      </c>
      <c r="G1121" s="13">
        <f t="shared" si="221"/>
        <v>0</v>
      </c>
      <c r="H1121" s="13">
        <f t="shared" si="222"/>
        <v>0</v>
      </c>
      <c r="I1121" s="73">
        <f t="shared" si="223"/>
        <v>0</v>
      </c>
      <c r="J1121" s="73">
        <f t="shared" si="224"/>
        <v>0</v>
      </c>
      <c r="K1121" s="72" t="str">
        <f t="shared" si="225"/>
        <v>CHAWAN</v>
      </c>
      <c r="L1121" s="72" t="str">
        <f t="shared" si="226"/>
        <v>AUGUST-2-CHAWAN</v>
      </c>
      <c r="M1121" s="73">
        <f t="shared" si="227"/>
        <v>7.25559268331466E-3</v>
      </c>
      <c r="N1121" s="73">
        <f t="shared" si="228"/>
        <v>-1.0204081632653073E-2</v>
      </c>
      <c r="O1121" s="13">
        <f t="shared" si="229"/>
        <v>2101778</v>
      </c>
      <c r="P1121" s="13">
        <f t="shared" si="230"/>
        <v>2128806</v>
      </c>
      <c r="Q1121" s="13">
        <f t="shared" si="231"/>
        <v>2117221</v>
      </c>
      <c r="R1121" s="33">
        <f t="shared" si="232"/>
        <v>7.3475885654907813E-3</v>
      </c>
      <c r="S1121" s="33">
        <f t="shared" si="233"/>
        <v>-5.4420177320055885E-3</v>
      </c>
    </row>
    <row r="1122" spans="1:19" x14ac:dyDescent="0.25">
      <c r="A1122" t="s">
        <v>42</v>
      </c>
      <c r="B1122">
        <v>2</v>
      </c>
      <c r="C1122" t="s">
        <v>15</v>
      </c>
      <c r="D1122" s="68">
        <v>15</v>
      </c>
      <c r="E1122" s="70">
        <v>15</v>
      </c>
      <c r="F1122" s="70">
        <v>15</v>
      </c>
      <c r="G1122" s="13">
        <f t="shared" si="221"/>
        <v>0</v>
      </c>
      <c r="H1122" s="13">
        <f t="shared" si="222"/>
        <v>0</v>
      </c>
      <c r="I1122" s="73">
        <f t="shared" si="223"/>
        <v>0</v>
      </c>
      <c r="J1122" s="73">
        <f t="shared" si="224"/>
        <v>0</v>
      </c>
      <c r="K1122" s="72" t="str">
        <f t="shared" si="225"/>
        <v>CHAWAN</v>
      </c>
      <c r="L1122" s="72" t="str">
        <f t="shared" si="226"/>
        <v>AUGUST-2-CHAWAN</v>
      </c>
      <c r="M1122" s="73">
        <f t="shared" si="227"/>
        <v>7.25559268331466E-3</v>
      </c>
      <c r="N1122" s="73">
        <f t="shared" si="228"/>
        <v>-1.0204081632653073E-2</v>
      </c>
      <c r="O1122" s="13">
        <f t="shared" si="229"/>
        <v>2101778</v>
      </c>
      <c r="P1122" s="13">
        <f t="shared" si="230"/>
        <v>2128806</v>
      </c>
      <c r="Q1122" s="13">
        <f t="shared" si="231"/>
        <v>2117221</v>
      </c>
      <c r="R1122" s="33">
        <f t="shared" si="232"/>
        <v>7.3475885654907813E-3</v>
      </c>
      <c r="S1122" s="33">
        <f t="shared" si="233"/>
        <v>-5.4420177320055885E-3</v>
      </c>
    </row>
    <row r="1123" spans="1:19" x14ac:dyDescent="0.25">
      <c r="A1123" t="s">
        <v>42</v>
      </c>
      <c r="B1123">
        <v>2</v>
      </c>
      <c r="C1123" t="s">
        <v>15</v>
      </c>
      <c r="D1123" s="68">
        <v>29</v>
      </c>
      <c r="E1123" s="70">
        <v>29</v>
      </c>
      <c r="F1123" s="70">
        <v>29</v>
      </c>
      <c r="G1123" s="13">
        <f t="shared" si="221"/>
        <v>0</v>
      </c>
      <c r="H1123" s="13">
        <f t="shared" si="222"/>
        <v>0</v>
      </c>
      <c r="I1123" s="73">
        <f t="shared" si="223"/>
        <v>0</v>
      </c>
      <c r="J1123" s="73">
        <f t="shared" si="224"/>
        <v>0</v>
      </c>
      <c r="K1123" s="72" t="str">
        <f t="shared" si="225"/>
        <v>CHAWAN</v>
      </c>
      <c r="L1123" s="72" t="str">
        <f t="shared" si="226"/>
        <v>AUGUST-2-CHAWAN</v>
      </c>
      <c r="M1123" s="73">
        <f t="shared" si="227"/>
        <v>7.25559268331466E-3</v>
      </c>
      <c r="N1123" s="73">
        <f t="shared" si="228"/>
        <v>-1.0204081632653073E-2</v>
      </c>
      <c r="O1123" s="13">
        <f t="shared" si="229"/>
        <v>2101778</v>
      </c>
      <c r="P1123" s="13">
        <f t="shared" si="230"/>
        <v>2128806</v>
      </c>
      <c r="Q1123" s="13">
        <f t="shared" si="231"/>
        <v>2117221</v>
      </c>
      <c r="R1123" s="33">
        <f t="shared" si="232"/>
        <v>7.3475885654907813E-3</v>
      </c>
      <c r="S1123" s="33">
        <f t="shared" si="233"/>
        <v>-5.4420177320055885E-3</v>
      </c>
    </row>
    <row r="1124" spans="1:19" x14ac:dyDescent="0.25">
      <c r="A1124" t="s">
        <v>42</v>
      </c>
      <c r="B1124">
        <v>2</v>
      </c>
      <c r="C1124" t="s">
        <v>15</v>
      </c>
      <c r="D1124" s="68">
        <v>29</v>
      </c>
      <c r="E1124" s="70">
        <v>29</v>
      </c>
      <c r="F1124" s="70">
        <v>29</v>
      </c>
      <c r="G1124" s="13">
        <f t="shared" si="221"/>
        <v>0</v>
      </c>
      <c r="H1124" s="13">
        <f t="shared" si="222"/>
        <v>0</v>
      </c>
      <c r="I1124" s="73">
        <f t="shared" si="223"/>
        <v>0</v>
      </c>
      <c r="J1124" s="73">
        <f t="shared" si="224"/>
        <v>0</v>
      </c>
      <c r="K1124" s="72" t="str">
        <f t="shared" si="225"/>
        <v>CHAWAN</v>
      </c>
      <c r="L1124" s="72" t="str">
        <f t="shared" si="226"/>
        <v>AUGUST-2-CHAWAN</v>
      </c>
      <c r="M1124" s="73">
        <f t="shared" si="227"/>
        <v>7.25559268331466E-3</v>
      </c>
      <c r="N1124" s="73">
        <f t="shared" si="228"/>
        <v>-1.0204081632653073E-2</v>
      </c>
      <c r="O1124" s="13">
        <f t="shared" si="229"/>
        <v>2101778</v>
      </c>
      <c r="P1124" s="13">
        <f t="shared" si="230"/>
        <v>2128806</v>
      </c>
      <c r="Q1124" s="13">
        <f t="shared" si="231"/>
        <v>2117221</v>
      </c>
      <c r="R1124" s="33">
        <f t="shared" si="232"/>
        <v>7.3475885654907813E-3</v>
      </c>
      <c r="S1124" s="33">
        <f t="shared" si="233"/>
        <v>-5.4420177320055885E-3</v>
      </c>
    </row>
    <row r="1125" spans="1:19" x14ac:dyDescent="0.25">
      <c r="A1125" t="s">
        <v>42</v>
      </c>
      <c r="B1125">
        <v>2</v>
      </c>
      <c r="C1125" t="s">
        <v>15</v>
      </c>
      <c r="D1125" s="68">
        <v>468</v>
      </c>
      <c r="E1125" s="70">
        <v>468</v>
      </c>
      <c r="F1125" s="70">
        <v>468</v>
      </c>
      <c r="G1125" s="13">
        <f t="shared" si="221"/>
        <v>0</v>
      </c>
      <c r="H1125" s="13">
        <f t="shared" si="222"/>
        <v>0</v>
      </c>
      <c r="I1125" s="73">
        <f t="shared" si="223"/>
        <v>0</v>
      </c>
      <c r="J1125" s="73">
        <f t="shared" si="224"/>
        <v>0</v>
      </c>
      <c r="K1125" s="72" t="str">
        <f t="shared" si="225"/>
        <v>CHAWAN</v>
      </c>
      <c r="L1125" s="72" t="str">
        <f t="shared" si="226"/>
        <v>AUGUST-2-CHAWAN</v>
      </c>
      <c r="M1125" s="73">
        <f t="shared" si="227"/>
        <v>7.25559268331466E-3</v>
      </c>
      <c r="N1125" s="73">
        <f t="shared" si="228"/>
        <v>-1.0204081632653073E-2</v>
      </c>
      <c r="O1125" s="13">
        <f t="shared" si="229"/>
        <v>2101778</v>
      </c>
      <c r="P1125" s="13">
        <f t="shared" si="230"/>
        <v>2128806</v>
      </c>
      <c r="Q1125" s="13">
        <f t="shared" si="231"/>
        <v>2117221</v>
      </c>
      <c r="R1125" s="33">
        <f t="shared" si="232"/>
        <v>7.3475885654907813E-3</v>
      </c>
      <c r="S1125" s="33">
        <f t="shared" si="233"/>
        <v>-5.4420177320055885E-3</v>
      </c>
    </row>
    <row r="1126" spans="1:19" x14ac:dyDescent="0.25">
      <c r="A1126" t="s">
        <v>42</v>
      </c>
      <c r="B1126">
        <v>2</v>
      </c>
      <c r="C1126" t="s">
        <v>15</v>
      </c>
      <c r="D1126" s="68">
        <v>468</v>
      </c>
      <c r="E1126" s="70">
        <v>468</v>
      </c>
      <c r="F1126" s="70">
        <v>468</v>
      </c>
      <c r="G1126" s="13">
        <f t="shared" si="221"/>
        <v>0</v>
      </c>
      <c r="H1126" s="13">
        <f t="shared" si="222"/>
        <v>0</v>
      </c>
      <c r="I1126" s="73">
        <f t="shared" si="223"/>
        <v>0</v>
      </c>
      <c r="J1126" s="73">
        <f t="shared" si="224"/>
        <v>0</v>
      </c>
      <c r="K1126" s="72" t="str">
        <f t="shared" si="225"/>
        <v>CHAWAN</v>
      </c>
      <c r="L1126" s="72" t="str">
        <f t="shared" si="226"/>
        <v>AUGUST-2-CHAWAN</v>
      </c>
      <c r="M1126" s="73">
        <f t="shared" si="227"/>
        <v>7.25559268331466E-3</v>
      </c>
      <c r="N1126" s="73">
        <f t="shared" si="228"/>
        <v>-1.0204081632653073E-2</v>
      </c>
      <c r="O1126" s="13">
        <f t="shared" si="229"/>
        <v>2101778</v>
      </c>
      <c r="P1126" s="13">
        <f t="shared" si="230"/>
        <v>2128806</v>
      </c>
      <c r="Q1126" s="13">
        <f t="shared" si="231"/>
        <v>2117221</v>
      </c>
      <c r="R1126" s="33">
        <f t="shared" si="232"/>
        <v>7.3475885654907813E-3</v>
      </c>
      <c r="S1126" s="33">
        <f t="shared" si="233"/>
        <v>-5.4420177320055885E-3</v>
      </c>
    </row>
    <row r="1127" spans="1:19" x14ac:dyDescent="0.25">
      <c r="A1127" t="s">
        <v>42</v>
      </c>
      <c r="B1127">
        <v>2</v>
      </c>
      <c r="C1127" t="s">
        <v>15</v>
      </c>
      <c r="D1127" s="68">
        <v>2943</v>
      </c>
      <c r="E1127" s="68">
        <v>2952</v>
      </c>
      <c r="F1127" s="70">
        <v>2952</v>
      </c>
      <c r="G1127" s="13">
        <f t="shared" si="221"/>
        <v>0</v>
      </c>
      <c r="H1127" s="13">
        <f t="shared" si="222"/>
        <v>9</v>
      </c>
      <c r="I1127" s="73">
        <f t="shared" si="223"/>
        <v>3.0581039755350758E-3</v>
      </c>
      <c r="J1127" s="73">
        <f t="shared" si="224"/>
        <v>0</v>
      </c>
      <c r="K1127" s="72" t="str">
        <f t="shared" si="225"/>
        <v>CHAWAN</v>
      </c>
      <c r="L1127" s="72" t="str">
        <f t="shared" si="226"/>
        <v>AUGUST-2-CHAWAN</v>
      </c>
      <c r="M1127" s="73">
        <f t="shared" si="227"/>
        <v>7.25559268331466E-3</v>
      </c>
      <c r="N1127" s="73">
        <f t="shared" si="228"/>
        <v>-1.0204081632653073E-2</v>
      </c>
      <c r="O1127" s="13">
        <f t="shared" si="229"/>
        <v>2101778</v>
      </c>
      <c r="P1127" s="13">
        <f t="shared" si="230"/>
        <v>2128806</v>
      </c>
      <c r="Q1127" s="13">
        <f t="shared" si="231"/>
        <v>2117221</v>
      </c>
      <c r="R1127" s="33">
        <f t="shared" si="232"/>
        <v>7.3475885654907813E-3</v>
      </c>
      <c r="S1127" s="33">
        <f t="shared" si="233"/>
        <v>-5.4420177320055885E-3</v>
      </c>
    </row>
    <row r="1128" spans="1:19" x14ac:dyDescent="0.25">
      <c r="A1128" t="s">
        <v>42</v>
      </c>
      <c r="B1128">
        <v>2</v>
      </c>
      <c r="C1128" t="s">
        <v>15</v>
      </c>
      <c r="D1128" s="68">
        <v>2943</v>
      </c>
      <c r="E1128" s="68">
        <v>2952</v>
      </c>
      <c r="F1128" s="70">
        <v>2952</v>
      </c>
      <c r="G1128" s="13">
        <f t="shared" si="221"/>
        <v>0</v>
      </c>
      <c r="H1128" s="13">
        <f t="shared" si="222"/>
        <v>9</v>
      </c>
      <c r="I1128" s="73">
        <f t="shared" si="223"/>
        <v>3.0581039755350758E-3</v>
      </c>
      <c r="J1128" s="73">
        <f t="shared" si="224"/>
        <v>0</v>
      </c>
      <c r="K1128" s="72" t="str">
        <f t="shared" si="225"/>
        <v>CHAWAN</v>
      </c>
      <c r="L1128" s="72" t="str">
        <f t="shared" si="226"/>
        <v>AUGUST-2-CHAWAN</v>
      </c>
      <c r="M1128" s="73">
        <f t="shared" si="227"/>
        <v>7.25559268331466E-3</v>
      </c>
      <c r="N1128" s="73">
        <f t="shared" si="228"/>
        <v>-1.0204081632653073E-2</v>
      </c>
      <c r="O1128" s="13">
        <f t="shared" si="229"/>
        <v>2101778</v>
      </c>
      <c r="P1128" s="13">
        <f t="shared" si="230"/>
        <v>2128806</v>
      </c>
      <c r="Q1128" s="13">
        <f t="shared" si="231"/>
        <v>2117221</v>
      </c>
      <c r="R1128" s="33">
        <f t="shared" si="232"/>
        <v>7.3475885654907813E-3</v>
      </c>
      <c r="S1128" s="33">
        <f t="shared" si="233"/>
        <v>-5.4420177320055885E-3</v>
      </c>
    </row>
    <row r="1129" spans="1:19" x14ac:dyDescent="0.25">
      <c r="A1129" t="s">
        <v>42</v>
      </c>
      <c r="B1129">
        <v>2</v>
      </c>
      <c r="C1129" t="s">
        <v>15</v>
      </c>
      <c r="D1129" s="68">
        <v>112</v>
      </c>
      <c r="E1129" s="70">
        <v>112</v>
      </c>
      <c r="F1129" s="70">
        <v>112</v>
      </c>
      <c r="G1129" s="13">
        <f t="shared" si="221"/>
        <v>0</v>
      </c>
      <c r="H1129" s="13">
        <f t="shared" si="222"/>
        <v>0</v>
      </c>
      <c r="I1129" s="73">
        <f t="shared" si="223"/>
        <v>0</v>
      </c>
      <c r="J1129" s="73">
        <f t="shared" si="224"/>
        <v>0</v>
      </c>
      <c r="K1129" s="72" t="str">
        <f t="shared" si="225"/>
        <v>CHAWAN</v>
      </c>
      <c r="L1129" s="72" t="str">
        <f t="shared" si="226"/>
        <v>AUGUST-2-CHAWAN</v>
      </c>
      <c r="M1129" s="73">
        <f t="shared" si="227"/>
        <v>7.25559268331466E-3</v>
      </c>
      <c r="N1129" s="73">
        <f t="shared" si="228"/>
        <v>-1.0204081632653073E-2</v>
      </c>
      <c r="O1129" s="13">
        <f t="shared" si="229"/>
        <v>2101778</v>
      </c>
      <c r="P1129" s="13">
        <f t="shared" si="230"/>
        <v>2128806</v>
      </c>
      <c r="Q1129" s="13">
        <f t="shared" si="231"/>
        <v>2117221</v>
      </c>
      <c r="R1129" s="33">
        <f t="shared" si="232"/>
        <v>7.3475885654907813E-3</v>
      </c>
      <c r="S1129" s="33">
        <f t="shared" si="233"/>
        <v>-5.4420177320055885E-3</v>
      </c>
    </row>
    <row r="1130" spans="1:19" x14ac:dyDescent="0.25">
      <c r="A1130" t="s">
        <v>42</v>
      </c>
      <c r="B1130">
        <v>2</v>
      </c>
      <c r="C1130" t="s">
        <v>15</v>
      </c>
      <c r="D1130" s="68">
        <v>112</v>
      </c>
      <c r="E1130" s="70">
        <v>112</v>
      </c>
      <c r="F1130" s="70">
        <v>112</v>
      </c>
      <c r="G1130" s="13">
        <f t="shared" si="221"/>
        <v>0</v>
      </c>
      <c r="H1130" s="13">
        <f t="shared" si="222"/>
        <v>0</v>
      </c>
      <c r="I1130" s="73">
        <f t="shared" si="223"/>
        <v>0</v>
      </c>
      <c r="J1130" s="73">
        <f t="shared" si="224"/>
        <v>0</v>
      </c>
      <c r="K1130" s="72" t="str">
        <f t="shared" si="225"/>
        <v>CHAWAN</v>
      </c>
      <c r="L1130" s="72" t="str">
        <f t="shared" si="226"/>
        <v>AUGUST-2-CHAWAN</v>
      </c>
      <c r="M1130" s="73">
        <f t="shared" si="227"/>
        <v>7.25559268331466E-3</v>
      </c>
      <c r="N1130" s="73">
        <f t="shared" si="228"/>
        <v>-1.0204081632653073E-2</v>
      </c>
      <c r="O1130" s="13">
        <f t="shared" si="229"/>
        <v>2101778</v>
      </c>
      <c r="P1130" s="13">
        <f t="shared" si="230"/>
        <v>2128806</v>
      </c>
      <c r="Q1130" s="13">
        <f t="shared" si="231"/>
        <v>2117221</v>
      </c>
      <c r="R1130" s="33">
        <f t="shared" si="232"/>
        <v>7.3475885654907813E-3</v>
      </c>
      <c r="S1130" s="33">
        <f t="shared" si="233"/>
        <v>-5.4420177320055885E-3</v>
      </c>
    </row>
    <row r="1131" spans="1:19" x14ac:dyDescent="0.25">
      <c r="A1131" t="s">
        <v>42</v>
      </c>
      <c r="B1131">
        <v>2</v>
      </c>
      <c r="C1131" t="s">
        <v>15</v>
      </c>
      <c r="D1131" s="68">
        <v>780</v>
      </c>
      <c r="E1131" s="70">
        <v>780</v>
      </c>
      <c r="F1131" s="70">
        <v>780</v>
      </c>
      <c r="G1131" s="13">
        <f t="shared" si="221"/>
        <v>0</v>
      </c>
      <c r="H1131" s="13">
        <f t="shared" si="222"/>
        <v>0</v>
      </c>
      <c r="I1131" s="73">
        <f t="shared" si="223"/>
        <v>0</v>
      </c>
      <c r="J1131" s="73">
        <f t="shared" si="224"/>
        <v>0</v>
      </c>
      <c r="K1131" s="72" t="str">
        <f t="shared" si="225"/>
        <v>CHAWAN</v>
      </c>
      <c r="L1131" s="72" t="str">
        <f t="shared" si="226"/>
        <v>AUGUST-2-CHAWAN</v>
      </c>
      <c r="M1131" s="73">
        <f t="shared" si="227"/>
        <v>7.25559268331466E-3</v>
      </c>
      <c r="N1131" s="73">
        <f t="shared" si="228"/>
        <v>-1.0204081632653073E-2</v>
      </c>
      <c r="O1131" s="13">
        <f t="shared" si="229"/>
        <v>2101778</v>
      </c>
      <c r="P1131" s="13">
        <f t="shared" si="230"/>
        <v>2128806</v>
      </c>
      <c r="Q1131" s="13">
        <f t="shared" si="231"/>
        <v>2117221</v>
      </c>
      <c r="R1131" s="33">
        <f t="shared" si="232"/>
        <v>7.3475885654907813E-3</v>
      </c>
      <c r="S1131" s="33">
        <f t="shared" si="233"/>
        <v>-5.4420177320055885E-3</v>
      </c>
    </row>
    <row r="1132" spans="1:19" x14ac:dyDescent="0.25">
      <c r="A1132" t="s">
        <v>42</v>
      </c>
      <c r="B1132">
        <v>2</v>
      </c>
      <c r="C1132" t="s">
        <v>15</v>
      </c>
      <c r="D1132" s="68">
        <v>780</v>
      </c>
      <c r="E1132" s="70">
        <v>780</v>
      </c>
      <c r="F1132" s="70">
        <v>780</v>
      </c>
      <c r="G1132" s="13">
        <f t="shared" si="221"/>
        <v>0</v>
      </c>
      <c r="H1132" s="13">
        <f t="shared" si="222"/>
        <v>0</v>
      </c>
      <c r="I1132" s="73">
        <f t="shared" si="223"/>
        <v>0</v>
      </c>
      <c r="J1132" s="73">
        <f t="shared" si="224"/>
        <v>0</v>
      </c>
      <c r="K1132" s="72" t="str">
        <f t="shared" si="225"/>
        <v>CHAWAN</v>
      </c>
      <c r="L1132" s="72" t="str">
        <f t="shared" si="226"/>
        <v>AUGUST-2-CHAWAN</v>
      </c>
      <c r="M1132" s="73">
        <f t="shared" si="227"/>
        <v>7.25559268331466E-3</v>
      </c>
      <c r="N1132" s="73">
        <f t="shared" si="228"/>
        <v>-1.0204081632653073E-2</v>
      </c>
      <c r="O1132" s="13">
        <f t="shared" si="229"/>
        <v>2101778</v>
      </c>
      <c r="P1132" s="13">
        <f t="shared" si="230"/>
        <v>2128806</v>
      </c>
      <c r="Q1132" s="13">
        <f t="shared" si="231"/>
        <v>2117221</v>
      </c>
      <c r="R1132" s="33">
        <f t="shared" si="232"/>
        <v>7.3475885654907813E-3</v>
      </c>
      <c r="S1132" s="33">
        <f t="shared" si="233"/>
        <v>-5.4420177320055885E-3</v>
      </c>
    </row>
    <row r="1133" spans="1:19" x14ac:dyDescent="0.25">
      <c r="A1133" t="s">
        <v>42</v>
      </c>
      <c r="B1133">
        <v>2</v>
      </c>
      <c r="C1133" t="s">
        <v>15</v>
      </c>
      <c r="D1133" s="68">
        <v>87</v>
      </c>
      <c r="E1133" s="70">
        <v>87</v>
      </c>
      <c r="F1133" s="70">
        <v>87</v>
      </c>
      <c r="G1133" s="13">
        <f t="shared" si="221"/>
        <v>0</v>
      </c>
      <c r="H1133" s="13">
        <f t="shared" si="222"/>
        <v>0</v>
      </c>
      <c r="I1133" s="73">
        <f t="shared" si="223"/>
        <v>0</v>
      </c>
      <c r="J1133" s="73">
        <f t="shared" si="224"/>
        <v>0</v>
      </c>
      <c r="K1133" s="72" t="str">
        <f t="shared" si="225"/>
        <v>CHAWAN</v>
      </c>
      <c r="L1133" s="72" t="str">
        <f t="shared" si="226"/>
        <v>AUGUST-2-CHAWAN</v>
      </c>
      <c r="M1133" s="73">
        <f t="shared" si="227"/>
        <v>7.25559268331466E-3</v>
      </c>
      <c r="N1133" s="73">
        <f t="shared" si="228"/>
        <v>-1.0204081632653073E-2</v>
      </c>
      <c r="O1133" s="13">
        <f t="shared" si="229"/>
        <v>2101778</v>
      </c>
      <c r="P1133" s="13">
        <f t="shared" si="230"/>
        <v>2128806</v>
      </c>
      <c r="Q1133" s="13">
        <f t="shared" si="231"/>
        <v>2117221</v>
      </c>
      <c r="R1133" s="33">
        <f t="shared" si="232"/>
        <v>7.3475885654907813E-3</v>
      </c>
      <c r="S1133" s="33">
        <f t="shared" si="233"/>
        <v>-5.4420177320055885E-3</v>
      </c>
    </row>
    <row r="1134" spans="1:19" x14ac:dyDescent="0.25">
      <c r="A1134" t="s">
        <v>42</v>
      </c>
      <c r="B1134">
        <v>2</v>
      </c>
      <c r="C1134" t="s">
        <v>15</v>
      </c>
      <c r="D1134" s="68">
        <v>87</v>
      </c>
      <c r="E1134" s="70">
        <v>87</v>
      </c>
      <c r="F1134" s="70">
        <v>87</v>
      </c>
      <c r="G1134" s="13">
        <f t="shared" si="221"/>
        <v>0</v>
      </c>
      <c r="H1134" s="13">
        <f t="shared" si="222"/>
        <v>0</v>
      </c>
      <c r="I1134" s="73">
        <f t="shared" si="223"/>
        <v>0</v>
      </c>
      <c r="J1134" s="73">
        <f t="shared" si="224"/>
        <v>0</v>
      </c>
      <c r="K1134" s="72" t="str">
        <f t="shared" si="225"/>
        <v>CHAWAN</v>
      </c>
      <c r="L1134" s="72" t="str">
        <f t="shared" si="226"/>
        <v>AUGUST-2-CHAWAN</v>
      </c>
      <c r="M1134" s="73">
        <f t="shared" si="227"/>
        <v>7.25559268331466E-3</v>
      </c>
      <c r="N1134" s="73">
        <f t="shared" si="228"/>
        <v>-1.0204081632653073E-2</v>
      </c>
      <c r="O1134" s="13">
        <f t="shared" si="229"/>
        <v>2101778</v>
      </c>
      <c r="P1134" s="13">
        <f t="shared" si="230"/>
        <v>2128806</v>
      </c>
      <c r="Q1134" s="13">
        <f t="shared" si="231"/>
        <v>2117221</v>
      </c>
      <c r="R1134" s="33">
        <f t="shared" si="232"/>
        <v>7.3475885654907813E-3</v>
      </c>
      <c r="S1134" s="33">
        <f t="shared" si="233"/>
        <v>-5.4420177320055885E-3</v>
      </c>
    </row>
    <row r="1135" spans="1:19" x14ac:dyDescent="0.25">
      <c r="A1135" t="s">
        <v>42</v>
      </c>
      <c r="B1135">
        <v>2</v>
      </c>
      <c r="C1135" t="s">
        <v>15</v>
      </c>
      <c r="D1135" s="68">
        <v>38</v>
      </c>
      <c r="E1135" s="70">
        <v>38</v>
      </c>
      <c r="F1135" s="70">
        <v>38</v>
      </c>
      <c r="G1135" s="13">
        <f t="shared" si="221"/>
        <v>0</v>
      </c>
      <c r="H1135" s="13">
        <f t="shared" si="222"/>
        <v>0</v>
      </c>
      <c r="I1135" s="73">
        <f t="shared" si="223"/>
        <v>0</v>
      </c>
      <c r="J1135" s="73">
        <f t="shared" si="224"/>
        <v>0</v>
      </c>
      <c r="K1135" s="72" t="str">
        <f t="shared" si="225"/>
        <v>CHAWAN</v>
      </c>
      <c r="L1135" s="72" t="str">
        <f t="shared" si="226"/>
        <v>AUGUST-2-CHAWAN</v>
      </c>
      <c r="M1135" s="73">
        <f t="shared" si="227"/>
        <v>7.25559268331466E-3</v>
      </c>
      <c r="N1135" s="73">
        <f t="shared" si="228"/>
        <v>-1.0204081632653073E-2</v>
      </c>
      <c r="O1135" s="13">
        <f t="shared" si="229"/>
        <v>2101778</v>
      </c>
      <c r="P1135" s="13">
        <f t="shared" si="230"/>
        <v>2128806</v>
      </c>
      <c r="Q1135" s="13">
        <f t="shared" si="231"/>
        <v>2117221</v>
      </c>
      <c r="R1135" s="33">
        <f t="shared" si="232"/>
        <v>7.3475885654907813E-3</v>
      </c>
      <c r="S1135" s="33">
        <f t="shared" si="233"/>
        <v>-5.4420177320055885E-3</v>
      </c>
    </row>
    <row r="1136" spans="1:19" x14ac:dyDescent="0.25">
      <c r="A1136" t="s">
        <v>42</v>
      </c>
      <c r="B1136">
        <v>2</v>
      </c>
      <c r="C1136" t="s">
        <v>15</v>
      </c>
      <c r="D1136" s="68">
        <v>38</v>
      </c>
      <c r="E1136" s="70">
        <v>38</v>
      </c>
      <c r="F1136" s="70">
        <v>38</v>
      </c>
      <c r="G1136" s="13">
        <f t="shared" si="221"/>
        <v>0</v>
      </c>
      <c r="H1136" s="13">
        <f t="shared" si="222"/>
        <v>0</v>
      </c>
      <c r="I1136" s="73">
        <f t="shared" si="223"/>
        <v>0</v>
      </c>
      <c r="J1136" s="73">
        <f t="shared" si="224"/>
        <v>0</v>
      </c>
      <c r="K1136" s="72" t="str">
        <f t="shared" si="225"/>
        <v>CHAWAN</v>
      </c>
      <c r="L1136" s="72" t="str">
        <f t="shared" si="226"/>
        <v>AUGUST-2-CHAWAN</v>
      </c>
      <c r="M1136" s="73">
        <f t="shared" si="227"/>
        <v>7.25559268331466E-3</v>
      </c>
      <c r="N1136" s="73">
        <f t="shared" si="228"/>
        <v>-1.0204081632653073E-2</v>
      </c>
      <c r="O1136" s="13">
        <f t="shared" si="229"/>
        <v>2101778</v>
      </c>
      <c r="P1136" s="13">
        <f t="shared" si="230"/>
        <v>2128806</v>
      </c>
      <c r="Q1136" s="13">
        <f t="shared" si="231"/>
        <v>2117221</v>
      </c>
      <c r="R1136" s="33">
        <f t="shared" si="232"/>
        <v>7.3475885654907813E-3</v>
      </c>
      <c r="S1136" s="33">
        <f t="shared" si="233"/>
        <v>-5.4420177320055885E-3</v>
      </c>
    </row>
    <row r="1137" spans="1:19" x14ac:dyDescent="0.25">
      <c r="A1137" t="s">
        <v>42</v>
      </c>
      <c r="B1137">
        <v>2</v>
      </c>
      <c r="C1137" t="s">
        <v>15</v>
      </c>
      <c r="D1137" s="68">
        <v>207</v>
      </c>
      <c r="E1137" s="70">
        <v>207</v>
      </c>
      <c r="F1137" s="70">
        <v>207</v>
      </c>
      <c r="G1137" s="13">
        <f t="shared" si="221"/>
        <v>0</v>
      </c>
      <c r="H1137" s="13">
        <f t="shared" si="222"/>
        <v>0</v>
      </c>
      <c r="I1137" s="73">
        <f t="shared" si="223"/>
        <v>0</v>
      </c>
      <c r="J1137" s="73">
        <f t="shared" si="224"/>
        <v>0</v>
      </c>
      <c r="K1137" s="72" t="str">
        <f t="shared" si="225"/>
        <v>CHAWAN</v>
      </c>
      <c r="L1137" s="72" t="str">
        <f t="shared" si="226"/>
        <v>AUGUST-2-CHAWAN</v>
      </c>
      <c r="M1137" s="73">
        <f t="shared" si="227"/>
        <v>7.25559268331466E-3</v>
      </c>
      <c r="N1137" s="73">
        <f t="shared" si="228"/>
        <v>-1.0204081632653073E-2</v>
      </c>
      <c r="O1137" s="13">
        <f t="shared" si="229"/>
        <v>2101778</v>
      </c>
      <c r="P1137" s="13">
        <f t="shared" si="230"/>
        <v>2128806</v>
      </c>
      <c r="Q1137" s="13">
        <f t="shared" si="231"/>
        <v>2117221</v>
      </c>
      <c r="R1137" s="33">
        <f t="shared" si="232"/>
        <v>7.3475885654907813E-3</v>
      </c>
      <c r="S1137" s="33">
        <f t="shared" si="233"/>
        <v>-5.4420177320055885E-3</v>
      </c>
    </row>
    <row r="1138" spans="1:19" x14ac:dyDescent="0.25">
      <c r="A1138" t="s">
        <v>42</v>
      </c>
      <c r="B1138">
        <v>2</v>
      </c>
      <c r="C1138" t="s">
        <v>15</v>
      </c>
      <c r="D1138" s="68">
        <v>207</v>
      </c>
      <c r="E1138" s="70">
        <v>207</v>
      </c>
      <c r="F1138" s="70">
        <v>207</v>
      </c>
      <c r="G1138" s="13">
        <f t="shared" si="221"/>
        <v>0</v>
      </c>
      <c r="H1138" s="13">
        <f t="shared" si="222"/>
        <v>0</v>
      </c>
      <c r="I1138" s="73">
        <f t="shared" si="223"/>
        <v>0</v>
      </c>
      <c r="J1138" s="73">
        <f t="shared" si="224"/>
        <v>0</v>
      </c>
      <c r="K1138" s="72" t="str">
        <f t="shared" si="225"/>
        <v>CHAWAN</v>
      </c>
      <c r="L1138" s="72" t="str">
        <f t="shared" si="226"/>
        <v>AUGUST-2-CHAWAN</v>
      </c>
      <c r="M1138" s="73">
        <f t="shared" si="227"/>
        <v>7.25559268331466E-3</v>
      </c>
      <c r="N1138" s="73">
        <f t="shared" si="228"/>
        <v>-1.0204081632653073E-2</v>
      </c>
      <c r="O1138" s="13">
        <f t="shared" si="229"/>
        <v>2101778</v>
      </c>
      <c r="P1138" s="13">
        <f t="shared" si="230"/>
        <v>2128806</v>
      </c>
      <c r="Q1138" s="13">
        <f t="shared" si="231"/>
        <v>2117221</v>
      </c>
      <c r="R1138" s="33">
        <f t="shared" si="232"/>
        <v>7.3475885654907813E-3</v>
      </c>
      <c r="S1138" s="33">
        <f t="shared" si="233"/>
        <v>-5.4420177320055885E-3</v>
      </c>
    </row>
    <row r="1139" spans="1:19" x14ac:dyDescent="0.25">
      <c r="A1139" t="s">
        <v>42</v>
      </c>
      <c r="B1139">
        <v>2</v>
      </c>
      <c r="C1139" t="s">
        <v>15</v>
      </c>
      <c r="D1139" s="68">
        <v>2633</v>
      </c>
      <c r="E1139" s="70">
        <v>2636</v>
      </c>
      <c r="F1139" s="70">
        <v>2636</v>
      </c>
      <c r="G1139" s="13">
        <f t="shared" si="221"/>
        <v>0</v>
      </c>
      <c r="H1139" s="13">
        <f t="shared" si="222"/>
        <v>3</v>
      </c>
      <c r="I1139" s="73">
        <f t="shared" si="223"/>
        <v>1.1393847322445083E-3</v>
      </c>
      <c r="J1139" s="73">
        <f t="shared" si="224"/>
        <v>0</v>
      </c>
      <c r="K1139" s="72" t="str">
        <f t="shared" si="225"/>
        <v>CHAWAN</v>
      </c>
      <c r="L1139" s="72" t="str">
        <f t="shared" si="226"/>
        <v>AUGUST-2-CHAWAN</v>
      </c>
      <c r="M1139" s="73">
        <f t="shared" si="227"/>
        <v>7.25559268331466E-3</v>
      </c>
      <c r="N1139" s="73">
        <f t="shared" si="228"/>
        <v>-1.0204081632653073E-2</v>
      </c>
      <c r="O1139" s="13">
        <f t="shared" si="229"/>
        <v>2101778</v>
      </c>
      <c r="P1139" s="13">
        <f t="shared" si="230"/>
        <v>2128806</v>
      </c>
      <c r="Q1139" s="13">
        <f t="shared" si="231"/>
        <v>2117221</v>
      </c>
      <c r="R1139" s="33">
        <f t="shared" si="232"/>
        <v>7.3475885654907813E-3</v>
      </c>
      <c r="S1139" s="33">
        <f t="shared" si="233"/>
        <v>-5.4420177320055885E-3</v>
      </c>
    </row>
    <row r="1140" spans="1:19" x14ac:dyDescent="0.25">
      <c r="A1140" t="s">
        <v>42</v>
      </c>
      <c r="B1140">
        <v>2</v>
      </c>
      <c r="C1140" t="s">
        <v>15</v>
      </c>
      <c r="D1140" s="68">
        <v>106</v>
      </c>
      <c r="E1140" s="70">
        <v>106</v>
      </c>
      <c r="F1140" s="70">
        <v>106</v>
      </c>
      <c r="G1140" s="13">
        <f t="shared" si="221"/>
        <v>0</v>
      </c>
      <c r="H1140" s="13">
        <f t="shared" si="222"/>
        <v>0</v>
      </c>
      <c r="I1140" s="73">
        <f t="shared" si="223"/>
        <v>0</v>
      </c>
      <c r="J1140" s="73">
        <f t="shared" si="224"/>
        <v>0</v>
      </c>
      <c r="K1140" s="72" t="str">
        <f t="shared" si="225"/>
        <v>CHAWAN</v>
      </c>
      <c r="L1140" s="72" t="str">
        <f t="shared" si="226"/>
        <v>AUGUST-2-CHAWAN</v>
      </c>
      <c r="M1140" s="73">
        <f t="shared" si="227"/>
        <v>7.25559268331466E-3</v>
      </c>
      <c r="N1140" s="73">
        <f t="shared" si="228"/>
        <v>-1.0204081632653073E-2</v>
      </c>
      <c r="O1140" s="13">
        <f t="shared" si="229"/>
        <v>2101778</v>
      </c>
      <c r="P1140" s="13">
        <f t="shared" si="230"/>
        <v>2128806</v>
      </c>
      <c r="Q1140" s="13">
        <f t="shared" si="231"/>
        <v>2117221</v>
      </c>
      <c r="R1140" s="33">
        <f t="shared" si="232"/>
        <v>7.3475885654907813E-3</v>
      </c>
      <c r="S1140" s="33">
        <f t="shared" si="233"/>
        <v>-5.4420177320055885E-3</v>
      </c>
    </row>
    <row r="1141" spans="1:19" x14ac:dyDescent="0.25">
      <c r="A1141" t="s">
        <v>42</v>
      </c>
      <c r="B1141">
        <v>2</v>
      </c>
      <c r="C1141" t="s">
        <v>15</v>
      </c>
      <c r="D1141" s="68">
        <v>726</v>
      </c>
      <c r="E1141" s="70">
        <v>726</v>
      </c>
      <c r="F1141" s="70">
        <v>726</v>
      </c>
      <c r="G1141" s="13">
        <f t="shared" si="221"/>
        <v>0</v>
      </c>
      <c r="H1141" s="13">
        <f t="shared" si="222"/>
        <v>0</v>
      </c>
      <c r="I1141" s="73">
        <f t="shared" si="223"/>
        <v>0</v>
      </c>
      <c r="J1141" s="73">
        <f t="shared" si="224"/>
        <v>0</v>
      </c>
      <c r="K1141" s="72" t="str">
        <f t="shared" si="225"/>
        <v>CHAWAN</v>
      </c>
      <c r="L1141" s="72" t="str">
        <f t="shared" si="226"/>
        <v>AUGUST-2-CHAWAN</v>
      </c>
      <c r="M1141" s="73">
        <f t="shared" si="227"/>
        <v>7.25559268331466E-3</v>
      </c>
      <c r="N1141" s="73">
        <f t="shared" si="228"/>
        <v>-1.0204081632653073E-2</v>
      </c>
      <c r="O1141" s="13">
        <f t="shared" si="229"/>
        <v>2101778</v>
      </c>
      <c r="P1141" s="13">
        <f t="shared" si="230"/>
        <v>2128806</v>
      </c>
      <c r="Q1141" s="13">
        <f t="shared" si="231"/>
        <v>2117221</v>
      </c>
      <c r="R1141" s="33">
        <f t="shared" si="232"/>
        <v>7.3475885654907813E-3</v>
      </c>
      <c r="S1141" s="33">
        <f t="shared" si="233"/>
        <v>-5.4420177320055885E-3</v>
      </c>
    </row>
    <row r="1142" spans="1:19" x14ac:dyDescent="0.25">
      <c r="A1142" t="s">
        <v>42</v>
      </c>
      <c r="B1142">
        <v>2</v>
      </c>
      <c r="C1142" t="s">
        <v>15</v>
      </c>
      <c r="D1142" s="68">
        <v>726</v>
      </c>
      <c r="E1142" s="70">
        <v>726</v>
      </c>
      <c r="F1142" s="70">
        <v>726</v>
      </c>
      <c r="G1142" s="13">
        <f t="shared" si="221"/>
        <v>0</v>
      </c>
      <c r="H1142" s="13">
        <f t="shared" si="222"/>
        <v>0</v>
      </c>
      <c r="I1142" s="73">
        <f t="shared" si="223"/>
        <v>0</v>
      </c>
      <c r="J1142" s="73">
        <f t="shared" si="224"/>
        <v>0</v>
      </c>
      <c r="K1142" s="72" t="str">
        <f t="shared" si="225"/>
        <v>CHAWAN</v>
      </c>
      <c r="L1142" s="72" t="str">
        <f t="shared" si="226"/>
        <v>AUGUST-2-CHAWAN</v>
      </c>
      <c r="M1142" s="73">
        <f t="shared" si="227"/>
        <v>7.25559268331466E-3</v>
      </c>
      <c r="N1142" s="73">
        <f t="shared" si="228"/>
        <v>-1.0204081632653073E-2</v>
      </c>
      <c r="O1142" s="13">
        <f t="shared" si="229"/>
        <v>2101778</v>
      </c>
      <c r="P1142" s="13">
        <f t="shared" si="230"/>
        <v>2128806</v>
      </c>
      <c r="Q1142" s="13">
        <f t="shared" si="231"/>
        <v>2117221</v>
      </c>
      <c r="R1142" s="33">
        <f t="shared" si="232"/>
        <v>7.3475885654907813E-3</v>
      </c>
      <c r="S1142" s="33">
        <f t="shared" si="233"/>
        <v>-5.4420177320055885E-3</v>
      </c>
    </row>
    <row r="1143" spans="1:19" x14ac:dyDescent="0.25">
      <c r="A1143" t="s">
        <v>42</v>
      </c>
      <c r="B1143">
        <v>2</v>
      </c>
      <c r="C1143" t="s">
        <v>15</v>
      </c>
      <c r="D1143" s="68">
        <v>636</v>
      </c>
      <c r="E1143" s="70">
        <v>636</v>
      </c>
      <c r="F1143" s="70">
        <v>636</v>
      </c>
      <c r="G1143" s="13">
        <f t="shared" si="221"/>
        <v>0</v>
      </c>
      <c r="H1143" s="13">
        <f t="shared" si="222"/>
        <v>0</v>
      </c>
      <c r="I1143" s="73">
        <f t="shared" si="223"/>
        <v>0</v>
      </c>
      <c r="J1143" s="73">
        <f t="shared" si="224"/>
        <v>0</v>
      </c>
      <c r="K1143" s="72" t="str">
        <f t="shared" si="225"/>
        <v>CHAWAN</v>
      </c>
      <c r="L1143" s="72" t="str">
        <f t="shared" si="226"/>
        <v>AUGUST-2-CHAWAN</v>
      </c>
      <c r="M1143" s="73">
        <f t="shared" si="227"/>
        <v>7.25559268331466E-3</v>
      </c>
      <c r="N1143" s="73">
        <f t="shared" si="228"/>
        <v>-1.0204081632653073E-2</v>
      </c>
      <c r="O1143" s="13">
        <f t="shared" si="229"/>
        <v>2101778</v>
      </c>
      <c r="P1143" s="13">
        <f t="shared" si="230"/>
        <v>2128806</v>
      </c>
      <c r="Q1143" s="13">
        <f t="shared" si="231"/>
        <v>2117221</v>
      </c>
      <c r="R1143" s="33">
        <f t="shared" si="232"/>
        <v>7.3475885654907813E-3</v>
      </c>
      <c r="S1143" s="33">
        <f t="shared" si="233"/>
        <v>-5.4420177320055885E-3</v>
      </c>
    </row>
    <row r="1144" spans="1:19" x14ac:dyDescent="0.25">
      <c r="A1144" t="s">
        <v>42</v>
      </c>
      <c r="B1144">
        <v>2</v>
      </c>
      <c r="C1144" t="s">
        <v>15</v>
      </c>
      <c r="D1144" s="68">
        <v>81</v>
      </c>
      <c r="E1144" s="70">
        <v>81</v>
      </c>
      <c r="F1144" s="70">
        <v>81</v>
      </c>
      <c r="G1144" s="13">
        <f t="shared" si="221"/>
        <v>0</v>
      </c>
      <c r="H1144" s="13">
        <f t="shared" si="222"/>
        <v>0</v>
      </c>
      <c r="I1144" s="73">
        <f t="shared" si="223"/>
        <v>0</v>
      </c>
      <c r="J1144" s="73">
        <f t="shared" si="224"/>
        <v>0</v>
      </c>
      <c r="K1144" s="72" t="str">
        <f t="shared" si="225"/>
        <v>CHAWAN</v>
      </c>
      <c r="L1144" s="72" t="str">
        <f t="shared" si="226"/>
        <v>AUGUST-2-CHAWAN</v>
      </c>
      <c r="M1144" s="73">
        <f t="shared" si="227"/>
        <v>7.25559268331466E-3</v>
      </c>
      <c r="N1144" s="73">
        <f t="shared" si="228"/>
        <v>-1.0204081632653073E-2</v>
      </c>
      <c r="O1144" s="13">
        <f t="shared" si="229"/>
        <v>2101778</v>
      </c>
      <c r="P1144" s="13">
        <f t="shared" si="230"/>
        <v>2128806</v>
      </c>
      <c r="Q1144" s="13">
        <f t="shared" si="231"/>
        <v>2117221</v>
      </c>
      <c r="R1144" s="33">
        <f t="shared" si="232"/>
        <v>7.3475885654907813E-3</v>
      </c>
      <c r="S1144" s="33">
        <f t="shared" si="233"/>
        <v>-5.4420177320055885E-3</v>
      </c>
    </row>
    <row r="1145" spans="1:19" x14ac:dyDescent="0.25">
      <c r="A1145" t="s">
        <v>42</v>
      </c>
      <c r="B1145">
        <v>2</v>
      </c>
      <c r="C1145" t="s">
        <v>15</v>
      </c>
      <c r="D1145" s="68">
        <v>123</v>
      </c>
      <c r="E1145" s="70">
        <v>123</v>
      </c>
      <c r="F1145" s="70">
        <v>123</v>
      </c>
      <c r="G1145" s="13">
        <f t="shared" si="221"/>
        <v>0</v>
      </c>
      <c r="H1145" s="13">
        <f t="shared" si="222"/>
        <v>0</v>
      </c>
      <c r="I1145" s="73">
        <f t="shared" si="223"/>
        <v>0</v>
      </c>
      <c r="J1145" s="73">
        <f t="shared" si="224"/>
        <v>0</v>
      </c>
      <c r="K1145" s="72" t="str">
        <f t="shared" si="225"/>
        <v>CHAWAN</v>
      </c>
      <c r="L1145" s="72" t="str">
        <f t="shared" si="226"/>
        <v>AUGUST-2-CHAWAN</v>
      </c>
      <c r="M1145" s="73">
        <f t="shared" si="227"/>
        <v>7.25559268331466E-3</v>
      </c>
      <c r="N1145" s="73">
        <f t="shared" si="228"/>
        <v>-1.0204081632653073E-2</v>
      </c>
      <c r="O1145" s="13">
        <f t="shared" si="229"/>
        <v>2101778</v>
      </c>
      <c r="P1145" s="13">
        <f t="shared" si="230"/>
        <v>2128806</v>
      </c>
      <c r="Q1145" s="13">
        <f t="shared" si="231"/>
        <v>2117221</v>
      </c>
      <c r="R1145" s="33">
        <f t="shared" si="232"/>
        <v>7.3475885654907813E-3</v>
      </c>
      <c r="S1145" s="33">
        <f t="shared" si="233"/>
        <v>-5.4420177320055885E-3</v>
      </c>
    </row>
    <row r="1146" spans="1:19" x14ac:dyDescent="0.25">
      <c r="A1146" t="s">
        <v>42</v>
      </c>
      <c r="B1146">
        <v>2</v>
      </c>
      <c r="C1146" t="s">
        <v>15</v>
      </c>
      <c r="D1146" s="68">
        <v>27</v>
      </c>
      <c r="E1146" s="70">
        <v>27</v>
      </c>
      <c r="F1146" s="70">
        <v>27</v>
      </c>
      <c r="G1146" s="13">
        <f t="shared" si="221"/>
        <v>0</v>
      </c>
      <c r="H1146" s="13">
        <f t="shared" si="222"/>
        <v>0</v>
      </c>
      <c r="I1146" s="73">
        <f t="shared" si="223"/>
        <v>0</v>
      </c>
      <c r="J1146" s="73">
        <f t="shared" si="224"/>
        <v>0</v>
      </c>
      <c r="K1146" s="72" t="str">
        <f t="shared" si="225"/>
        <v>CHAWAN</v>
      </c>
      <c r="L1146" s="72" t="str">
        <f t="shared" si="226"/>
        <v>AUGUST-2-CHAWAN</v>
      </c>
      <c r="M1146" s="73">
        <f t="shared" si="227"/>
        <v>7.25559268331466E-3</v>
      </c>
      <c r="N1146" s="73">
        <f t="shared" si="228"/>
        <v>-1.0204081632653073E-2</v>
      </c>
      <c r="O1146" s="13">
        <f t="shared" si="229"/>
        <v>2101778</v>
      </c>
      <c r="P1146" s="13">
        <f t="shared" si="230"/>
        <v>2128806</v>
      </c>
      <c r="Q1146" s="13">
        <f t="shared" si="231"/>
        <v>2117221</v>
      </c>
      <c r="R1146" s="33">
        <f t="shared" si="232"/>
        <v>7.3475885654907813E-3</v>
      </c>
      <c r="S1146" s="33">
        <f t="shared" si="233"/>
        <v>-5.4420177320055885E-3</v>
      </c>
    </row>
    <row r="1147" spans="1:19" x14ac:dyDescent="0.25">
      <c r="A1147" t="s">
        <v>42</v>
      </c>
      <c r="B1147">
        <v>2</v>
      </c>
      <c r="C1147" t="s">
        <v>15</v>
      </c>
      <c r="D1147" s="68">
        <v>27</v>
      </c>
      <c r="E1147" s="70">
        <v>27</v>
      </c>
      <c r="F1147" s="70">
        <v>27</v>
      </c>
      <c r="G1147" s="13">
        <f t="shared" si="221"/>
        <v>0</v>
      </c>
      <c r="H1147" s="13">
        <f t="shared" si="222"/>
        <v>0</v>
      </c>
      <c r="I1147" s="73">
        <f t="shared" si="223"/>
        <v>0</v>
      </c>
      <c r="J1147" s="73">
        <f t="shared" si="224"/>
        <v>0</v>
      </c>
      <c r="K1147" s="72" t="str">
        <f t="shared" si="225"/>
        <v>CHAWAN</v>
      </c>
      <c r="L1147" s="72" t="str">
        <f t="shared" si="226"/>
        <v>AUGUST-2-CHAWAN</v>
      </c>
      <c r="M1147" s="73">
        <f t="shared" si="227"/>
        <v>7.25559268331466E-3</v>
      </c>
      <c r="N1147" s="73">
        <f t="shared" si="228"/>
        <v>-1.0204081632653073E-2</v>
      </c>
      <c r="O1147" s="13">
        <f t="shared" si="229"/>
        <v>2101778</v>
      </c>
      <c r="P1147" s="13">
        <f t="shared" si="230"/>
        <v>2128806</v>
      </c>
      <c r="Q1147" s="13">
        <f t="shared" si="231"/>
        <v>2117221</v>
      </c>
      <c r="R1147" s="33">
        <f t="shared" si="232"/>
        <v>7.3475885654907813E-3</v>
      </c>
      <c r="S1147" s="33">
        <f t="shared" si="233"/>
        <v>-5.4420177320055885E-3</v>
      </c>
    </row>
    <row r="1148" spans="1:19" x14ac:dyDescent="0.25">
      <c r="A1148" t="s">
        <v>42</v>
      </c>
      <c r="B1148">
        <v>2</v>
      </c>
      <c r="C1148" t="s">
        <v>13</v>
      </c>
      <c r="D1148" s="68">
        <v>25920</v>
      </c>
      <c r="E1148" s="70">
        <v>25920</v>
      </c>
      <c r="F1148" s="70">
        <v>25908</v>
      </c>
      <c r="G1148" s="13">
        <f t="shared" si="221"/>
        <v>-12</v>
      </c>
      <c r="H1148" s="13">
        <f t="shared" si="222"/>
        <v>-12</v>
      </c>
      <c r="I1148" s="73">
        <f t="shared" si="223"/>
        <v>-4.6296296296299833E-4</v>
      </c>
      <c r="J1148" s="73">
        <f t="shared" si="224"/>
        <v>-4.6296296296299833E-4</v>
      </c>
      <c r="K1148" s="72" t="str">
        <f t="shared" si="225"/>
        <v>KALIBENDA</v>
      </c>
      <c r="L1148" s="72" t="str">
        <f t="shared" si="226"/>
        <v>AUGUST-2-KALIBENDA</v>
      </c>
      <c r="M1148" s="73">
        <f t="shared" si="227"/>
        <v>8.6111379593768578E-2</v>
      </c>
      <c r="N1148" s="73">
        <f t="shared" si="228"/>
        <v>-1.5008195517944412E-2</v>
      </c>
      <c r="O1148" s="13">
        <f t="shared" si="229"/>
        <v>2101778</v>
      </c>
      <c r="P1148" s="13">
        <f t="shared" si="230"/>
        <v>2128806</v>
      </c>
      <c r="Q1148" s="13">
        <f t="shared" si="231"/>
        <v>2117221</v>
      </c>
      <c r="R1148" s="33">
        <f t="shared" si="232"/>
        <v>7.3475885654907813E-3</v>
      </c>
      <c r="S1148" s="33">
        <f t="shared" si="233"/>
        <v>-5.4420177320055885E-3</v>
      </c>
    </row>
    <row r="1149" spans="1:19" x14ac:dyDescent="0.25">
      <c r="A1149" t="s">
        <v>42</v>
      </c>
      <c r="B1149">
        <v>2</v>
      </c>
      <c r="C1149" t="s">
        <v>13</v>
      </c>
      <c r="D1149" s="68">
        <v>4320</v>
      </c>
      <c r="E1149" s="70">
        <v>4320</v>
      </c>
      <c r="F1149" s="70">
        <v>4314</v>
      </c>
      <c r="G1149" s="13">
        <f t="shared" si="221"/>
        <v>-6</v>
      </c>
      <c r="H1149" s="13">
        <f t="shared" si="222"/>
        <v>-6</v>
      </c>
      <c r="I1149" s="73">
        <f t="shared" si="223"/>
        <v>-1.388888888888884E-3</v>
      </c>
      <c r="J1149" s="73">
        <f t="shared" si="224"/>
        <v>-1.388888888888884E-3</v>
      </c>
      <c r="K1149" s="72" t="str">
        <f t="shared" si="225"/>
        <v>KALIBENDA</v>
      </c>
      <c r="L1149" s="72" t="str">
        <f t="shared" si="226"/>
        <v>AUGUST-2-KALIBENDA</v>
      </c>
      <c r="M1149" s="73">
        <f t="shared" si="227"/>
        <v>8.6111379593768578E-2</v>
      </c>
      <c r="N1149" s="73">
        <f t="shared" si="228"/>
        <v>-1.5008195517944412E-2</v>
      </c>
      <c r="O1149" s="13">
        <f t="shared" si="229"/>
        <v>2101778</v>
      </c>
      <c r="P1149" s="13">
        <f t="shared" si="230"/>
        <v>2128806</v>
      </c>
      <c r="Q1149" s="13">
        <f t="shared" si="231"/>
        <v>2117221</v>
      </c>
      <c r="R1149" s="33">
        <f t="shared" si="232"/>
        <v>7.3475885654907813E-3</v>
      </c>
      <c r="S1149" s="33">
        <f t="shared" si="233"/>
        <v>-5.4420177320055885E-3</v>
      </c>
    </row>
    <row r="1150" spans="1:19" x14ac:dyDescent="0.25">
      <c r="A1150" t="s">
        <v>42</v>
      </c>
      <c r="B1150">
        <v>2</v>
      </c>
      <c r="C1150" t="s">
        <v>13</v>
      </c>
      <c r="D1150" s="68">
        <v>13716</v>
      </c>
      <c r="E1150" s="70">
        <v>13716</v>
      </c>
      <c r="F1150" s="70">
        <v>13692</v>
      </c>
      <c r="G1150" s="13">
        <f t="shared" si="221"/>
        <v>-24</v>
      </c>
      <c r="H1150" s="13">
        <f t="shared" si="222"/>
        <v>-24</v>
      </c>
      <c r="I1150" s="73">
        <f t="shared" si="223"/>
        <v>-1.7497812773403787E-3</v>
      </c>
      <c r="J1150" s="73">
        <f t="shared" si="224"/>
        <v>-1.7497812773403787E-3</v>
      </c>
      <c r="K1150" s="72" t="str">
        <f t="shared" si="225"/>
        <v>KALIBENDA</v>
      </c>
      <c r="L1150" s="72" t="str">
        <f t="shared" si="226"/>
        <v>AUGUST-2-KALIBENDA</v>
      </c>
      <c r="M1150" s="73">
        <f t="shared" si="227"/>
        <v>8.6111379593768578E-2</v>
      </c>
      <c r="N1150" s="73">
        <f t="shared" si="228"/>
        <v>-1.5008195517944412E-2</v>
      </c>
      <c r="O1150" s="13">
        <f t="shared" si="229"/>
        <v>2101778</v>
      </c>
      <c r="P1150" s="13">
        <f t="shared" si="230"/>
        <v>2128806</v>
      </c>
      <c r="Q1150" s="13">
        <f t="shared" si="231"/>
        <v>2117221</v>
      </c>
      <c r="R1150" s="33">
        <f t="shared" si="232"/>
        <v>7.3475885654907813E-3</v>
      </c>
      <c r="S1150" s="33">
        <f t="shared" si="233"/>
        <v>-5.4420177320055885E-3</v>
      </c>
    </row>
    <row r="1151" spans="1:19" x14ac:dyDescent="0.25">
      <c r="A1151" t="s">
        <v>42</v>
      </c>
      <c r="B1151">
        <v>2</v>
      </c>
      <c r="C1151" t="s">
        <v>13</v>
      </c>
      <c r="D1151" s="68">
        <v>1080</v>
      </c>
      <c r="E1151" s="70">
        <v>1080</v>
      </c>
      <c r="F1151" s="70">
        <v>1080</v>
      </c>
      <c r="G1151" s="13">
        <f t="shared" si="221"/>
        <v>0</v>
      </c>
      <c r="H1151" s="13">
        <f t="shared" si="222"/>
        <v>0</v>
      </c>
      <c r="I1151" s="73">
        <f t="shared" si="223"/>
        <v>0</v>
      </c>
      <c r="J1151" s="73">
        <f t="shared" si="224"/>
        <v>0</v>
      </c>
      <c r="K1151" s="72" t="str">
        <f t="shared" si="225"/>
        <v>KALIBENDA</v>
      </c>
      <c r="L1151" s="72" t="str">
        <f t="shared" si="226"/>
        <v>AUGUST-2-KALIBENDA</v>
      </c>
      <c r="M1151" s="73">
        <f t="shared" si="227"/>
        <v>8.6111379593768578E-2</v>
      </c>
      <c r="N1151" s="73">
        <f t="shared" si="228"/>
        <v>-1.5008195517944412E-2</v>
      </c>
      <c r="O1151" s="13">
        <f t="shared" si="229"/>
        <v>2101778</v>
      </c>
      <c r="P1151" s="13">
        <f t="shared" si="230"/>
        <v>2128806</v>
      </c>
      <c r="Q1151" s="13">
        <f t="shared" si="231"/>
        <v>2117221</v>
      </c>
      <c r="R1151" s="33">
        <f t="shared" si="232"/>
        <v>7.3475885654907813E-3</v>
      </c>
      <c r="S1151" s="33">
        <f t="shared" si="233"/>
        <v>-5.4420177320055885E-3</v>
      </c>
    </row>
    <row r="1152" spans="1:19" x14ac:dyDescent="0.25">
      <c r="A1152" t="s">
        <v>42</v>
      </c>
      <c r="B1152">
        <v>2</v>
      </c>
      <c r="C1152" t="s">
        <v>13</v>
      </c>
      <c r="D1152" s="68">
        <v>17496</v>
      </c>
      <c r="E1152" s="70">
        <v>17496</v>
      </c>
      <c r="F1152" s="70">
        <v>17463</v>
      </c>
      <c r="G1152" s="13">
        <f t="shared" si="221"/>
        <v>-33</v>
      </c>
      <c r="H1152" s="13">
        <f t="shared" si="222"/>
        <v>-33</v>
      </c>
      <c r="I1152" s="73">
        <f t="shared" si="223"/>
        <v>-1.8861454046639192E-3</v>
      </c>
      <c r="J1152" s="73">
        <f t="shared" si="224"/>
        <v>-1.8861454046639192E-3</v>
      </c>
      <c r="K1152" s="72" t="str">
        <f t="shared" si="225"/>
        <v>KALIBENDA</v>
      </c>
      <c r="L1152" s="72" t="str">
        <f t="shared" si="226"/>
        <v>AUGUST-2-KALIBENDA</v>
      </c>
      <c r="M1152" s="73">
        <f t="shared" si="227"/>
        <v>8.6111379593768578E-2</v>
      </c>
      <c r="N1152" s="73">
        <f t="shared" si="228"/>
        <v>-1.5008195517944412E-2</v>
      </c>
      <c r="O1152" s="13">
        <f t="shared" si="229"/>
        <v>2101778</v>
      </c>
      <c r="P1152" s="13">
        <f t="shared" si="230"/>
        <v>2128806</v>
      </c>
      <c r="Q1152" s="13">
        <f t="shared" si="231"/>
        <v>2117221</v>
      </c>
      <c r="R1152" s="33">
        <f t="shared" si="232"/>
        <v>7.3475885654907813E-3</v>
      </c>
      <c r="S1152" s="33">
        <f t="shared" si="233"/>
        <v>-5.4420177320055885E-3</v>
      </c>
    </row>
    <row r="1153" spans="1:19" x14ac:dyDescent="0.25">
      <c r="A1153" t="s">
        <v>42</v>
      </c>
      <c r="B1153">
        <v>2</v>
      </c>
      <c r="C1153" t="s">
        <v>13</v>
      </c>
      <c r="D1153" s="68">
        <v>2916</v>
      </c>
      <c r="E1153" s="70">
        <v>2916</v>
      </c>
      <c r="F1153" s="70">
        <v>2910</v>
      </c>
      <c r="G1153" s="13">
        <f t="shared" si="221"/>
        <v>-6</v>
      </c>
      <c r="H1153" s="13">
        <f t="shared" si="222"/>
        <v>-6</v>
      </c>
      <c r="I1153" s="73">
        <f t="shared" si="223"/>
        <v>-2.057613168724326E-3</v>
      </c>
      <c r="J1153" s="73">
        <f t="shared" si="224"/>
        <v>-2.057613168724326E-3</v>
      </c>
      <c r="K1153" s="72" t="str">
        <f t="shared" si="225"/>
        <v>KALIBENDA</v>
      </c>
      <c r="L1153" s="72" t="str">
        <f t="shared" si="226"/>
        <v>AUGUST-2-KALIBENDA</v>
      </c>
      <c r="M1153" s="73">
        <f t="shared" si="227"/>
        <v>8.6111379593768578E-2</v>
      </c>
      <c r="N1153" s="73">
        <f t="shared" si="228"/>
        <v>-1.5008195517944412E-2</v>
      </c>
      <c r="O1153" s="13">
        <f t="shared" si="229"/>
        <v>2101778</v>
      </c>
      <c r="P1153" s="13">
        <f t="shared" si="230"/>
        <v>2128806</v>
      </c>
      <c r="Q1153" s="13">
        <f t="shared" si="231"/>
        <v>2117221</v>
      </c>
      <c r="R1153" s="33">
        <f t="shared" si="232"/>
        <v>7.3475885654907813E-3</v>
      </c>
      <c r="S1153" s="33">
        <f t="shared" si="233"/>
        <v>-5.4420177320055885E-3</v>
      </c>
    </row>
    <row r="1154" spans="1:19" x14ac:dyDescent="0.25">
      <c r="A1154" t="s">
        <v>42</v>
      </c>
      <c r="B1154">
        <v>2</v>
      </c>
      <c r="C1154" t="s">
        <v>13</v>
      </c>
      <c r="D1154" s="68">
        <v>9504</v>
      </c>
      <c r="E1154" s="70">
        <v>9504</v>
      </c>
      <c r="F1154" s="70">
        <v>9484</v>
      </c>
      <c r="G1154" s="13">
        <f t="shared" ref="G1154:G1217" si="234">F1154-E1154</f>
        <v>-20</v>
      </c>
      <c r="H1154" s="13">
        <f t="shared" ref="H1154:H1217" si="235">F1154-D1154</f>
        <v>-20</v>
      </c>
      <c r="I1154" s="73">
        <f t="shared" ref="I1154:I1217" si="236">F1154/D1154-1</f>
        <v>-2.1043771043770532E-3</v>
      </c>
      <c r="J1154" s="73">
        <f t="shared" ref="J1154:J1217" si="237">F1154/E1154-1</f>
        <v>-2.1043771043770532E-3</v>
      </c>
      <c r="K1154" s="72" t="str">
        <f t="shared" ref="K1154:K1217" si="238">CLEAN(SUBSTITUTE(C1154," ",""))</f>
        <v>KALIBENDA</v>
      </c>
      <c r="L1154" s="72" t="str">
        <f t="shared" ref="L1154:L1217" si="239">A1154&amp;"-"&amp;B1154&amp;"-"&amp;K1154</f>
        <v>AUGUST-2-KALIBENDA</v>
      </c>
      <c r="M1154" s="73">
        <f t="shared" ref="M1154:M1217" si="240">SUMIF($L$2:$L$1396,L1154,$I$2:$I$1396)</f>
        <v>8.6111379593768578E-2</v>
      </c>
      <c r="N1154" s="73">
        <f t="shared" ref="N1154:N1217" si="241">SUMIF($L$2:$L$1396,L1154,$J$2:$J$1396)</f>
        <v>-1.5008195517944412E-2</v>
      </c>
      <c r="O1154" s="13">
        <f t="shared" ref="O1154:O1217" si="242">SUMIF($A$2:$A$1396,A1154,$D$2:$D$1396)</f>
        <v>2101778</v>
      </c>
      <c r="P1154" s="13">
        <f t="shared" ref="P1154:P1217" si="243">SUMIF($A$2:$A$1396,A1154,$E$2:$E$1396)</f>
        <v>2128806</v>
      </c>
      <c r="Q1154" s="13">
        <f t="shared" ref="Q1154:Q1217" si="244">SUMIF($A$2:$A$1396,A1154,$F$2:$F$1396)</f>
        <v>2117221</v>
      </c>
      <c r="R1154" s="33">
        <f t="shared" ref="R1154:R1217" si="245">Q1154/O1154-1</f>
        <v>7.3475885654907813E-3</v>
      </c>
      <c r="S1154" s="33">
        <f t="shared" ref="S1154:S1217" si="246">Q1154/P1154-1</f>
        <v>-5.4420177320055885E-3</v>
      </c>
    </row>
    <row r="1155" spans="1:19" x14ac:dyDescent="0.25">
      <c r="A1155" t="s">
        <v>42</v>
      </c>
      <c r="B1155">
        <v>2</v>
      </c>
      <c r="C1155" t="s">
        <v>13</v>
      </c>
      <c r="D1155" s="68">
        <v>52920</v>
      </c>
      <c r="E1155" s="70">
        <v>53979</v>
      </c>
      <c r="F1155" s="70">
        <v>53889</v>
      </c>
      <c r="G1155" s="13">
        <f t="shared" si="234"/>
        <v>-90</v>
      </c>
      <c r="H1155" s="13">
        <f t="shared" si="235"/>
        <v>969</v>
      </c>
      <c r="I1155" s="73">
        <f t="shared" si="236"/>
        <v>1.8310657596371849E-2</v>
      </c>
      <c r="J1155" s="73">
        <f t="shared" si="237"/>
        <v>-1.6673150669704873E-3</v>
      </c>
      <c r="K1155" s="72" t="str">
        <f t="shared" si="238"/>
        <v>KALIBENDA</v>
      </c>
      <c r="L1155" s="72" t="str">
        <f t="shared" si="239"/>
        <v>AUGUST-2-KALIBENDA</v>
      </c>
      <c r="M1155" s="73">
        <f t="shared" si="240"/>
        <v>8.6111379593768578E-2</v>
      </c>
      <c r="N1155" s="73">
        <f t="shared" si="241"/>
        <v>-1.5008195517944412E-2</v>
      </c>
      <c r="O1155" s="13">
        <f t="shared" si="242"/>
        <v>2101778</v>
      </c>
      <c r="P1155" s="13">
        <f t="shared" si="243"/>
        <v>2128806</v>
      </c>
      <c r="Q1155" s="13">
        <f t="shared" si="244"/>
        <v>2117221</v>
      </c>
      <c r="R1155" s="33">
        <f t="shared" si="245"/>
        <v>7.3475885654907813E-3</v>
      </c>
      <c r="S1155" s="33">
        <f t="shared" si="246"/>
        <v>-5.4420177320055885E-3</v>
      </c>
    </row>
    <row r="1156" spans="1:19" x14ac:dyDescent="0.25">
      <c r="A1156" t="s">
        <v>42</v>
      </c>
      <c r="B1156">
        <v>2</v>
      </c>
      <c r="C1156" t="s">
        <v>13</v>
      </c>
      <c r="D1156" s="68">
        <v>2052</v>
      </c>
      <c r="E1156" s="70">
        <v>2093</v>
      </c>
      <c r="F1156" s="70">
        <v>2091</v>
      </c>
      <c r="G1156" s="13">
        <f t="shared" si="234"/>
        <v>-2</v>
      </c>
      <c r="H1156" s="13">
        <f t="shared" si="235"/>
        <v>39</v>
      </c>
      <c r="I1156" s="73">
        <f t="shared" si="236"/>
        <v>1.900584795321647E-2</v>
      </c>
      <c r="J1156" s="73">
        <f t="shared" si="237"/>
        <v>-9.5556617295744495E-4</v>
      </c>
      <c r="K1156" s="72" t="str">
        <f t="shared" si="238"/>
        <v>KALIBENDA</v>
      </c>
      <c r="L1156" s="72" t="str">
        <f t="shared" si="239"/>
        <v>AUGUST-2-KALIBENDA</v>
      </c>
      <c r="M1156" s="73">
        <f t="shared" si="240"/>
        <v>8.6111379593768578E-2</v>
      </c>
      <c r="N1156" s="73">
        <f t="shared" si="241"/>
        <v>-1.5008195517944412E-2</v>
      </c>
      <c r="O1156" s="13">
        <f t="shared" si="242"/>
        <v>2101778</v>
      </c>
      <c r="P1156" s="13">
        <f t="shared" si="243"/>
        <v>2128806</v>
      </c>
      <c r="Q1156" s="13">
        <f t="shared" si="244"/>
        <v>2117221</v>
      </c>
      <c r="R1156" s="33">
        <f t="shared" si="245"/>
        <v>7.3475885654907813E-3</v>
      </c>
      <c r="S1156" s="33">
        <f t="shared" si="246"/>
        <v>-5.4420177320055885E-3</v>
      </c>
    </row>
    <row r="1157" spans="1:19" x14ac:dyDescent="0.25">
      <c r="A1157" t="s">
        <v>42</v>
      </c>
      <c r="B1157">
        <v>2</v>
      </c>
      <c r="C1157" t="s">
        <v>13</v>
      </c>
      <c r="D1157" s="68">
        <v>10152</v>
      </c>
      <c r="E1157" s="70">
        <v>10362</v>
      </c>
      <c r="F1157" s="70">
        <v>10347</v>
      </c>
      <c r="G1157" s="13">
        <f t="shared" si="234"/>
        <v>-15</v>
      </c>
      <c r="H1157" s="13">
        <f t="shared" si="235"/>
        <v>195</v>
      </c>
      <c r="I1157" s="73">
        <f t="shared" si="236"/>
        <v>1.9208037825059199E-2</v>
      </c>
      <c r="J1157" s="73">
        <f t="shared" si="237"/>
        <v>-1.4475969889982121E-3</v>
      </c>
      <c r="K1157" s="72" t="str">
        <f t="shared" si="238"/>
        <v>KALIBENDA</v>
      </c>
      <c r="L1157" s="72" t="str">
        <f t="shared" si="239"/>
        <v>AUGUST-2-KALIBENDA</v>
      </c>
      <c r="M1157" s="73">
        <f t="shared" si="240"/>
        <v>8.6111379593768578E-2</v>
      </c>
      <c r="N1157" s="73">
        <f t="shared" si="241"/>
        <v>-1.5008195517944412E-2</v>
      </c>
      <c r="O1157" s="13">
        <f t="shared" si="242"/>
        <v>2101778</v>
      </c>
      <c r="P1157" s="13">
        <f t="shared" si="243"/>
        <v>2128806</v>
      </c>
      <c r="Q1157" s="13">
        <f t="shared" si="244"/>
        <v>2117221</v>
      </c>
      <c r="R1157" s="33">
        <f t="shared" si="245"/>
        <v>7.3475885654907813E-3</v>
      </c>
      <c r="S1157" s="33">
        <f t="shared" si="246"/>
        <v>-5.4420177320055885E-3</v>
      </c>
    </row>
    <row r="1158" spans="1:19" x14ac:dyDescent="0.25">
      <c r="A1158" t="s">
        <v>42</v>
      </c>
      <c r="B1158">
        <v>2</v>
      </c>
      <c r="C1158" t="s">
        <v>13</v>
      </c>
      <c r="D1158" s="68">
        <v>15984</v>
      </c>
      <c r="E1158" s="70">
        <v>16305</v>
      </c>
      <c r="F1158" s="70">
        <v>16284</v>
      </c>
      <c r="G1158" s="13">
        <f t="shared" si="234"/>
        <v>-21</v>
      </c>
      <c r="H1158" s="13">
        <f t="shared" si="235"/>
        <v>300</v>
      </c>
      <c r="I1158" s="73">
        <f t="shared" si="236"/>
        <v>1.8768768768768762E-2</v>
      </c>
      <c r="J1158" s="73">
        <f t="shared" si="237"/>
        <v>-1.2879484820607079E-3</v>
      </c>
      <c r="K1158" s="72" t="str">
        <f t="shared" si="238"/>
        <v>KALIBENDA</v>
      </c>
      <c r="L1158" s="72" t="str">
        <f t="shared" si="239"/>
        <v>AUGUST-2-KALIBENDA</v>
      </c>
      <c r="M1158" s="73">
        <f t="shared" si="240"/>
        <v>8.6111379593768578E-2</v>
      </c>
      <c r="N1158" s="73">
        <f t="shared" si="241"/>
        <v>-1.5008195517944412E-2</v>
      </c>
      <c r="O1158" s="13">
        <f t="shared" si="242"/>
        <v>2101778</v>
      </c>
      <c r="P1158" s="13">
        <f t="shared" si="243"/>
        <v>2128806</v>
      </c>
      <c r="Q1158" s="13">
        <f t="shared" si="244"/>
        <v>2117221</v>
      </c>
      <c r="R1158" s="33">
        <f t="shared" si="245"/>
        <v>7.3475885654907813E-3</v>
      </c>
      <c r="S1158" s="33">
        <f t="shared" si="246"/>
        <v>-5.4420177320055885E-3</v>
      </c>
    </row>
    <row r="1159" spans="1:19" x14ac:dyDescent="0.25">
      <c r="A1159" t="s">
        <v>42</v>
      </c>
      <c r="B1159">
        <v>2</v>
      </c>
      <c r="C1159" t="s">
        <v>13</v>
      </c>
      <c r="D1159" s="68">
        <v>2052</v>
      </c>
      <c r="E1159" s="70">
        <v>2094</v>
      </c>
      <c r="F1159" s="70">
        <v>2094</v>
      </c>
      <c r="G1159" s="13">
        <f t="shared" si="234"/>
        <v>0</v>
      </c>
      <c r="H1159" s="13">
        <f t="shared" si="235"/>
        <v>42</v>
      </c>
      <c r="I1159" s="73">
        <f t="shared" si="236"/>
        <v>2.0467836257309857E-2</v>
      </c>
      <c r="J1159" s="73">
        <f t="shared" si="237"/>
        <v>0</v>
      </c>
      <c r="K1159" s="72" t="str">
        <f t="shared" si="238"/>
        <v>KALIBENDA</v>
      </c>
      <c r="L1159" s="72" t="str">
        <f t="shared" si="239"/>
        <v>AUGUST-2-KALIBENDA</v>
      </c>
      <c r="M1159" s="73">
        <f t="shared" si="240"/>
        <v>8.6111379593768578E-2</v>
      </c>
      <c r="N1159" s="73">
        <f t="shared" si="241"/>
        <v>-1.5008195517944412E-2</v>
      </c>
      <c r="O1159" s="13">
        <f t="shared" si="242"/>
        <v>2101778</v>
      </c>
      <c r="P1159" s="13">
        <f t="shared" si="243"/>
        <v>2128806</v>
      </c>
      <c r="Q1159" s="13">
        <f t="shared" si="244"/>
        <v>2117221</v>
      </c>
      <c r="R1159" s="33">
        <f t="shared" si="245"/>
        <v>7.3475885654907813E-3</v>
      </c>
      <c r="S1159" s="33">
        <f t="shared" si="246"/>
        <v>-5.4420177320055885E-3</v>
      </c>
    </row>
    <row r="1160" spans="1:19" x14ac:dyDescent="0.25">
      <c r="A1160" t="s">
        <v>42</v>
      </c>
      <c r="B1160">
        <v>2</v>
      </c>
      <c r="C1160" t="s">
        <v>72</v>
      </c>
      <c r="D1160" s="68">
        <v>28944</v>
      </c>
      <c r="E1160" s="68">
        <v>30393</v>
      </c>
      <c r="F1160" s="68">
        <v>29811</v>
      </c>
      <c r="G1160" s="13">
        <f t="shared" si="234"/>
        <v>-582</v>
      </c>
      <c r="H1160" s="13">
        <f t="shared" si="235"/>
        <v>867</v>
      </c>
      <c r="I1160" s="73">
        <f t="shared" si="236"/>
        <v>2.9954394693200603E-2</v>
      </c>
      <c r="J1160" s="73">
        <f t="shared" si="237"/>
        <v>-1.9149146184976762E-2</v>
      </c>
      <c r="K1160" s="72" t="str">
        <f t="shared" si="238"/>
        <v>GM1</v>
      </c>
      <c r="L1160" s="72" t="str">
        <f t="shared" si="239"/>
        <v>AUGUST-2-GM1</v>
      </c>
      <c r="M1160" s="73">
        <f t="shared" si="240"/>
        <v>5.9468283582089443E-2</v>
      </c>
      <c r="N1160" s="73">
        <f t="shared" si="241"/>
        <v>-4.1004774633363383E-2</v>
      </c>
      <c r="O1160" s="13">
        <f t="shared" si="242"/>
        <v>2101778</v>
      </c>
      <c r="P1160" s="13">
        <f t="shared" si="243"/>
        <v>2128806</v>
      </c>
      <c r="Q1160" s="13">
        <f t="shared" si="244"/>
        <v>2117221</v>
      </c>
      <c r="R1160" s="33">
        <f t="shared" si="245"/>
        <v>7.3475885654907813E-3</v>
      </c>
      <c r="S1160" s="33">
        <f t="shared" si="246"/>
        <v>-5.4420177320055885E-3</v>
      </c>
    </row>
    <row r="1161" spans="1:19" x14ac:dyDescent="0.25">
      <c r="A1161" t="s">
        <v>42</v>
      </c>
      <c r="B1161">
        <v>2</v>
      </c>
      <c r="C1161" t="s">
        <v>72</v>
      </c>
      <c r="D1161" s="68">
        <v>1728</v>
      </c>
      <c r="E1161" s="68">
        <v>1815</v>
      </c>
      <c r="F1161" s="68">
        <v>1779</v>
      </c>
      <c r="G1161" s="13">
        <f t="shared" si="234"/>
        <v>-36</v>
      </c>
      <c r="H1161" s="13">
        <f t="shared" si="235"/>
        <v>51</v>
      </c>
      <c r="I1161" s="73">
        <f t="shared" si="236"/>
        <v>2.951388888888884E-2</v>
      </c>
      <c r="J1161" s="73">
        <f t="shared" si="237"/>
        <v>-1.9834710743801609E-2</v>
      </c>
      <c r="K1161" s="72" t="str">
        <f t="shared" si="238"/>
        <v>GM1</v>
      </c>
      <c r="L1161" s="72" t="str">
        <f t="shared" si="239"/>
        <v>AUGUST-2-GM1</v>
      </c>
      <c r="M1161" s="73">
        <f t="shared" si="240"/>
        <v>5.9468283582089443E-2</v>
      </c>
      <c r="N1161" s="73">
        <f t="shared" si="241"/>
        <v>-4.1004774633363383E-2</v>
      </c>
      <c r="O1161" s="13">
        <f t="shared" si="242"/>
        <v>2101778</v>
      </c>
      <c r="P1161" s="13">
        <f t="shared" si="243"/>
        <v>2128806</v>
      </c>
      <c r="Q1161" s="13">
        <f t="shared" si="244"/>
        <v>2117221</v>
      </c>
      <c r="R1161" s="33">
        <f t="shared" si="245"/>
        <v>7.3475885654907813E-3</v>
      </c>
      <c r="S1161" s="33">
        <f t="shared" si="246"/>
        <v>-5.4420177320055885E-3</v>
      </c>
    </row>
    <row r="1162" spans="1:19" x14ac:dyDescent="0.25">
      <c r="A1162" t="s">
        <v>42</v>
      </c>
      <c r="B1162">
        <v>2</v>
      </c>
      <c r="C1162" t="s">
        <v>72</v>
      </c>
      <c r="D1162" s="68">
        <v>16740</v>
      </c>
      <c r="E1162" s="68">
        <v>16744</v>
      </c>
      <c r="F1162" s="68">
        <v>16740</v>
      </c>
      <c r="G1162" s="13">
        <f t="shared" si="234"/>
        <v>-4</v>
      </c>
      <c r="H1162" s="13">
        <f t="shared" si="235"/>
        <v>0</v>
      </c>
      <c r="I1162" s="73">
        <f t="shared" si="236"/>
        <v>0</v>
      </c>
      <c r="J1162" s="73">
        <f t="shared" si="237"/>
        <v>-2.3889154323941675E-4</v>
      </c>
      <c r="K1162" s="72" t="str">
        <f t="shared" si="238"/>
        <v>GM1</v>
      </c>
      <c r="L1162" s="72" t="str">
        <f t="shared" si="239"/>
        <v>AUGUST-2-GM1</v>
      </c>
      <c r="M1162" s="73">
        <f t="shared" si="240"/>
        <v>5.9468283582089443E-2</v>
      </c>
      <c r="N1162" s="73">
        <f t="shared" si="241"/>
        <v>-4.1004774633363383E-2</v>
      </c>
      <c r="O1162" s="13">
        <f t="shared" si="242"/>
        <v>2101778</v>
      </c>
      <c r="P1162" s="13">
        <f t="shared" si="243"/>
        <v>2128806</v>
      </c>
      <c r="Q1162" s="13">
        <f t="shared" si="244"/>
        <v>2117221</v>
      </c>
      <c r="R1162" s="33">
        <f t="shared" si="245"/>
        <v>7.3475885654907813E-3</v>
      </c>
      <c r="S1162" s="33">
        <f t="shared" si="246"/>
        <v>-5.4420177320055885E-3</v>
      </c>
    </row>
    <row r="1163" spans="1:19" x14ac:dyDescent="0.25">
      <c r="A1163" t="s">
        <v>42</v>
      </c>
      <c r="B1163">
        <v>2</v>
      </c>
      <c r="C1163" t="s">
        <v>72</v>
      </c>
      <c r="D1163" s="68">
        <v>2916</v>
      </c>
      <c r="E1163" s="68">
        <v>2917</v>
      </c>
      <c r="F1163" s="68">
        <v>2916</v>
      </c>
      <c r="G1163" s="13">
        <f t="shared" si="234"/>
        <v>-1</v>
      </c>
      <c r="H1163" s="13">
        <f t="shared" si="235"/>
        <v>0</v>
      </c>
      <c r="I1163" s="73">
        <f t="shared" si="236"/>
        <v>0</v>
      </c>
      <c r="J1163" s="73">
        <f t="shared" si="237"/>
        <v>-3.4281796366131267E-4</v>
      </c>
      <c r="K1163" s="72" t="str">
        <f t="shared" si="238"/>
        <v>GM1</v>
      </c>
      <c r="L1163" s="72" t="str">
        <f t="shared" si="239"/>
        <v>AUGUST-2-GM1</v>
      </c>
      <c r="M1163" s="73">
        <f t="shared" si="240"/>
        <v>5.9468283582089443E-2</v>
      </c>
      <c r="N1163" s="73">
        <f t="shared" si="241"/>
        <v>-4.1004774633363383E-2</v>
      </c>
      <c r="O1163" s="13">
        <f t="shared" si="242"/>
        <v>2101778</v>
      </c>
      <c r="P1163" s="13">
        <f t="shared" si="243"/>
        <v>2128806</v>
      </c>
      <c r="Q1163" s="13">
        <f t="shared" si="244"/>
        <v>2117221</v>
      </c>
      <c r="R1163" s="33">
        <f t="shared" si="245"/>
        <v>7.3475885654907813E-3</v>
      </c>
      <c r="S1163" s="33">
        <f t="shared" si="246"/>
        <v>-5.4420177320055885E-3</v>
      </c>
    </row>
    <row r="1164" spans="1:19" x14ac:dyDescent="0.25">
      <c r="A1164" t="s">
        <v>42</v>
      </c>
      <c r="B1164">
        <v>2</v>
      </c>
      <c r="C1164" t="s">
        <v>72</v>
      </c>
      <c r="D1164" s="68">
        <v>25272</v>
      </c>
      <c r="E1164" s="68">
        <v>25285</v>
      </c>
      <c r="F1164" s="68">
        <v>25272</v>
      </c>
      <c r="G1164" s="13">
        <f t="shared" si="234"/>
        <v>-13</v>
      </c>
      <c r="H1164" s="13">
        <f t="shared" si="235"/>
        <v>0</v>
      </c>
      <c r="I1164" s="73">
        <f t="shared" si="236"/>
        <v>0</v>
      </c>
      <c r="J1164" s="73">
        <f t="shared" si="237"/>
        <v>-5.1413881748074708E-4</v>
      </c>
      <c r="K1164" s="72" t="str">
        <f t="shared" si="238"/>
        <v>GM1</v>
      </c>
      <c r="L1164" s="72" t="str">
        <f t="shared" si="239"/>
        <v>AUGUST-2-GM1</v>
      </c>
      <c r="M1164" s="73">
        <f t="shared" si="240"/>
        <v>5.9468283582089443E-2</v>
      </c>
      <c r="N1164" s="73">
        <f t="shared" si="241"/>
        <v>-4.1004774633363383E-2</v>
      </c>
      <c r="O1164" s="13">
        <f t="shared" si="242"/>
        <v>2101778</v>
      </c>
      <c r="P1164" s="13">
        <f t="shared" si="243"/>
        <v>2128806</v>
      </c>
      <c r="Q1164" s="13">
        <f t="shared" si="244"/>
        <v>2117221</v>
      </c>
      <c r="R1164" s="33">
        <f t="shared" si="245"/>
        <v>7.3475885654907813E-3</v>
      </c>
      <c r="S1164" s="33">
        <f t="shared" si="246"/>
        <v>-5.4420177320055885E-3</v>
      </c>
    </row>
    <row r="1165" spans="1:19" x14ac:dyDescent="0.25">
      <c r="A1165" t="s">
        <v>42</v>
      </c>
      <c r="B1165">
        <v>2</v>
      </c>
      <c r="C1165" t="s">
        <v>72</v>
      </c>
      <c r="D1165" s="68">
        <v>4320</v>
      </c>
      <c r="E1165" s="68">
        <v>4324</v>
      </c>
      <c r="F1165" s="68">
        <v>4320</v>
      </c>
      <c r="G1165" s="13">
        <f t="shared" si="234"/>
        <v>-4</v>
      </c>
      <c r="H1165" s="13">
        <f t="shared" si="235"/>
        <v>0</v>
      </c>
      <c r="I1165" s="73">
        <f t="shared" si="236"/>
        <v>0</v>
      </c>
      <c r="J1165" s="73">
        <f t="shared" si="237"/>
        <v>-9.2506938020353591E-4</v>
      </c>
      <c r="K1165" s="72" t="str">
        <f t="shared" si="238"/>
        <v>GM1</v>
      </c>
      <c r="L1165" s="72" t="str">
        <f t="shared" si="239"/>
        <v>AUGUST-2-GM1</v>
      </c>
      <c r="M1165" s="73">
        <f t="shared" si="240"/>
        <v>5.9468283582089443E-2</v>
      </c>
      <c r="N1165" s="73">
        <f t="shared" si="241"/>
        <v>-4.1004774633363383E-2</v>
      </c>
      <c r="O1165" s="13">
        <f t="shared" si="242"/>
        <v>2101778</v>
      </c>
      <c r="P1165" s="13">
        <f t="shared" si="243"/>
        <v>2128806</v>
      </c>
      <c r="Q1165" s="13">
        <f t="shared" si="244"/>
        <v>2117221</v>
      </c>
      <c r="R1165" s="33">
        <f t="shared" si="245"/>
        <v>7.3475885654907813E-3</v>
      </c>
      <c r="S1165" s="33">
        <f t="shared" si="246"/>
        <v>-5.4420177320055885E-3</v>
      </c>
    </row>
    <row r="1166" spans="1:19" x14ac:dyDescent="0.25">
      <c r="A1166" t="s">
        <v>42</v>
      </c>
      <c r="B1166">
        <v>2</v>
      </c>
      <c r="C1166" t="s">
        <v>28</v>
      </c>
      <c r="D1166" s="68">
        <v>38448</v>
      </c>
      <c r="E1166" s="68">
        <v>38451</v>
      </c>
      <c r="F1166" s="68">
        <v>38448</v>
      </c>
      <c r="G1166" s="13">
        <f t="shared" si="234"/>
        <v>-3</v>
      </c>
      <c r="H1166" s="13">
        <f t="shared" si="235"/>
        <v>0</v>
      </c>
      <c r="I1166" s="73">
        <f t="shared" si="236"/>
        <v>0</v>
      </c>
      <c r="J1166" s="73">
        <f t="shared" si="237"/>
        <v>-7.8021377857506735E-5</v>
      </c>
      <c r="K1166" s="72" t="str">
        <f t="shared" si="238"/>
        <v>GM2</v>
      </c>
      <c r="L1166" s="72" t="str">
        <f t="shared" si="239"/>
        <v>AUGUST-2-GM2</v>
      </c>
      <c r="M1166" s="73">
        <f t="shared" si="240"/>
        <v>0.30575230063556891</v>
      </c>
      <c r="N1166" s="73">
        <f t="shared" si="241"/>
        <v>-8.5986339054255012E-2</v>
      </c>
      <c r="O1166" s="13">
        <f t="shared" si="242"/>
        <v>2101778</v>
      </c>
      <c r="P1166" s="13">
        <f t="shared" si="243"/>
        <v>2128806</v>
      </c>
      <c r="Q1166" s="13">
        <f t="shared" si="244"/>
        <v>2117221</v>
      </c>
      <c r="R1166" s="33">
        <f t="shared" si="245"/>
        <v>7.3475885654907813E-3</v>
      </c>
      <c r="S1166" s="33">
        <f t="shared" si="246"/>
        <v>-5.4420177320055885E-3</v>
      </c>
    </row>
    <row r="1167" spans="1:19" x14ac:dyDescent="0.25">
      <c r="A1167" t="s">
        <v>42</v>
      </c>
      <c r="B1167">
        <v>2</v>
      </c>
      <c r="C1167" t="s">
        <v>28</v>
      </c>
      <c r="D1167" s="68">
        <v>42048</v>
      </c>
      <c r="E1167" s="68">
        <v>42067</v>
      </c>
      <c r="F1167" s="68">
        <v>42048</v>
      </c>
      <c r="G1167" s="13">
        <f t="shared" si="234"/>
        <v>-19</v>
      </c>
      <c r="H1167" s="13">
        <f t="shared" si="235"/>
        <v>0</v>
      </c>
      <c r="I1167" s="73">
        <f t="shared" si="236"/>
        <v>0</v>
      </c>
      <c r="J1167" s="73">
        <f t="shared" si="237"/>
        <v>-4.516604464307461E-4</v>
      </c>
      <c r="K1167" s="72" t="str">
        <f t="shared" si="238"/>
        <v>GM2</v>
      </c>
      <c r="L1167" s="72" t="str">
        <f t="shared" si="239"/>
        <v>AUGUST-2-GM2</v>
      </c>
      <c r="M1167" s="73">
        <f t="shared" si="240"/>
        <v>0.30575230063556891</v>
      </c>
      <c r="N1167" s="73">
        <f t="shared" si="241"/>
        <v>-8.5986339054255012E-2</v>
      </c>
      <c r="O1167" s="13">
        <f t="shared" si="242"/>
        <v>2101778</v>
      </c>
      <c r="P1167" s="13">
        <f t="shared" si="243"/>
        <v>2128806</v>
      </c>
      <c r="Q1167" s="13">
        <f t="shared" si="244"/>
        <v>2117221</v>
      </c>
      <c r="R1167" s="33">
        <f t="shared" si="245"/>
        <v>7.3475885654907813E-3</v>
      </c>
      <c r="S1167" s="33">
        <f t="shared" si="246"/>
        <v>-5.4420177320055885E-3</v>
      </c>
    </row>
    <row r="1168" spans="1:19" x14ac:dyDescent="0.25">
      <c r="A1168" t="s">
        <v>42</v>
      </c>
      <c r="B1168">
        <v>2</v>
      </c>
      <c r="C1168" t="s">
        <v>28</v>
      </c>
      <c r="D1168" s="68">
        <v>2448</v>
      </c>
      <c r="E1168" s="68">
        <v>2448</v>
      </c>
      <c r="F1168" s="68">
        <v>2448</v>
      </c>
      <c r="G1168" s="13">
        <f t="shared" si="234"/>
        <v>0</v>
      </c>
      <c r="H1168" s="13">
        <f t="shared" si="235"/>
        <v>0</v>
      </c>
      <c r="I1168" s="73">
        <f t="shared" si="236"/>
        <v>0</v>
      </c>
      <c r="J1168" s="73">
        <f t="shared" si="237"/>
        <v>0</v>
      </c>
      <c r="K1168" s="72" t="str">
        <f t="shared" si="238"/>
        <v>GM2</v>
      </c>
      <c r="L1168" s="72" t="str">
        <f t="shared" si="239"/>
        <v>AUGUST-2-GM2</v>
      </c>
      <c r="M1168" s="73">
        <f t="shared" si="240"/>
        <v>0.30575230063556891</v>
      </c>
      <c r="N1168" s="73">
        <f t="shared" si="241"/>
        <v>-8.5986339054255012E-2</v>
      </c>
      <c r="O1168" s="13">
        <f t="shared" si="242"/>
        <v>2101778</v>
      </c>
      <c r="P1168" s="13">
        <f t="shared" si="243"/>
        <v>2128806</v>
      </c>
      <c r="Q1168" s="13">
        <f t="shared" si="244"/>
        <v>2117221</v>
      </c>
      <c r="R1168" s="33">
        <f t="shared" si="245"/>
        <v>7.3475885654907813E-3</v>
      </c>
      <c r="S1168" s="33">
        <f t="shared" si="246"/>
        <v>-5.4420177320055885E-3</v>
      </c>
    </row>
    <row r="1169" spans="1:19" x14ac:dyDescent="0.25">
      <c r="A1169" t="s">
        <v>42</v>
      </c>
      <c r="B1169">
        <v>2</v>
      </c>
      <c r="C1169" t="s">
        <v>28</v>
      </c>
      <c r="D1169" s="68">
        <v>14256</v>
      </c>
      <c r="E1169" s="68">
        <v>14262</v>
      </c>
      <c r="F1169" s="68">
        <v>14256</v>
      </c>
      <c r="G1169" s="13">
        <f t="shared" si="234"/>
        <v>-6</v>
      </c>
      <c r="H1169" s="13">
        <f t="shared" si="235"/>
        <v>0</v>
      </c>
      <c r="I1169" s="73">
        <f t="shared" si="236"/>
        <v>0</v>
      </c>
      <c r="J1169" s="73">
        <f t="shared" si="237"/>
        <v>-4.2069835927638355E-4</v>
      </c>
      <c r="K1169" s="72" t="str">
        <f t="shared" si="238"/>
        <v>GM2</v>
      </c>
      <c r="L1169" s="72" t="str">
        <f t="shared" si="239"/>
        <v>AUGUST-2-GM2</v>
      </c>
      <c r="M1169" s="73">
        <f t="shared" si="240"/>
        <v>0.30575230063556891</v>
      </c>
      <c r="N1169" s="73">
        <f t="shared" si="241"/>
        <v>-8.5986339054255012E-2</v>
      </c>
      <c r="O1169" s="13">
        <f t="shared" si="242"/>
        <v>2101778</v>
      </c>
      <c r="P1169" s="13">
        <f t="shared" si="243"/>
        <v>2128806</v>
      </c>
      <c r="Q1169" s="13">
        <f t="shared" si="244"/>
        <v>2117221</v>
      </c>
      <c r="R1169" s="33">
        <f t="shared" si="245"/>
        <v>7.3475885654907813E-3</v>
      </c>
      <c r="S1169" s="33">
        <f t="shared" si="246"/>
        <v>-5.4420177320055885E-3</v>
      </c>
    </row>
    <row r="1170" spans="1:19" x14ac:dyDescent="0.25">
      <c r="A1170" t="s">
        <v>42</v>
      </c>
      <c r="B1170">
        <v>2</v>
      </c>
      <c r="C1170" t="s">
        <v>28</v>
      </c>
      <c r="D1170" s="68">
        <v>2448</v>
      </c>
      <c r="E1170" s="68">
        <v>2448</v>
      </c>
      <c r="F1170" s="68">
        <v>2448</v>
      </c>
      <c r="G1170" s="13">
        <f t="shared" si="234"/>
        <v>0</v>
      </c>
      <c r="H1170" s="13">
        <f t="shared" si="235"/>
        <v>0</v>
      </c>
      <c r="I1170" s="73">
        <f t="shared" si="236"/>
        <v>0</v>
      </c>
      <c r="J1170" s="73">
        <f t="shared" si="237"/>
        <v>0</v>
      </c>
      <c r="K1170" s="72" t="str">
        <f t="shared" si="238"/>
        <v>GM2</v>
      </c>
      <c r="L1170" s="72" t="str">
        <f t="shared" si="239"/>
        <v>AUGUST-2-GM2</v>
      </c>
      <c r="M1170" s="73">
        <f t="shared" si="240"/>
        <v>0.30575230063556891</v>
      </c>
      <c r="N1170" s="73">
        <f t="shared" si="241"/>
        <v>-8.5986339054255012E-2</v>
      </c>
      <c r="O1170" s="13">
        <f t="shared" si="242"/>
        <v>2101778</v>
      </c>
      <c r="P1170" s="13">
        <f t="shared" si="243"/>
        <v>2128806</v>
      </c>
      <c r="Q1170" s="13">
        <f t="shared" si="244"/>
        <v>2117221</v>
      </c>
      <c r="R1170" s="33">
        <f t="shared" si="245"/>
        <v>7.3475885654907813E-3</v>
      </c>
      <c r="S1170" s="33">
        <f t="shared" si="246"/>
        <v>-5.4420177320055885E-3</v>
      </c>
    </row>
    <row r="1171" spans="1:19" x14ac:dyDescent="0.25">
      <c r="A1171" t="s">
        <v>42</v>
      </c>
      <c r="B1171">
        <v>2</v>
      </c>
      <c r="C1171" t="s">
        <v>28</v>
      </c>
      <c r="D1171" s="68">
        <v>19296</v>
      </c>
      <c r="E1171" s="68">
        <v>19314</v>
      </c>
      <c r="F1171" s="68">
        <v>19296</v>
      </c>
      <c r="G1171" s="13">
        <f t="shared" si="234"/>
        <v>-18</v>
      </c>
      <c r="H1171" s="13">
        <f t="shared" si="235"/>
        <v>0</v>
      </c>
      <c r="I1171" s="73">
        <f t="shared" si="236"/>
        <v>0</v>
      </c>
      <c r="J1171" s="73">
        <f t="shared" si="237"/>
        <v>-9.3196644920778837E-4</v>
      </c>
      <c r="K1171" s="72" t="str">
        <f t="shared" si="238"/>
        <v>GM2</v>
      </c>
      <c r="L1171" s="72" t="str">
        <f t="shared" si="239"/>
        <v>AUGUST-2-GM2</v>
      </c>
      <c r="M1171" s="73">
        <f t="shared" si="240"/>
        <v>0.30575230063556891</v>
      </c>
      <c r="N1171" s="73">
        <f t="shared" si="241"/>
        <v>-8.5986339054255012E-2</v>
      </c>
      <c r="O1171" s="13">
        <f t="shared" si="242"/>
        <v>2101778</v>
      </c>
      <c r="P1171" s="13">
        <f t="shared" si="243"/>
        <v>2128806</v>
      </c>
      <c r="Q1171" s="13">
        <f t="shared" si="244"/>
        <v>2117221</v>
      </c>
      <c r="R1171" s="33">
        <f t="shared" si="245"/>
        <v>7.3475885654907813E-3</v>
      </c>
      <c r="S1171" s="33">
        <f t="shared" si="246"/>
        <v>-5.4420177320055885E-3</v>
      </c>
    </row>
    <row r="1172" spans="1:19" x14ac:dyDescent="0.25">
      <c r="A1172" t="s">
        <v>42</v>
      </c>
      <c r="B1172">
        <v>2</v>
      </c>
      <c r="C1172" t="s">
        <v>28</v>
      </c>
      <c r="D1172" s="68">
        <v>35856</v>
      </c>
      <c r="E1172" s="68">
        <v>37657</v>
      </c>
      <c r="F1172" s="68">
        <v>37497</v>
      </c>
      <c r="G1172" s="13">
        <f t="shared" si="234"/>
        <v>-160</v>
      </c>
      <c r="H1172" s="13">
        <f t="shared" si="235"/>
        <v>1641</v>
      </c>
      <c r="I1172" s="73">
        <f t="shared" si="236"/>
        <v>4.5766398929049545E-2</v>
      </c>
      <c r="J1172" s="73">
        <f t="shared" si="237"/>
        <v>-4.248878030644998E-3</v>
      </c>
      <c r="K1172" s="72" t="str">
        <f t="shared" si="238"/>
        <v>GM2</v>
      </c>
      <c r="L1172" s="72" t="str">
        <f t="shared" si="239"/>
        <v>AUGUST-2-GM2</v>
      </c>
      <c r="M1172" s="73">
        <f t="shared" si="240"/>
        <v>0.30575230063556891</v>
      </c>
      <c r="N1172" s="73">
        <f t="shared" si="241"/>
        <v>-8.5986339054255012E-2</v>
      </c>
      <c r="O1172" s="13">
        <f t="shared" si="242"/>
        <v>2101778</v>
      </c>
      <c r="P1172" s="13">
        <f t="shared" si="243"/>
        <v>2128806</v>
      </c>
      <c r="Q1172" s="13">
        <f t="shared" si="244"/>
        <v>2117221</v>
      </c>
      <c r="R1172" s="33">
        <f t="shared" si="245"/>
        <v>7.3475885654907813E-3</v>
      </c>
      <c r="S1172" s="33">
        <f t="shared" si="246"/>
        <v>-5.4420177320055885E-3</v>
      </c>
    </row>
    <row r="1173" spans="1:19" x14ac:dyDescent="0.25">
      <c r="A1173" t="s">
        <v>42</v>
      </c>
      <c r="B1173">
        <v>2</v>
      </c>
      <c r="C1173" t="s">
        <v>28</v>
      </c>
      <c r="D1173" s="68">
        <v>4212</v>
      </c>
      <c r="E1173" s="68">
        <v>4431</v>
      </c>
      <c r="F1173" s="68">
        <v>4368</v>
      </c>
      <c r="G1173" s="13">
        <f t="shared" si="234"/>
        <v>-63</v>
      </c>
      <c r="H1173" s="13">
        <f t="shared" si="235"/>
        <v>156</v>
      </c>
      <c r="I1173" s="73">
        <f t="shared" si="236"/>
        <v>3.7037037037036979E-2</v>
      </c>
      <c r="J1173" s="73">
        <f t="shared" si="237"/>
        <v>-1.4218009478673022E-2</v>
      </c>
      <c r="K1173" s="72" t="str">
        <f t="shared" si="238"/>
        <v>GM2</v>
      </c>
      <c r="L1173" s="72" t="str">
        <f t="shared" si="239"/>
        <v>AUGUST-2-GM2</v>
      </c>
      <c r="M1173" s="73">
        <f t="shared" si="240"/>
        <v>0.30575230063556891</v>
      </c>
      <c r="N1173" s="73">
        <f t="shared" si="241"/>
        <v>-8.5986339054255012E-2</v>
      </c>
      <c r="O1173" s="13">
        <f t="shared" si="242"/>
        <v>2101778</v>
      </c>
      <c r="P1173" s="13">
        <f t="shared" si="243"/>
        <v>2128806</v>
      </c>
      <c r="Q1173" s="13">
        <f t="shared" si="244"/>
        <v>2117221</v>
      </c>
      <c r="R1173" s="33">
        <f t="shared" si="245"/>
        <v>7.3475885654907813E-3</v>
      </c>
      <c r="S1173" s="33">
        <f t="shared" si="246"/>
        <v>-5.4420177320055885E-3</v>
      </c>
    </row>
    <row r="1174" spans="1:19" x14ac:dyDescent="0.25">
      <c r="A1174" t="s">
        <v>42</v>
      </c>
      <c r="B1174">
        <v>2</v>
      </c>
      <c r="C1174" t="s">
        <v>28</v>
      </c>
      <c r="D1174" s="68">
        <v>32508</v>
      </c>
      <c r="E1174" s="68">
        <v>34006</v>
      </c>
      <c r="F1174" s="68">
        <v>33540</v>
      </c>
      <c r="G1174" s="13">
        <f t="shared" si="234"/>
        <v>-466</v>
      </c>
      <c r="H1174" s="13">
        <f t="shared" si="235"/>
        <v>1032</v>
      </c>
      <c r="I1174" s="73">
        <f t="shared" si="236"/>
        <v>3.1746031746031855E-2</v>
      </c>
      <c r="J1174" s="73">
        <f t="shared" si="237"/>
        <v>-1.3703464094571571E-2</v>
      </c>
      <c r="K1174" s="72" t="str">
        <f t="shared" si="238"/>
        <v>GM2</v>
      </c>
      <c r="L1174" s="72" t="str">
        <f t="shared" si="239"/>
        <v>AUGUST-2-GM2</v>
      </c>
      <c r="M1174" s="73">
        <f t="shared" si="240"/>
        <v>0.30575230063556891</v>
      </c>
      <c r="N1174" s="73">
        <f t="shared" si="241"/>
        <v>-8.5986339054255012E-2</v>
      </c>
      <c r="O1174" s="13">
        <f t="shared" si="242"/>
        <v>2101778</v>
      </c>
      <c r="P1174" s="13">
        <f t="shared" si="243"/>
        <v>2128806</v>
      </c>
      <c r="Q1174" s="13">
        <f t="shared" si="244"/>
        <v>2117221</v>
      </c>
      <c r="R1174" s="33">
        <f t="shared" si="245"/>
        <v>7.3475885654907813E-3</v>
      </c>
      <c r="S1174" s="33">
        <f t="shared" si="246"/>
        <v>-5.4420177320055885E-3</v>
      </c>
    </row>
    <row r="1175" spans="1:19" x14ac:dyDescent="0.25">
      <c r="A1175" t="s">
        <v>42</v>
      </c>
      <c r="B1175">
        <v>2</v>
      </c>
      <c r="C1175" t="s">
        <v>28</v>
      </c>
      <c r="D1175" s="68">
        <v>4212</v>
      </c>
      <c r="E1175" s="68">
        <v>4424</v>
      </c>
      <c r="F1175" s="68">
        <v>4422</v>
      </c>
      <c r="G1175" s="13">
        <f t="shared" si="234"/>
        <v>-2</v>
      </c>
      <c r="H1175" s="13">
        <f t="shared" si="235"/>
        <v>210</v>
      </c>
      <c r="I1175" s="73">
        <f t="shared" si="236"/>
        <v>4.9857549857549754E-2</v>
      </c>
      <c r="J1175" s="73">
        <f t="shared" si="237"/>
        <v>-4.5207956600357146E-4</v>
      </c>
      <c r="K1175" s="72" t="str">
        <f t="shared" si="238"/>
        <v>GM2</v>
      </c>
      <c r="L1175" s="72" t="str">
        <f t="shared" si="239"/>
        <v>AUGUST-2-GM2</v>
      </c>
      <c r="M1175" s="73">
        <f t="shared" si="240"/>
        <v>0.30575230063556891</v>
      </c>
      <c r="N1175" s="73">
        <f t="shared" si="241"/>
        <v>-8.5986339054255012E-2</v>
      </c>
      <c r="O1175" s="13">
        <f t="shared" si="242"/>
        <v>2101778</v>
      </c>
      <c r="P1175" s="13">
        <f t="shared" si="243"/>
        <v>2128806</v>
      </c>
      <c r="Q1175" s="13">
        <f t="shared" si="244"/>
        <v>2117221</v>
      </c>
      <c r="R1175" s="33">
        <f t="shared" si="245"/>
        <v>7.3475885654907813E-3</v>
      </c>
      <c r="S1175" s="33">
        <f t="shared" si="246"/>
        <v>-5.4420177320055885E-3</v>
      </c>
    </row>
    <row r="1176" spans="1:19" x14ac:dyDescent="0.25">
      <c r="A1176" t="s">
        <v>42</v>
      </c>
      <c r="B1176">
        <v>2</v>
      </c>
      <c r="C1176" t="s">
        <v>28</v>
      </c>
      <c r="D1176" s="68">
        <v>32508</v>
      </c>
      <c r="E1176" s="68">
        <v>33981</v>
      </c>
      <c r="F1176" s="68">
        <v>33765</v>
      </c>
      <c r="G1176" s="13">
        <f t="shared" si="234"/>
        <v>-216</v>
      </c>
      <c r="H1176" s="13">
        <f t="shared" si="235"/>
        <v>1257</v>
      </c>
      <c r="I1176" s="73">
        <f t="shared" si="236"/>
        <v>3.8667404946474804E-2</v>
      </c>
      <c r="J1176" s="73">
        <f t="shared" si="237"/>
        <v>-6.3564933345104935E-3</v>
      </c>
      <c r="K1176" s="72" t="str">
        <f t="shared" si="238"/>
        <v>GM2</v>
      </c>
      <c r="L1176" s="72" t="str">
        <f t="shared" si="239"/>
        <v>AUGUST-2-GM2</v>
      </c>
      <c r="M1176" s="73">
        <f t="shared" si="240"/>
        <v>0.30575230063556891</v>
      </c>
      <c r="N1176" s="73">
        <f t="shared" si="241"/>
        <v>-8.5986339054255012E-2</v>
      </c>
      <c r="O1176" s="13">
        <f t="shared" si="242"/>
        <v>2101778</v>
      </c>
      <c r="P1176" s="13">
        <f t="shared" si="243"/>
        <v>2128806</v>
      </c>
      <c r="Q1176" s="13">
        <f t="shared" si="244"/>
        <v>2117221</v>
      </c>
      <c r="R1176" s="33">
        <f t="shared" si="245"/>
        <v>7.3475885654907813E-3</v>
      </c>
      <c r="S1176" s="33">
        <f t="shared" si="246"/>
        <v>-5.4420177320055885E-3</v>
      </c>
    </row>
    <row r="1177" spans="1:19" x14ac:dyDescent="0.25">
      <c r="A1177" t="s">
        <v>42</v>
      </c>
      <c r="B1177">
        <v>2</v>
      </c>
      <c r="C1177" t="s">
        <v>28</v>
      </c>
      <c r="D1177" s="68">
        <v>5292</v>
      </c>
      <c r="E1177" s="68">
        <v>5556</v>
      </c>
      <c r="F1177" s="68">
        <v>5508</v>
      </c>
      <c r="G1177" s="13">
        <f t="shared" si="234"/>
        <v>-48</v>
      </c>
      <c r="H1177" s="13">
        <f t="shared" si="235"/>
        <v>216</v>
      </c>
      <c r="I1177" s="73">
        <f t="shared" si="236"/>
        <v>4.081632653061229E-2</v>
      </c>
      <c r="J1177" s="73">
        <f t="shared" si="237"/>
        <v>-8.6393088552916275E-3</v>
      </c>
      <c r="K1177" s="72" t="str">
        <f t="shared" si="238"/>
        <v>GM2</v>
      </c>
      <c r="L1177" s="72" t="str">
        <f t="shared" si="239"/>
        <v>AUGUST-2-GM2</v>
      </c>
      <c r="M1177" s="73">
        <f t="shared" si="240"/>
        <v>0.30575230063556891</v>
      </c>
      <c r="N1177" s="73">
        <f t="shared" si="241"/>
        <v>-8.5986339054255012E-2</v>
      </c>
      <c r="O1177" s="13">
        <f t="shared" si="242"/>
        <v>2101778</v>
      </c>
      <c r="P1177" s="13">
        <f t="shared" si="243"/>
        <v>2128806</v>
      </c>
      <c r="Q1177" s="13">
        <f t="shared" si="244"/>
        <v>2117221</v>
      </c>
      <c r="R1177" s="33">
        <f t="shared" si="245"/>
        <v>7.3475885654907813E-3</v>
      </c>
      <c r="S1177" s="33">
        <f t="shared" si="246"/>
        <v>-5.4420177320055885E-3</v>
      </c>
    </row>
    <row r="1178" spans="1:19" x14ac:dyDescent="0.25">
      <c r="A1178" t="s">
        <v>42</v>
      </c>
      <c r="B1178">
        <v>2</v>
      </c>
      <c r="C1178" t="s">
        <v>28</v>
      </c>
      <c r="D1178" s="68">
        <v>45072</v>
      </c>
      <c r="E1178" s="68">
        <v>46889</v>
      </c>
      <c r="F1178" s="68">
        <v>46336</v>
      </c>
      <c r="G1178" s="13">
        <f t="shared" si="234"/>
        <v>-553</v>
      </c>
      <c r="H1178" s="13">
        <f t="shared" si="235"/>
        <v>1264</v>
      </c>
      <c r="I1178" s="73">
        <f t="shared" si="236"/>
        <v>2.8044018459354003E-2</v>
      </c>
      <c r="J1178" s="73">
        <f t="shared" si="237"/>
        <v>-1.1793810915139979E-2</v>
      </c>
      <c r="K1178" s="72" t="str">
        <f t="shared" si="238"/>
        <v>GM2</v>
      </c>
      <c r="L1178" s="72" t="str">
        <f t="shared" si="239"/>
        <v>AUGUST-2-GM2</v>
      </c>
      <c r="M1178" s="73">
        <f t="shared" si="240"/>
        <v>0.30575230063556891</v>
      </c>
      <c r="N1178" s="73">
        <f t="shared" si="241"/>
        <v>-8.5986339054255012E-2</v>
      </c>
      <c r="O1178" s="13">
        <f t="shared" si="242"/>
        <v>2101778</v>
      </c>
      <c r="P1178" s="13">
        <f t="shared" si="243"/>
        <v>2128806</v>
      </c>
      <c r="Q1178" s="13">
        <f t="shared" si="244"/>
        <v>2117221</v>
      </c>
      <c r="R1178" s="33">
        <f t="shared" si="245"/>
        <v>7.3475885654907813E-3</v>
      </c>
      <c r="S1178" s="33">
        <f t="shared" si="246"/>
        <v>-5.4420177320055885E-3</v>
      </c>
    </row>
    <row r="1179" spans="1:19" x14ac:dyDescent="0.25">
      <c r="A1179" t="s">
        <v>42</v>
      </c>
      <c r="B1179">
        <v>2</v>
      </c>
      <c r="C1179" t="s">
        <v>28</v>
      </c>
      <c r="D1179" s="68">
        <v>1440</v>
      </c>
      <c r="E1179" s="68">
        <v>1498</v>
      </c>
      <c r="F1179" s="68">
        <v>1472</v>
      </c>
      <c r="G1179" s="13">
        <f t="shared" si="234"/>
        <v>-26</v>
      </c>
      <c r="H1179" s="13">
        <f t="shared" si="235"/>
        <v>32</v>
      </c>
      <c r="I1179" s="73">
        <f t="shared" si="236"/>
        <v>2.2222222222222143E-2</v>
      </c>
      <c r="J1179" s="73">
        <f t="shared" si="237"/>
        <v>-1.735647530040052E-2</v>
      </c>
      <c r="K1179" s="72" t="str">
        <f t="shared" si="238"/>
        <v>GM2</v>
      </c>
      <c r="L1179" s="72" t="str">
        <f t="shared" si="239"/>
        <v>AUGUST-2-GM2</v>
      </c>
      <c r="M1179" s="73">
        <f t="shared" si="240"/>
        <v>0.30575230063556891</v>
      </c>
      <c r="N1179" s="73">
        <f t="shared" si="241"/>
        <v>-8.5986339054255012E-2</v>
      </c>
      <c r="O1179" s="13">
        <f t="shared" si="242"/>
        <v>2101778</v>
      </c>
      <c r="P1179" s="13">
        <f t="shared" si="243"/>
        <v>2128806</v>
      </c>
      <c r="Q1179" s="13">
        <f t="shared" si="244"/>
        <v>2117221</v>
      </c>
      <c r="R1179" s="33">
        <f t="shared" si="245"/>
        <v>7.3475885654907813E-3</v>
      </c>
      <c r="S1179" s="33">
        <f t="shared" si="246"/>
        <v>-5.4420177320055885E-3</v>
      </c>
    </row>
    <row r="1180" spans="1:19" x14ac:dyDescent="0.25">
      <c r="A1180" t="s">
        <v>42</v>
      </c>
      <c r="B1180">
        <v>2</v>
      </c>
      <c r="C1180" t="s">
        <v>28</v>
      </c>
      <c r="D1180" s="68">
        <v>23544</v>
      </c>
      <c r="E1180" s="68">
        <v>23993</v>
      </c>
      <c r="F1180" s="68">
        <v>23817</v>
      </c>
      <c r="G1180" s="13">
        <f t="shared" si="234"/>
        <v>-176</v>
      </c>
      <c r="H1180" s="13">
        <f t="shared" si="235"/>
        <v>273</v>
      </c>
      <c r="I1180" s="73">
        <f t="shared" si="236"/>
        <v>1.1595310907237533E-2</v>
      </c>
      <c r="J1180" s="73">
        <f t="shared" si="237"/>
        <v>-7.3354728462468044E-3</v>
      </c>
      <c r="K1180" s="72" t="str">
        <f t="shared" si="238"/>
        <v>GM2</v>
      </c>
      <c r="L1180" s="72" t="str">
        <f t="shared" si="239"/>
        <v>AUGUST-2-GM2</v>
      </c>
      <c r="M1180" s="73">
        <f t="shared" si="240"/>
        <v>0.30575230063556891</v>
      </c>
      <c r="N1180" s="73">
        <f t="shared" si="241"/>
        <v>-8.5986339054255012E-2</v>
      </c>
      <c r="O1180" s="13">
        <f t="shared" si="242"/>
        <v>2101778</v>
      </c>
      <c r="P1180" s="13">
        <f t="shared" si="243"/>
        <v>2128806</v>
      </c>
      <c r="Q1180" s="13">
        <f t="shared" si="244"/>
        <v>2117221</v>
      </c>
      <c r="R1180" s="33">
        <f t="shared" si="245"/>
        <v>7.3475885654907813E-3</v>
      </c>
      <c r="S1180" s="33">
        <f t="shared" si="246"/>
        <v>-5.4420177320055885E-3</v>
      </c>
    </row>
    <row r="1181" spans="1:19" x14ac:dyDescent="0.25">
      <c r="A1181" t="s">
        <v>42</v>
      </c>
      <c r="B1181">
        <v>3</v>
      </c>
      <c r="C1181" t="s">
        <v>28</v>
      </c>
      <c r="D1181" s="68">
        <v>36180</v>
      </c>
      <c r="E1181" s="70">
        <v>36508</v>
      </c>
      <c r="F1181" s="70">
        <v>36207</v>
      </c>
      <c r="G1181" s="13">
        <f t="shared" si="234"/>
        <v>-301</v>
      </c>
      <c r="H1181" s="13">
        <f t="shared" si="235"/>
        <v>27</v>
      </c>
      <c r="I1181" s="73">
        <f t="shared" si="236"/>
        <v>7.4626865671634235E-4</v>
      </c>
      <c r="J1181" s="73">
        <f t="shared" si="237"/>
        <v>-8.2447682699682279E-3</v>
      </c>
      <c r="K1181" s="72" t="str">
        <f t="shared" si="238"/>
        <v>GM2</v>
      </c>
      <c r="L1181" s="72" t="str">
        <f t="shared" si="239"/>
        <v>AUGUST-3-GM2</v>
      </c>
      <c r="M1181" s="73">
        <f t="shared" si="240"/>
        <v>7.4626865671634235E-4</v>
      </c>
      <c r="N1181" s="73">
        <f t="shared" si="241"/>
        <v>-8.2447682699682279E-3</v>
      </c>
      <c r="O1181" s="13">
        <f t="shared" si="242"/>
        <v>2101778</v>
      </c>
      <c r="P1181" s="13">
        <f t="shared" si="243"/>
        <v>2128806</v>
      </c>
      <c r="Q1181" s="13">
        <f t="shared" si="244"/>
        <v>2117221</v>
      </c>
      <c r="R1181" s="33">
        <f t="shared" si="245"/>
        <v>7.3475885654907813E-3</v>
      </c>
      <c r="S1181" s="33">
        <f t="shared" si="246"/>
        <v>-5.4420177320055885E-3</v>
      </c>
    </row>
    <row r="1182" spans="1:19" x14ac:dyDescent="0.25">
      <c r="A1182" t="s">
        <v>42</v>
      </c>
      <c r="B1182">
        <v>3</v>
      </c>
      <c r="C1182" t="s">
        <v>72</v>
      </c>
      <c r="D1182" s="68">
        <v>7992</v>
      </c>
      <c r="E1182" s="68">
        <v>8018</v>
      </c>
      <c r="F1182" s="68">
        <v>7992</v>
      </c>
      <c r="G1182" s="13">
        <f t="shared" si="234"/>
        <v>-26</v>
      </c>
      <c r="H1182" s="13">
        <f t="shared" si="235"/>
        <v>0</v>
      </c>
      <c r="I1182" s="73">
        <f t="shared" si="236"/>
        <v>0</v>
      </c>
      <c r="J1182" s="73">
        <f t="shared" si="237"/>
        <v>-3.2427039161885274E-3</v>
      </c>
      <c r="K1182" s="72" t="str">
        <f t="shared" si="238"/>
        <v>GM1</v>
      </c>
      <c r="L1182" s="72" t="str">
        <f t="shared" si="239"/>
        <v>AUGUST-3-GM1</v>
      </c>
      <c r="M1182" s="73">
        <f t="shared" si="240"/>
        <v>0</v>
      </c>
      <c r="N1182" s="73">
        <f t="shared" si="241"/>
        <v>-1.4890300498255127E-2</v>
      </c>
      <c r="O1182" s="13">
        <f t="shared" si="242"/>
        <v>2101778</v>
      </c>
      <c r="P1182" s="13">
        <f t="shared" si="243"/>
        <v>2128806</v>
      </c>
      <c r="Q1182" s="13">
        <f t="shared" si="244"/>
        <v>2117221</v>
      </c>
      <c r="R1182" s="33">
        <f t="shared" si="245"/>
        <v>7.3475885654907813E-3</v>
      </c>
      <c r="S1182" s="33">
        <f t="shared" si="246"/>
        <v>-5.4420177320055885E-3</v>
      </c>
    </row>
    <row r="1183" spans="1:19" x14ac:dyDescent="0.25">
      <c r="A1183" t="s">
        <v>42</v>
      </c>
      <c r="B1183">
        <v>3</v>
      </c>
      <c r="C1183" t="s">
        <v>72</v>
      </c>
      <c r="D1183" s="68">
        <v>540</v>
      </c>
      <c r="E1183" s="68">
        <v>542</v>
      </c>
      <c r="F1183" s="68">
        <v>540</v>
      </c>
      <c r="G1183" s="13">
        <f t="shared" si="234"/>
        <v>-2</v>
      </c>
      <c r="H1183" s="13">
        <f t="shared" si="235"/>
        <v>0</v>
      </c>
      <c r="I1183" s="73">
        <f t="shared" si="236"/>
        <v>0</v>
      </c>
      <c r="J1183" s="73">
        <f t="shared" si="237"/>
        <v>-3.6900369003689537E-3</v>
      </c>
      <c r="K1183" s="72" t="str">
        <f t="shared" si="238"/>
        <v>GM1</v>
      </c>
      <c r="L1183" s="72" t="str">
        <f t="shared" si="239"/>
        <v>AUGUST-3-GM1</v>
      </c>
      <c r="M1183" s="73">
        <f t="shared" si="240"/>
        <v>0</v>
      </c>
      <c r="N1183" s="73">
        <f t="shared" si="241"/>
        <v>-1.4890300498255127E-2</v>
      </c>
      <c r="O1183" s="13">
        <f t="shared" si="242"/>
        <v>2101778</v>
      </c>
      <c r="P1183" s="13">
        <f t="shared" si="243"/>
        <v>2128806</v>
      </c>
      <c r="Q1183" s="13">
        <f t="shared" si="244"/>
        <v>2117221</v>
      </c>
      <c r="R1183" s="33">
        <f t="shared" si="245"/>
        <v>7.3475885654907813E-3</v>
      </c>
      <c r="S1183" s="33">
        <f t="shared" si="246"/>
        <v>-5.4420177320055885E-3</v>
      </c>
    </row>
    <row r="1184" spans="1:19" x14ac:dyDescent="0.25">
      <c r="A1184" t="s">
        <v>42</v>
      </c>
      <c r="B1184">
        <v>3</v>
      </c>
      <c r="C1184" t="s">
        <v>72</v>
      </c>
      <c r="D1184" s="68">
        <v>374</v>
      </c>
      <c r="E1184" s="68">
        <v>377</v>
      </c>
      <c r="F1184" s="68">
        <v>374</v>
      </c>
      <c r="G1184" s="13">
        <f t="shared" si="234"/>
        <v>-3</v>
      </c>
      <c r="H1184" s="13">
        <f t="shared" si="235"/>
        <v>0</v>
      </c>
      <c r="I1184" s="73">
        <f t="shared" si="236"/>
        <v>0</v>
      </c>
      <c r="J1184" s="73">
        <f t="shared" si="237"/>
        <v>-7.9575596816976457E-3</v>
      </c>
      <c r="K1184" s="72" t="str">
        <f t="shared" si="238"/>
        <v>GM1</v>
      </c>
      <c r="L1184" s="72" t="str">
        <f t="shared" si="239"/>
        <v>AUGUST-3-GM1</v>
      </c>
      <c r="M1184" s="73">
        <f t="shared" si="240"/>
        <v>0</v>
      </c>
      <c r="N1184" s="73">
        <f t="shared" si="241"/>
        <v>-1.4890300498255127E-2</v>
      </c>
      <c r="O1184" s="13">
        <f t="shared" si="242"/>
        <v>2101778</v>
      </c>
      <c r="P1184" s="13">
        <f t="shared" si="243"/>
        <v>2128806</v>
      </c>
      <c r="Q1184" s="13">
        <f t="shared" si="244"/>
        <v>2117221</v>
      </c>
      <c r="R1184" s="33">
        <f t="shared" si="245"/>
        <v>7.3475885654907813E-3</v>
      </c>
      <c r="S1184" s="33">
        <f t="shared" si="246"/>
        <v>-5.4420177320055885E-3</v>
      </c>
    </row>
    <row r="1185" spans="1:19" x14ac:dyDescent="0.25">
      <c r="A1185" t="s">
        <v>42</v>
      </c>
      <c r="B1185">
        <v>4</v>
      </c>
      <c r="C1185" t="s">
        <v>17</v>
      </c>
      <c r="D1185" s="68">
        <v>710</v>
      </c>
      <c r="E1185" s="70">
        <v>710</v>
      </c>
      <c r="F1185" s="70">
        <v>710</v>
      </c>
      <c r="G1185" s="13">
        <f t="shared" si="234"/>
        <v>0</v>
      </c>
      <c r="H1185" s="13">
        <f t="shared" si="235"/>
        <v>0</v>
      </c>
      <c r="I1185" s="73">
        <f t="shared" si="236"/>
        <v>0</v>
      </c>
      <c r="J1185" s="73">
        <f t="shared" si="237"/>
        <v>0</v>
      </c>
      <c r="K1185" s="72" t="str">
        <f t="shared" si="238"/>
        <v>CBA</v>
      </c>
      <c r="L1185" s="72" t="str">
        <f t="shared" si="239"/>
        <v>AUGUST-4-CBA</v>
      </c>
      <c r="M1185" s="73">
        <f t="shared" si="240"/>
        <v>0</v>
      </c>
      <c r="N1185" s="73">
        <f t="shared" si="241"/>
        <v>0</v>
      </c>
      <c r="O1185" s="13">
        <f t="shared" si="242"/>
        <v>2101778</v>
      </c>
      <c r="P1185" s="13">
        <f t="shared" si="243"/>
        <v>2128806</v>
      </c>
      <c r="Q1185" s="13">
        <f t="shared" si="244"/>
        <v>2117221</v>
      </c>
      <c r="R1185" s="33">
        <f t="shared" si="245"/>
        <v>7.3475885654907813E-3</v>
      </c>
      <c r="S1185" s="33">
        <f t="shared" si="246"/>
        <v>-5.4420177320055885E-3</v>
      </c>
    </row>
    <row r="1186" spans="1:19" x14ac:dyDescent="0.25">
      <c r="A1186" t="s">
        <v>42</v>
      </c>
      <c r="B1186">
        <v>4</v>
      </c>
      <c r="C1186" t="s">
        <v>17</v>
      </c>
      <c r="D1186" s="68">
        <v>590</v>
      </c>
      <c r="E1186" s="70">
        <v>590</v>
      </c>
      <c r="F1186" s="70">
        <v>590</v>
      </c>
      <c r="G1186" s="13">
        <f t="shared" si="234"/>
        <v>0</v>
      </c>
      <c r="H1186" s="13">
        <f t="shared" si="235"/>
        <v>0</v>
      </c>
      <c r="I1186" s="73">
        <f t="shared" si="236"/>
        <v>0</v>
      </c>
      <c r="J1186" s="73">
        <f t="shared" si="237"/>
        <v>0</v>
      </c>
      <c r="K1186" s="72" t="str">
        <f t="shared" si="238"/>
        <v>CBA</v>
      </c>
      <c r="L1186" s="72" t="str">
        <f t="shared" si="239"/>
        <v>AUGUST-4-CBA</v>
      </c>
      <c r="M1186" s="73">
        <f t="shared" si="240"/>
        <v>0</v>
      </c>
      <c r="N1186" s="73">
        <f t="shared" si="241"/>
        <v>0</v>
      </c>
      <c r="O1186" s="13">
        <f t="shared" si="242"/>
        <v>2101778</v>
      </c>
      <c r="P1186" s="13">
        <f t="shared" si="243"/>
        <v>2128806</v>
      </c>
      <c r="Q1186" s="13">
        <f t="shared" si="244"/>
        <v>2117221</v>
      </c>
      <c r="R1186" s="33">
        <f t="shared" si="245"/>
        <v>7.3475885654907813E-3</v>
      </c>
      <c r="S1186" s="33">
        <f t="shared" si="246"/>
        <v>-5.4420177320055885E-3</v>
      </c>
    </row>
    <row r="1187" spans="1:19" x14ac:dyDescent="0.25">
      <c r="A1187" t="s">
        <v>42</v>
      </c>
      <c r="B1187">
        <v>4</v>
      </c>
      <c r="C1187" t="s">
        <v>17</v>
      </c>
      <c r="D1187" s="68">
        <v>1600</v>
      </c>
      <c r="E1187" s="70">
        <v>1600</v>
      </c>
      <c r="F1187" s="70">
        <v>1600</v>
      </c>
      <c r="G1187" s="13">
        <f t="shared" si="234"/>
        <v>0</v>
      </c>
      <c r="H1187" s="13">
        <f t="shared" si="235"/>
        <v>0</v>
      </c>
      <c r="I1187" s="73">
        <f t="shared" si="236"/>
        <v>0</v>
      </c>
      <c r="J1187" s="73">
        <f t="shared" si="237"/>
        <v>0</v>
      </c>
      <c r="K1187" s="72" t="str">
        <f t="shared" si="238"/>
        <v>CBA</v>
      </c>
      <c r="L1187" s="72" t="str">
        <f t="shared" si="239"/>
        <v>AUGUST-4-CBA</v>
      </c>
      <c r="M1187" s="73">
        <f t="shared" si="240"/>
        <v>0</v>
      </c>
      <c r="N1187" s="73">
        <f t="shared" si="241"/>
        <v>0</v>
      </c>
      <c r="O1187" s="13">
        <f t="shared" si="242"/>
        <v>2101778</v>
      </c>
      <c r="P1187" s="13">
        <f t="shared" si="243"/>
        <v>2128806</v>
      </c>
      <c r="Q1187" s="13">
        <f t="shared" si="244"/>
        <v>2117221</v>
      </c>
      <c r="R1187" s="33">
        <f t="shared" si="245"/>
        <v>7.3475885654907813E-3</v>
      </c>
      <c r="S1187" s="33">
        <f t="shared" si="246"/>
        <v>-5.4420177320055885E-3</v>
      </c>
    </row>
    <row r="1188" spans="1:19" x14ac:dyDescent="0.25">
      <c r="A1188" t="s">
        <v>42</v>
      </c>
      <c r="B1188">
        <v>4</v>
      </c>
      <c r="C1188" t="s">
        <v>17</v>
      </c>
      <c r="D1188" s="68">
        <v>1560</v>
      </c>
      <c r="E1188" s="70">
        <v>1560</v>
      </c>
      <c r="F1188" s="70">
        <v>1560</v>
      </c>
      <c r="G1188" s="13">
        <f t="shared" si="234"/>
        <v>0</v>
      </c>
      <c r="H1188" s="13">
        <f t="shared" si="235"/>
        <v>0</v>
      </c>
      <c r="I1188" s="73">
        <f t="shared" si="236"/>
        <v>0</v>
      </c>
      <c r="J1188" s="73">
        <f t="shared" si="237"/>
        <v>0</v>
      </c>
      <c r="K1188" s="72" t="str">
        <f t="shared" si="238"/>
        <v>CBA</v>
      </c>
      <c r="L1188" s="72" t="str">
        <f t="shared" si="239"/>
        <v>AUGUST-4-CBA</v>
      </c>
      <c r="M1188" s="73">
        <f t="shared" si="240"/>
        <v>0</v>
      </c>
      <c r="N1188" s="73">
        <f t="shared" si="241"/>
        <v>0</v>
      </c>
      <c r="O1188" s="13">
        <f t="shared" si="242"/>
        <v>2101778</v>
      </c>
      <c r="P1188" s="13">
        <f t="shared" si="243"/>
        <v>2128806</v>
      </c>
      <c r="Q1188" s="13">
        <f t="shared" si="244"/>
        <v>2117221</v>
      </c>
      <c r="R1188" s="33">
        <f t="shared" si="245"/>
        <v>7.3475885654907813E-3</v>
      </c>
      <c r="S1188" s="33">
        <f t="shared" si="246"/>
        <v>-5.4420177320055885E-3</v>
      </c>
    </row>
    <row r="1189" spans="1:19" x14ac:dyDescent="0.25">
      <c r="A1189" t="s">
        <v>42</v>
      </c>
      <c r="B1189">
        <v>4</v>
      </c>
      <c r="C1189" t="s">
        <v>27</v>
      </c>
      <c r="D1189" s="68">
        <v>500</v>
      </c>
      <c r="E1189" s="70">
        <v>514</v>
      </c>
      <c r="F1189" s="70">
        <v>500</v>
      </c>
      <c r="G1189" s="13">
        <f t="shared" si="234"/>
        <v>-14</v>
      </c>
      <c r="H1189" s="13">
        <f t="shared" si="235"/>
        <v>0</v>
      </c>
      <c r="I1189" s="73">
        <f t="shared" si="236"/>
        <v>0</v>
      </c>
      <c r="J1189" s="73">
        <f t="shared" si="237"/>
        <v>-2.7237354085603127E-2</v>
      </c>
      <c r="K1189" s="72" t="str">
        <f t="shared" si="238"/>
        <v>CNJ2</v>
      </c>
      <c r="L1189" s="72" t="str">
        <f t="shared" si="239"/>
        <v>AUGUST-4-CNJ2</v>
      </c>
      <c r="M1189" s="73">
        <f t="shared" si="240"/>
        <v>-4.4444444444444731E-3</v>
      </c>
      <c r="N1189" s="73">
        <f t="shared" si="241"/>
        <v>-0.27294412212135821</v>
      </c>
      <c r="O1189" s="13">
        <f t="shared" si="242"/>
        <v>2101778</v>
      </c>
      <c r="P1189" s="13">
        <f t="shared" si="243"/>
        <v>2128806</v>
      </c>
      <c r="Q1189" s="13">
        <f t="shared" si="244"/>
        <v>2117221</v>
      </c>
      <c r="R1189" s="33">
        <f t="shared" si="245"/>
        <v>7.3475885654907813E-3</v>
      </c>
      <c r="S1189" s="33">
        <f t="shared" si="246"/>
        <v>-5.4420177320055885E-3</v>
      </c>
    </row>
    <row r="1190" spans="1:19" x14ac:dyDescent="0.25">
      <c r="A1190" t="s">
        <v>42</v>
      </c>
      <c r="B1190">
        <v>4</v>
      </c>
      <c r="C1190" t="s">
        <v>27</v>
      </c>
      <c r="D1190" s="68">
        <v>650</v>
      </c>
      <c r="E1190" s="70">
        <v>666</v>
      </c>
      <c r="F1190" s="70">
        <v>650</v>
      </c>
      <c r="G1190" s="13">
        <f t="shared" si="234"/>
        <v>-16</v>
      </c>
      <c r="H1190" s="13">
        <f t="shared" si="235"/>
        <v>0</v>
      </c>
      <c r="I1190" s="73">
        <f t="shared" si="236"/>
        <v>0</v>
      </c>
      <c r="J1190" s="73">
        <f t="shared" si="237"/>
        <v>-2.4024024024024038E-2</v>
      </c>
      <c r="K1190" s="72" t="str">
        <f t="shared" si="238"/>
        <v>CNJ2</v>
      </c>
      <c r="L1190" s="72" t="str">
        <f t="shared" si="239"/>
        <v>AUGUST-4-CNJ2</v>
      </c>
      <c r="M1190" s="73">
        <f t="shared" si="240"/>
        <v>-4.4444444444444731E-3</v>
      </c>
      <c r="N1190" s="73">
        <f t="shared" si="241"/>
        <v>-0.27294412212135821</v>
      </c>
      <c r="O1190" s="13">
        <f t="shared" si="242"/>
        <v>2101778</v>
      </c>
      <c r="P1190" s="13">
        <f t="shared" si="243"/>
        <v>2128806</v>
      </c>
      <c r="Q1190" s="13">
        <f t="shared" si="244"/>
        <v>2117221</v>
      </c>
      <c r="R1190" s="33">
        <f t="shared" si="245"/>
        <v>7.3475885654907813E-3</v>
      </c>
      <c r="S1190" s="33">
        <f t="shared" si="246"/>
        <v>-5.4420177320055885E-3</v>
      </c>
    </row>
    <row r="1191" spans="1:19" x14ac:dyDescent="0.25">
      <c r="A1191" t="s">
        <v>42</v>
      </c>
      <c r="B1191">
        <v>4</v>
      </c>
      <c r="C1191" t="s">
        <v>27</v>
      </c>
      <c r="D1191" s="68">
        <v>1460</v>
      </c>
      <c r="E1191" s="70">
        <v>1504</v>
      </c>
      <c r="F1191" s="70">
        <v>1460</v>
      </c>
      <c r="G1191" s="13">
        <f t="shared" si="234"/>
        <v>-44</v>
      </c>
      <c r="H1191" s="13">
        <f t="shared" si="235"/>
        <v>0</v>
      </c>
      <c r="I1191" s="73">
        <f t="shared" si="236"/>
        <v>0</v>
      </c>
      <c r="J1191" s="73">
        <f t="shared" si="237"/>
        <v>-2.9255319148936199E-2</v>
      </c>
      <c r="K1191" s="72" t="str">
        <f t="shared" si="238"/>
        <v>CNJ2</v>
      </c>
      <c r="L1191" s="72" t="str">
        <f t="shared" si="239"/>
        <v>AUGUST-4-CNJ2</v>
      </c>
      <c r="M1191" s="73">
        <f t="shared" si="240"/>
        <v>-4.4444444444444731E-3</v>
      </c>
      <c r="N1191" s="73">
        <f t="shared" si="241"/>
        <v>-0.27294412212135821</v>
      </c>
      <c r="O1191" s="13">
        <f t="shared" si="242"/>
        <v>2101778</v>
      </c>
      <c r="P1191" s="13">
        <f t="shared" si="243"/>
        <v>2128806</v>
      </c>
      <c r="Q1191" s="13">
        <f t="shared" si="244"/>
        <v>2117221</v>
      </c>
      <c r="R1191" s="33">
        <f t="shared" si="245"/>
        <v>7.3475885654907813E-3</v>
      </c>
      <c r="S1191" s="33">
        <f t="shared" si="246"/>
        <v>-5.4420177320055885E-3</v>
      </c>
    </row>
    <row r="1192" spans="1:19" x14ac:dyDescent="0.25">
      <c r="A1192" t="s">
        <v>42</v>
      </c>
      <c r="B1192">
        <v>4</v>
      </c>
      <c r="C1192" t="s">
        <v>27</v>
      </c>
      <c r="D1192" s="68">
        <v>200</v>
      </c>
      <c r="E1192" s="70">
        <v>208</v>
      </c>
      <c r="F1192" s="70">
        <v>200</v>
      </c>
      <c r="G1192" s="13">
        <f t="shared" si="234"/>
        <v>-8</v>
      </c>
      <c r="H1192" s="13">
        <f t="shared" si="235"/>
        <v>0</v>
      </c>
      <c r="I1192" s="73">
        <f t="shared" si="236"/>
        <v>0</v>
      </c>
      <c r="J1192" s="73">
        <f t="shared" si="237"/>
        <v>-3.8461538461538436E-2</v>
      </c>
      <c r="K1192" s="72" t="str">
        <f t="shared" si="238"/>
        <v>CNJ2</v>
      </c>
      <c r="L1192" s="72" t="str">
        <f t="shared" si="239"/>
        <v>AUGUST-4-CNJ2</v>
      </c>
      <c r="M1192" s="73">
        <f t="shared" si="240"/>
        <v>-4.4444444444444731E-3</v>
      </c>
      <c r="N1192" s="73">
        <f t="shared" si="241"/>
        <v>-0.27294412212135821</v>
      </c>
      <c r="O1192" s="13">
        <f t="shared" si="242"/>
        <v>2101778</v>
      </c>
      <c r="P1192" s="13">
        <f t="shared" si="243"/>
        <v>2128806</v>
      </c>
      <c r="Q1192" s="13">
        <f t="shared" si="244"/>
        <v>2117221</v>
      </c>
      <c r="R1192" s="33">
        <f t="shared" si="245"/>
        <v>7.3475885654907813E-3</v>
      </c>
      <c r="S1192" s="33">
        <f t="shared" si="246"/>
        <v>-5.4420177320055885E-3</v>
      </c>
    </row>
    <row r="1193" spans="1:19" x14ac:dyDescent="0.25">
      <c r="A1193" t="s">
        <v>42</v>
      </c>
      <c r="B1193">
        <v>4</v>
      </c>
      <c r="C1193" t="s">
        <v>27</v>
      </c>
      <c r="D1193" s="68">
        <v>1400</v>
      </c>
      <c r="E1193" s="70">
        <v>1432</v>
      </c>
      <c r="F1193" s="70">
        <v>1400</v>
      </c>
      <c r="G1193" s="13">
        <f t="shared" si="234"/>
        <v>-32</v>
      </c>
      <c r="H1193" s="13">
        <f t="shared" si="235"/>
        <v>0</v>
      </c>
      <c r="I1193" s="73">
        <f t="shared" si="236"/>
        <v>0</v>
      </c>
      <c r="J1193" s="73">
        <f t="shared" si="237"/>
        <v>-2.2346368715083775E-2</v>
      </c>
      <c r="K1193" s="72" t="str">
        <f t="shared" si="238"/>
        <v>CNJ2</v>
      </c>
      <c r="L1193" s="72" t="str">
        <f t="shared" si="239"/>
        <v>AUGUST-4-CNJ2</v>
      </c>
      <c r="M1193" s="73">
        <f t="shared" si="240"/>
        <v>-4.4444444444444731E-3</v>
      </c>
      <c r="N1193" s="73">
        <f t="shared" si="241"/>
        <v>-0.27294412212135821</v>
      </c>
      <c r="O1193" s="13">
        <f t="shared" si="242"/>
        <v>2101778</v>
      </c>
      <c r="P1193" s="13">
        <f t="shared" si="243"/>
        <v>2128806</v>
      </c>
      <c r="Q1193" s="13">
        <f t="shared" si="244"/>
        <v>2117221</v>
      </c>
      <c r="R1193" s="33">
        <f t="shared" si="245"/>
        <v>7.3475885654907813E-3</v>
      </c>
      <c r="S1193" s="33">
        <f t="shared" si="246"/>
        <v>-5.4420177320055885E-3</v>
      </c>
    </row>
    <row r="1194" spans="1:19" x14ac:dyDescent="0.25">
      <c r="A1194" t="s">
        <v>42</v>
      </c>
      <c r="B1194">
        <v>4</v>
      </c>
      <c r="C1194" t="s">
        <v>27</v>
      </c>
      <c r="D1194" s="68">
        <v>540</v>
      </c>
      <c r="E1194" s="70">
        <v>560</v>
      </c>
      <c r="F1194" s="70">
        <v>540</v>
      </c>
      <c r="G1194" s="13">
        <f t="shared" si="234"/>
        <v>-20</v>
      </c>
      <c r="H1194" s="13">
        <f t="shared" si="235"/>
        <v>0</v>
      </c>
      <c r="I1194" s="73">
        <f t="shared" si="236"/>
        <v>0</v>
      </c>
      <c r="J1194" s="73">
        <f t="shared" si="237"/>
        <v>-3.5714285714285698E-2</v>
      </c>
      <c r="K1194" s="72" t="str">
        <f t="shared" si="238"/>
        <v>CNJ2</v>
      </c>
      <c r="L1194" s="72" t="str">
        <f t="shared" si="239"/>
        <v>AUGUST-4-CNJ2</v>
      </c>
      <c r="M1194" s="73">
        <f t="shared" si="240"/>
        <v>-4.4444444444444731E-3</v>
      </c>
      <c r="N1194" s="73">
        <f t="shared" si="241"/>
        <v>-0.27294412212135821</v>
      </c>
      <c r="O1194" s="13">
        <f t="shared" si="242"/>
        <v>2101778</v>
      </c>
      <c r="P1194" s="13">
        <f t="shared" si="243"/>
        <v>2128806</v>
      </c>
      <c r="Q1194" s="13">
        <f t="shared" si="244"/>
        <v>2117221</v>
      </c>
      <c r="R1194" s="33">
        <f t="shared" si="245"/>
        <v>7.3475885654907813E-3</v>
      </c>
      <c r="S1194" s="33">
        <f t="shared" si="246"/>
        <v>-5.4420177320055885E-3</v>
      </c>
    </row>
    <row r="1195" spans="1:19" x14ac:dyDescent="0.25">
      <c r="A1195" t="s">
        <v>42</v>
      </c>
      <c r="B1195">
        <v>4</v>
      </c>
      <c r="C1195" t="s">
        <v>27</v>
      </c>
      <c r="D1195" s="68">
        <v>970</v>
      </c>
      <c r="E1195" s="70">
        <v>1016</v>
      </c>
      <c r="F1195" s="70">
        <v>970</v>
      </c>
      <c r="G1195" s="13">
        <f t="shared" si="234"/>
        <v>-46</v>
      </c>
      <c r="H1195" s="13">
        <f t="shared" si="235"/>
        <v>0</v>
      </c>
      <c r="I1195" s="73">
        <f t="shared" si="236"/>
        <v>0</v>
      </c>
      <c r="J1195" s="73">
        <f t="shared" si="237"/>
        <v>-4.5275590551181133E-2</v>
      </c>
      <c r="K1195" s="72" t="str">
        <f t="shared" si="238"/>
        <v>CNJ2</v>
      </c>
      <c r="L1195" s="72" t="str">
        <f t="shared" si="239"/>
        <v>AUGUST-4-CNJ2</v>
      </c>
      <c r="M1195" s="73">
        <f t="shared" si="240"/>
        <v>-4.4444444444444731E-3</v>
      </c>
      <c r="N1195" s="73">
        <f t="shared" si="241"/>
        <v>-0.27294412212135821</v>
      </c>
      <c r="O1195" s="13">
        <f t="shared" si="242"/>
        <v>2101778</v>
      </c>
      <c r="P1195" s="13">
        <f t="shared" si="243"/>
        <v>2128806</v>
      </c>
      <c r="Q1195" s="13">
        <f t="shared" si="244"/>
        <v>2117221</v>
      </c>
      <c r="R1195" s="33">
        <f t="shared" si="245"/>
        <v>7.3475885654907813E-3</v>
      </c>
      <c r="S1195" s="33">
        <f t="shared" si="246"/>
        <v>-5.4420177320055885E-3</v>
      </c>
    </row>
    <row r="1196" spans="1:19" x14ac:dyDescent="0.25">
      <c r="A1196" t="s">
        <v>42</v>
      </c>
      <c r="B1196">
        <v>4</v>
      </c>
      <c r="C1196" t="s">
        <v>17</v>
      </c>
      <c r="D1196" s="68">
        <v>1030</v>
      </c>
      <c r="E1196" s="70">
        <v>1030</v>
      </c>
      <c r="F1196" s="70">
        <v>1030</v>
      </c>
      <c r="G1196" s="13">
        <f t="shared" si="234"/>
        <v>0</v>
      </c>
      <c r="H1196" s="13">
        <f t="shared" si="235"/>
        <v>0</v>
      </c>
      <c r="I1196" s="73">
        <f t="shared" si="236"/>
        <v>0</v>
      </c>
      <c r="J1196" s="73">
        <f t="shared" si="237"/>
        <v>0</v>
      </c>
      <c r="K1196" s="72" t="str">
        <f t="shared" si="238"/>
        <v>CBA</v>
      </c>
      <c r="L1196" s="72" t="str">
        <f t="shared" si="239"/>
        <v>AUGUST-4-CBA</v>
      </c>
      <c r="M1196" s="73">
        <f t="shared" si="240"/>
        <v>0</v>
      </c>
      <c r="N1196" s="73">
        <f t="shared" si="241"/>
        <v>0</v>
      </c>
      <c r="O1196" s="13">
        <f t="shared" si="242"/>
        <v>2101778</v>
      </c>
      <c r="P1196" s="13">
        <f t="shared" si="243"/>
        <v>2128806</v>
      </c>
      <c r="Q1196" s="13">
        <f t="shared" si="244"/>
        <v>2117221</v>
      </c>
      <c r="R1196" s="33">
        <f t="shared" si="245"/>
        <v>7.3475885654907813E-3</v>
      </c>
      <c r="S1196" s="33">
        <f t="shared" si="246"/>
        <v>-5.4420177320055885E-3</v>
      </c>
    </row>
    <row r="1197" spans="1:19" x14ac:dyDescent="0.25">
      <c r="A1197" t="s">
        <v>42</v>
      </c>
      <c r="B1197">
        <v>4</v>
      </c>
      <c r="C1197" t="s">
        <v>17</v>
      </c>
      <c r="D1197" s="68">
        <v>820</v>
      </c>
      <c r="E1197" s="70">
        <v>820</v>
      </c>
      <c r="F1197" s="70">
        <v>820</v>
      </c>
      <c r="G1197" s="13">
        <f t="shared" si="234"/>
        <v>0</v>
      </c>
      <c r="H1197" s="13">
        <f t="shared" si="235"/>
        <v>0</v>
      </c>
      <c r="I1197" s="73">
        <f t="shared" si="236"/>
        <v>0</v>
      </c>
      <c r="J1197" s="73">
        <f t="shared" si="237"/>
        <v>0</v>
      </c>
      <c r="K1197" s="72" t="str">
        <f t="shared" si="238"/>
        <v>CBA</v>
      </c>
      <c r="L1197" s="72" t="str">
        <f t="shared" si="239"/>
        <v>AUGUST-4-CBA</v>
      </c>
      <c r="M1197" s="73">
        <f t="shared" si="240"/>
        <v>0</v>
      </c>
      <c r="N1197" s="73">
        <f t="shared" si="241"/>
        <v>0</v>
      </c>
      <c r="O1197" s="13">
        <f t="shared" si="242"/>
        <v>2101778</v>
      </c>
      <c r="P1197" s="13">
        <f t="shared" si="243"/>
        <v>2128806</v>
      </c>
      <c r="Q1197" s="13">
        <f t="shared" si="244"/>
        <v>2117221</v>
      </c>
      <c r="R1197" s="33">
        <f t="shared" si="245"/>
        <v>7.3475885654907813E-3</v>
      </c>
      <c r="S1197" s="33">
        <f t="shared" si="246"/>
        <v>-5.4420177320055885E-3</v>
      </c>
    </row>
    <row r="1198" spans="1:19" x14ac:dyDescent="0.25">
      <c r="A1198" t="s">
        <v>42</v>
      </c>
      <c r="B1198">
        <v>4</v>
      </c>
      <c r="C1198" t="s">
        <v>27</v>
      </c>
      <c r="D1198" s="68">
        <v>3000</v>
      </c>
      <c r="E1198" s="70">
        <v>3017</v>
      </c>
      <c r="F1198" s="70">
        <v>3000</v>
      </c>
      <c r="G1198" s="13">
        <f t="shared" si="234"/>
        <v>-17</v>
      </c>
      <c r="H1198" s="13">
        <f t="shared" si="235"/>
        <v>0</v>
      </c>
      <c r="I1198" s="73">
        <f t="shared" si="236"/>
        <v>0</v>
      </c>
      <c r="J1198" s="73">
        <f t="shared" si="237"/>
        <v>-5.6347364932051169E-3</v>
      </c>
      <c r="K1198" s="72" t="str">
        <f t="shared" si="238"/>
        <v>CNJ2</v>
      </c>
      <c r="L1198" s="72" t="str">
        <f t="shared" si="239"/>
        <v>AUGUST-4-CNJ2</v>
      </c>
      <c r="M1198" s="73">
        <f t="shared" si="240"/>
        <v>-4.4444444444444731E-3</v>
      </c>
      <c r="N1198" s="73">
        <f t="shared" si="241"/>
        <v>-0.27294412212135821</v>
      </c>
      <c r="O1198" s="13">
        <f t="shared" si="242"/>
        <v>2101778</v>
      </c>
      <c r="P1198" s="13">
        <f t="shared" si="243"/>
        <v>2128806</v>
      </c>
      <c r="Q1198" s="13">
        <f t="shared" si="244"/>
        <v>2117221</v>
      </c>
      <c r="R1198" s="33">
        <f t="shared" si="245"/>
        <v>7.3475885654907813E-3</v>
      </c>
      <c r="S1198" s="33">
        <f t="shared" si="246"/>
        <v>-5.4420177320055885E-3</v>
      </c>
    </row>
    <row r="1199" spans="1:19" x14ac:dyDescent="0.25">
      <c r="A1199" t="s">
        <v>42</v>
      </c>
      <c r="B1199">
        <v>4</v>
      </c>
      <c r="C1199" t="s">
        <v>27</v>
      </c>
      <c r="D1199" s="68">
        <v>3000</v>
      </c>
      <c r="E1199" s="70">
        <v>3051</v>
      </c>
      <c r="F1199" s="70">
        <v>3000</v>
      </c>
      <c r="G1199" s="13">
        <f t="shared" si="234"/>
        <v>-51</v>
      </c>
      <c r="H1199" s="13">
        <f t="shared" si="235"/>
        <v>0</v>
      </c>
      <c r="I1199" s="73">
        <f t="shared" si="236"/>
        <v>0</v>
      </c>
      <c r="J1199" s="73">
        <f t="shared" si="237"/>
        <v>-1.6715830875122961E-2</v>
      </c>
      <c r="K1199" s="72" t="str">
        <f t="shared" si="238"/>
        <v>CNJ2</v>
      </c>
      <c r="L1199" s="72" t="str">
        <f t="shared" si="239"/>
        <v>AUGUST-4-CNJ2</v>
      </c>
      <c r="M1199" s="73">
        <f t="shared" si="240"/>
        <v>-4.4444444444444731E-3</v>
      </c>
      <c r="N1199" s="73">
        <f t="shared" si="241"/>
        <v>-0.27294412212135821</v>
      </c>
      <c r="O1199" s="13">
        <f t="shared" si="242"/>
        <v>2101778</v>
      </c>
      <c r="P1199" s="13">
        <f t="shared" si="243"/>
        <v>2128806</v>
      </c>
      <c r="Q1199" s="13">
        <f t="shared" si="244"/>
        <v>2117221</v>
      </c>
      <c r="R1199" s="33">
        <f t="shared" si="245"/>
        <v>7.3475885654907813E-3</v>
      </c>
      <c r="S1199" s="33">
        <f t="shared" si="246"/>
        <v>-5.4420177320055885E-3</v>
      </c>
    </row>
    <row r="1200" spans="1:19" x14ac:dyDescent="0.25">
      <c r="A1200" t="s">
        <v>42</v>
      </c>
      <c r="B1200">
        <v>4</v>
      </c>
      <c r="C1200" t="s">
        <v>27</v>
      </c>
      <c r="D1200" s="68">
        <v>6190</v>
      </c>
      <c r="E1200" s="70">
        <v>6222</v>
      </c>
      <c r="F1200" s="70">
        <v>6190</v>
      </c>
      <c r="G1200" s="13">
        <f t="shared" si="234"/>
        <v>-32</v>
      </c>
      <c r="H1200" s="13">
        <f t="shared" si="235"/>
        <v>0</v>
      </c>
      <c r="I1200" s="73">
        <f t="shared" si="236"/>
        <v>0</v>
      </c>
      <c r="J1200" s="73">
        <f t="shared" si="237"/>
        <v>-5.1430408228865243E-3</v>
      </c>
      <c r="K1200" s="72" t="str">
        <f t="shared" si="238"/>
        <v>CNJ2</v>
      </c>
      <c r="L1200" s="72" t="str">
        <f t="shared" si="239"/>
        <v>AUGUST-4-CNJ2</v>
      </c>
      <c r="M1200" s="73">
        <f t="shared" si="240"/>
        <v>-4.4444444444444731E-3</v>
      </c>
      <c r="N1200" s="73">
        <f t="shared" si="241"/>
        <v>-0.27294412212135821</v>
      </c>
      <c r="O1200" s="13">
        <f t="shared" si="242"/>
        <v>2101778</v>
      </c>
      <c r="P1200" s="13">
        <f t="shared" si="243"/>
        <v>2128806</v>
      </c>
      <c r="Q1200" s="13">
        <f t="shared" si="244"/>
        <v>2117221</v>
      </c>
      <c r="R1200" s="33">
        <f t="shared" si="245"/>
        <v>7.3475885654907813E-3</v>
      </c>
      <c r="S1200" s="33">
        <f t="shared" si="246"/>
        <v>-5.4420177320055885E-3</v>
      </c>
    </row>
    <row r="1201" spans="1:19" x14ac:dyDescent="0.25">
      <c r="A1201" t="s">
        <v>42</v>
      </c>
      <c r="B1201">
        <v>4</v>
      </c>
      <c r="C1201" t="s">
        <v>27</v>
      </c>
      <c r="D1201" s="68">
        <v>1125</v>
      </c>
      <c r="E1201" s="70">
        <v>1125</v>
      </c>
      <c r="F1201" s="70">
        <v>1120</v>
      </c>
      <c r="G1201" s="13">
        <f t="shared" si="234"/>
        <v>-5</v>
      </c>
      <c r="H1201" s="13">
        <f t="shared" si="235"/>
        <v>-5</v>
      </c>
      <c r="I1201" s="73">
        <f t="shared" si="236"/>
        <v>-4.4444444444444731E-3</v>
      </c>
      <c r="J1201" s="73">
        <f t="shared" si="237"/>
        <v>-4.4444444444444731E-3</v>
      </c>
      <c r="K1201" s="72" t="str">
        <f t="shared" si="238"/>
        <v>CNJ2</v>
      </c>
      <c r="L1201" s="72" t="str">
        <f t="shared" si="239"/>
        <v>AUGUST-4-CNJ2</v>
      </c>
      <c r="M1201" s="73">
        <f t="shared" si="240"/>
        <v>-4.4444444444444731E-3</v>
      </c>
      <c r="N1201" s="73">
        <f t="shared" si="241"/>
        <v>-0.27294412212135821</v>
      </c>
      <c r="O1201" s="13">
        <f t="shared" si="242"/>
        <v>2101778</v>
      </c>
      <c r="P1201" s="13">
        <f t="shared" si="243"/>
        <v>2128806</v>
      </c>
      <c r="Q1201" s="13">
        <f t="shared" si="244"/>
        <v>2117221</v>
      </c>
      <c r="R1201" s="33">
        <f t="shared" si="245"/>
        <v>7.3475885654907813E-3</v>
      </c>
      <c r="S1201" s="33">
        <f t="shared" si="246"/>
        <v>-5.4420177320055885E-3</v>
      </c>
    </row>
    <row r="1202" spans="1:19" x14ac:dyDescent="0.25">
      <c r="A1202" t="s">
        <v>42</v>
      </c>
      <c r="B1202">
        <v>4</v>
      </c>
      <c r="C1202" t="s">
        <v>27</v>
      </c>
      <c r="D1202" s="68">
        <v>1260</v>
      </c>
      <c r="E1202" s="70">
        <v>1284</v>
      </c>
      <c r="F1202" s="70">
        <v>1260</v>
      </c>
      <c r="G1202" s="13">
        <f t="shared" si="234"/>
        <v>-24</v>
      </c>
      <c r="H1202" s="13">
        <f t="shared" si="235"/>
        <v>0</v>
      </c>
      <c r="I1202" s="73">
        <f t="shared" si="236"/>
        <v>0</v>
      </c>
      <c r="J1202" s="73">
        <f t="shared" si="237"/>
        <v>-1.8691588785046731E-2</v>
      </c>
      <c r="K1202" s="72" t="str">
        <f t="shared" si="238"/>
        <v>CNJ2</v>
      </c>
      <c r="L1202" s="72" t="str">
        <f t="shared" si="239"/>
        <v>AUGUST-4-CNJ2</v>
      </c>
      <c r="M1202" s="73">
        <f t="shared" si="240"/>
        <v>-4.4444444444444731E-3</v>
      </c>
      <c r="N1202" s="73">
        <f t="shared" si="241"/>
        <v>-0.27294412212135821</v>
      </c>
      <c r="O1202" s="13">
        <f t="shared" si="242"/>
        <v>2101778</v>
      </c>
      <c r="P1202" s="13">
        <f t="shared" si="243"/>
        <v>2128806</v>
      </c>
      <c r="Q1202" s="13">
        <f t="shared" si="244"/>
        <v>2117221</v>
      </c>
      <c r="R1202" s="33">
        <f t="shared" si="245"/>
        <v>7.3475885654907813E-3</v>
      </c>
      <c r="S1202" s="33">
        <f t="shared" si="246"/>
        <v>-5.4420177320055885E-3</v>
      </c>
    </row>
    <row r="1203" spans="1:19" x14ac:dyDescent="0.25">
      <c r="A1203" t="s">
        <v>42</v>
      </c>
      <c r="B1203">
        <v>4</v>
      </c>
      <c r="C1203" t="s">
        <v>15</v>
      </c>
      <c r="D1203" s="68">
        <v>1977</v>
      </c>
      <c r="E1203" s="70">
        <v>1983</v>
      </c>
      <c r="F1203" s="70">
        <v>1978</v>
      </c>
      <c r="G1203" s="13">
        <f t="shared" si="234"/>
        <v>-5</v>
      </c>
      <c r="H1203" s="13">
        <f t="shared" si="235"/>
        <v>1</v>
      </c>
      <c r="I1203" s="73">
        <f t="shared" si="236"/>
        <v>5.0581689428419452E-4</v>
      </c>
      <c r="J1203" s="73">
        <f t="shared" si="237"/>
        <v>-2.5214321734745582E-3</v>
      </c>
      <c r="K1203" s="72" t="str">
        <f t="shared" si="238"/>
        <v>CHAWAN</v>
      </c>
      <c r="L1203" s="72" t="str">
        <f t="shared" si="239"/>
        <v>AUGUST-4-CHAWAN</v>
      </c>
      <c r="M1203" s="73">
        <f t="shared" si="240"/>
        <v>5.0581689428419452E-4</v>
      </c>
      <c r="N1203" s="73">
        <f t="shared" si="241"/>
        <v>-2.5214321734745582E-3</v>
      </c>
      <c r="O1203" s="13">
        <f t="shared" si="242"/>
        <v>2101778</v>
      </c>
      <c r="P1203" s="13">
        <f t="shared" si="243"/>
        <v>2128806</v>
      </c>
      <c r="Q1203" s="13">
        <f t="shared" si="244"/>
        <v>2117221</v>
      </c>
      <c r="R1203" s="33">
        <f t="shared" si="245"/>
        <v>7.3475885654907813E-3</v>
      </c>
      <c r="S1203" s="33">
        <f t="shared" si="246"/>
        <v>-5.4420177320055885E-3</v>
      </c>
    </row>
    <row r="1204" spans="1:19" x14ac:dyDescent="0.25">
      <c r="A1204" t="s">
        <v>42</v>
      </c>
      <c r="B1204">
        <v>4</v>
      </c>
      <c r="C1204" t="s">
        <v>16</v>
      </c>
      <c r="D1204" s="68">
        <v>54000</v>
      </c>
      <c r="E1204" s="70">
        <v>54386</v>
      </c>
      <c r="F1204" s="70">
        <v>54239</v>
      </c>
      <c r="G1204" s="13">
        <f t="shared" si="234"/>
        <v>-147</v>
      </c>
      <c r="H1204" s="13">
        <f t="shared" si="235"/>
        <v>239</v>
      </c>
      <c r="I1204" s="73">
        <f t="shared" si="236"/>
        <v>4.4259259259258332E-3</v>
      </c>
      <c r="J1204" s="73">
        <f t="shared" si="237"/>
        <v>-2.7029014819990316E-3</v>
      </c>
      <c r="K1204" s="72" t="str">
        <f t="shared" si="238"/>
        <v>ANUGERAH</v>
      </c>
      <c r="L1204" s="72" t="str">
        <f t="shared" si="239"/>
        <v>AUGUST-4-ANUGERAH</v>
      </c>
      <c r="M1204" s="73">
        <f t="shared" si="240"/>
        <v>-0.22644386551451789</v>
      </c>
      <c r="N1204" s="73">
        <f t="shared" si="241"/>
        <v>-0.19119967570500929</v>
      </c>
      <c r="O1204" s="13">
        <f t="shared" si="242"/>
        <v>2101778</v>
      </c>
      <c r="P1204" s="13">
        <f t="shared" si="243"/>
        <v>2128806</v>
      </c>
      <c r="Q1204" s="13">
        <f t="shared" si="244"/>
        <v>2117221</v>
      </c>
      <c r="R1204" s="33">
        <f t="shared" si="245"/>
        <v>7.3475885654907813E-3</v>
      </c>
      <c r="S1204" s="33">
        <f t="shared" si="246"/>
        <v>-5.4420177320055885E-3</v>
      </c>
    </row>
    <row r="1205" spans="1:19" x14ac:dyDescent="0.25">
      <c r="A1205" t="s">
        <v>42</v>
      </c>
      <c r="B1205">
        <v>4</v>
      </c>
      <c r="C1205" t="s">
        <v>16</v>
      </c>
      <c r="D1205" s="68">
        <v>34500</v>
      </c>
      <c r="E1205" s="70">
        <v>35027</v>
      </c>
      <c r="F1205" s="70">
        <v>34689</v>
      </c>
      <c r="G1205" s="13">
        <f t="shared" si="234"/>
        <v>-338</v>
      </c>
      <c r="H1205" s="13">
        <f t="shared" si="235"/>
        <v>189</v>
      </c>
      <c r="I1205" s="73">
        <f t="shared" si="236"/>
        <v>5.4782608695651547E-3</v>
      </c>
      <c r="J1205" s="73">
        <f t="shared" si="237"/>
        <v>-9.6496988037799714E-3</v>
      </c>
      <c r="K1205" s="72" t="str">
        <f t="shared" si="238"/>
        <v>ANUGERAH</v>
      </c>
      <c r="L1205" s="72" t="str">
        <f t="shared" si="239"/>
        <v>AUGUST-4-ANUGERAH</v>
      </c>
      <c r="M1205" s="73">
        <f t="shared" si="240"/>
        <v>-0.22644386551451789</v>
      </c>
      <c r="N1205" s="73">
        <f t="shared" si="241"/>
        <v>-0.19119967570500929</v>
      </c>
      <c r="O1205" s="13">
        <f t="shared" si="242"/>
        <v>2101778</v>
      </c>
      <c r="P1205" s="13">
        <f t="shared" si="243"/>
        <v>2128806</v>
      </c>
      <c r="Q1205" s="13">
        <f t="shared" si="244"/>
        <v>2117221</v>
      </c>
      <c r="R1205" s="33">
        <f t="shared" si="245"/>
        <v>7.3475885654907813E-3</v>
      </c>
      <c r="S1205" s="33">
        <f t="shared" si="246"/>
        <v>-5.4420177320055885E-3</v>
      </c>
    </row>
    <row r="1206" spans="1:19" x14ac:dyDescent="0.25">
      <c r="A1206" t="s">
        <v>42</v>
      </c>
      <c r="B1206">
        <v>4</v>
      </c>
      <c r="C1206" t="s">
        <v>16</v>
      </c>
      <c r="D1206" s="68">
        <v>33000</v>
      </c>
      <c r="E1206" s="70">
        <v>33254</v>
      </c>
      <c r="F1206" s="70">
        <v>33185</v>
      </c>
      <c r="G1206" s="13">
        <f t="shared" si="234"/>
        <v>-69</v>
      </c>
      <c r="H1206" s="13">
        <f t="shared" si="235"/>
        <v>185</v>
      </c>
      <c r="I1206" s="73">
        <f t="shared" si="236"/>
        <v>5.6060606060606144E-3</v>
      </c>
      <c r="J1206" s="73">
        <f t="shared" si="237"/>
        <v>-2.0749383532807641E-3</v>
      </c>
      <c r="K1206" s="72" t="str">
        <f t="shared" si="238"/>
        <v>ANUGERAH</v>
      </c>
      <c r="L1206" s="72" t="str">
        <f t="shared" si="239"/>
        <v>AUGUST-4-ANUGERAH</v>
      </c>
      <c r="M1206" s="73">
        <f t="shared" si="240"/>
        <v>-0.22644386551451789</v>
      </c>
      <c r="N1206" s="73">
        <f t="shared" si="241"/>
        <v>-0.19119967570500929</v>
      </c>
      <c r="O1206" s="13">
        <f t="shared" si="242"/>
        <v>2101778</v>
      </c>
      <c r="P1206" s="13">
        <f t="shared" si="243"/>
        <v>2128806</v>
      </c>
      <c r="Q1206" s="13">
        <f t="shared" si="244"/>
        <v>2117221</v>
      </c>
      <c r="R1206" s="33">
        <f t="shared" si="245"/>
        <v>7.3475885654907813E-3</v>
      </c>
      <c r="S1206" s="33">
        <f t="shared" si="246"/>
        <v>-5.4420177320055885E-3</v>
      </c>
    </row>
    <row r="1207" spans="1:19" x14ac:dyDescent="0.25">
      <c r="A1207" t="s">
        <v>42</v>
      </c>
      <c r="B1207">
        <v>4</v>
      </c>
      <c r="C1207" t="s">
        <v>16</v>
      </c>
      <c r="D1207" s="68">
        <v>6500</v>
      </c>
      <c r="E1207" s="70">
        <v>6501</v>
      </c>
      <c r="F1207" s="70">
        <v>6457</v>
      </c>
      <c r="G1207" s="13">
        <f t="shared" si="234"/>
        <v>-44</v>
      </c>
      <c r="H1207" s="13">
        <f t="shared" si="235"/>
        <v>-43</v>
      </c>
      <c r="I1207" s="73">
        <f t="shared" si="236"/>
        <v>-6.6153846153845786E-3</v>
      </c>
      <c r="J1207" s="73">
        <f t="shared" si="237"/>
        <v>-6.7681895093062439E-3</v>
      </c>
      <c r="K1207" s="72" t="str">
        <f t="shared" si="238"/>
        <v>ANUGERAH</v>
      </c>
      <c r="L1207" s="72" t="str">
        <f t="shared" si="239"/>
        <v>AUGUST-4-ANUGERAH</v>
      </c>
      <c r="M1207" s="73">
        <f t="shared" si="240"/>
        <v>-0.22644386551451789</v>
      </c>
      <c r="N1207" s="73">
        <f t="shared" si="241"/>
        <v>-0.19119967570500929</v>
      </c>
      <c r="O1207" s="13">
        <f t="shared" si="242"/>
        <v>2101778</v>
      </c>
      <c r="P1207" s="13">
        <f t="shared" si="243"/>
        <v>2128806</v>
      </c>
      <c r="Q1207" s="13">
        <f t="shared" si="244"/>
        <v>2117221</v>
      </c>
      <c r="R1207" s="33">
        <f t="shared" si="245"/>
        <v>7.3475885654907813E-3</v>
      </c>
      <c r="S1207" s="33">
        <f t="shared" si="246"/>
        <v>-5.4420177320055885E-3</v>
      </c>
    </row>
    <row r="1208" spans="1:19" x14ac:dyDescent="0.25">
      <c r="A1208" t="s">
        <v>42</v>
      </c>
      <c r="B1208">
        <v>4</v>
      </c>
      <c r="C1208" t="s">
        <v>16</v>
      </c>
      <c r="D1208" s="68">
        <v>7500</v>
      </c>
      <c r="E1208" s="70">
        <v>7500</v>
      </c>
      <c r="F1208" s="70">
        <v>7293</v>
      </c>
      <c r="G1208" s="13">
        <f t="shared" si="234"/>
        <v>-207</v>
      </c>
      <c r="H1208" s="13">
        <f t="shared" si="235"/>
        <v>-207</v>
      </c>
      <c r="I1208" s="73">
        <f t="shared" si="236"/>
        <v>-2.7599999999999958E-2</v>
      </c>
      <c r="J1208" s="73">
        <f t="shared" si="237"/>
        <v>-2.7599999999999958E-2</v>
      </c>
      <c r="K1208" s="72" t="str">
        <f t="shared" si="238"/>
        <v>ANUGERAH</v>
      </c>
      <c r="L1208" s="72" t="str">
        <f t="shared" si="239"/>
        <v>AUGUST-4-ANUGERAH</v>
      </c>
      <c r="M1208" s="73">
        <f t="shared" si="240"/>
        <v>-0.22644386551451789</v>
      </c>
      <c r="N1208" s="73">
        <f t="shared" si="241"/>
        <v>-0.19119967570500929</v>
      </c>
      <c r="O1208" s="13">
        <f t="shared" si="242"/>
        <v>2101778</v>
      </c>
      <c r="P1208" s="13">
        <f t="shared" si="243"/>
        <v>2128806</v>
      </c>
      <c r="Q1208" s="13">
        <f t="shared" si="244"/>
        <v>2117221</v>
      </c>
      <c r="R1208" s="33">
        <f t="shared" si="245"/>
        <v>7.3475885654907813E-3</v>
      </c>
      <c r="S1208" s="33">
        <f t="shared" si="246"/>
        <v>-5.4420177320055885E-3</v>
      </c>
    </row>
    <row r="1209" spans="1:19" x14ac:dyDescent="0.25">
      <c r="A1209" t="s">
        <v>42</v>
      </c>
      <c r="B1209">
        <v>4</v>
      </c>
      <c r="C1209" t="s">
        <v>16</v>
      </c>
      <c r="D1209" s="68">
        <v>28000</v>
      </c>
      <c r="E1209" s="70">
        <v>28000</v>
      </c>
      <c r="F1209" s="70">
        <v>27837</v>
      </c>
      <c r="G1209" s="13">
        <f t="shared" si="234"/>
        <v>-163</v>
      </c>
      <c r="H1209" s="13">
        <f t="shared" si="235"/>
        <v>-163</v>
      </c>
      <c r="I1209" s="73">
        <f t="shared" si="236"/>
        <v>-5.821428571428533E-3</v>
      </c>
      <c r="J1209" s="73">
        <f t="shared" si="237"/>
        <v>-5.821428571428533E-3</v>
      </c>
      <c r="K1209" s="72" t="str">
        <f t="shared" si="238"/>
        <v>ANUGERAH</v>
      </c>
      <c r="L1209" s="72" t="str">
        <f t="shared" si="239"/>
        <v>AUGUST-4-ANUGERAH</v>
      </c>
      <c r="M1209" s="73">
        <f t="shared" si="240"/>
        <v>-0.22644386551451789</v>
      </c>
      <c r="N1209" s="73">
        <f t="shared" si="241"/>
        <v>-0.19119967570500929</v>
      </c>
      <c r="O1209" s="13">
        <f t="shared" si="242"/>
        <v>2101778</v>
      </c>
      <c r="P1209" s="13">
        <f t="shared" si="243"/>
        <v>2128806</v>
      </c>
      <c r="Q1209" s="13">
        <f t="shared" si="244"/>
        <v>2117221</v>
      </c>
      <c r="R1209" s="33">
        <f t="shared" si="245"/>
        <v>7.3475885654907813E-3</v>
      </c>
      <c r="S1209" s="33">
        <f t="shared" si="246"/>
        <v>-5.4420177320055885E-3</v>
      </c>
    </row>
    <row r="1210" spans="1:19" x14ac:dyDescent="0.25">
      <c r="A1210" t="s">
        <v>42</v>
      </c>
      <c r="B1210">
        <v>4</v>
      </c>
      <c r="C1210" t="s">
        <v>16</v>
      </c>
      <c r="D1210" s="68">
        <v>21000</v>
      </c>
      <c r="E1210" s="70">
        <v>21505</v>
      </c>
      <c r="F1210" s="70">
        <v>21333</v>
      </c>
      <c r="G1210" s="13">
        <f t="shared" si="234"/>
        <v>-172</v>
      </c>
      <c r="H1210" s="13">
        <f t="shared" si="235"/>
        <v>333</v>
      </c>
      <c r="I1210" s="73">
        <f t="shared" si="236"/>
        <v>1.5857142857142792E-2</v>
      </c>
      <c r="J1210" s="73">
        <f t="shared" si="237"/>
        <v>-7.9981399674494691E-3</v>
      </c>
      <c r="K1210" s="72" t="str">
        <f t="shared" si="238"/>
        <v>ANUGERAH</v>
      </c>
      <c r="L1210" s="72" t="str">
        <f t="shared" si="239"/>
        <v>AUGUST-4-ANUGERAH</v>
      </c>
      <c r="M1210" s="73">
        <f t="shared" si="240"/>
        <v>-0.22644386551451789</v>
      </c>
      <c r="N1210" s="73">
        <f t="shared" si="241"/>
        <v>-0.19119967570500929</v>
      </c>
      <c r="O1210" s="13">
        <f t="shared" si="242"/>
        <v>2101778</v>
      </c>
      <c r="P1210" s="13">
        <f t="shared" si="243"/>
        <v>2128806</v>
      </c>
      <c r="Q1210" s="13">
        <f t="shared" si="244"/>
        <v>2117221</v>
      </c>
      <c r="R1210" s="33">
        <f t="shared" si="245"/>
        <v>7.3475885654907813E-3</v>
      </c>
      <c r="S1210" s="33">
        <f t="shared" si="246"/>
        <v>-5.4420177320055885E-3</v>
      </c>
    </row>
    <row r="1211" spans="1:19" x14ac:dyDescent="0.25">
      <c r="A1211" t="s">
        <v>42</v>
      </c>
      <c r="B1211">
        <v>4</v>
      </c>
      <c r="C1211" t="s">
        <v>16</v>
      </c>
      <c r="D1211" s="68">
        <v>40000</v>
      </c>
      <c r="E1211" s="70">
        <v>40800</v>
      </c>
      <c r="F1211" s="70">
        <v>40569</v>
      </c>
      <c r="G1211" s="13">
        <f t="shared" si="234"/>
        <v>-231</v>
      </c>
      <c r="H1211" s="13">
        <f t="shared" si="235"/>
        <v>569</v>
      </c>
      <c r="I1211" s="73">
        <f t="shared" si="236"/>
        <v>1.4224999999999932E-2</v>
      </c>
      <c r="J1211" s="73">
        <f t="shared" si="237"/>
        <v>-5.6617647058823106E-3</v>
      </c>
      <c r="K1211" s="72" t="str">
        <f t="shared" si="238"/>
        <v>ANUGERAH</v>
      </c>
      <c r="L1211" s="72" t="str">
        <f t="shared" si="239"/>
        <v>AUGUST-4-ANUGERAH</v>
      </c>
      <c r="M1211" s="73">
        <f t="shared" si="240"/>
        <v>-0.22644386551451789</v>
      </c>
      <c r="N1211" s="73">
        <f t="shared" si="241"/>
        <v>-0.19119967570500929</v>
      </c>
      <c r="O1211" s="13">
        <f t="shared" si="242"/>
        <v>2101778</v>
      </c>
      <c r="P1211" s="13">
        <f t="shared" si="243"/>
        <v>2128806</v>
      </c>
      <c r="Q1211" s="13">
        <f t="shared" si="244"/>
        <v>2117221</v>
      </c>
      <c r="R1211" s="33">
        <f t="shared" si="245"/>
        <v>7.3475885654907813E-3</v>
      </c>
      <c r="S1211" s="33">
        <f t="shared" si="246"/>
        <v>-5.4420177320055885E-3</v>
      </c>
    </row>
    <row r="1212" spans="1:19" x14ac:dyDescent="0.25">
      <c r="A1212" t="s">
        <v>42</v>
      </c>
      <c r="B1212">
        <v>4</v>
      </c>
      <c r="C1212" t="s">
        <v>16</v>
      </c>
      <c r="D1212" s="68">
        <v>6500</v>
      </c>
      <c r="E1212" s="70">
        <v>6500</v>
      </c>
      <c r="F1212" s="70">
        <v>6346</v>
      </c>
      <c r="G1212" s="13">
        <f t="shared" si="234"/>
        <v>-154</v>
      </c>
      <c r="H1212" s="13">
        <f t="shared" si="235"/>
        <v>-154</v>
      </c>
      <c r="I1212" s="73">
        <f t="shared" si="236"/>
        <v>-2.3692307692307679E-2</v>
      </c>
      <c r="J1212" s="73">
        <f t="shared" si="237"/>
        <v>-2.3692307692307679E-2</v>
      </c>
      <c r="K1212" s="72" t="str">
        <f t="shared" si="238"/>
        <v>ANUGERAH</v>
      </c>
      <c r="L1212" s="72" t="str">
        <f t="shared" si="239"/>
        <v>AUGUST-4-ANUGERAH</v>
      </c>
      <c r="M1212" s="73">
        <f t="shared" si="240"/>
        <v>-0.22644386551451789</v>
      </c>
      <c r="N1212" s="73">
        <f t="shared" si="241"/>
        <v>-0.19119967570500929</v>
      </c>
      <c r="O1212" s="13">
        <f t="shared" si="242"/>
        <v>2101778</v>
      </c>
      <c r="P1212" s="13">
        <f t="shared" si="243"/>
        <v>2128806</v>
      </c>
      <c r="Q1212" s="13">
        <f t="shared" si="244"/>
        <v>2117221</v>
      </c>
      <c r="R1212" s="33">
        <f t="shared" si="245"/>
        <v>7.3475885654907813E-3</v>
      </c>
      <c r="S1212" s="33">
        <f t="shared" si="246"/>
        <v>-5.4420177320055885E-3</v>
      </c>
    </row>
    <row r="1213" spans="1:19" x14ac:dyDescent="0.25">
      <c r="A1213" t="s">
        <v>42</v>
      </c>
      <c r="B1213">
        <v>4</v>
      </c>
      <c r="C1213" t="s">
        <v>16</v>
      </c>
      <c r="D1213" s="68">
        <v>5000</v>
      </c>
      <c r="E1213" s="70">
        <v>5000</v>
      </c>
      <c r="F1213" s="70">
        <v>4841</v>
      </c>
      <c r="G1213" s="13">
        <f t="shared" si="234"/>
        <v>-159</v>
      </c>
      <c r="H1213" s="13">
        <f t="shared" si="235"/>
        <v>-159</v>
      </c>
      <c r="I1213" s="73">
        <f t="shared" si="236"/>
        <v>-3.180000000000005E-2</v>
      </c>
      <c r="J1213" s="73">
        <f t="shared" si="237"/>
        <v>-3.180000000000005E-2</v>
      </c>
      <c r="K1213" s="72" t="str">
        <f t="shared" si="238"/>
        <v>ANUGERAH</v>
      </c>
      <c r="L1213" s="72" t="str">
        <f t="shared" si="239"/>
        <v>AUGUST-4-ANUGERAH</v>
      </c>
      <c r="M1213" s="73">
        <f t="shared" si="240"/>
        <v>-0.22644386551451789</v>
      </c>
      <c r="N1213" s="73">
        <f t="shared" si="241"/>
        <v>-0.19119967570500929</v>
      </c>
      <c r="O1213" s="13">
        <f t="shared" si="242"/>
        <v>2101778</v>
      </c>
      <c r="P1213" s="13">
        <f t="shared" si="243"/>
        <v>2128806</v>
      </c>
      <c r="Q1213" s="13">
        <f t="shared" si="244"/>
        <v>2117221</v>
      </c>
      <c r="R1213" s="33">
        <f t="shared" si="245"/>
        <v>7.3475885654907813E-3</v>
      </c>
      <c r="S1213" s="33">
        <f t="shared" si="246"/>
        <v>-5.4420177320055885E-3</v>
      </c>
    </row>
    <row r="1214" spans="1:19" x14ac:dyDescent="0.25">
      <c r="A1214" t="s">
        <v>42</v>
      </c>
      <c r="B1214">
        <v>4</v>
      </c>
      <c r="C1214" t="s">
        <v>16</v>
      </c>
      <c r="D1214" s="68">
        <v>8000</v>
      </c>
      <c r="E1214" s="70">
        <v>7683</v>
      </c>
      <c r="F1214" s="70">
        <v>7600</v>
      </c>
      <c r="G1214" s="13">
        <f t="shared" si="234"/>
        <v>-83</v>
      </c>
      <c r="H1214" s="13">
        <f t="shared" si="235"/>
        <v>-400</v>
      </c>
      <c r="I1214" s="73">
        <f t="shared" si="236"/>
        <v>-5.0000000000000044E-2</v>
      </c>
      <c r="J1214" s="73">
        <f t="shared" si="237"/>
        <v>-1.0803071716777302E-2</v>
      </c>
      <c r="K1214" s="72" t="str">
        <f t="shared" si="238"/>
        <v>ANUGERAH</v>
      </c>
      <c r="L1214" s="72" t="str">
        <f t="shared" si="239"/>
        <v>AUGUST-4-ANUGERAH</v>
      </c>
      <c r="M1214" s="73">
        <f t="shared" si="240"/>
        <v>-0.22644386551451789</v>
      </c>
      <c r="N1214" s="73">
        <f t="shared" si="241"/>
        <v>-0.19119967570500929</v>
      </c>
      <c r="O1214" s="13">
        <f t="shared" si="242"/>
        <v>2101778</v>
      </c>
      <c r="P1214" s="13">
        <f t="shared" si="243"/>
        <v>2128806</v>
      </c>
      <c r="Q1214" s="13">
        <f t="shared" si="244"/>
        <v>2117221</v>
      </c>
      <c r="R1214" s="33">
        <f t="shared" si="245"/>
        <v>7.3475885654907813E-3</v>
      </c>
      <c r="S1214" s="33">
        <f t="shared" si="246"/>
        <v>-5.4420177320055885E-3</v>
      </c>
    </row>
    <row r="1215" spans="1:19" x14ac:dyDescent="0.25">
      <c r="A1215" t="s">
        <v>42</v>
      </c>
      <c r="B1215">
        <v>4</v>
      </c>
      <c r="C1215" t="s">
        <v>16</v>
      </c>
      <c r="D1215" s="68">
        <v>10000</v>
      </c>
      <c r="E1215" s="70">
        <v>9605</v>
      </c>
      <c r="F1215" s="70">
        <v>9488</v>
      </c>
      <c r="G1215" s="13">
        <f t="shared" si="234"/>
        <v>-117</v>
      </c>
      <c r="H1215" s="13">
        <f t="shared" si="235"/>
        <v>-512</v>
      </c>
      <c r="I1215" s="73">
        <f t="shared" si="236"/>
        <v>-5.1200000000000023E-2</v>
      </c>
      <c r="J1215" s="73">
        <f t="shared" si="237"/>
        <v>-1.2181155648099962E-2</v>
      </c>
      <c r="K1215" s="72" t="str">
        <f t="shared" si="238"/>
        <v>ANUGERAH</v>
      </c>
      <c r="L1215" s="72" t="str">
        <f t="shared" si="239"/>
        <v>AUGUST-4-ANUGERAH</v>
      </c>
      <c r="M1215" s="73">
        <f t="shared" si="240"/>
        <v>-0.22644386551451789</v>
      </c>
      <c r="N1215" s="73">
        <f t="shared" si="241"/>
        <v>-0.19119967570500929</v>
      </c>
      <c r="O1215" s="13">
        <f t="shared" si="242"/>
        <v>2101778</v>
      </c>
      <c r="P1215" s="13">
        <f t="shared" si="243"/>
        <v>2128806</v>
      </c>
      <c r="Q1215" s="13">
        <f t="shared" si="244"/>
        <v>2117221</v>
      </c>
      <c r="R1215" s="33">
        <f t="shared" si="245"/>
        <v>7.3475885654907813E-3</v>
      </c>
      <c r="S1215" s="33">
        <f t="shared" si="246"/>
        <v>-5.4420177320055885E-3</v>
      </c>
    </row>
    <row r="1216" spans="1:19" x14ac:dyDescent="0.25">
      <c r="A1216" t="s">
        <v>42</v>
      </c>
      <c r="B1216">
        <v>4</v>
      </c>
      <c r="C1216" t="s">
        <v>16</v>
      </c>
      <c r="D1216" s="68">
        <v>26000</v>
      </c>
      <c r="E1216" s="70">
        <v>26874</v>
      </c>
      <c r="F1216" s="70">
        <v>26763</v>
      </c>
      <c r="G1216" s="13">
        <f t="shared" si="234"/>
        <v>-111</v>
      </c>
      <c r="H1216" s="13">
        <f t="shared" si="235"/>
        <v>763</v>
      </c>
      <c r="I1216" s="73">
        <f t="shared" si="236"/>
        <v>2.9346153846153911E-2</v>
      </c>
      <c r="J1216" s="73">
        <f t="shared" si="237"/>
        <v>-4.1303862469300734E-3</v>
      </c>
      <c r="K1216" s="72" t="str">
        <f t="shared" si="238"/>
        <v>ANUGERAH</v>
      </c>
      <c r="L1216" s="72" t="str">
        <f t="shared" si="239"/>
        <v>AUGUST-4-ANUGERAH</v>
      </c>
      <c r="M1216" s="73">
        <f t="shared" si="240"/>
        <v>-0.22644386551451789</v>
      </c>
      <c r="N1216" s="73">
        <f t="shared" si="241"/>
        <v>-0.19119967570500929</v>
      </c>
      <c r="O1216" s="13">
        <f t="shared" si="242"/>
        <v>2101778</v>
      </c>
      <c r="P1216" s="13">
        <f t="shared" si="243"/>
        <v>2128806</v>
      </c>
      <c r="Q1216" s="13">
        <f t="shared" si="244"/>
        <v>2117221</v>
      </c>
      <c r="R1216" s="33">
        <f t="shared" si="245"/>
        <v>7.3475885654907813E-3</v>
      </c>
      <c r="S1216" s="33">
        <f t="shared" si="246"/>
        <v>-5.4420177320055885E-3</v>
      </c>
    </row>
    <row r="1217" spans="1:19" x14ac:dyDescent="0.25">
      <c r="A1217" t="s">
        <v>42</v>
      </c>
      <c r="B1217">
        <v>4</v>
      </c>
      <c r="C1217" t="s">
        <v>16</v>
      </c>
      <c r="D1217" s="68">
        <v>34500</v>
      </c>
      <c r="E1217" s="70">
        <v>34597</v>
      </c>
      <c r="F1217" s="70">
        <v>34458</v>
      </c>
      <c r="G1217" s="13">
        <f t="shared" si="234"/>
        <v>-139</v>
      </c>
      <c r="H1217" s="13">
        <f t="shared" si="235"/>
        <v>-42</v>
      </c>
      <c r="I1217" s="73">
        <f t="shared" si="236"/>
        <v>-1.2173913043478368E-3</v>
      </c>
      <c r="J1217" s="73">
        <f t="shared" si="237"/>
        <v>-4.0176893950342185E-3</v>
      </c>
      <c r="K1217" s="72" t="str">
        <f t="shared" si="238"/>
        <v>ANUGERAH</v>
      </c>
      <c r="L1217" s="72" t="str">
        <f t="shared" si="239"/>
        <v>AUGUST-4-ANUGERAH</v>
      </c>
      <c r="M1217" s="73">
        <f t="shared" si="240"/>
        <v>-0.22644386551451789</v>
      </c>
      <c r="N1217" s="73">
        <f t="shared" si="241"/>
        <v>-0.19119967570500929</v>
      </c>
      <c r="O1217" s="13">
        <f t="shared" si="242"/>
        <v>2101778</v>
      </c>
      <c r="P1217" s="13">
        <f t="shared" si="243"/>
        <v>2128806</v>
      </c>
      <c r="Q1217" s="13">
        <f t="shared" si="244"/>
        <v>2117221</v>
      </c>
      <c r="R1217" s="33">
        <f t="shared" si="245"/>
        <v>7.3475885654907813E-3</v>
      </c>
      <c r="S1217" s="33">
        <f t="shared" si="246"/>
        <v>-5.4420177320055885E-3</v>
      </c>
    </row>
    <row r="1218" spans="1:19" x14ac:dyDescent="0.25">
      <c r="A1218" t="s">
        <v>42</v>
      </c>
      <c r="B1218">
        <v>4</v>
      </c>
      <c r="C1218" t="s">
        <v>16</v>
      </c>
      <c r="D1218" s="68">
        <v>6500</v>
      </c>
      <c r="E1218" s="70">
        <v>6240</v>
      </c>
      <c r="F1218" s="70">
        <v>6092</v>
      </c>
      <c r="G1218" s="13">
        <f t="shared" ref="G1218:G1281" si="247">F1218-E1218</f>
        <v>-148</v>
      </c>
      <c r="H1218" s="13">
        <f t="shared" ref="H1218:H1281" si="248">F1218-D1218</f>
        <v>-408</v>
      </c>
      <c r="I1218" s="73">
        <f t="shared" ref="I1218:I1281" si="249">F1218/D1218-1</f>
        <v>-6.2769230769230799E-2</v>
      </c>
      <c r="J1218" s="73">
        <f t="shared" ref="J1218:J1281" si="250">F1218/E1218-1</f>
        <v>-2.3717948717948745E-2</v>
      </c>
      <c r="K1218" s="72" t="str">
        <f t="shared" ref="K1218:K1281" si="251">CLEAN(SUBSTITUTE(C1218," ",""))</f>
        <v>ANUGERAH</v>
      </c>
      <c r="L1218" s="72" t="str">
        <f t="shared" ref="L1218:L1281" si="252">A1218&amp;"-"&amp;B1218&amp;"-"&amp;K1218</f>
        <v>AUGUST-4-ANUGERAH</v>
      </c>
      <c r="M1218" s="73">
        <f t="shared" ref="M1218:M1281" si="253">SUMIF($L$2:$L$1396,L1218,$I$2:$I$1396)</f>
        <v>-0.22644386551451789</v>
      </c>
      <c r="N1218" s="73">
        <f t="shared" ref="N1218:N1281" si="254">SUMIF($L$2:$L$1396,L1218,$J$2:$J$1396)</f>
        <v>-0.19119967570500929</v>
      </c>
      <c r="O1218" s="13">
        <f t="shared" ref="O1218:O1281" si="255">SUMIF($A$2:$A$1396,A1218,$D$2:$D$1396)</f>
        <v>2101778</v>
      </c>
      <c r="P1218" s="13">
        <f t="shared" ref="P1218:P1281" si="256">SUMIF($A$2:$A$1396,A1218,$E$2:$E$1396)</f>
        <v>2128806</v>
      </c>
      <c r="Q1218" s="13">
        <f t="shared" ref="Q1218:Q1281" si="257">SUMIF($A$2:$A$1396,A1218,$F$2:$F$1396)</f>
        <v>2117221</v>
      </c>
      <c r="R1218" s="33">
        <f t="shared" ref="R1218:R1281" si="258">Q1218/O1218-1</f>
        <v>7.3475885654907813E-3</v>
      </c>
      <c r="S1218" s="33">
        <f t="shared" ref="S1218:S1281" si="259">Q1218/P1218-1</f>
        <v>-5.4420177320055885E-3</v>
      </c>
    </row>
    <row r="1219" spans="1:19" x14ac:dyDescent="0.25">
      <c r="A1219" t="s">
        <v>42</v>
      </c>
      <c r="B1219">
        <v>4</v>
      </c>
      <c r="C1219" t="s">
        <v>16</v>
      </c>
      <c r="D1219" s="68">
        <v>9000</v>
      </c>
      <c r="E1219" s="70">
        <v>8744</v>
      </c>
      <c r="F1219" s="70">
        <v>8634</v>
      </c>
      <c r="G1219" s="13">
        <f t="shared" si="247"/>
        <v>-110</v>
      </c>
      <c r="H1219" s="13">
        <f t="shared" si="248"/>
        <v>-366</v>
      </c>
      <c r="I1219" s="73">
        <f t="shared" si="249"/>
        <v>-4.0666666666666629E-2</v>
      </c>
      <c r="J1219" s="73">
        <f t="shared" si="250"/>
        <v>-1.2580054894784976E-2</v>
      </c>
      <c r="K1219" s="72" t="str">
        <f t="shared" si="251"/>
        <v>ANUGERAH</v>
      </c>
      <c r="L1219" s="72" t="str">
        <f t="shared" si="252"/>
        <v>AUGUST-4-ANUGERAH</v>
      </c>
      <c r="M1219" s="73">
        <f t="shared" si="253"/>
        <v>-0.22644386551451789</v>
      </c>
      <c r="N1219" s="73">
        <f t="shared" si="254"/>
        <v>-0.19119967570500929</v>
      </c>
      <c r="O1219" s="13">
        <f t="shared" si="255"/>
        <v>2101778</v>
      </c>
      <c r="P1219" s="13">
        <f t="shared" si="256"/>
        <v>2128806</v>
      </c>
      <c r="Q1219" s="13">
        <f t="shared" si="257"/>
        <v>2117221</v>
      </c>
      <c r="R1219" s="33">
        <f t="shared" si="258"/>
        <v>7.3475885654907813E-3</v>
      </c>
      <c r="S1219" s="33">
        <f t="shared" si="259"/>
        <v>-5.4420177320055885E-3</v>
      </c>
    </row>
    <row r="1220" spans="1:19" x14ac:dyDescent="0.25">
      <c r="A1220" t="s">
        <v>42</v>
      </c>
      <c r="B1220">
        <v>4</v>
      </c>
      <c r="C1220" t="s">
        <v>27</v>
      </c>
      <c r="D1220" s="68">
        <v>1526</v>
      </c>
      <c r="E1220" s="70">
        <v>1526</v>
      </c>
      <c r="F1220" s="70">
        <v>1526</v>
      </c>
      <c r="G1220" s="13">
        <f t="shared" si="247"/>
        <v>0</v>
      </c>
      <c r="H1220" s="13">
        <f t="shared" si="248"/>
        <v>0</v>
      </c>
      <c r="I1220" s="73">
        <f t="shared" si="249"/>
        <v>0</v>
      </c>
      <c r="J1220" s="73">
        <f t="shared" si="250"/>
        <v>0</v>
      </c>
      <c r="K1220" s="72" t="str">
        <f t="shared" si="251"/>
        <v>CNJ2</v>
      </c>
      <c r="L1220" s="72" t="str">
        <f t="shared" si="252"/>
        <v>AUGUST-4-CNJ2</v>
      </c>
      <c r="M1220" s="73">
        <f t="shared" si="253"/>
        <v>-4.4444444444444731E-3</v>
      </c>
      <c r="N1220" s="73">
        <f t="shared" si="254"/>
        <v>-0.27294412212135821</v>
      </c>
      <c r="O1220" s="13">
        <f t="shared" si="255"/>
        <v>2101778</v>
      </c>
      <c r="P1220" s="13">
        <f t="shared" si="256"/>
        <v>2128806</v>
      </c>
      <c r="Q1220" s="13">
        <f t="shared" si="257"/>
        <v>2117221</v>
      </c>
      <c r="R1220" s="33">
        <f t="shared" si="258"/>
        <v>7.3475885654907813E-3</v>
      </c>
      <c r="S1220" s="33">
        <f t="shared" si="259"/>
        <v>-5.4420177320055885E-3</v>
      </c>
    </row>
    <row r="1221" spans="1:19" x14ac:dyDescent="0.25">
      <c r="A1221" t="s">
        <v>42</v>
      </c>
      <c r="B1221">
        <v>5</v>
      </c>
      <c r="C1221" t="s">
        <v>72</v>
      </c>
      <c r="D1221">
        <v>2004</v>
      </c>
      <c r="E1221">
        <v>2004</v>
      </c>
      <c r="F1221">
        <v>1977</v>
      </c>
      <c r="G1221" s="13">
        <f t="shared" si="247"/>
        <v>-27</v>
      </c>
      <c r="H1221" s="13">
        <f t="shared" si="248"/>
        <v>-27</v>
      </c>
      <c r="I1221" s="73">
        <f t="shared" si="249"/>
        <v>-1.3473053892215536E-2</v>
      </c>
      <c r="J1221" s="73">
        <f t="shared" si="250"/>
        <v>-1.3473053892215536E-2</v>
      </c>
      <c r="K1221" s="72" t="str">
        <f t="shared" si="251"/>
        <v>GM1</v>
      </c>
      <c r="L1221" s="72" t="str">
        <f t="shared" si="252"/>
        <v>AUGUST-5-GM1</v>
      </c>
      <c r="M1221" s="73">
        <f t="shared" si="253"/>
        <v>-1.3473053892215536E-2</v>
      </c>
      <c r="N1221" s="73">
        <f t="shared" si="254"/>
        <v>-8.9996124085899298E-2</v>
      </c>
      <c r="O1221" s="13">
        <f t="shared" si="255"/>
        <v>2101778</v>
      </c>
      <c r="P1221" s="13">
        <f t="shared" si="256"/>
        <v>2128806</v>
      </c>
      <c r="Q1221" s="13">
        <f t="shared" si="257"/>
        <v>2117221</v>
      </c>
      <c r="R1221" s="33">
        <f t="shared" si="258"/>
        <v>7.3475885654907813E-3</v>
      </c>
      <c r="S1221" s="33">
        <f t="shared" si="259"/>
        <v>-5.4420177320055885E-3</v>
      </c>
    </row>
    <row r="1222" spans="1:19" x14ac:dyDescent="0.25">
      <c r="A1222" t="s">
        <v>42</v>
      </c>
      <c r="B1222">
        <v>5</v>
      </c>
      <c r="C1222" t="s">
        <v>16</v>
      </c>
      <c r="D1222" s="68">
        <v>5600</v>
      </c>
      <c r="E1222" s="68">
        <v>5600</v>
      </c>
      <c r="F1222" s="68">
        <v>5600</v>
      </c>
      <c r="G1222" s="13">
        <f t="shared" si="247"/>
        <v>0</v>
      </c>
      <c r="H1222" s="13">
        <f t="shared" si="248"/>
        <v>0</v>
      </c>
      <c r="I1222" s="73">
        <f t="shared" si="249"/>
        <v>0</v>
      </c>
      <c r="J1222" s="73">
        <f t="shared" si="250"/>
        <v>0</v>
      </c>
      <c r="K1222" s="72" t="str">
        <f t="shared" si="251"/>
        <v>ANUGERAH</v>
      </c>
      <c r="L1222" s="72" t="str">
        <f t="shared" si="252"/>
        <v>AUGUST-5-ANUGERAH</v>
      </c>
      <c r="M1222" s="73">
        <f t="shared" si="253"/>
        <v>0</v>
      </c>
      <c r="N1222" s="73">
        <f t="shared" si="254"/>
        <v>-2.9971130606516017E-2</v>
      </c>
      <c r="O1222" s="13">
        <f t="shared" si="255"/>
        <v>2101778</v>
      </c>
      <c r="P1222" s="13">
        <f t="shared" si="256"/>
        <v>2128806</v>
      </c>
      <c r="Q1222" s="13">
        <f t="shared" si="257"/>
        <v>2117221</v>
      </c>
      <c r="R1222" s="33">
        <f t="shared" si="258"/>
        <v>7.3475885654907813E-3</v>
      </c>
      <c r="S1222" s="33">
        <f t="shared" si="259"/>
        <v>-5.4420177320055885E-3</v>
      </c>
    </row>
    <row r="1223" spans="1:19" x14ac:dyDescent="0.25">
      <c r="A1223" t="s">
        <v>42</v>
      </c>
      <c r="B1223">
        <v>5</v>
      </c>
      <c r="C1223" t="s">
        <v>16</v>
      </c>
      <c r="D1223" s="68">
        <v>1200</v>
      </c>
      <c r="E1223" s="68">
        <v>1211</v>
      </c>
      <c r="F1223" s="68">
        <v>1200</v>
      </c>
      <c r="G1223" s="13">
        <f t="shared" si="247"/>
        <v>-11</v>
      </c>
      <c r="H1223" s="13">
        <f t="shared" si="248"/>
        <v>0</v>
      </c>
      <c r="I1223" s="73">
        <f t="shared" si="249"/>
        <v>0</v>
      </c>
      <c r="J1223" s="73">
        <f t="shared" si="250"/>
        <v>-9.0834021469859971E-3</v>
      </c>
      <c r="K1223" s="72" t="str">
        <f t="shared" si="251"/>
        <v>ANUGERAH</v>
      </c>
      <c r="L1223" s="72" t="str">
        <f t="shared" si="252"/>
        <v>AUGUST-5-ANUGERAH</v>
      </c>
      <c r="M1223" s="73">
        <f t="shared" si="253"/>
        <v>0</v>
      </c>
      <c r="N1223" s="73">
        <f t="shared" si="254"/>
        <v>-2.9971130606516017E-2</v>
      </c>
      <c r="O1223" s="13">
        <f t="shared" si="255"/>
        <v>2101778</v>
      </c>
      <c r="P1223" s="13">
        <f t="shared" si="256"/>
        <v>2128806</v>
      </c>
      <c r="Q1223" s="13">
        <f t="shared" si="257"/>
        <v>2117221</v>
      </c>
      <c r="R1223" s="33">
        <f t="shared" si="258"/>
        <v>7.3475885654907813E-3</v>
      </c>
      <c r="S1223" s="33">
        <f t="shared" si="259"/>
        <v>-5.4420177320055885E-3</v>
      </c>
    </row>
    <row r="1224" spans="1:19" x14ac:dyDescent="0.25">
      <c r="A1224" t="s">
        <v>42</v>
      </c>
      <c r="B1224">
        <v>5</v>
      </c>
      <c r="C1224" t="s">
        <v>16</v>
      </c>
      <c r="D1224" s="68">
        <v>6000</v>
      </c>
      <c r="E1224" s="70">
        <v>6128</v>
      </c>
      <c r="F1224" s="70">
        <v>6000</v>
      </c>
      <c r="G1224" s="13">
        <f t="shared" si="247"/>
        <v>-128</v>
      </c>
      <c r="H1224" s="13">
        <f t="shared" si="248"/>
        <v>0</v>
      </c>
      <c r="I1224" s="73">
        <f t="shared" si="249"/>
        <v>0</v>
      </c>
      <c r="J1224" s="73">
        <f t="shared" si="250"/>
        <v>-2.0887728459530019E-2</v>
      </c>
      <c r="K1224" s="72" t="str">
        <f t="shared" si="251"/>
        <v>ANUGERAH</v>
      </c>
      <c r="L1224" s="72" t="str">
        <f t="shared" si="252"/>
        <v>AUGUST-5-ANUGERAH</v>
      </c>
      <c r="M1224" s="73">
        <f t="shared" si="253"/>
        <v>0</v>
      </c>
      <c r="N1224" s="73">
        <f t="shared" si="254"/>
        <v>-2.9971130606516017E-2</v>
      </c>
      <c r="O1224" s="13">
        <f t="shared" si="255"/>
        <v>2101778</v>
      </c>
      <c r="P1224" s="13">
        <f t="shared" si="256"/>
        <v>2128806</v>
      </c>
      <c r="Q1224" s="13">
        <f t="shared" si="257"/>
        <v>2117221</v>
      </c>
      <c r="R1224" s="33">
        <f t="shared" si="258"/>
        <v>7.3475885654907813E-3</v>
      </c>
      <c r="S1224" s="33">
        <f t="shared" si="259"/>
        <v>-5.4420177320055885E-3</v>
      </c>
    </row>
    <row r="1225" spans="1:19" x14ac:dyDescent="0.25">
      <c r="A1225" t="s">
        <v>42</v>
      </c>
      <c r="B1225">
        <v>5</v>
      </c>
      <c r="C1225" t="s">
        <v>73</v>
      </c>
      <c r="D1225" s="68">
        <v>2400</v>
      </c>
      <c r="E1225" s="68">
        <v>2405</v>
      </c>
      <c r="F1225" s="68">
        <v>2400</v>
      </c>
      <c r="G1225" s="13">
        <f t="shared" si="247"/>
        <v>-5</v>
      </c>
      <c r="H1225" s="13">
        <f t="shared" si="248"/>
        <v>0</v>
      </c>
      <c r="I1225" s="73">
        <f t="shared" si="249"/>
        <v>0</v>
      </c>
      <c r="J1225" s="73">
        <f t="shared" si="250"/>
        <v>-2.0790020790020236E-3</v>
      </c>
      <c r="K1225" s="72" t="str">
        <f t="shared" si="251"/>
        <v>PARI</v>
      </c>
      <c r="L1225" s="72" t="str">
        <f t="shared" si="252"/>
        <v>AUGUST-5-PARI</v>
      </c>
      <c r="M1225" s="73">
        <f t="shared" si="253"/>
        <v>0</v>
      </c>
      <c r="N1225" s="73">
        <f t="shared" si="254"/>
        <v>-4.6206381746815017E-3</v>
      </c>
      <c r="O1225" s="13">
        <f t="shared" si="255"/>
        <v>2101778</v>
      </c>
      <c r="P1225" s="13">
        <f t="shared" si="256"/>
        <v>2128806</v>
      </c>
      <c r="Q1225" s="13">
        <f t="shared" si="257"/>
        <v>2117221</v>
      </c>
      <c r="R1225" s="33">
        <f t="shared" si="258"/>
        <v>7.3475885654907813E-3</v>
      </c>
      <c r="S1225" s="33">
        <f t="shared" si="259"/>
        <v>-5.4420177320055885E-3</v>
      </c>
    </row>
    <row r="1226" spans="1:19" x14ac:dyDescent="0.25">
      <c r="A1226" t="s">
        <v>42</v>
      </c>
      <c r="B1226">
        <v>5</v>
      </c>
      <c r="C1226" t="s">
        <v>72</v>
      </c>
      <c r="D1226" s="68">
        <v>1200</v>
      </c>
      <c r="E1226" s="68">
        <v>1230</v>
      </c>
      <c r="F1226" s="68">
        <v>1200</v>
      </c>
      <c r="G1226" s="13">
        <f t="shared" si="247"/>
        <v>-30</v>
      </c>
      <c r="H1226" s="13">
        <f t="shared" si="248"/>
        <v>0</v>
      </c>
      <c r="I1226" s="73">
        <f t="shared" si="249"/>
        <v>0</v>
      </c>
      <c r="J1226" s="73">
        <f t="shared" si="250"/>
        <v>-2.4390243902439046E-2</v>
      </c>
      <c r="K1226" s="72" t="str">
        <f t="shared" si="251"/>
        <v>GM1</v>
      </c>
      <c r="L1226" s="72" t="str">
        <f t="shared" si="252"/>
        <v>AUGUST-5-GM1</v>
      </c>
      <c r="M1226" s="73">
        <f t="shared" si="253"/>
        <v>-1.3473053892215536E-2</v>
      </c>
      <c r="N1226" s="73">
        <f t="shared" si="254"/>
        <v>-8.9996124085899298E-2</v>
      </c>
      <c r="O1226" s="13">
        <f t="shared" si="255"/>
        <v>2101778</v>
      </c>
      <c r="P1226" s="13">
        <f t="shared" si="256"/>
        <v>2128806</v>
      </c>
      <c r="Q1226" s="13">
        <f t="shared" si="257"/>
        <v>2117221</v>
      </c>
      <c r="R1226" s="33">
        <f t="shared" si="258"/>
        <v>7.3475885654907813E-3</v>
      </c>
      <c r="S1226" s="33">
        <f t="shared" si="259"/>
        <v>-5.4420177320055885E-3</v>
      </c>
    </row>
    <row r="1227" spans="1:19" x14ac:dyDescent="0.25">
      <c r="A1227" t="s">
        <v>42</v>
      </c>
      <c r="B1227">
        <v>5</v>
      </c>
      <c r="C1227" t="s">
        <v>73</v>
      </c>
      <c r="D1227" s="68">
        <v>2200</v>
      </c>
      <c r="E1227" s="68">
        <v>2203</v>
      </c>
      <c r="F1227" s="68">
        <v>2200</v>
      </c>
      <c r="G1227" s="13">
        <f t="shared" si="247"/>
        <v>-3</v>
      </c>
      <c r="H1227" s="13">
        <f t="shared" si="248"/>
        <v>0</v>
      </c>
      <c r="I1227" s="73">
        <f t="shared" si="249"/>
        <v>0</v>
      </c>
      <c r="J1227" s="73">
        <f t="shared" si="250"/>
        <v>-1.3617793917385379E-3</v>
      </c>
      <c r="K1227" s="72" t="str">
        <f t="shared" si="251"/>
        <v>PARI</v>
      </c>
      <c r="L1227" s="72" t="str">
        <f t="shared" si="252"/>
        <v>AUGUST-5-PARI</v>
      </c>
      <c r="M1227" s="73">
        <f t="shared" si="253"/>
        <v>0</v>
      </c>
      <c r="N1227" s="73">
        <f t="shared" si="254"/>
        <v>-4.6206381746815017E-3</v>
      </c>
      <c r="O1227" s="13">
        <f t="shared" si="255"/>
        <v>2101778</v>
      </c>
      <c r="P1227" s="13">
        <f t="shared" si="256"/>
        <v>2128806</v>
      </c>
      <c r="Q1227" s="13">
        <f t="shared" si="257"/>
        <v>2117221</v>
      </c>
      <c r="R1227" s="33">
        <f t="shared" si="258"/>
        <v>7.3475885654907813E-3</v>
      </c>
      <c r="S1227" s="33">
        <f t="shared" si="259"/>
        <v>-5.4420177320055885E-3</v>
      </c>
    </row>
    <row r="1228" spans="1:19" x14ac:dyDescent="0.25">
      <c r="A1228" t="s">
        <v>42</v>
      </c>
      <c r="B1228">
        <v>5</v>
      </c>
      <c r="C1228" t="s">
        <v>73</v>
      </c>
      <c r="D1228" s="68">
        <v>4800</v>
      </c>
      <c r="E1228" s="68">
        <v>4803</v>
      </c>
      <c r="F1228" s="68">
        <v>4800</v>
      </c>
      <c r="G1228" s="13">
        <f t="shared" si="247"/>
        <v>-3</v>
      </c>
      <c r="H1228" s="13">
        <f t="shared" si="248"/>
        <v>0</v>
      </c>
      <c r="I1228" s="73">
        <f t="shared" si="249"/>
        <v>0</v>
      </c>
      <c r="J1228" s="73">
        <f t="shared" si="250"/>
        <v>-6.2460961898813672E-4</v>
      </c>
      <c r="K1228" s="72" t="str">
        <f t="shared" si="251"/>
        <v>PARI</v>
      </c>
      <c r="L1228" s="72" t="str">
        <f t="shared" si="252"/>
        <v>AUGUST-5-PARI</v>
      </c>
      <c r="M1228" s="73">
        <f t="shared" si="253"/>
        <v>0</v>
      </c>
      <c r="N1228" s="73">
        <f t="shared" si="254"/>
        <v>-4.6206381746815017E-3</v>
      </c>
      <c r="O1228" s="13">
        <f t="shared" si="255"/>
        <v>2101778</v>
      </c>
      <c r="P1228" s="13">
        <f t="shared" si="256"/>
        <v>2128806</v>
      </c>
      <c r="Q1228" s="13">
        <f t="shared" si="257"/>
        <v>2117221</v>
      </c>
      <c r="R1228" s="33">
        <f t="shared" si="258"/>
        <v>7.3475885654907813E-3</v>
      </c>
      <c r="S1228" s="33">
        <f t="shared" si="259"/>
        <v>-5.4420177320055885E-3</v>
      </c>
    </row>
    <row r="1229" spans="1:19" x14ac:dyDescent="0.25">
      <c r="A1229" t="s">
        <v>42</v>
      </c>
      <c r="B1229">
        <v>5</v>
      </c>
      <c r="C1229" t="s">
        <v>73</v>
      </c>
      <c r="D1229" s="68">
        <v>2200</v>
      </c>
      <c r="E1229" s="68">
        <v>2200</v>
      </c>
      <c r="F1229" s="68">
        <v>2200</v>
      </c>
      <c r="G1229" s="13">
        <f t="shared" si="247"/>
        <v>0</v>
      </c>
      <c r="H1229" s="13">
        <f t="shared" si="248"/>
        <v>0</v>
      </c>
      <c r="I1229" s="73">
        <f t="shared" si="249"/>
        <v>0</v>
      </c>
      <c r="J1229" s="73">
        <f t="shared" si="250"/>
        <v>0</v>
      </c>
      <c r="K1229" s="72" t="str">
        <f t="shared" si="251"/>
        <v>PARI</v>
      </c>
      <c r="L1229" s="72" t="str">
        <f t="shared" si="252"/>
        <v>AUGUST-5-PARI</v>
      </c>
      <c r="M1229" s="73">
        <f t="shared" si="253"/>
        <v>0</v>
      </c>
      <c r="N1229" s="73">
        <f t="shared" si="254"/>
        <v>-4.6206381746815017E-3</v>
      </c>
      <c r="O1229" s="13">
        <f t="shared" si="255"/>
        <v>2101778</v>
      </c>
      <c r="P1229" s="13">
        <f t="shared" si="256"/>
        <v>2128806</v>
      </c>
      <c r="Q1229" s="13">
        <f t="shared" si="257"/>
        <v>2117221</v>
      </c>
      <c r="R1229" s="33">
        <f t="shared" si="258"/>
        <v>7.3475885654907813E-3</v>
      </c>
      <c r="S1229" s="33">
        <f t="shared" si="259"/>
        <v>-5.4420177320055885E-3</v>
      </c>
    </row>
    <row r="1230" spans="1:19" x14ac:dyDescent="0.25">
      <c r="A1230" t="s">
        <v>42</v>
      </c>
      <c r="B1230">
        <v>5</v>
      </c>
      <c r="C1230" t="s">
        <v>73</v>
      </c>
      <c r="D1230" s="68">
        <v>3600</v>
      </c>
      <c r="E1230" s="70">
        <v>3602</v>
      </c>
      <c r="F1230" s="70">
        <v>3600</v>
      </c>
      <c r="G1230" s="13">
        <f t="shared" si="247"/>
        <v>-2</v>
      </c>
      <c r="H1230" s="13">
        <f t="shared" si="248"/>
        <v>0</v>
      </c>
      <c r="I1230" s="73">
        <f t="shared" si="249"/>
        <v>0</v>
      </c>
      <c r="J1230" s="73">
        <f t="shared" si="250"/>
        <v>-5.552470849528035E-4</v>
      </c>
      <c r="K1230" s="72" t="str">
        <f t="shared" si="251"/>
        <v>PARI</v>
      </c>
      <c r="L1230" s="72" t="str">
        <f t="shared" si="252"/>
        <v>AUGUST-5-PARI</v>
      </c>
      <c r="M1230" s="73">
        <f t="shared" si="253"/>
        <v>0</v>
      </c>
      <c r="N1230" s="73">
        <f t="shared" si="254"/>
        <v>-4.6206381746815017E-3</v>
      </c>
      <c r="O1230" s="13">
        <f t="shared" si="255"/>
        <v>2101778</v>
      </c>
      <c r="P1230" s="13">
        <f t="shared" si="256"/>
        <v>2128806</v>
      </c>
      <c r="Q1230" s="13">
        <f t="shared" si="257"/>
        <v>2117221</v>
      </c>
      <c r="R1230" s="33">
        <f t="shared" si="258"/>
        <v>7.3475885654907813E-3</v>
      </c>
      <c r="S1230" s="33">
        <f t="shared" si="259"/>
        <v>-5.4420177320055885E-3</v>
      </c>
    </row>
    <row r="1231" spans="1:19" x14ac:dyDescent="0.25">
      <c r="A1231" t="s">
        <v>42</v>
      </c>
      <c r="B1231">
        <v>5</v>
      </c>
      <c r="C1231" t="s">
        <v>73</v>
      </c>
      <c r="D1231" s="68">
        <v>3600</v>
      </c>
      <c r="E1231" s="68">
        <v>3600</v>
      </c>
      <c r="F1231" s="68">
        <v>3600</v>
      </c>
      <c r="G1231" s="13">
        <f t="shared" si="247"/>
        <v>0</v>
      </c>
      <c r="H1231" s="13">
        <f t="shared" si="248"/>
        <v>0</v>
      </c>
      <c r="I1231" s="73">
        <f t="shared" si="249"/>
        <v>0</v>
      </c>
      <c r="J1231" s="73">
        <f t="shared" si="250"/>
        <v>0</v>
      </c>
      <c r="K1231" s="72" t="str">
        <f t="shared" si="251"/>
        <v>PARI</v>
      </c>
      <c r="L1231" s="72" t="str">
        <f t="shared" si="252"/>
        <v>AUGUST-5-PARI</v>
      </c>
      <c r="M1231" s="73">
        <f t="shared" si="253"/>
        <v>0</v>
      </c>
      <c r="N1231" s="73">
        <f t="shared" si="254"/>
        <v>-4.6206381746815017E-3</v>
      </c>
      <c r="O1231" s="13">
        <f t="shared" si="255"/>
        <v>2101778</v>
      </c>
      <c r="P1231" s="13">
        <f t="shared" si="256"/>
        <v>2128806</v>
      </c>
      <c r="Q1231" s="13">
        <f t="shared" si="257"/>
        <v>2117221</v>
      </c>
      <c r="R1231" s="33">
        <f t="shared" si="258"/>
        <v>7.3475885654907813E-3</v>
      </c>
      <c r="S1231" s="33">
        <f t="shared" si="259"/>
        <v>-5.4420177320055885E-3</v>
      </c>
    </row>
    <row r="1232" spans="1:19" x14ac:dyDescent="0.25">
      <c r="A1232" t="s">
        <v>42</v>
      </c>
      <c r="B1232">
        <v>5</v>
      </c>
      <c r="C1232" t="s">
        <v>16</v>
      </c>
      <c r="D1232" s="68">
        <v>2000</v>
      </c>
      <c r="E1232" s="70">
        <v>2000</v>
      </c>
      <c r="F1232" s="70">
        <v>2000</v>
      </c>
      <c r="G1232" s="13">
        <f t="shared" si="247"/>
        <v>0</v>
      </c>
      <c r="H1232" s="13">
        <f t="shared" si="248"/>
        <v>0</v>
      </c>
      <c r="I1232" s="73">
        <f t="shared" si="249"/>
        <v>0</v>
      </c>
      <c r="J1232" s="73">
        <f t="shared" si="250"/>
        <v>0</v>
      </c>
      <c r="K1232" s="72" t="str">
        <f t="shared" si="251"/>
        <v>ANUGERAH</v>
      </c>
      <c r="L1232" s="72" t="str">
        <f t="shared" si="252"/>
        <v>AUGUST-5-ANUGERAH</v>
      </c>
      <c r="M1232" s="73">
        <f t="shared" si="253"/>
        <v>0</v>
      </c>
      <c r="N1232" s="73">
        <f t="shared" si="254"/>
        <v>-2.9971130606516017E-2</v>
      </c>
      <c r="O1232" s="13">
        <f t="shared" si="255"/>
        <v>2101778</v>
      </c>
      <c r="P1232" s="13">
        <f t="shared" si="256"/>
        <v>2128806</v>
      </c>
      <c r="Q1232" s="13">
        <f t="shared" si="257"/>
        <v>2117221</v>
      </c>
      <c r="R1232" s="33">
        <f t="shared" si="258"/>
        <v>7.3475885654907813E-3</v>
      </c>
      <c r="S1232" s="33">
        <f t="shared" si="259"/>
        <v>-5.4420177320055885E-3</v>
      </c>
    </row>
    <row r="1233" spans="1:19" x14ac:dyDescent="0.25">
      <c r="A1233" t="s">
        <v>42</v>
      </c>
      <c r="B1233">
        <v>5</v>
      </c>
      <c r="C1233" t="s">
        <v>16</v>
      </c>
      <c r="D1233" s="68">
        <v>1260</v>
      </c>
      <c r="E1233" s="70">
        <v>1260</v>
      </c>
      <c r="F1233" s="70">
        <v>1260</v>
      </c>
      <c r="G1233" s="13">
        <f t="shared" si="247"/>
        <v>0</v>
      </c>
      <c r="H1233" s="13">
        <f t="shared" si="248"/>
        <v>0</v>
      </c>
      <c r="I1233" s="73">
        <f t="shared" si="249"/>
        <v>0</v>
      </c>
      <c r="J1233" s="73">
        <f t="shared" si="250"/>
        <v>0</v>
      </c>
      <c r="K1233" s="72" t="str">
        <f t="shared" si="251"/>
        <v>ANUGERAH</v>
      </c>
      <c r="L1233" s="72" t="str">
        <f t="shared" si="252"/>
        <v>AUGUST-5-ANUGERAH</v>
      </c>
      <c r="M1233" s="73">
        <f t="shared" si="253"/>
        <v>0</v>
      </c>
      <c r="N1233" s="73">
        <f t="shared" si="254"/>
        <v>-2.9971130606516017E-2</v>
      </c>
      <c r="O1233" s="13">
        <f t="shared" si="255"/>
        <v>2101778</v>
      </c>
      <c r="P1233" s="13">
        <f t="shared" si="256"/>
        <v>2128806</v>
      </c>
      <c r="Q1233" s="13">
        <f t="shared" si="257"/>
        <v>2117221</v>
      </c>
      <c r="R1233" s="33">
        <f t="shared" si="258"/>
        <v>7.3475885654907813E-3</v>
      </c>
      <c r="S1233" s="33">
        <f t="shared" si="259"/>
        <v>-5.4420177320055885E-3</v>
      </c>
    </row>
    <row r="1234" spans="1:19" x14ac:dyDescent="0.25">
      <c r="A1234" t="s">
        <v>42</v>
      </c>
      <c r="B1234">
        <v>5</v>
      </c>
      <c r="C1234" t="s">
        <v>72</v>
      </c>
      <c r="D1234" s="68">
        <v>3600</v>
      </c>
      <c r="E1234" s="70">
        <v>3673</v>
      </c>
      <c r="F1234" s="70">
        <v>3600</v>
      </c>
      <c r="G1234" s="13">
        <f t="shared" si="247"/>
        <v>-73</v>
      </c>
      <c r="H1234" s="13">
        <f t="shared" si="248"/>
        <v>0</v>
      </c>
      <c r="I1234" s="73">
        <f t="shared" si="249"/>
        <v>0</v>
      </c>
      <c r="J1234" s="73">
        <f t="shared" si="250"/>
        <v>-1.9874761775115712E-2</v>
      </c>
      <c r="K1234" s="72" t="str">
        <f t="shared" si="251"/>
        <v>GM1</v>
      </c>
      <c r="L1234" s="72" t="str">
        <f t="shared" si="252"/>
        <v>AUGUST-5-GM1</v>
      </c>
      <c r="M1234" s="73">
        <f t="shared" si="253"/>
        <v>-1.3473053892215536E-2</v>
      </c>
      <c r="N1234" s="73">
        <f t="shared" si="254"/>
        <v>-8.9996124085899298E-2</v>
      </c>
      <c r="O1234" s="13">
        <f t="shared" si="255"/>
        <v>2101778</v>
      </c>
      <c r="P1234" s="13">
        <f t="shared" si="256"/>
        <v>2128806</v>
      </c>
      <c r="Q1234" s="13">
        <f t="shared" si="257"/>
        <v>2117221</v>
      </c>
      <c r="R1234" s="33">
        <f t="shared" si="258"/>
        <v>7.3475885654907813E-3</v>
      </c>
      <c r="S1234" s="33">
        <f t="shared" si="259"/>
        <v>-5.4420177320055885E-3</v>
      </c>
    </row>
    <row r="1235" spans="1:19" x14ac:dyDescent="0.25">
      <c r="A1235" t="s">
        <v>42</v>
      </c>
      <c r="B1235">
        <v>5</v>
      </c>
      <c r="C1235" t="s">
        <v>72</v>
      </c>
      <c r="D1235" s="68">
        <v>3600</v>
      </c>
      <c r="E1235" s="70">
        <v>3720</v>
      </c>
      <c r="F1235" s="70">
        <v>3600</v>
      </c>
      <c r="G1235" s="13">
        <f t="shared" si="247"/>
        <v>-120</v>
      </c>
      <c r="H1235" s="13">
        <f t="shared" si="248"/>
        <v>0</v>
      </c>
      <c r="I1235" s="73">
        <f t="shared" si="249"/>
        <v>0</v>
      </c>
      <c r="J1235" s="73">
        <f t="shared" si="250"/>
        <v>-3.2258064516129004E-2</v>
      </c>
      <c r="K1235" s="72" t="str">
        <f t="shared" si="251"/>
        <v>GM1</v>
      </c>
      <c r="L1235" s="72" t="str">
        <f t="shared" si="252"/>
        <v>AUGUST-5-GM1</v>
      </c>
      <c r="M1235" s="73">
        <f t="shared" si="253"/>
        <v>-1.3473053892215536E-2</v>
      </c>
      <c r="N1235" s="73">
        <f t="shared" si="254"/>
        <v>-8.9996124085899298E-2</v>
      </c>
      <c r="O1235" s="13">
        <f t="shared" si="255"/>
        <v>2101778</v>
      </c>
      <c r="P1235" s="13">
        <f t="shared" si="256"/>
        <v>2128806</v>
      </c>
      <c r="Q1235" s="13">
        <f t="shared" si="257"/>
        <v>2117221</v>
      </c>
      <c r="R1235" s="33">
        <f t="shared" si="258"/>
        <v>7.3475885654907813E-3</v>
      </c>
      <c r="S1235" s="33">
        <f t="shared" si="259"/>
        <v>-5.4420177320055885E-3</v>
      </c>
    </row>
    <row r="1236" spans="1:19" x14ac:dyDescent="0.25">
      <c r="A1236" t="s">
        <v>42</v>
      </c>
      <c r="B1236">
        <v>5</v>
      </c>
      <c r="C1236" t="s">
        <v>15</v>
      </c>
      <c r="D1236" s="68">
        <v>2000</v>
      </c>
      <c r="E1236" s="70">
        <v>2065</v>
      </c>
      <c r="F1236" s="70">
        <v>2000</v>
      </c>
      <c r="G1236" s="13">
        <f t="shared" si="247"/>
        <v>-65</v>
      </c>
      <c r="H1236" s="13">
        <f t="shared" si="248"/>
        <v>0</v>
      </c>
      <c r="I1236" s="73">
        <f t="shared" si="249"/>
        <v>0</v>
      </c>
      <c r="J1236" s="73">
        <f t="shared" si="250"/>
        <v>-3.1476997578692489E-2</v>
      </c>
      <c r="K1236" s="72" t="str">
        <f t="shared" si="251"/>
        <v>CHAWAN</v>
      </c>
      <c r="L1236" s="72" t="str">
        <f t="shared" si="252"/>
        <v>AUGUST-5-CHAWAN</v>
      </c>
      <c r="M1236" s="73">
        <f t="shared" si="253"/>
        <v>0</v>
      </c>
      <c r="N1236" s="73">
        <f t="shared" si="254"/>
        <v>-4.4291621551884042E-2</v>
      </c>
      <c r="O1236" s="13">
        <f t="shared" si="255"/>
        <v>2101778</v>
      </c>
      <c r="P1236" s="13">
        <f t="shared" si="256"/>
        <v>2128806</v>
      </c>
      <c r="Q1236" s="13">
        <f t="shared" si="257"/>
        <v>2117221</v>
      </c>
      <c r="R1236" s="33">
        <f t="shared" si="258"/>
        <v>7.3475885654907813E-3</v>
      </c>
      <c r="S1236" s="33">
        <f t="shared" si="259"/>
        <v>-5.4420177320055885E-3</v>
      </c>
    </row>
    <row r="1237" spans="1:19" x14ac:dyDescent="0.25">
      <c r="A1237" t="s">
        <v>42</v>
      </c>
      <c r="B1237">
        <v>5</v>
      </c>
      <c r="C1237" t="s">
        <v>15</v>
      </c>
      <c r="D1237" s="68">
        <v>4800</v>
      </c>
      <c r="E1237" s="70">
        <v>4846</v>
      </c>
      <c r="F1237" s="70">
        <v>4800</v>
      </c>
      <c r="G1237" s="13">
        <f t="shared" si="247"/>
        <v>-46</v>
      </c>
      <c r="H1237" s="13">
        <f t="shared" si="248"/>
        <v>0</v>
      </c>
      <c r="I1237" s="73">
        <f t="shared" si="249"/>
        <v>0</v>
      </c>
      <c r="J1237" s="73">
        <f t="shared" si="250"/>
        <v>-9.492364836978906E-3</v>
      </c>
      <c r="K1237" s="72" t="str">
        <f t="shared" si="251"/>
        <v>CHAWAN</v>
      </c>
      <c r="L1237" s="72" t="str">
        <f t="shared" si="252"/>
        <v>AUGUST-5-CHAWAN</v>
      </c>
      <c r="M1237" s="73">
        <f t="shared" si="253"/>
        <v>0</v>
      </c>
      <c r="N1237" s="73">
        <f t="shared" si="254"/>
        <v>-4.4291621551884042E-2</v>
      </c>
      <c r="O1237" s="13">
        <f t="shared" si="255"/>
        <v>2101778</v>
      </c>
      <c r="P1237" s="13">
        <f t="shared" si="256"/>
        <v>2128806</v>
      </c>
      <c r="Q1237" s="13">
        <f t="shared" si="257"/>
        <v>2117221</v>
      </c>
      <c r="R1237" s="33">
        <f t="shared" si="258"/>
        <v>7.3475885654907813E-3</v>
      </c>
      <c r="S1237" s="33">
        <f t="shared" si="259"/>
        <v>-5.4420177320055885E-3</v>
      </c>
    </row>
    <row r="1238" spans="1:19" x14ac:dyDescent="0.25">
      <c r="A1238" t="s">
        <v>42</v>
      </c>
      <c r="B1238">
        <v>5</v>
      </c>
      <c r="C1238" t="s">
        <v>15</v>
      </c>
      <c r="D1238" s="68">
        <v>3600</v>
      </c>
      <c r="E1238" s="70">
        <v>3612</v>
      </c>
      <c r="F1238" s="70">
        <v>3600</v>
      </c>
      <c r="G1238" s="13">
        <f t="shared" si="247"/>
        <v>-12</v>
      </c>
      <c r="H1238" s="13">
        <f t="shared" si="248"/>
        <v>0</v>
      </c>
      <c r="I1238" s="73">
        <f t="shared" si="249"/>
        <v>0</v>
      </c>
      <c r="J1238" s="73">
        <f t="shared" si="250"/>
        <v>-3.3222591362126463E-3</v>
      </c>
      <c r="K1238" s="72" t="str">
        <f t="shared" si="251"/>
        <v>CHAWAN</v>
      </c>
      <c r="L1238" s="72" t="str">
        <f t="shared" si="252"/>
        <v>AUGUST-5-CHAWAN</v>
      </c>
      <c r="M1238" s="73">
        <f t="shared" si="253"/>
        <v>0</v>
      </c>
      <c r="N1238" s="73">
        <f t="shared" si="254"/>
        <v>-4.4291621551884042E-2</v>
      </c>
      <c r="O1238" s="13">
        <f t="shared" si="255"/>
        <v>2101778</v>
      </c>
      <c r="P1238" s="13">
        <f t="shared" si="256"/>
        <v>2128806</v>
      </c>
      <c r="Q1238" s="13">
        <f t="shared" si="257"/>
        <v>2117221</v>
      </c>
      <c r="R1238" s="33">
        <f t="shared" si="258"/>
        <v>7.3475885654907813E-3</v>
      </c>
      <c r="S1238" s="33">
        <f t="shared" si="259"/>
        <v>-5.4420177320055885E-3</v>
      </c>
    </row>
    <row r="1239" spans="1:19" x14ac:dyDescent="0.25">
      <c r="A1239" t="s">
        <v>42</v>
      </c>
      <c r="B1239">
        <v>5</v>
      </c>
      <c r="C1239" t="s">
        <v>13</v>
      </c>
      <c r="D1239" s="70">
        <v>13824</v>
      </c>
      <c r="E1239" s="70">
        <v>14100</v>
      </c>
      <c r="F1239" s="70">
        <v>14067</v>
      </c>
      <c r="G1239" s="13">
        <f t="shared" si="247"/>
        <v>-33</v>
      </c>
      <c r="H1239" s="13">
        <f t="shared" si="248"/>
        <v>243</v>
      </c>
      <c r="I1239" s="73">
        <f t="shared" si="249"/>
        <v>1.7578125E-2</v>
      </c>
      <c r="J1239" s="73">
        <f t="shared" si="250"/>
        <v>-2.3404255319149359E-3</v>
      </c>
      <c r="K1239" s="72" t="str">
        <f t="shared" si="251"/>
        <v>KALIBENDA</v>
      </c>
      <c r="L1239" s="72" t="str">
        <f t="shared" si="252"/>
        <v>AUGUST-5-KALIBENDA</v>
      </c>
      <c r="M1239" s="73">
        <f t="shared" si="253"/>
        <v>0.13216021118030252</v>
      </c>
      <c r="N1239" s="73">
        <f t="shared" si="254"/>
        <v>-1.9637953916919026E-2</v>
      </c>
      <c r="O1239" s="13">
        <f t="shared" si="255"/>
        <v>2101778</v>
      </c>
      <c r="P1239" s="13">
        <f t="shared" si="256"/>
        <v>2128806</v>
      </c>
      <c r="Q1239" s="13">
        <f t="shared" si="257"/>
        <v>2117221</v>
      </c>
      <c r="R1239" s="33">
        <f t="shared" si="258"/>
        <v>7.3475885654907813E-3</v>
      </c>
      <c r="S1239" s="33">
        <f t="shared" si="259"/>
        <v>-5.4420177320055885E-3</v>
      </c>
    </row>
    <row r="1240" spans="1:19" x14ac:dyDescent="0.25">
      <c r="A1240" t="s">
        <v>42</v>
      </c>
      <c r="B1240">
        <v>5</v>
      </c>
      <c r="C1240" t="s">
        <v>13</v>
      </c>
      <c r="D1240" s="70">
        <v>1080</v>
      </c>
      <c r="E1240" s="70">
        <v>1101</v>
      </c>
      <c r="F1240" s="70">
        <v>1101</v>
      </c>
      <c r="G1240" s="13">
        <f t="shared" si="247"/>
        <v>0</v>
      </c>
      <c r="H1240" s="13">
        <f t="shared" si="248"/>
        <v>21</v>
      </c>
      <c r="I1240" s="73">
        <f t="shared" si="249"/>
        <v>1.9444444444444375E-2</v>
      </c>
      <c r="J1240" s="73">
        <f t="shared" si="250"/>
        <v>0</v>
      </c>
      <c r="K1240" s="72" t="str">
        <f t="shared" si="251"/>
        <v>KALIBENDA</v>
      </c>
      <c r="L1240" s="72" t="str">
        <f t="shared" si="252"/>
        <v>AUGUST-5-KALIBENDA</v>
      </c>
      <c r="M1240" s="73">
        <f t="shared" si="253"/>
        <v>0.13216021118030252</v>
      </c>
      <c r="N1240" s="73">
        <f t="shared" si="254"/>
        <v>-1.9637953916919026E-2</v>
      </c>
      <c r="O1240" s="13">
        <f t="shared" si="255"/>
        <v>2101778</v>
      </c>
      <c r="P1240" s="13">
        <f t="shared" si="256"/>
        <v>2128806</v>
      </c>
      <c r="Q1240" s="13">
        <f t="shared" si="257"/>
        <v>2117221</v>
      </c>
      <c r="R1240" s="33">
        <f t="shared" si="258"/>
        <v>7.3475885654907813E-3</v>
      </c>
      <c r="S1240" s="33">
        <f t="shared" si="259"/>
        <v>-5.4420177320055885E-3</v>
      </c>
    </row>
    <row r="1241" spans="1:19" x14ac:dyDescent="0.25">
      <c r="A1241" t="s">
        <v>42</v>
      </c>
      <c r="B1241">
        <v>5</v>
      </c>
      <c r="C1241" t="s">
        <v>13</v>
      </c>
      <c r="D1241" s="70">
        <v>22140</v>
      </c>
      <c r="E1241" s="70">
        <v>22590</v>
      </c>
      <c r="F1241" s="70">
        <v>22539</v>
      </c>
      <c r="G1241" s="13">
        <f t="shared" si="247"/>
        <v>-51</v>
      </c>
      <c r="H1241" s="13">
        <f t="shared" si="248"/>
        <v>399</v>
      </c>
      <c r="I1241" s="73">
        <f t="shared" si="249"/>
        <v>1.8021680216802061E-2</v>
      </c>
      <c r="J1241" s="73">
        <f t="shared" si="250"/>
        <v>-2.2576361221779973E-3</v>
      </c>
      <c r="K1241" s="72" t="str">
        <f t="shared" si="251"/>
        <v>KALIBENDA</v>
      </c>
      <c r="L1241" s="72" t="str">
        <f t="shared" si="252"/>
        <v>AUGUST-5-KALIBENDA</v>
      </c>
      <c r="M1241" s="73">
        <f t="shared" si="253"/>
        <v>0.13216021118030252</v>
      </c>
      <c r="N1241" s="73">
        <f t="shared" si="254"/>
        <v>-1.9637953916919026E-2</v>
      </c>
      <c r="O1241" s="13">
        <f t="shared" si="255"/>
        <v>2101778</v>
      </c>
      <c r="P1241" s="13">
        <f t="shared" si="256"/>
        <v>2128806</v>
      </c>
      <c r="Q1241" s="13">
        <f t="shared" si="257"/>
        <v>2117221</v>
      </c>
      <c r="R1241" s="33">
        <f t="shared" si="258"/>
        <v>7.3475885654907813E-3</v>
      </c>
      <c r="S1241" s="33">
        <f t="shared" si="259"/>
        <v>-5.4420177320055885E-3</v>
      </c>
    </row>
    <row r="1242" spans="1:19" x14ac:dyDescent="0.25">
      <c r="A1242" t="s">
        <v>42</v>
      </c>
      <c r="B1242">
        <v>5</v>
      </c>
      <c r="C1242" t="s">
        <v>13</v>
      </c>
      <c r="D1242" s="70">
        <v>1620</v>
      </c>
      <c r="E1242" s="70">
        <v>1653</v>
      </c>
      <c r="F1242" s="70">
        <v>1650</v>
      </c>
      <c r="G1242" s="13">
        <f t="shared" si="247"/>
        <v>-3</v>
      </c>
      <c r="H1242" s="13">
        <f t="shared" si="248"/>
        <v>30</v>
      </c>
      <c r="I1242" s="73">
        <f t="shared" si="249"/>
        <v>1.8518518518518601E-2</v>
      </c>
      <c r="J1242" s="73">
        <f t="shared" si="250"/>
        <v>-1.8148820326678861E-3</v>
      </c>
      <c r="K1242" s="72" t="str">
        <f t="shared" si="251"/>
        <v>KALIBENDA</v>
      </c>
      <c r="L1242" s="72" t="str">
        <f t="shared" si="252"/>
        <v>AUGUST-5-KALIBENDA</v>
      </c>
      <c r="M1242" s="73">
        <f t="shared" si="253"/>
        <v>0.13216021118030252</v>
      </c>
      <c r="N1242" s="73">
        <f t="shared" si="254"/>
        <v>-1.9637953916919026E-2</v>
      </c>
      <c r="O1242" s="13">
        <f t="shared" si="255"/>
        <v>2101778</v>
      </c>
      <c r="P1242" s="13">
        <f t="shared" si="256"/>
        <v>2128806</v>
      </c>
      <c r="Q1242" s="13">
        <f t="shared" si="257"/>
        <v>2117221</v>
      </c>
      <c r="R1242" s="33">
        <f t="shared" si="258"/>
        <v>7.3475885654907813E-3</v>
      </c>
      <c r="S1242" s="33">
        <f t="shared" si="259"/>
        <v>-5.4420177320055885E-3</v>
      </c>
    </row>
    <row r="1243" spans="1:19" x14ac:dyDescent="0.25">
      <c r="A1243" t="s">
        <v>42</v>
      </c>
      <c r="B1243">
        <v>5</v>
      </c>
      <c r="C1243" t="s">
        <v>13</v>
      </c>
      <c r="D1243" s="70">
        <v>22896</v>
      </c>
      <c r="E1243" s="70">
        <v>23193</v>
      </c>
      <c r="F1243" s="70">
        <v>23157</v>
      </c>
      <c r="G1243" s="13">
        <f t="shared" si="247"/>
        <v>-36</v>
      </c>
      <c r="H1243" s="13">
        <f t="shared" si="248"/>
        <v>261</v>
      </c>
      <c r="I1243" s="73">
        <f t="shared" si="249"/>
        <v>1.1399371069182429E-2</v>
      </c>
      <c r="J1243" s="73">
        <f t="shared" si="250"/>
        <v>-1.5521924718665536E-3</v>
      </c>
      <c r="K1243" s="72" t="str">
        <f t="shared" si="251"/>
        <v>KALIBENDA</v>
      </c>
      <c r="L1243" s="72" t="str">
        <f t="shared" si="252"/>
        <v>AUGUST-5-KALIBENDA</v>
      </c>
      <c r="M1243" s="73">
        <f t="shared" si="253"/>
        <v>0.13216021118030252</v>
      </c>
      <c r="N1243" s="73">
        <f t="shared" si="254"/>
        <v>-1.9637953916919026E-2</v>
      </c>
      <c r="O1243" s="13">
        <f t="shared" si="255"/>
        <v>2101778</v>
      </c>
      <c r="P1243" s="13">
        <f t="shared" si="256"/>
        <v>2128806</v>
      </c>
      <c r="Q1243" s="13">
        <f t="shared" si="257"/>
        <v>2117221</v>
      </c>
      <c r="R1243" s="33">
        <f t="shared" si="258"/>
        <v>7.3475885654907813E-3</v>
      </c>
      <c r="S1243" s="33">
        <f t="shared" si="259"/>
        <v>-5.4420177320055885E-3</v>
      </c>
    </row>
    <row r="1244" spans="1:19" x14ac:dyDescent="0.25">
      <c r="A1244" t="s">
        <v>42</v>
      </c>
      <c r="B1244">
        <v>5</v>
      </c>
      <c r="C1244" t="s">
        <v>13</v>
      </c>
      <c r="D1244" s="70">
        <v>1080</v>
      </c>
      <c r="E1244" s="70">
        <v>1101</v>
      </c>
      <c r="F1244" s="70">
        <v>1098</v>
      </c>
      <c r="G1244" s="13">
        <f t="shared" si="247"/>
        <v>-3</v>
      </c>
      <c r="H1244" s="13">
        <f t="shared" si="248"/>
        <v>18</v>
      </c>
      <c r="I1244" s="73">
        <f t="shared" si="249"/>
        <v>1.6666666666666607E-2</v>
      </c>
      <c r="J1244" s="73">
        <f t="shared" si="250"/>
        <v>-2.7247956403270157E-3</v>
      </c>
      <c r="K1244" s="72" t="str">
        <f t="shared" si="251"/>
        <v>KALIBENDA</v>
      </c>
      <c r="L1244" s="72" t="str">
        <f t="shared" si="252"/>
        <v>AUGUST-5-KALIBENDA</v>
      </c>
      <c r="M1244" s="73">
        <f t="shared" si="253"/>
        <v>0.13216021118030252</v>
      </c>
      <c r="N1244" s="73">
        <f t="shared" si="254"/>
        <v>-1.9637953916919026E-2</v>
      </c>
      <c r="O1244" s="13">
        <f t="shared" si="255"/>
        <v>2101778</v>
      </c>
      <c r="P1244" s="13">
        <f t="shared" si="256"/>
        <v>2128806</v>
      </c>
      <c r="Q1244" s="13">
        <f t="shared" si="257"/>
        <v>2117221</v>
      </c>
      <c r="R1244" s="33">
        <f t="shared" si="258"/>
        <v>7.3475885654907813E-3</v>
      </c>
      <c r="S1244" s="33">
        <f t="shared" si="259"/>
        <v>-5.4420177320055885E-3</v>
      </c>
    </row>
    <row r="1245" spans="1:19" x14ac:dyDescent="0.25">
      <c r="A1245" t="s">
        <v>42</v>
      </c>
      <c r="B1245">
        <v>5</v>
      </c>
      <c r="C1245" t="s">
        <v>13</v>
      </c>
      <c r="D1245" s="70">
        <v>21060</v>
      </c>
      <c r="E1245" s="70">
        <v>21483</v>
      </c>
      <c r="F1245" s="70">
        <v>21429</v>
      </c>
      <c r="G1245" s="13">
        <f t="shared" si="247"/>
        <v>-54</v>
      </c>
      <c r="H1245" s="13">
        <f t="shared" si="248"/>
        <v>369</v>
      </c>
      <c r="I1245" s="73">
        <f t="shared" si="249"/>
        <v>1.7521367521367459E-2</v>
      </c>
      <c r="J1245" s="73">
        <f t="shared" si="250"/>
        <v>-2.5136154168412528E-3</v>
      </c>
      <c r="K1245" s="72" t="str">
        <f t="shared" si="251"/>
        <v>KALIBENDA</v>
      </c>
      <c r="L1245" s="72" t="str">
        <f t="shared" si="252"/>
        <v>AUGUST-5-KALIBENDA</v>
      </c>
      <c r="M1245" s="73">
        <f t="shared" si="253"/>
        <v>0.13216021118030252</v>
      </c>
      <c r="N1245" s="73">
        <f t="shared" si="254"/>
        <v>-1.9637953916919026E-2</v>
      </c>
      <c r="O1245" s="13">
        <f t="shared" si="255"/>
        <v>2101778</v>
      </c>
      <c r="P1245" s="13">
        <f t="shared" si="256"/>
        <v>2128806</v>
      </c>
      <c r="Q1245" s="13">
        <f t="shared" si="257"/>
        <v>2117221</v>
      </c>
      <c r="R1245" s="33">
        <f t="shared" si="258"/>
        <v>7.3475885654907813E-3</v>
      </c>
      <c r="S1245" s="33">
        <f t="shared" si="259"/>
        <v>-5.4420177320055885E-3</v>
      </c>
    </row>
    <row r="1246" spans="1:19" x14ac:dyDescent="0.25">
      <c r="A1246" t="s">
        <v>42</v>
      </c>
      <c r="B1246">
        <v>5</v>
      </c>
      <c r="C1246" t="s">
        <v>13</v>
      </c>
      <c r="D1246" s="70">
        <v>33264</v>
      </c>
      <c r="E1246" s="70">
        <v>33264</v>
      </c>
      <c r="F1246" s="70">
        <v>33189</v>
      </c>
      <c r="G1246" s="13">
        <f t="shared" si="247"/>
        <v>-75</v>
      </c>
      <c r="H1246" s="13">
        <f t="shared" si="248"/>
        <v>-75</v>
      </c>
      <c r="I1246" s="73">
        <f t="shared" si="249"/>
        <v>-2.2546897546897871E-3</v>
      </c>
      <c r="J1246" s="73">
        <f t="shared" si="250"/>
        <v>-2.2546897546897871E-3</v>
      </c>
      <c r="K1246" s="72" t="str">
        <f t="shared" si="251"/>
        <v>KALIBENDA</v>
      </c>
      <c r="L1246" s="72" t="str">
        <f t="shared" si="252"/>
        <v>AUGUST-5-KALIBENDA</v>
      </c>
      <c r="M1246" s="73">
        <f t="shared" si="253"/>
        <v>0.13216021118030252</v>
      </c>
      <c r="N1246" s="73">
        <f t="shared" si="254"/>
        <v>-1.9637953916919026E-2</v>
      </c>
      <c r="O1246" s="13">
        <f t="shared" si="255"/>
        <v>2101778</v>
      </c>
      <c r="P1246" s="13">
        <f t="shared" si="256"/>
        <v>2128806</v>
      </c>
      <c r="Q1246" s="13">
        <f t="shared" si="257"/>
        <v>2117221</v>
      </c>
      <c r="R1246" s="33">
        <f t="shared" si="258"/>
        <v>7.3475885654907813E-3</v>
      </c>
      <c r="S1246" s="33">
        <f t="shared" si="259"/>
        <v>-5.4420177320055885E-3</v>
      </c>
    </row>
    <row r="1247" spans="1:19" x14ac:dyDescent="0.25">
      <c r="A1247" t="s">
        <v>42</v>
      </c>
      <c r="B1247">
        <v>5</v>
      </c>
      <c r="C1247" t="s">
        <v>13</v>
      </c>
      <c r="D1247" s="70">
        <v>1080</v>
      </c>
      <c r="E1247" s="70">
        <v>1101</v>
      </c>
      <c r="F1247" s="70">
        <v>1101</v>
      </c>
      <c r="G1247" s="13">
        <f t="shared" si="247"/>
        <v>0</v>
      </c>
      <c r="H1247" s="13">
        <f t="shared" si="248"/>
        <v>21</v>
      </c>
      <c r="I1247" s="73">
        <f t="shared" si="249"/>
        <v>1.9444444444444375E-2</v>
      </c>
      <c r="J1247" s="73">
        <f t="shared" si="250"/>
        <v>0</v>
      </c>
      <c r="K1247" s="72" t="str">
        <f t="shared" si="251"/>
        <v>KALIBENDA</v>
      </c>
      <c r="L1247" s="72" t="str">
        <f t="shared" si="252"/>
        <v>AUGUST-5-KALIBENDA</v>
      </c>
      <c r="M1247" s="73">
        <f t="shared" si="253"/>
        <v>0.13216021118030252</v>
      </c>
      <c r="N1247" s="73">
        <f t="shared" si="254"/>
        <v>-1.9637953916919026E-2</v>
      </c>
      <c r="O1247" s="13">
        <f t="shared" si="255"/>
        <v>2101778</v>
      </c>
      <c r="P1247" s="13">
        <f t="shared" si="256"/>
        <v>2128806</v>
      </c>
      <c r="Q1247" s="13">
        <f t="shared" si="257"/>
        <v>2117221</v>
      </c>
      <c r="R1247" s="33">
        <f t="shared" si="258"/>
        <v>7.3475885654907813E-3</v>
      </c>
      <c r="S1247" s="33">
        <f t="shared" si="259"/>
        <v>-5.4420177320055885E-3</v>
      </c>
    </row>
    <row r="1248" spans="1:19" x14ac:dyDescent="0.25">
      <c r="A1248" t="s">
        <v>42</v>
      </c>
      <c r="B1248">
        <v>5</v>
      </c>
      <c r="C1248" t="s">
        <v>13</v>
      </c>
      <c r="D1248" s="70">
        <v>15228</v>
      </c>
      <c r="E1248" s="70">
        <v>15228</v>
      </c>
      <c r="F1248" s="70">
        <v>15201</v>
      </c>
      <c r="G1248" s="13">
        <f t="shared" si="247"/>
        <v>-27</v>
      </c>
      <c r="H1248" s="13">
        <f t="shared" si="248"/>
        <v>-27</v>
      </c>
      <c r="I1248" s="73">
        <f t="shared" si="249"/>
        <v>-1.7730496453900457E-3</v>
      </c>
      <c r="J1248" s="73">
        <f t="shared" si="250"/>
        <v>-1.7730496453900457E-3</v>
      </c>
      <c r="K1248" s="72" t="str">
        <f t="shared" si="251"/>
        <v>KALIBENDA</v>
      </c>
      <c r="L1248" s="72" t="str">
        <f t="shared" si="252"/>
        <v>AUGUST-5-KALIBENDA</v>
      </c>
      <c r="M1248" s="73">
        <f t="shared" si="253"/>
        <v>0.13216021118030252</v>
      </c>
      <c r="N1248" s="73">
        <f t="shared" si="254"/>
        <v>-1.9637953916919026E-2</v>
      </c>
      <c r="O1248" s="13">
        <f t="shared" si="255"/>
        <v>2101778</v>
      </c>
      <c r="P1248" s="13">
        <f t="shared" si="256"/>
        <v>2128806</v>
      </c>
      <c r="Q1248" s="13">
        <f t="shared" si="257"/>
        <v>2117221</v>
      </c>
      <c r="R1248" s="33">
        <f t="shared" si="258"/>
        <v>7.3475885654907813E-3</v>
      </c>
      <c r="S1248" s="33">
        <f t="shared" si="259"/>
        <v>-5.4420177320055885E-3</v>
      </c>
    </row>
    <row r="1249" spans="1:19" x14ac:dyDescent="0.25">
      <c r="A1249" t="s">
        <v>42</v>
      </c>
      <c r="B1249">
        <v>5</v>
      </c>
      <c r="C1249" t="s">
        <v>13</v>
      </c>
      <c r="D1249" s="70">
        <v>24408</v>
      </c>
      <c r="E1249" s="70">
        <v>24408</v>
      </c>
      <c r="F1249" s="70">
        <v>24393</v>
      </c>
      <c r="G1249" s="13">
        <f t="shared" si="247"/>
        <v>-15</v>
      </c>
      <c r="H1249" s="13">
        <f t="shared" si="248"/>
        <v>-15</v>
      </c>
      <c r="I1249" s="73">
        <f t="shared" si="249"/>
        <v>-6.1455260570308923E-4</v>
      </c>
      <c r="J1249" s="73">
        <f t="shared" si="250"/>
        <v>-6.1455260570308923E-4</v>
      </c>
      <c r="K1249" s="72" t="str">
        <f t="shared" si="251"/>
        <v>KALIBENDA</v>
      </c>
      <c r="L1249" s="72" t="str">
        <f t="shared" si="252"/>
        <v>AUGUST-5-KALIBENDA</v>
      </c>
      <c r="M1249" s="73">
        <f t="shared" si="253"/>
        <v>0.13216021118030252</v>
      </c>
      <c r="N1249" s="73">
        <f t="shared" si="254"/>
        <v>-1.9637953916919026E-2</v>
      </c>
      <c r="O1249" s="13">
        <f t="shared" si="255"/>
        <v>2101778</v>
      </c>
      <c r="P1249" s="13">
        <f t="shared" si="256"/>
        <v>2128806</v>
      </c>
      <c r="Q1249" s="13">
        <f t="shared" si="257"/>
        <v>2117221</v>
      </c>
      <c r="R1249" s="33">
        <f t="shared" si="258"/>
        <v>7.3475885654907813E-3</v>
      </c>
      <c r="S1249" s="33">
        <f t="shared" si="259"/>
        <v>-5.4420177320055885E-3</v>
      </c>
    </row>
    <row r="1250" spans="1:19" x14ac:dyDescent="0.25">
      <c r="A1250" t="s">
        <v>42</v>
      </c>
      <c r="B1250">
        <v>5</v>
      </c>
      <c r="C1250" t="s">
        <v>13</v>
      </c>
      <c r="D1250" s="70">
        <v>6696</v>
      </c>
      <c r="E1250" s="70">
        <v>6696</v>
      </c>
      <c r="F1250" s="70">
        <v>6684</v>
      </c>
      <c r="G1250" s="13">
        <f t="shared" si="247"/>
        <v>-12</v>
      </c>
      <c r="H1250" s="13">
        <f t="shared" si="248"/>
        <v>-12</v>
      </c>
      <c r="I1250" s="73">
        <f t="shared" si="249"/>
        <v>-1.7921146953404632E-3</v>
      </c>
      <c r="J1250" s="73">
        <f t="shared" si="250"/>
        <v>-1.7921146953404632E-3</v>
      </c>
      <c r="K1250" s="72" t="str">
        <f t="shared" si="251"/>
        <v>KALIBENDA</v>
      </c>
      <c r="L1250" s="72" t="str">
        <f t="shared" si="252"/>
        <v>AUGUST-5-KALIBENDA</v>
      </c>
      <c r="M1250" s="73">
        <f t="shared" si="253"/>
        <v>0.13216021118030252</v>
      </c>
      <c r="N1250" s="73">
        <f t="shared" si="254"/>
        <v>-1.9637953916919026E-2</v>
      </c>
      <c r="O1250" s="13">
        <f t="shared" si="255"/>
        <v>2101778</v>
      </c>
      <c r="P1250" s="13">
        <f t="shared" si="256"/>
        <v>2128806</v>
      </c>
      <c r="Q1250" s="13">
        <f t="shared" si="257"/>
        <v>2117221</v>
      </c>
      <c r="R1250" s="33">
        <f t="shared" si="258"/>
        <v>7.3475885654907813E-3</v>
      </c>
      <c r="S1250" s="33">
        <f t="shared" si="259"/>
        <v>-5.4420177320055885E-3</v>
      </c>
    </row>
    <row r="1251" spans="1:19" x14ac:dyDescent="0.25">
      <c r="A1251" t="s">
        <v>42</v>
      </c>
      <c r="B1251">
        <v>5</v>
      </c>
      <c r="C1251" t="s">
        <v>28</v>
      </c>
      <c r="D1251" s="68">
        <v>57744</v>
      </c>
      <c r="E1251" s="70">
        <v>58907</v>
      </c>
      <c r="F1251" s="70">
        <v>58712</v>
      </c>
      <c r="G1251" s="13">
        <f t="shared" si="247"/>
        <v>-195</v>
      </c>
      <c r="H1251" s="13">
        <f t="shared" si="248"/>
        <v>968</v>
      </c>
      <c r="I1251" s="73">
        <f t="shared" si="249"/>
        <v>1.6763646439456936E-2</v>
      </c>
      <c r="J1251" s="73">
        <f t="shared" si="250"/>
        <v>-3.3103026804963687E-3</v>
      </c>
      <c r="K1251" s="72" t="str">
        <f t="shared" si="251"/>
        <v>GM2</v>
      </c>
      <c r="L1251" s="72" t="str">
        <f t="shared" si="252"/>
        <v>AUGUST-5-GM2</v>
      </c>
      <c r="M1251" s="73">
        <f t="shared" si="253"/>
        <v>0.42100071685859808</v>
      </c>
      <c r="N1251" s="73">
        <f t="shared" si="254"/>
        <v>-8.6402803887488666E-2</v>
      </c>
      <c r="O1251" s="13">
        <f t="shared" si="255"/>
        <v>2101778</v>
      </c>
      <c r="P1251" s="13">
        <f t="shared" si="256"/>
        <v>2128806</v>
      </c>
      <c r="Q1251" s="13">
        <f t="shared" si="257"/>
        <v>2117221</v>
      </c>
      <c r="R1251" s="33">
        <f t="shared" si="258"/>
        <v>7.3475885654907813E-3</v>
      </c>
      <c r="S1251" s="33">
        <f t="shared" si="259"/>
        <v>-5.4420177320055885E-3</v>
      </c>
    </row>
    <row r="1252" spans="1:19" x14ac:dyDescent="0.25">
      <c r="A1252" t="s">
        <v>42</v>
      </c>
      <c r="B1252">
        <v>5</v>
      </c>
      <c r="C1252" t="s">
        <v>28</v>
      </c>
      <c r="D1252" s="68">
        <v>47232</v>
      </c>
      <c r="E1252" s="70">
        <v>48194</v>
      </c>
      <c r="F1252" s="70">
        <v>47936</v>
      </c>
      <c r="G1252" s="13">
        <f t="shared" si="247"/>
        <v>-258</v>
      </c>
      <c r="H1252" s="13">
        <f t="shared" si="248"/>
        <v>704</v>
      </c>
      <c r="I1252" s="73">
        <f t="shared" si="249"/>
        <v>1.4905149051490429E-2</v>
      </c>
      <c r="J1252" s="73">
        <f t="shared" si="250"/>
        <v>-5.3533634892309889E-3</v>
      </c>
      <c r="K1252" s="72" t="str">
        <f t="shared" si="251"/>
        <v>GM2</v>
      </c>
      <c r="L1252" s="72" t="str">
        <f t="shared" si="252"/>
        <v>AUGUST-5-GM2</v>
      </c>
      <c r="M1252" s="73">
        <f t="shared" si="253"/>
        <v>0.42100071685859808</v>
      </c>
      <c r="N1252" s="73">
        <f t="shared" si="254"/>
        <v>-8.6402803887488666E-2</v>
      </c>
      <c r="O1252" s="13">
        <f t="shared" si="255"/>
        <v>2101778</v>
      </c>
      <c r="P1252" s="13">
        <f t="shared" si="256"/>
        <v>2128806</v>
      </c>
      <c r="Q1252" s="13">
        <f t="shared" si="257"/>
        <v>2117221</v>
      </c>
      <c r="R1252" s="33">
        <f t="shared" si="258"/>
        <v>7.3475885654907813E-3</v>
      </c>
      <c r="S1252" s="33">
        <f t="shared" si="259"/>
        <v>-5.4420177320055885E-3</v>
      </c>
    </row>
    <row r="1253" spans="1:19" x14ac:dyDescent="0.25">
      <c r="A1253" t="s">
        <v>42</v>
      </c>
      <c r="B1253">
        <v>5</v>
      </c>
      <c r="C1253" t="s">
        <v>28</v>
      </c>
      <c r="D1253" s="68">
        <v>24048</v>
      </c>
      <c r="E1253" s="70">
        <v>24538</v>
      </c>
      <c r="F1253" s="70">
        <v>24404</v>
      </c>
      <c r="G1253" s="13">
        <f t="shared" si="247"/>
        <v>-134</v>
      </c>
      <c r="H1253" s="13">
        <f t="shared" si="248"/>
        <v>356</v>
      </c>
      <c r="I1253" s="73">
        <f t="shared" si="249"/>
        <v>1.4803725881570085E-2</v>
      </c>
      <c r="J1253" s="73">
        <f t="shared" si="250"/>
        <v>-5.4609177602086278E-3</v>
      </c>
      <c r="K1253" s="72" t="str">
        <f t="shared" si="251"/>
        <v>GM2</v>
      </c>
      <c r="L1253" s="72" t="str">
        <f t="shared" si="252"/>
        <v>AUGUST-5-GM2</v>
      </c>
      <c r="M1253" s="73">
        <f t="shared" si="253"/>
        <v>0.42100071685859808</v>
      </c>
      <c r="N1253" s="73">
        <f t="shared" si="254"/>
        <v>-8.6402803887488666E-2</v>
      </c>
      <c r="O1253" s="13">
        <f t="shared" si="255"/>
        <v>2101778</v>
      </c>
      <c r="P1253" s="13">
        <f t="shared" si="256"/>
        <v>2128806</v>
      </c>
      <c r="Q1253" s="13">
        <f t="shared" si="257"/>
        <v>2117221</v>
      </c>
      <c r="R1253" s="33">
        <f t="shared" si="258"/>
        <v>7.3475885654907813E-3</v>
      </c>
      <c r="S1253" s="33">
        <f t="shared" si="259"/>
        <v>-5.4420177320055885E-3</v>
      </c>
    </row>
    <row r="1254" spans="1:19" x14ac:dyDescent="0.25">
      <c r="A1254" t="s">
        <v>42</v>
      </c>
      <c r="B1254">
        <v>5</v>
      </c>
      <c r="C1254" t="s">
        <v>28</v>
      </c>
      <c r="D1254" s="68">
        <v>6048</v>
      </c>
      <c r="E1254" s="70">
        <v>6055</v>
      </c>
      <c r="F1254" s="70">
        <v>6048</v>
      </c>
      <c r="G1254" s="13">
        <f t="shared" si="247"/>
        <v>-7</v>
      </c>
      <c r="H1254" s="13">
        <f t="shared" si="248"/>
        <v>0</v>
      </c>
      <c r="I1254" s="73">
        <f t="shared" si="249"/>
        <v>0</v>
      </c>
      <c r="J1254" s="73">
        <f t="shared" si="250"/>
        <v>-1.1560693641619046E-3</v>
      </c>
      <c r="K1254" s="72" t="str">
        <f t="shared" si="251"/>
        <v>GM2</v>
      </c>
      <c r="L1254" s="72" t="str">
        <f t="shared" si="252"/>
        <v>AUGUST-5-GM2</v>
      </c>
      <c r="M1254" s="73">
        <f t="shared" si="253"/>
        <v>0.42100071685859808</v>
      </c>
      <c r="N1254" s="73">
        <f t="shared" si="254"/>
        <v>-8.6402803887488666E-2</v>
      </c>
      <c r="O1254" s="13">
        <f t="shared" si="255"/>
        <v>2101778</v>
      </c>
      <c r="P1254" s="13">
        <f t="shared" si="256"/>
        <v>2128806</v>
      </c>
      <c r="Q1254" s="13">
        <f t="shared" si="257"/>
        <v>2117221</v>
      </c>
      <c r="R1254" s="33">
        <f t="shared" si="258"/>
        <v>7.3475885654907813E-3</v>
      </c>
      <c r="S1254" s="33">
        <f t="shared" si="259"/>
        <v>-5.4420177320055885E-3</v>
      </c>
    </row>
    <row r="1255" spans="1:19" x14ac:dyDescent="0.25">
      <c r="A1255" t="s">
        <v>42</v>
      </c>
      <c r="B1255">
        <v>5</v>
      </c>
      <c r="C1255" t="s">
        <v>28</v>
      </c>
      <c r="D1255" s="68">
        <v>11376</v>
      </c>
      <c r="E1255" s="70">
        <v>11662</v>
      </c>
      <c r="F1255" s="70">
        <v>11596</v>
      </c>
      <c r="G1255" s="13">
        <f t="shared" si="247"/>
        <v>-66</v>
      </c>
      <c r="H1255" s="13">
        <f t="shared" si="248"/>
        <v>220</v>
      </c>
      <c r="I1255" s="73">
        <f t="shared" si="249"/>
        <v>1.9338959212376938E-2</v>
      </c>
      <c r="J1255" s="73">
        <f t="shared" si="250"/>
        <v>-5.6594066197908077E-3</v>
      </c>
      <c r="K1255" s="72" t="str">
        <f t="shared" si="251"/>
        <v>GM2</v>
      </c>
      <c r="L1255" s="72" t="str">
        <f t="shared" si="252"/>
        <v>AUGUST-5-GM2</v>
      </c>
      <c r="M1255" s="73">
        <f t="shared" si="253"/>
        <v>0.42100071685859808</v>
      </c>
      <c r="N1255" s="73">
        <f t="shared" si="254"/>
        <v>-8.6402803887488666E-2</v>
      </c>
      <c r="O1255" s="13">
        <f t="shared" si="255"/>
        <v>2101778</v>
      </c>
      <c r="P1255" s="13">
        <f t="shared" si="256"/>
        <v>2128806</v>
      </c>
      <c r="Q1255" s="13">
        <f t="shared" si="257"/>
        <v>2117221</v>
      </c>
      <c r="R1255" s="33">
        <f t="shared" si="258"/>
        <v>7.3475885654907813E-3</v>
      </c>
      <c r="S1255" s="33">
        <f t="shared" si="259"/>
        <v>-5.4420177320055885E-3</v>
      </c>
    </row>
    <row r="1256" spans="1:19" x14ac:dyDescent="0.25">
      <c r="A1256" t="s">
        <v>42</v>
      </c>
      <c r="B1256">
        <v>5</v>
      </c>
      <c r="C1256" t="s">
        <v>28</v>
      </c>
      <c r="D1256" s="68">
        <v>3888</v>
      </c>
      <c r="E1256" s="70">
        <v>4116</v>
      </c>
      <c r="F1256" s="70">
        <v>4080</v>
      </c>
      <c r="G1256" s="13">
        <f t="shared" si="247"/>
        <v>-36</v>
      </c>
      <c r="H1256" s="13">
        <f t="shared" si="248"/>
        <v>192</v>
      </c>
      <c r="I1256" s="73">
        <f t="shared" si="249"/>
        <v>4.9382716049382713E-2</v>
      </c>
      <c r="J1256" s="73">
        <f t="shared" si="250"/>
        <v>-8.7463556851311575E-3</v>
      </c>
      <c r="K1256" s="72" t="str">
        <f t="shared" si="251"/>
        <v>GM2</v>
      </c>
      <c r="L1256" s="72" t="str">
        <f t="shared" si="252"/>
        <v>AUGUST-5-GM2</v>
      </c>
      <c r="M1256" s="73">
        <f t="shared" si="253"/>
        <v>0.42100071685859808</v>
      </c>
      <c r="N1256" s="73">
        <f t="shared" si="254"/>
        <v>-8.6402803887488666E-2</v>
      </c>
      <c r="O1256" s="13">
        <f t="shared" si="255"/>
        <v>2101778</v>
      </c>
      <c r="P1256" s="13">
        <f t="shared" si="256"/>
        <v>2128806</v>
      </c>
      <c r="Q1256" s="13">
        <f t="shared" si="257"/>
        <v>2117221</v>
      </c>
      <c r="R1256" s="33">
        <f t="shared" si="258"/>
        <v>7.3475885654907813E-3</v>
      </c>
      <c r="S1256" s="33">
        <f t="shared" si="259"/>
        <v>-5.4420177320055885E-3</v>
      </c>
    </row>
    <row r="1257" spans="1:19" x14ac:dyDescent="0.25">
      <c r="A1257" t="s">
        <v>42</v>
      </c>
      <c r="B1257">
        <v>5</v>
      </c>
      <c r="C1257" t="s">
        <v>28</v>
      </c>
      <c r="D1257" s="68">
        <v>3672</v>
      </c>
      <c r="E1257" s="70">
        <v>3867</v>
      </c>
      <c r="F1257" s="70">
        <v>3843</v>
      </c>
      <c r="G1257" s="13">
        <f t="shared" si="247"/>
        <v>-24</v>
      </c>
      <c r="H1257" s="13">
        <f t="shared" si="248"/>
        <v>171</v>
      </c>
      <c r="I1257" s="73">
        <f t="shared" si="249"/>
        <v>4.6568627450980449E-2</v>
      </c>
      <c r="J1257" s="73">
        <f t="shared" si="250"/>
        <v>-6.2063615205585343E-3</v>
      </c>
      <c r="K1257" s="72" t="str">
        <f t="shared" si="251"/>
        <v>GM2</v>
      </c>
      <c r="L1257" s="72" t="str">
        <f t="shared" si="252"/>
        <v>AUGUST-5-GM2</v>
      </c>
      <c r="M1257" s="73">
        <f t="shared" si="253"/>
        <v>0.42100071685859808</v>
      </c>
      <c r="N1257" s="73">
        <f t="shared" si="254"/>
        <v>-8.6402803887488666E-2</v>
      </c>
      <c r="O1257" s="13">
        <f t="shared" si="255"/>
        <v>2101778</v>
      </c>
      <c r="P1257" s="13">
        <f t="shared" si="256"/>
        <v>2128806</v>
      </c>
      <c r="Q1257" s="13">
        <f t="shared" si="257"/>
        <v>2117221</v>
      </c>
      <c r="R1257" s="33">
        <f t="shared" si="258"/>
        <v>7.3475885654907813E-3</v>
      </c>
      <c r="S1257" s="33">
        <f t="shared" si="259"/>
        <v>-5.4420177320055885E-3</v>
      </c>
    </row>
    <row r="1258" spans="1:19" x14ac:dyDescent="0.25">
      <c r="A1258" t="s">
        <v>42</v>
      </c>
      <c r="B1258">
        <v>5</v>
      </c>
      <c r="C1258" t="s">
        <v>28</v>
      </c>
      <c r="D1258" s="68">
        <v>31104</v>
      </c>
      <c r="E1258" s="70">
        <v>31125</v>
      </c>
      <c r="F1258" s="70">
        <v>31104</v>
      </c>
      <c r="G1258" s="13">
        <f t="shared" si="247"/>
        <v>-21</v>
      </c>
      <c r="H1258" s="13">
        <f t="shared" si="248"/>
        <v>0</v>
      </c>
      <c r="I1258" s="73">
        <f t="shared" si="249"/>
        <v>0</v>
      </c>
      <c r="J1258" s="73">
        <f t="shared" si="250"/>
        <v>-6.7469879518067266E-4</v>
      </c>
      <c r="K1258" s="72" t="str">
        <f t="shared" si="251"/>
        <v>GM2</v>
      </c>
      <c r="L1258" s="72" t="str">
        <f t="shared" si="252"/>
        <v>AUGUST-5-GM2</v>
      </c>
      <c r="M1258" s="73">
        <f t="shared" si="253"/>
        <v>0.42100071685859808</v>
      </c>
      <c r="N1258" s="73">
        <f t="shared" si="254"/>
        <v>-8.6402803887488666E-2</v>
      </c>
      <c r="O1258" s="13">
        <f t="shared" si="255"/>
        <v>2101778</v>
      </c>
      <c r="P1258" s="13">
        <f t="shared" si="256"/>
        <v>2128806</v>
      </c>
      <c r="Q1258" s="13">
        <f t="shared" si="257"/>
        <v>2117221</v>
      </c>
      <c r="R1258" s="33">
        <f t="shared" si="258"/>
        <v>7.3475885654907813E-3</v>
      </c>
      <c r="S1258" s="33">
        <f t="shared" si="259"/>
        <v>-5.4420177320055885E-3</v>
      </c>
    </row>
    <row r="1259" spans="1:19" x14ac:dyDescent="0.25">
      <c r="A1259" t="s">
        <v>42</v>
      </c>
      <c r="B1259">
        <v>5</v>
      </c>
      <c r="C1259" t="s">
        <v>28</v>
      </c>
      <c r="D1259" s="68">
        <v>19008</v>
      </c>
      <c r="E1259" s="70">
        <v>18894</v>
      </c>
      <c r="F1259" s="70">
        <v>19008</v>
      </c>
      <c r="G1259" s="13">
        <f t="shared" si="247"/>
        <v>114</v>
      </c>
      <c r="H1259" s="13">
        <f t="shared" si="248"/>
        <v>0</v>
      </c>
      <c r="I1259" s="73">
        <f t="shared" si="249"/>
        <v>0</v>
      </c>
      <c r="J1259" s="73">
        <f t="shared" si="250"/>
        <v>6.033661479834862E-3</v>
      </c>
      <c r="K1259" s="72" t="str">
        <f t="shared" si="251"/>
        <v>GM2</v>
      </c>
      <c r="L1259" s="72" t="str">
        <f t="shared" si="252"/>
        <v>AUGUST-5-GM2</v>
      </c>
      <c r="M1259" s="73">
        <f t="shared" si="253"/>
        <v>0.42100071685859808</v>
      </c>
      <c r="N1259" s="73">
        <f t="shared" si="254"/>
        <v>-8.6402803887488666E-2</v>
      </c>
      <c r="O1259" s="13">
        <f t="shared" si="255"/>
        <v>2101778</v>
      </c>
      <c r="P1259" s="13">
        <f t="shared" si="256"/>
        <v>2128806</v>
      </c>
      <c r="Q1259" s="13">
        <f t="shared" si="257"/>
        <v>2117221</v>
      </c>
      <c r="R1259" s="33">
        <f t="shared" si="258"/>
        <v>7.3475885654907813E-3</v>
      </c>
      <c r="S1259" s="33">
        <f t="shared" si="259"/>
        <v>-5.4420177320055885E-3</v>
      </c>
    </row>
    <row r="1260" spans="1:19" x14ac:dyDescent="0.25">
      <c r="A1260" t="s">
        <v>42</v>
      </c>
      <c r="B1260">
        <v>5</v>
      </c>
      <c r="C1260" t="s">
        <v>28</v>
      </c>
      <c r="D1260" s="68">
        <v>13392</v>
      </c>
      <c r="E1260" s="70">
        <v>13394</v>
      </c>
      <c r="F1260" s="70">
        <v>13392</v>
      </c>
      <c r="G1260" s="13">
        <f t="shared" si="247"/>
        <v>-2</v>
      </c>
      <c r="H1260" s="13">
        <f t="shared" si="248"/>
        <v>0</v>
      </c>
      <c r="I1260" s="73">
        <f t="shared" si="249"/>
        <v>0</v>
      </c>
      <c r="J1260" s="73">
        <f t="shared" si="250"/>
        <v>-1.4932059130956521E-4</v>
      </c>
      <c r="K1260" s="72" t="str">
        <f t="shared" si="251"/>
        <v>GM2</v>
      </c>
      <c r="L1260" s="72" t="str">
        <f t="shared" si="252"/>
        <v>AUGUST-5-GM2</v>
      </c>
      <c r="M1260" s="73">
        <f t="shared" si="253"/>
        <v>0.42100071685859808</v>
      </c>
      <c r="N1260" s="73">
        <f t="shared" si="254"/>
        <v>-8.6402803887488666E-2</v>
      </c>
      <c r="O1260" s="13">
        <f t="shared" si="255"/>
        <v>2101778</v>
      </c>
      <c r="P1260" s="13">
        <f t="shared" si="256"/>
        <v>2128806</v>
      </c>
      <c r="Q1260" s="13">
        <f t="shared" si="257"/>
        <v>2117221</v>
      </c>
      <c r="R1260" s="33">
        <f t="shared" si="258"/>
        <v>7.3475885654907813E-3</v>
      </c>
      <c r="S1260" s="33">
        <f t="shared" si="259"/>
        <v>-5.4420177320055885E-3</v>
      </c>
    </row>
    <row r="1261" spans="1:19" x14ac:dyDescent="0.25">
      <c r="A1261" t="s">
        <v>42</v>
      </c>
      <c r="B1261">
        <v>5</v>
      </c>
      <c r="C1261" t="s">
        <v>28</v>
      </c>
      <c r="D1261" s="68">
        <v>6480</v>
      </c>
      <c r="E1261" s="70">
        <v>6698</v>
      </c>
      <c r="F1261" s="70">
        <v>6678</v>
      </c>
      <c r="G1261" s="13">
        <f t="shared" si="247"/>
        <v>-20</v>
      </c>
      <c r="H1261" s="13">
        <f t="shared" si="248"/>
        <v>198</v>
      </c>
      <c r="I1261" s="73">
        <f t="shared" si="249"/>
        <v>3.0555555555555447E-2</v>
      </c>
      <c r="J1261" s="73">
        <f t="shared" si="250"/>
        <v>-2.9859659599880128E-3</v>
      </c>
      <c r="K1261" s="72" t="str">
        <f t="shared" si="251"/>
        <v>GM2</v>
      </c>
      <c r="L1261" s="72" t="str">
        <f t="shared" si="252"/>
        <v>AUGUST-5-GM2</v>
      </c>
      <c r="M1261" s="73">
        <f t="shared" si="253"/>
        <v>0.42100071685859808</v>
      </c>
      <c r="N1261" s="73">
        <f t="shared" si="254"/>
        <v>-8.6402803887488666E-2</v>
      </c>
      <c r="O1261" s="13">
        <f t="shared" si="255"/>
        <v>2101778</v>
      </c>
      <c r="P1261" s="13">
        <f t="shared" si="256"/>
        <v>2128806</v>
      </c>
      <c r="Q1261" s="13">
        <f t="shared" si="257"/>
        <v>2117221</v>
      </c>
      <c r="R1261" s="33">
        <f t="shared" si="258"/>
        <v>7.3475885654907813E-3</v>
      </c>
      <c r="S1261" s="33">
        <f t="shared" si="259"/>
        <v>-5.4420177320055885E-3</v>
      </c>
    </row>
    <row r="1262" spans="1:19" x14ac:dyDescent="0.25">
      <c r="A1262" t="s">
        <v>42</v>
      </c>
      <c r="B1262">
        <v>5</v>
      </c>
      <c r="C1262" t="s">
        <v>28</v>
      </c>
      <c r="D1262" s="68">
        <v>7236</v>
      </c>
      <c r="E1262" s="70">
        <v>7416</v>
      </c>
      <c r="F1262" s="70">
        <v>7362</v>
      </c>
      <c r="G1262" s="13">
        <f t="shared" si="247"/>
        <v>-54</v>
      </c>
      <c r="H1262" s="13">
        <f t="shared" si="248"/>
        <v>126</v>
      </c>
      <c r="I1262" s="73">
        <f t="shared" si="249"/>
        <v>1.7412935323383172E-2</v>
      </c>
      <c r="J1262" s="73">
        <f t="shared" si="250"/>
        <v>-7.2815533980582492E-3</v>
      </c>
      <c r="K1262" s="72" t="str">
        <f t="shared" si="251"/>
        <v>GM2</v>
      </c>
      <c r="L1262" s="72" t="str">
        <f t="shared" si="252"/>
        <v>AUGUST-5-GM2</v>
      </c>
      <c r="M1262" s="73">
        <f t="shared" si="253"/>
        <v>0.42100071685859808</v>
      </c>
      <c r="N1262" s="73">
        <f t="shared" si="254"/>
        <v>-8.6402803887488666E-2</v>
      </c>
      <c r="O1262" s="13">
        <f t="shared" si="255"/>
        <v>2101778</v>
      </c>
      <c r="P1262" s="13">
        <f t="shared" si="256"/>
        <v>2128806</v>
      </c>
      <c r="Q1262" s="13">
        <f t="shared" si="257"/>
        <v>2117221</v>
      </c>
      <c r="R1262" s="33">
        <f t="shared" si="258"/>
        <v>7.3475885654907813E-3</v>
      </c>
      <c r="S1262" s="33">
        <f t="shared" si="259"/>
        <v>-5.4420177320055885E-3</v>
      </c>
    </row>
    <row r="1263" spans="1:19" x14ac:dyDescent="0.25">
      <c r="A1263" t="s">
        <v>42</v>
      </c>
      <c r="B1263">
        <v>5</v>
      </c>
      <c r="C1263" t="s">
        <v>28</v>
      </c>
      <c r="D1263" s="68">
        <v>1620</v>
      </c>
      <c r="E1263" s="70">
        <v>1656</v>
      </c>
      <c r="F1263" s="70">
        <v>1653</v>
      </c>
      <c r="G1263" s="13">
        <f t="shared" si="247"/>
        <v>-3</v>
      </c>
      <c r="H1263" s="13">
        <f t="shared" si="248"/>
        <v>33</v>
      </c>
      <c r="I1263" s="73">
        <f t="shared" si="249"/>
        <v>2.0370370370370372E-2</v>
      </c>
      <c r="J1263" s="73">
        <f t="shared" si="250"/>
        <v>-1.8115942028985588E-3</v>
      </c>
      <c r="K1263" s="72" t="str">
        <f t="shared" si="251"/>
        <v>GM2</v>
      </c>
      <c r="L1263" s="72" t="str">
        <f t="shared" si="252"/>
        <v>AUGUST-5-GM2</v>
      </c>
      <c r="M1263" s="73">
        <f t="shared" si="253"/>
        <v>0.42100071685859808</v>
      </c>
      <c r="N1263" s="73">
        <f t="shared" si="254"/>
        <v>-8.6402803887488666E-2</v>
      </c>
      <c r="O1263" s="13">
        <f t="shared" si="255"/>
        <v>2101778</v>
      </c>
      <c r="P1263" s="13">
        <f t="shared" si="256"/>
        <v>2128806</v>
      </c>
      <c r="Q1263" s="13">
        <f t="shared" si="257"/>
        <v>2117221</v>
      </c>
      <c r="R1263" s="33">
        <f t="shared" si="258"/>
        <v>7.3475885654907813E-3</v>
      </c>
      <c r="S1263" s="33">
        <f t="shared" si="259"/>
        <v>-5.4420177320055885E-3</v>
      </c>
    </row>
    <row r="1264" spans="1:19" x14ac:dyDescent="0.25">
      <c r="A1264" t="s">
        <v>42</v>
      </c>
      <c r="B1264">
        <v>5</v>
      </c>
      <c r="C1264" t="s">
        <v>28</v>
      </c>
      <c r="D1264" s="68">
        <v>8316</v>
      </c>
      <c r="E1264" s="70">
        <v>8506</v>
      </c>
      <c r="F1264" s="70">
        <v>8487</v>
      </c>
      <c r="G1264" s="13">
        <f t="shared" si="247"/>
        <v>-19</v>
      </c>
      <c r="H1264" s="13">
        <f t="shared" si="248"/>
        <v>171</v>
      </c>
      <c r="I1264" s="73">
        <f t="shared" si="249"/>
        <v>2.0562770562770671E-2</v>
      </c>
      <c r="J1264" s="73">
        <f t="shared" si="250"/>
        <v>-2.2337173759698903E-3</v>
      </c>
      <c r="K1264" s="72" t="str">
        <f t="shared" si="251"/>
        <v>GM2</v>
      </c>
      <c r="L1264" s="72" t="str">
        <f t="shared" si="252"/>
        <v>AUGUST-5-GM2</v>
      </c>
      <c r="M1264" s="73">
        <f t="shared" si="253"/>
        <v>0.42100071685859808</v>
      </c>
      <c r="N1264" s="73">
        <f t="shared" si="254"/>
        <v>-8.6402803887488666E-2</v>
      </c>
      <c r="O1264" s="13">
        <f t="shared" si="255"/>
        <v>2101778</v>
      </c>
      <c r="P1264" s="13">
        <f t="shared" si="256"/>
        <v>2128806</v>
      </c>
      <c r="Q1264" s="13">
        <f t="shared" si="257"/>
        <v>2117221</v>
      </c>
      <c r="R1264" s="33">
        <f t="shared" si="258"/>
        <v>7.3475885654907813E-3</v>
      </c>
      <c r="S1264" s="33">
        <f t="shared" si="259"/>
        <v>-5.4420177320055885E-3</v>
      </c>
    </row>
    <row r="1265" spans="1:19" x14ac:dyDescent="0.25">
      <c r="A1265" t="s">
        <v>42</v>
      </c>
      <c r="B1265">
        <v>5</v>
      </c>
      <c r="C1265" t="s">
        <v>28</v>
      </c>
      <c r="D1265" s="68">
        <v>1080</v>
      </c>
      <c r="E1265" s="70">
        <v>1109</v>
      </c>
      <c r="F1265" s="70">
        <v>1104</v>
      </c>
      <c r="G1265" s="13">
        <f t="shared" si="247"/>
        <v>-5</v>
      </c>
      <c r="H1265" s="13">
        <f t="shared" si="248"/>
        <v>24</v>
      </c>
      <c r="I1265" s="73">
        <f t="shared" si="249"/>
        <v>2.2222222222222143E-2</v>
      </c>
      <c r="J1265" s="73">
        <f t="shared" si="250"/>
        <v>-4.5085662759242195E-3</v>
      </c>
      <c r="K1265" s="72" t="str">
        <f t="shared" si="251"/>
        <v>GM2</v>
      </c>
      <c r="L1265" s="72" t="str">
        <f t="shared" si="252"/>
        <v>AUGUST-5-GM2</v>
      </c>
      <c r="M1265" s="73">
        <f t="shared" si="253"/>
        <v>0.42100071685859808</v>
      </c>
      <c r="N1265" s="73">
        <f t="shared" si="254"/>
        <v>-8.6402803887488666E-2</v>
      </c>
      <c r="O1265" s="13">
        <f t="shared" si="255"/>
        <v>2101778</v>
      </c>
      <c r="P1265" s="13">
        <f t="shared" si="256"/>
        <v>2128806</v>
      </c>
      <c r="Q1265" s="13">
        <f t="shared" si="257"/>
        <v>2117221</v>
      </c>
      <c r="R1265" s="33">
        <f t="shared" si="258"/>
        <v>7.3475885654907813E-3</v>
      </c>
      <c r="S1265" s="33">
        <f t="shared" si="259"/>
        <v>-5.4420177320055885E-3</v>
      </c>
    </row>
    <row r="1266" spans="1:19" x14ac:dyDescent="0.25">
      <c r="A1266" t="s">
        <v>42</v>
      </c>
      <c r="B1266">
        <v>5</v>
      </c>
      <c r="C1266" t="s">
        <v>28</v>
      </c>
      <c r="D1266" s="68">
        <v>7128</v>
      </c>
      <c r="E1266" s="68">
        <v>7362</v>
      </c>
      <c r="F1266" s="68">
        <v>7371</v>
      </c>
      <c r="G1266" s="13">
        <f t="shared" si="247"/>
        <v>9</v>
      </c>
      <c r="H1266" s="13">
        <f t="shared" si="248"/>
        <v>243</v>
      </c>
      <c r="I1266" s="73">
        <f t="shared" si="249"/>
        <v>3.4090909090909172E-2</v>
      </c>
      <c r="J1266" s="73">
        <f t="shared" si="250"/>
        <v>1.2224938875304847E-3</v>
      </c>
      <c r="K1266" s="72" t="str">
        <f t="shared" si="251"/>
        <v>GM2</v>
      </c>
      <c r="L1266" s="72" t="str">
        <f t="shared" si="252"/>
        <v>AUGUST-5-GM2</v>
      </c>
      <c r="M1266" s="73">
        <f t="shared" si="253"/>
        <v>0.42100071685859808</v>
      </c>
      <c r="N1266" s="73">
        <f t="shared" si="254"/>
        <v>-8.6402803887488666E-2</v>
      </c>
      <c r="O1266" s="13">
        <f t="shared" si="255"/>
        <v>2101778</v>
      </c>
      <c r="P1266" s="13">
        <f t="shared" si="256"/>
        <v>2128806</v>
      </c>
      <c r="Q1266" s="13">
        <f t="shared" si="257"/>
        <v>2117221</v>
      </c>
      <c r="R1266" s="33">
        <f t="shared" si="258"/>
        <v>7.3475885654907813E-3</v>
      </c>
      <c r="S1266" s="33">
        <f t="shared" si="259"/>
        <v>-5.4420177320055885E-3</v>
      </c>
    </row>
    <row r="1267" spans="1:19" x14ac:dyDescent="0.25">
      <c r="A1267" t="s">
        <v>42</v>
      </c>
      <c r="B1267">
        <v>5</v>
      </c>
      <c r="C1267" t="s">
        <v>28</v>
      </c>
      <c r="D1267" s="68">
        <v>1080</v>
      </c>
      <c r="E1267" s="68">
        <v>1117</v>
      </c>
      <c r="F1267" s="68">
        <v>1113</v>
      </c>
      <c r="G1267" s="13">
        <f t="shared" si="247"/>
        <v>-4</v>
      </c>
      <c r="H1267" s="13">
        <f t="shared" si="248"/>
        <v>33</v>
      </c>
      <c r="I1267" s="73">
        <f t="shared" si="249"/>
        <v>3.0555555555555447E-2</v>
      </c>
      <c r="J1267" s="73">
        <f t="shared" si="250"/>
        <v>-3.5810205908684001E-3</v>
      </c>
      <c r="K1267" s="72" t="str">
        <f t="shared" si="251"/>
        <v>GM2</v>
      </c>
      <c r="L1267" s="72" t="str">
        <f t="shared" si="252"/>
        <v>AUGUST-5-GM2</v>
      </c>
      <c r="M1267" s="73">
        <f t="shared" si="253"/>
        <v>0.42100071685859808</v>
      </c>
      <c r="N1267" s="73">
        <f t="shared" si="254"/>
        <v>-8.6402803887488666E-2</v>
      </c>
      <c r="O1267" s="13">
        <f t="shared" si="255"/>
        <v>2101778</v>
      </c>
      <c r="P1267" s="13">
        <f t="shared" si="256"/>
        <v>2128806</v>
      </c>
      <c r="Q1267" s="13">
        <f t="shared" si="257"/>
        <v>2117221</v>
      </c>
      <c r="R1267" s="33">
        <f t="shared" si="258"/>
        <v>7.3475885654907813E-3</v>
      </c>
      <c r="S1267" s="33">
        <f t="shared" si="259"/>
        <v>-5.4420177320055885E-3</v>
      </c>
    </row>
    <row r="1268" spans="1:19" x14ac:dyDescent="0.25">
      <c r="A1268" t="s">
        <v>42</v>
      </c>
      <c r="B1268">
        <v>5</v>
      </c>
      <c r="C1268" t="s">
        <v>28</v>
      </c>
      <c r="D1268" s="68">
        <v>6480</v>
      </c>
      <c r="E1268" s="68">
        <v>6486</v>
      </c>
      <c r="F1268" s="68">
        <v>6480</v>
      </c>
      <c r="G1268" s="13">
        <f t="shared" si="247"/>
        <v>-6</v>
      </c>
      <c r="H1268" s="13">
        <f t="shared" si="248"/>
        <v>0</v>
      </c>
      <c r="I1268" s="73">
        <f t="shared" si="249"/>
        <v>0</v>
      </c>
      <c r="J1268" s="73">
        <f t="shared" si="250"/>
        <v>-9.2506938020353591E-4</v>
      </c>
      <c r="K1268" s="72" t="str">
        <f t="shared" si="251"/>
        <v>GM2</v>
      </c>
      <c r="L1268" s="72" t="str">
        <f t="shared" si="252"/>
        <v>AUGUST-5-GM2</v>
      </c>
      <c r="M1268" s="73">
        <f t="shared" si="253"/>
        <v>0.42100071685859808</v>
      </c>
      <c r="N1268" s="73">
        <f t="shared" si="254"/>
        <v>-8.6402803887488666E-2</v>
      </c>
      <c r="O1268" s="13">
        <f t="shared" si="255"/>
        <v>2101778</v>
      </c>
      <c r="P1268" s="13">
        <f t="shared" si="256"/>
        <v>2128806</v>
      </c>
      <c r="Q1268" s="13">
        <f t="shared" si="257"/>
        <v>2117221</v>
      </c>
      <c r="R1268" s="33">
        <f t="shared" si="258"/>
        <v>7.3475885654907813E-3</v>
      </c>
      <c r="S1268" s="33">
        <f t="shared" si="259"/>
        <v>-5.4420177320055885E-3</v>
      </c>
    </row>
    <row r="1269" spans="1:19" x14ac:dyDescent="0.25">
      <c r="A1269" t="s">
        <v>42</v>
      </c>
      <c r="B1269">
        <v>5</v>
      </c>
      <c r="C1269" t="s">
        <v>28</v>
      </c>
      <c r="D1269" s="68">
        <v>11088</v>
      </c>
      <c r="E1269" s="70">
        <v>11428</v>
      </c>
      <c r="F1269" s="70">
        <v>11412</v>
      </c>
      <c r="G1269" s="13">
        <f t="shared" si="247"/>
        <v>-16</v>
      </c>
      <c r="H1269" s="13">
        <f t="shared" si="248"/>
        <v>324</v>
      </c>
      <c r="I1269" s="73">
        <f t="shared" si="249"/>
        <v>2.9220779220779258E-2</v>
      </c>
      <c r="J1269" s="73">
        <f t="shared" si="250"/>
        <v>-1.4000700035001756E-3</v>
      </c>
      <c r="K1269" s="72" t="str">
        <f t="shared" si="251"/>
        <v>GM2</v>
      </c>
      <c r="L1269" s="72" t="str">
        <f t="shared" si="252"/>
        <v>AUGUST-5-GM2</v>
      </c>
      <c r="M1269" s="73">
        <f t="shared" si="253"/>
        <v>0.42100071685859808</v>
      </c>
      <c r="N1269" s="73">
        <f t="shared" si="254"/>
        <v>-8.6402803887488666E-2</v>
      </c>
      <c r="O1269" s="13">
        <f t="shared" si="255"/>
        <v>2101778</v>
      </c>
      <c r="P1269" s="13">
        <f t="shared" si="256"/>
        <v>2128806</v>
      </c>
      <c r="Q1269" s="13">
        <f t="shared" si="257"/>
        <v>2117221</v>
      </c>
      <c r="R1269" s="33">
        <f t="shared" si="258"/>
        <v>7.3475885654907813E-3</v>
      </c>
      <c r="S1269" s="33">
        <f t="shared" si="259"/>
        <v>-5.4420177320055885E-3</v>
      </c>
    </row>
    <row r="1270" spans="1:19" x14ac:dyDescent="0.25">
      <c r="A1270" t="s">
        <v>42</v>
      </c>
      <c r="B1270">
        <v>5</v>
      </c>
      <c r="C1270" t="s">
        <v>28</v>
      </c>
      <c r="D1270" s="68">
        <v>3996</v>
      </c>
      <c r="E1270" s="68">
        <v>4004</v>
      </c>
      <c r="F1270" s="68">
        <v>3996</v>
      </c>
      <c r="G1270" s="13">
        <f t="shared" si="247"/>
        <v>-8</v>
      </c>
      <c r="H1270" s="13">
        <f t="shared" si="248"/>
        <v>0</v>
      </c>
      <c r="I1270" s="73">
        <f t="shared" si="249"/>
        <v>0</v>
      </c>
      <c r="J1270" s="73">
        <f t="shared" si="250"/>
        <v>-1.9980019980020414E-3</v>
      </c>
      <c r="K1270" s="72" t="str">
        <f t="shared" si="251"/>
        <v>GM2</v>
      </c>
      <c r="L1270" s="72" t="str">
        <f t="shared" si="252"/>
        <v>AUGUST-5-GM2</v>
      </c>
      <c r="M1270" s="73">
        <f t="shared" si="253"/>
        <v>0.42100071685859808</v>
      </c>
      <c r="N1270" s="73">
        <f t="shared" si="254"/>
        <v>-8.6402803887488666E-2</v>
      </c>
      <c r="O1270" s="13">
        <f t="shared" si="255"/>
        <v>2101778</v>
      </c>
      <c r="P1270" s="13">
        <f t="shared" si="256"/>
        <v>2128806</v>
      </c>
      <c r="Q1270" s="13">
        <f t="shared" si="257"/>
        <v>2117221</v>
      </c>
      <c r="R1270" s="33">
        <f t="shared" si="258"/>
        <v>7.3475885654907813E-3</v>
      </c>
      <c r="S1270" s="33">
        <f t="shared" si="259"/>
        <v>-5.4420177320055885E-3</v>
      </c>
    </row>
    <row r="1271" spans="1:19" x14ac:dyDescent="0.25">
      <c r="A1271" t="s">
        <v>42</v>
      </c>
      <c r="B1271">
        <v>5</v>
      </c>
      <c r="C1271" t="s">
        <v>28</v>
      </c>
      <c r="D1271" s="68">
        <v>4320</v>
      </c>
      <c r="E1271" s="68">
        <v>4335</v>
      </c>
      <c r="F1271" s="68">
        <v>4320</v>
      </c>
      <c r="G1271" s="13">
        <f t="shared" si="247"/>
        <v>-15</v>
      </c>
      <c r="H1271" s="13">
        <f t="shared" si="248"/>
        <v>0</v>
      </c>
      <c r="I1271" s="73">
        <f t="shared" si="249"/>
        <v>0</v>
      </c>
      <c r="J1271" s="73">
        <f t="shared" si="250"/>
        <v>-3.4602076124568004E-3</v>
      </c>
      <c r="K1271" s="72" t="str">
        <f t="shared" si="251"/>
        <v>GM2</v>
      </c>
      <c r="L1271" s="72" t="str">
        <f t="shared" si="252"/>
        <v>AUGUST-5-GM2</v>
      </c>
      <c r="M1271" s="73">
        <f t="shared" si="253"/>
        <v>0.42100071685859808</v>
      </c>
      <c r="N1271" s="73">
        <f t="shared" si="254"/>
        <v>-8.6402803887488666E-2</v>
      </c>
      <c r="O1271" s="13">
        <f t="shared" si="255"/>
        <v>2101778</v>
      </c>
      <c r="P1271" s="13">
        <f t="shared" si="256"/>
        <v>2128806</v>
      </c>
      <c r="Q1271" s="13">
        <f t="shared" si="257"/>
        <v>2117221</v>
      </c>
      <c r="R1271" s="33">
        <f t="shared" si="258"/>
        <v>7.3475885654907813E-3</v>
      </c>
      <c r="S1271" s="33">
        <f t="shared" si="259"/>
        <v>-5.4420177320055885E-3</v>
      </c>
    </row>
    <row r="1272" spans="1:19" x14ac:dyDescent="0.25">
      <c r="A1272" t="s">
        <v>42</v>
      </c>
      <c r="B1272">
        <v>5</v>
      </c>
      <c r="C1272" t="s">
        <v>28</v>
      </c>
      <c r="D1272" s="68">
        <v>1080</v>
      </c>
      <c r="E1272" s="68">
        <v>1089</v>
      </c>
      <c r="F1272" s="68">
        <v>1080</v>
      </c>
      <c r="G1272" s="13">
        <f t="shared" si="247"/>
        <v>-9</v>
      </c>
      <c r="H1272" s="13">
        <f t="shared" si="248"/>
        <v>0</v>
      </c>
      <c r="I1272" s="73">
        <f t="shared" si="249"/>
        <v>0</v>
      </c>
      <c r="J1272" s="73">
        <f t="shared" si="250"/>
        <v>-8.2644628099173278E-3</v>
      </c>
      <c r="K1272" s="72" t="str">
        <f t="shared" si="251"/>
        <v>GM2</v>
      </c>
      <c r="L1272" s="72" t="str">
        <f t="shared" si="252"/>
        <v>AUGUST-5-GM2</v>
      </c>
      <c r="M1272" s="73">
        <f t="shared" si="253"/>
        <v>0.42100071685859808</v>
      </c>
      <c r="N1272" s="73">
        <f t="shared" si="254"/>
        <v>-8.6402803887488666E-2</v>
      </c>
      <c r="O1272" s="13">
        <f t="shared" si="255"/>
        <v>2101778</v>
      </c>
      <c r="P1272" s="13">
        <f t="shared" si="256"/>
        <v>2128806</v>
      </c>
      <c r="Q1272" s="13">
        <f t="shared" si="257"/>
        <v>2117221</v>
      </c>
      <c r="R1272" s="33">
        <f t="shared" si="258"/>
        <v>7.3475885654907813E-3</v>
      </c>
      <c r="S1272" s="33">
        <f t="shared" si="259"/>
        <v>-5.4420177320055885E-3</v>
      </c>
    </row>
    <row r="1273" spans="1:19" x14ac:dyDescent="0.25">
      <c r="A1273" t="s">
        <v>42</v>
      </c>
      <c r="B1273">
        <v>5</v>
      </c>
      <c r="C1273" t="s">
        <v>28</v>
      </c>
      <c r="D1273" s="68">
        <v>3240</v>
      </c>
      <c r="E1273" s="68">
        <v>3240</v>
      </c>
      <c r="F1273" s="68">
        <v>3240</v>
      </c>
      <c r="G1273" s="13">
        <f t="shared" si="247"/>
        <v>0</v>
      </c>
      <c r="H1273" s="13">
        <f t="shared" si="248"/>
        <v>0</v>
      </c>
      <c r="I1273" s="73">
        <f t="shared" si="249"/>
        <v>0</v>
      </c>
      <c r="J1273" s="73">
        <f t="shared" si="250"/>
        <v>0</v>
      </c>
      <c r="K1273" s="72" t="str">
        <f t="shared" si="251"/>
        <v>GM2</v>
      </c>
      <c r="L1273" s="72" t="str">
        <f t="shared" si="252"/>
        <v>AUGUST-5-GM2</v>
      </c>
      <c r="M1273" s="73">
        <f t="shared" si="253"/>
        <v>0.42100071685859808</v>
      </c>
      <c r="N1273" s="73">
        <f t="shared" si="254"/>
        <v>-8.6402803887488666E-2</v>
      </c>
      <c r="O1273" s="13">
        <f t="shared" si="255"/>
        <v>2101778</v>
      </c>
      <c r="P1273" s="13">
        <f t="shared" si="256"/>
        <v>2128806</v>
      </c>
      <c r="Q1273" s="13">
        <f t="shared" si="257"/>
        <v>2117221</v>
      </c>
      <c r="R1273" s="33">
        <f t="shared" si="258"/>
        <v>7.3475885654907813E-3</v>
      </c>
      <c r="S1273" s="33">
        <f t="shared" si="259"/>
        <v>-5.4420177320055885E-3</v>
      </c>
    </row>
    <row r="1274" spans="1:19" x14ac:dyDescent="0.25">
      <c r="A1274" t="s">
        <v>42</v>
      </c>
      <c r="B1274">
        <v>5</v>
      </c>
      <c r="C1274" t="s">
        <v>28</v>
      </c>
      <c r="D1274" s="68">
        <v>4320</v>
      </c>
      <c r="E1274" s="68">
        <v>4460</v>
      </c>
      <c r="F1274" s="68">
        <v>4413</v>
      </c>
      <c r="G1274" s="13">
        <f t="shared" si="247"/>
        <v>-47</v>
      </c>
      <c r="H1274" s="13">
        <f t="shared" si="248"/>
        <v>93</v>
      </c>
      <c r="I1274" s="73">
        <f t="shared" si="249"/>
        <v>2.1527777777777812E-2</v>
      </c>
      <c r="J1274" s="73">
        <f t="shared" si="250"/>
        <v>-1.053811659192827E-2</v>
      </c>
      <c r="K1274" s="72" t="str">
        <f t="shared" si="251"/>
        <v>GM2</v>
      </c>
      <c r="L1274" s="72" t="str">
        <f t="shared" si="252"/>
        <v>AUGUST-5-GM2</v>
      </c>
      <c r="M1274" s="73">
        <f t="shared" si="253"/>
        <v>0.42100071685859808</v>
      </c>
      <c r="N1274" s="73">
        <f t="shared" si="254"/>
        <v>-8.6402803887488666E-2</v>
      </c>
      <c r="O1274" s="13">
        <f t="shared" si="255"/>
        <v>2101778</v>
      </c>
      <c r="P1274" s="13">
        <f t="shared" si="256"/>
        <v>2128806</v>
      </c>
      <c r="Q1274" s="13">
        <f t="shared" si="257"/>
        <v>2117221</v>
      </c>
      <c r="R1274" s="33">
        <f t="shared" si="258"/>
        <v>7.3475885654907813E-3</v>
      </c>
      <c r="S1274" s="33">
        <f t="shared" si="259"/>
        <v>-5.4420177320055885E-3</v>
      </c>
    </row>
    <row r="1275" spans="1:19" x14ac:dyDescent="0.25">
      <c r="A1275" t="s">
        <v>42</v>
      </c>
      <c r="B1275">
        <v>5</v>
      </c>
      <c r="C1275" t="s">
        <v>28</v>
      </c>
      <c r="D1275" s="68">
        <v>22464</v>
      </c>
      <c r="E1275" s="68">
        <v>23385</v>
      </c>
      <c r="F1275" s="68">
        <v>23199</v>
      </c>
      <c r="G1275" s="13">
        <f t="shared" si="247"/>
        <v>-186</v>
      </c>
      <c r="H1275" s="13">
        <f t="shared" si="248"/>
        <v>735</v>
      </c>
      <c r="I1275" s="73">
        <f t="shared" si="249"/>
        <v>3.2719017094017033E-2</v>
      </c>
      <c r="J1275" s="73">
        <f t="shared" si="250"/>
        <v>-7.9538165490699031E-3</v>
      </c>
      <c r="K1275" s="72" t="str">
        <f t="shared" si="251"/>
        <v>GM2</v>
      </c>
      <c r="L1275" s="72" t="str">
        <f t="shared" si="252"/>
        <v>AUGUST-5-GM2</v>
      </c>
      <c r="M1275" s="73">
        <f t="shared" si="253"/>
        <v>0.42100071685859808</v>
      </c>
      <c r="N1275" s="73">
        <f t="shared" si="254"/>
        <v>-8.6402803887488666E-2</v>
      </c>
      <c r="O1275" s="13">
        <f t="shared" si="255"/>
        <v>2101778</v>
      </c>
      <c r="P1275" s="13">
        <f t="shared" si="256"/>
        <v>2128806</v>
      </c>
      <c r="Q1275" s="13">
        <f t="shared" si="257"/>
        <v>2117221</v>
      </c>
      <c r="R1275" s="33">
        <f t="shared" si="258"/>
        <v>7.3475885654907813E-3</v>
      </c>
      <c r="S1275" s="33">
        <f t="shared" si="259"/>
        <v>-5.4420177320055885E-3</v>
      </c>
    </row>
    <row r="1276" spans="1:19" x14ac:dyDescent="0.25">
      <c r="A1276" t="s">
        <v>43</v>
      </c>
      <c r="B1276" s="68">
        <v>1</v>
      </c>
      <c r="C1276" t="s">
        <v>16</v>
      </c>
      <c r="D1276" s="68">
        <v>15260</v>
      </c>
      <c r="E1276" s="70">
        <v>15266</v>
      </c>
      <c r="F1276" s="70">
        <v>15124</v>
      </c>
      <c r="G1276" s="13">
        <f t="shared" si="247"/>
        <v>-142</v>
      </c>
      <c r="H1276" s="13">
        <f t="shared" si="248"/>
        <v>-136</v>
      </c>
      <c r="I1276" s="73">
        <f t="shared" si="249"/>
        <v>-8.9121887287024748E-3</v>
      </c>
      <c r="J1276" s="73">
        <f t="shared" si="250"/>
        <v>-9.3017162321499258E-3</v>
      </c>
      <c r="K1276" s="72" t="str">
        <f t="shared" si="251"/>
        <v>ANUGERAH</v>
      </c>
      <c r="L1276" s="72" t="str">
        <f t="shared" si="252"/>
        <v>SEPTEMBER-1-ANUGERAH</v>
      </c>
      <c r="M1276" s="73">
        <f t="shared" si="253"/>
        <v>-8.9121887287024748E-3</v>
      </c>
      <c r="N1276" s="73">
        <f t="shared" si="254"/>
        <v>-9.3017162321499258E-3</v>
      </c>
      <c r="O1276" s="13">
        <f t="shared" si="255"/>
        <v>1013903</v>
      </c>
      <c r="P1276" s="13">
        <f t="shared" si="256"/>
        <v>1020738</v>
      </c>
      <c r="Q1276" s="13">
        <f t="shared" si="257"/>
        <v>1015819</v>
      </c>
      <c r="R1276" s="33">
        <f t="shared" si="258"/>
        <v>1.8897271237978686E-3</v>
      </c>
      <c r="S1276" s="33">
        <f t="shared" si="259"/>
        <v>-4.8190622863065746E-3</v>
      </c>
    </row>
    <row r="1277" spans="1:19" x14ac:dyDescent="0.25">
      <c r="A1277" t="s">
        <v>43</v>
      </c>
      <c r="B1277">
        <v>1</v>
      </c>
      <c r="C1277" t="s">
        <v>72</v>
      </c>
      <c r="D1277">
        <v>140</v>
      </c>
      <c r="E1277">
        <v>140</v>
      </c>
      <c r="F1277">
        <v>140</v>
      </c>
      <c r="G1277" s="13">
        <f t="shared" si="247"/>
        <v>0</v>
      </c>
      <c r="H1277" s="13">
        <f t="shared" si="248"/>
        <v>0</v>
      </c>
      <c r="I1277" s="73">
        <f t="shared" si="249"/>
        <v>0</v>
      </c>
      <c r="J1277" s="73">
        <f t="shared" si="250"/>
        <v>0</v>
      </c>
      <c r="K1277" s="72" t="str">
        <f t="shared" si="251"/>
        <v>GM1</v>
      </c>
      <c r="L1277" s="72" t="str">
        <f t="shared" si="252"/>
        <v>SEPTEMBER-1-GM1</v>
      </c>
      <c r="M1277" s="73">
        <f t="shared" si="253"/>
        <v>6.6154263326694274E-3</v>
      </c>
      <c r="N1277" s="73">
        <f t="shared" si="254"/>
        <v>-2.1010032449772287E-2</v>
      </c>
      <c r="O1277" s="13">
        <f t="shared" si="255"/>
        <v>1013903</v>
      </c>
      <c r="P1277" s="13">
        <f t="shared" si="256"/>
        <v>1020738</v>
      </c>
      <c r="Q1277" s="13">
        <f t="shared" si="257"/>
        <v>1015819</v>
      </c>
      <c r="R1277" s="33">
        <f t="shared" si="258"/>
        <v>1.8897271237978686E-3</v>
      </c>
      <c r="S1277" s="33">
        <f t="shared" si="259"/>
        <v>-4.8190622863065746E-3</v>
      </c>
    </row>
    <row r="1278" spans="1:19" x14ac:dyDescent="0.25">
      <c r="A1278" t="s">
        <v>43</v>
      </c>
      <c r="B1278">
        <v>1</v>
      </c>
      <c r="C1278" t="s">
        <v>72</v>
      </c>
      <c r="D1278">
        <v>160</v>
      </c>
      <c r="E1278">
        <v>160</v>
      </c>
      <c r="F1278">
        <v>160</v>
      </c>
      <c r="G1278" s="13">
        <f t="shared" si="247"/>
        <v>0</v>
      </c>
      <c r="H1278" s="13">
        <f t="shared" si="248"/>
        <v>0</v>
      </c>
      <c r="I1278" s="73">
        <f t="shared" si="249"/>
        <v>0</v>
      </c>
      <c r="J1278" s="73">
        <f t="shared" si="250"/>
        <v>0</v>
      </c>
      <c r="K1278" s="72" t="str">
        <f t="shared" si="251"/>
        <v>GM1</v>
      </c>
      <c r="L1278" s="72" t="str">
        <f t="shared" si="252"/>
        <v>SEPTEMBER-1-GM1</v>
      </c>
      <c r="M1278" s="73">
        <f t="shared" si="253"/>
        <v>6.6154263326694274E-3</v>
      </c>
      <c r="N1278" s="73">
        <f t="shared" si="254"/>
        <v>-2.1010032449772287E-2</v>
      </c>
      <c r="O1278" s="13">
        <f t="shared" si="255"/>
        <v>1013903</v>
      </c>
      <c r="P1278" s="13">
        <f t="shared" si="256"/>
        <v>1020738</v>
      </c>
      <c r="Q1278" s="13">
        <f t="shared" si="257"/>
        <v>1015819</v>
      </c>
      <c r="R1278" s="33">
        <f t="shared" si="258"/>
        <v>1.8897271237978686E-3</v>
      </c>
      <c r="S1278" s="33">
        <f t="shared" si="259"/>
        <v>-4.8190622863065746E-3</v>
      </c>
    </row>
    <row r="1279" spans="1:19" x14ac:dyDescent="0.25">
      <c r="A1279" t="s">
        <v>43</v>
      </c>
      <c r="B1279">
        <v>1</v>
      </c>
      <c r="C1279" t="s">
        <v>72</v>
      </c>
      <c r="D1279">
        <v>500</v>
      </c>
      <c r="E1279">
        <v>500</v>
      </c>
      <c r="F1279">
        <v>500</v>
      </c>
      <c r="G1279" s="13">
        <f t="shared" si="247"/>
        <v>0</v>
      </c>
      <c r="H1279" s="13">
        <f t="shared" si="248"/>
        <v>0</v>
      </c>
      <c r="I1279" s="73">
        <f t="shared" si="249"/>
        <v>0</v>
      </c>
      <c r="J1279" s="73">
        <f t="shared" si="250"/>
        <v>0</v>
      </c>
      <c r="K1279" s="72" t="str">
        <f t="shared" si="251"/>
        <v>GM1</v>
      </c>
      <c r="L1279" s="72" t="str">
        <f t="shared" si="252"/>
        <v>SEPTEMBER-1-GM1</v>
      </c>
      <c r="M1279" s="73">
        <f t="shared" si="253"/>
        <v>6.6154263326694274E-3</v>
      </c>
      <c r="N1279" s="73">
        <f t="shared" si="254"/>
        <v>-2.1010032449772287E-2</v>
      </c>
      <c r="O1279" s="13">
        <f t="shared" si="255"/>
        <v>1013903</v>
      </c>
      <c r="P1279" s="13">
        <f t="shared" si="256"/>
        <v>1020738</v>
      </c>
      <c r="Q1279" s="13">
        <f t="shared" si="257"/>
        <v>1015819</v>
      </c>
      <c r="R1279" s="33">
        <f t="shared" si="258"/>
        <v>1.8897271237978686E-3</v>
      </c>
      <c r="S1279" s="33">
        <f t="shared" si="259"/>
        <v>-4.8190622863065746E-3</v>
      </c>
    </row>
    <row r="1280" spans="1:19" x14ac:dyDescent="0.25">
      <c r="A1280" t="s">
        <v>43</v>
      </c>
      <c r="B1280">
        <v>1</v>
      </c>
      <c r="C1280" t="s">
        <v>72</v>
      </c>
      <c r="D1280">
        <v>500</v>
      </c>
      <c r="E1280">
        <v>504</v>
      </c>
      <c r="F1280">
        <v>500</v>
      </c>
      <c r="G1280" s="13">
        <f t="shared" si="247"/>
        <v>-4</v>
      </c>
      <c r="H1280" s="13">
        <f t="shared" si="248"/>
        <v>0</v>
      </c>
      <c r="I1280" s="73">
        <f t="shared" si="249"/>
        <v>0</v>
      </c>
      <c r="J1280" s="73">
        <f t="shared" si="250"/>
        <v>-7.9365079365079083E-3</v>
      </c>
      <c r="K1280" s="72" t="str">
        <f t="shared" si="251"/>
        <v>GM1</v>
      </c>
      <c r="L1280" s="72" t="str">
        <f t="shared" si="252"/>
        <v>SEPTEMBER-1-GM1</v>
      </c>
      <c r="M1280" s="73">
        <f t="shared" si="253"/>
        <v>6.6154263326694274E-3</v>
      </c>
      <c r="N1280" s="73">
        <f t="shared" si="254"/>
        <v>-2.1010032449772287E-2</v>
      </c>
      <c r="O1280" s="13">
        <f t="shared" si="255"/>
        <v>1013903</v>
      </c>
      <c r="P1280" s="13">
        <f t="shared" si="256"/>
        <v>1020738</v>
      </c>
      <c r="Q1280" s="13">
        <f t="shared" si="257"/>
        <v>1015819</v>
      </c>
      <c r="R1280" s="33">
        <f t="shared" si="258"/>
        <v>1.8897271237978686E-3</v>
      </c>
      <c r="S1280" s="33">
        <f t="shared" si="259"/>
        <v>-4.8190622863065746E-3</v>
      </c>
    </row>
    <row r="1281" spans="1:19" x14ac:dyDescent="0.25">
      <c r="A1281" t="s">
        <v>43</v>
      </c>
      <c r="B1281">
        <v>1</v>
      </c>
      <c r="C1281" t="s">
        <v>72</v>
      </c>
      <c r="D1281">
        <v>40</v>
      </c>
      <c r="E1281">
        <v>40</v>
      </c>
      <c r="F1281">
        <v>40</v>
      </c>
      <c r="G1281" s="13">
        <f t="shared" si="247"/>
        <v>0</v>
      </c>
      <c r="H1281" s="13">
        <f t="shared" si="248"/>
        <v>0</v>
      </c>
      <c r="I1281" s="73">
        <f t="shared" si="249"/>
        <v>0</v>
      </c>
      <c r="J1281" s="73">
        <f t="shared" si="250"/>
        <v>0</v>
      </c>
      <c r="K1281" s="72" t="str">
        <f t="shared" si="251"/>
        <v>GM1</v>
      </c>
      <c r="L1281" s="72" t="str">
        <f t="shared" si="252"/>
        <v>SEPTEMBER-1-GM1</v>
      </c>
      <c r="M1281" s="73">
        <f t="shared" si="253"/>
        <v>6.6154263326694274E-3</v>
      </c>
      <c r="N1281" s="73">
        <f t="shared" si="254"/>
        <v>-2.1010032449772287E-2</v>
      </c>
      <c r="O1281" s="13">
        <f t="shared" si="255"/>
        <v>1013903</v>
      </c>
      <c r="P1281" s="13">
        <f t="shared" si="256"/>
        <v>1020738</v>
      </c>
      <c r="Q1281" s="13">
        <f t="shared" si="257"/>
        <v>1015819</v>
      </c>
      <c r="R1281" s="33">
        <f t="shared" si="258"/>
        <v>1.8897271237978686E-3</v>
      </c>
      <c r="S1281" s="33">
        <f t="shared" si="259"/>
        <v>-4.8190622863065746E-3</v>
      </c>
    </row>
    <row r="1282" spans="1:19" x14ac:dyDescent="0.25">
      <c r="A1282" t="s">
        <v>43</v>
      </c>
      <c r="B1282">
        <v>1</v>
      </c>
      <c r="C1282" t="s">
        <v>72</v>
      </c>
      <c r="D1282">
        <v>140</v>
      </c>
      <c r="E1282">
        <v>140</v>
      </c>
      <c r="F1282">
        <v>140</v>
      </c>
      <c r="G1282" s="13">
        <f t="shared" ref="G1282:G1345" si="260">F1282-E1282</f>
        <v>0</v>
      </c>
      <c r="H1282" s="13">
        <f t="shared" ref="H1282:H1345" si="261">F1282-D1282</f>
        <v>0</v>
      </c>
      <c r="I1282" s="73">
        <f t="shared" ref="I1282:I1345" si="262">F1282/D1282-1</f>
        <v>0</v>
      </c>
      <c r="J1282" s="73">
        <f t="shared" ref="J1282:J1345" si="263">F1282/E1282-1</f>
        <v>0</v>
      </c>
      <c r="K1282" s="72" t="str">
        <f t="shared" ref="K1282:K1345" si="264">CLEAN(SUBSTITUTE(C1282," ",""))</f>
        <v>GM1</v>
      </c>
      <c r="L1282" s="72" t="str">
        <f t="shared" ref="L1282:L1345" si="265">A1282&amp;"-"&amp;B1282&amp;"-"&amp;K1282</f>
        <v>SEPTEMBER-1-GM1</v>
      </c>
      <c r="M1282" s="73">
        <f t="shared" ref="M1282:M1345" si="266">SUMIF($L$2:$L$1396,L1282,$I$2:$I$1396)</f>
        <v>6.6154263326694274E-3</v>
      </c>
      <c r="N1282" s="73">
        <f t="shared" ref="N1282:N1345" si="267">SUMIF($L$2:$L$1396,L1282,$J$2:$J$1396)</f>
        <v>-2.1010032449772287E-2</v>
      </c>
      <c r="O1282" s="13">
        <f t="shared" ref="O1282:O1345" si="268">SUMIF($A$2:$A$1396,A1282,$D$2:$D$1396)</f>
        <v>1013903</v>
      </c>
      <c r="P1282" s="13">
        <f t="shared" ref="P1282:P1345" si="269">SUMIF($A$2:$A$1396,A1282,$E$2:$E$1396)</f>
        <v>1020738</v>
      </c>
      <c r="Q1282" s="13">
        <f t="shared" ref="Q1282:Q1345" si="270">SUMIF($A$2:$A$1396,A1282,$F$2:$F$1396)</f>
        <v>1015819</v>
      </c>
      <c r="R1282" s="33">
        <f t="shared" ref="R1282:R1345" si="271">Q1282/O1282-1</f>
        <v>1.8897271237978686E-3</v>
      </c>
      <c r="S1282" s="33">
        <f t="shared" ref="S1282:S1345" si="272">Q1282/P1282-1</f>
        <v>-4.8190622863065746E-3</v>
      </c>
    </row>
    <row r="1283" spans="1:19" x14ac:dyDescent="0.25">
      <c r="A1283" t="s">
        <v>43</v>
      </c>
      <c r="B1283">
        <v>1</v>
      </c>
      <c r="C1283" t="s">
        <v>72</v>
      </c>
      <c r="D1283">
        <v>1000</v>
      </c>
      <c r="E1283">
        <v>1000</v>
      </c>
      <c r="F1283">
        <v>1000</v>
      </c>
      <c r="G1283" s="13">
        <f t="shared" si="260"/>
        <v>0</v>
      </c>
      <c r="H1283" s="13">
        <f t="shared" si="261"/>
        <v>0</v>
      </c>
      <c r="I1283" s="73">
        <f t="shared" si="262"/>
        <v>0</v>
      </c>
      <c r="J1283" s="73">
        <f t="shared" si="263"/>
        <v>0</v>
      </c>
      <c r="K1283" s="72" t="str">
        <f t="shared" si="264"/>
        <v>GM1</v>
      </c>
      <c r="L1283" s="72" t="str">
        <f t="shared" si="265"/>
        <v>SEPTEMBER-1-GM1</v>
      </c>
      <c r="M1283" s="73">
        <f t="shared" si="266"/>
        <v>6.6154263326694274E-3</v>
      </c>
      <c r="N1283" s="73">
        <f t="shared" si="267"/>
        <v>-2.1010032449772287E-2</v>
      </c>
      <c r="O1283" s="13">
        <f t="shared" si="268"/>
        <v>1013903</v>
      </c>
      <c r="P1283" s="13">
        <f t="shared" si="269"/>
        <v>1020738</v>
      </c>
      <c r="Q1283" s="13">
        <f t="shared" si="270"/>
        <v>1015819</v>
      </c>
      <c r="R1283" s="33">
        <f t="shared" si="271"/>
        <v>1.8897271237978686E-3</v>
      </c>
      <c r="S1283" s="33">
        <f t="shared" si="272"/>
        <v>-4.8190622863065746E-3</v>
      </c>
    </row>
    <row r="1284" spans="1:19" x14ac:dyDescent="0.25">
      <c r="A1284" t="s">
        <v>43</v>
      </c>
      <c r="B1284">
        <v>1</v>
      </c>
      <c r="C1284" t="s">
        <v>28</v>
      </c>
      <c r="D1284" s="68">
        <v>38243</v>
      </c>
      <c r="E1284" s="70">
        <v>38243</v>
      </c>
      <c r="F1284" s="70">
        <v>38148</v>
      </c>
      <c r="G1284" s="13">
        <f t="shared" si="260"/>
        <v>-95</v>
      </c>
      <c r="H1284" s="13">
        <f t="shared" si="261"/>
        <v>-95</v>
      </c>
      <c r="I1284" s="73">
        <f t="shared" si="262"/>
        <v>-2.4841147399523589E-3</v>
      </c>
      <c r="J1284" s="73">
        <f t="shared" si="263"/>
        <v>-2.4841147399523589E-3</v>
      </c>
      <c r="K1284" s="72" t="str">
        <f t="shared" si="264"/>
        <v>GM2</v>
      </c>
      <c r="L1284" s="72" t="str">
        <f t="shared" si="265"/>
        <v>SEPTEMBER-1-GM2</v>
      </c>
      <c r="M1284" s="73">
        <f t="shared" si="266"/>
        <v>-1.587457080265442E-2</v>
      </c>
      <c r="N1284" s="73">
        <f t="shared" si="267"/>
        <v>-1.6513255718329845E-2</v>
      </c>
      <c r="O1284" s="13">
        <f t="shared" si="268"/>
        <v>1013903</v>
      </c>
      <c r="P1284" s="13">
        <f t="shared" si="269"/>
        <v>1020738</v>
      </c>
      <c r="Q1284" s="13">
        <f t="shared" si="270"/>
        <v>1015819</v>
      </c>
      <c r="R1284" s="33">
        <f t="shared" si="271"/>
        <v>1.8897271237978686E-3</v>
      </c>
      <c r="S1284" s="33">
        <f t="shared" si="272"/>
        <v>-4.8190622863065746E-3</v>
      </c>
    </row>
    <row r="1285" spans="1:19" x14ac:dyDescent="0.25">
      <c r="A1285" t="s">
        <v>43</v>
      </c>
      <c r="B1285">
        <v>1</v>
      </c>
      <c r="C1285" t="s">
        <v>13</v>
      </c>
      <c r="D1285" s="70">
        <v>68976</v>
      </c>
      <c r="E1285" s="70">
        <v>69668</v>
      </c>
      <c r="F1285" s="69">
        <v>69604</v>
      </c>
      <c r="G1285" s="13">
        <f t="shared" si="260"/>
        <v>-64</v>
      </c>
      <c r="H1285" s="13">
        <f t="shared" si="261"/>
        <v>628</v>
      </c>
      <c r="I1285" s="73">
        <f t="shared" si="262"/>
        <v>9.1046160983530022E-3</v>
      </c>
      <c r="J1285" s="73">
        <f t="shared" si="263"/>
        <v>-9.1864270540276127E-4</v>
      </c>
      <c r="K1285" s="72" t="str">
        <f t="shared" si="264"/>
        <v>KALIBENDA</v>
      </c>
      <c r="L1285" s="72" t="str">
        <f t="shared" si="265"/>
        <v>SEPTEMBER-1-KALIBENDA</v>
      </c>
      <c r="M1285" s="73">
        <f t="shared" si="266"/>
        <v>9.1046160983530022E-3</v>
      </c>
      <c r="N1285" s="73">
        <f t="shared" si="267"/>
        <v>-9.1864270540276127E-4</v>
      </c>
      <c r="O1285" s="13">
        <f t="shared" si="268"/>
        <v>1013903</v>
      </c>
      <c r="P1285" s="13">
        <f t="shared" si="269"/>
        <v>1020738</v>
      </c>
      <c r="Q1285" s="13">
        <f t="shared" si="270"/>
        <v>1015819</v>
      </c>
      <c r="R1285" s="33">
        <f t="shared" si="271"/>
        <v>1.8897271237978686E-3</v>
      </c>
      <c r="S1285" s="33">
        <f t="shared" si="272"/>
        <v>-4.8190622863065746E-3</v>
      </c>
    </row>
    <row r="1286" spans="1:19" x14ac:dyDescent="0.25">
      <c r="A1286" t="s">
        <v>43</v>
      </c>
      <c r="B1286">
        <v>1</v>
      </c>
      <c r="C1286" t="s">
        <v>28</v>
      </c>
      <c r="D1286" s="68">
        <v>19497</v>
      </c>
      <c r="E1286" s="70">
        <v>19497</v>
      </c>
      <c r="F1286" s="70">
        <v>19460</v>
      </c>
      <c r="G1286" s="13">
        <f t="shared" si="260"/>
        <v>-37</v>
      </c>
      <c r="H1286" s="13">
        <f t="shared" si="261"/>
        <v>-37</v>
      </c>
      <c r="I1286" s="73">
        <f t="shared" si="262"/>
        <v>-1.8977278555675214E-3</v>
      </c>
      <c r="J1286" s="73">
        <f t="shared" si="263"/>
        <v>-1.8977278555675214E-3</v>
      </c>
      <c r="K1286" s="72" t="str">
        <f t="shared" si="264"/>
        <v>GM2</v>
      </c>
      <c r="L1286" s="72" t="str">
        <f t="shared" si="265"/>
        <v>SEPTEMBER-1-GM2</v>
      </c>
      <c r="M1286" s="73">
        <f t="shared" si="266"/>
        <v>-1.587457080265442E-2</v>
      </c>
      <c r="N1286" s="73">
        <f t="shared" si="267"/>
        <v>-1.6513255718329845E-2</v>
      </c>
      <c r="O1286" s="13">
        <f t="shared" si="268"/>
        <v>1013903</v>
      </c>
      <c r="P1286" s="13">
        <f t="shared" si="269"/>
        <v>1020738</v>
      </c>
      <c r="Q1286" s="13">
        <f t="shared" si="270"/>
        <v>1015819</v>
      </c>
      <c r="R1286" s="33">
        <f t="shared" si="271"/>
        <v>1.8897271237978686E-3</v>
      </c>
      <c r="S1286" s="33">
        <f t="shared" si="272"/>
        <v>-4.8190622863065746E-3</v>
      </c>
    </row>
    <row r="1287" spans="1:19" x14ac:dyDescent="0.25">
      <c r="A1287" t="s">
        <v>43</v>
      </c>
      <c r="B1287">
        <v>1</v>
      </c>
      <c r="C1287" t="s">
        <v>28</v>
      </c>
      <c r="D1287" s="68">
        <v>28232</v>
      </c>
      <c r="E1287" s="70">
        <v>28232</v>
      </c>
      <c r="F1287" s="70">
        <v>28196</v>
      </c>
      <c r="G1287" s="13">
        <f t="shared" si="260"/>
        <v>-36</v>
      </c>
      <c r="H1287" s="13">
        <f t="shared" si="261"/>
        <v>-36</v>
      </c>
      <c r="I1287" s="73">
        <f t="shared" si="262"/>
        <v>-1.2751487673562378E-3</v>
      </c>
      <c r="J1287" s="73">
        <f t="shared" si="263"/>
        <v>-1.2751487673562378E-3</v>
      </c>
      <c r="K1287" s="72" t="str">
        <f t="shared" si="264"/>
        <v>GM2</v>
      </c>
      <c r="L1287" s="72" t="str">
        <f t="shared" si="265"/>
        <v>SEPTEMBER-1-GM2</v>
      </c>
      <c r="M1287" s="73">
        <f t="shared" si="266"/>
        <v>-1.587457080265442E-2</v>
      </c>
      <c r="N1287" s="73">
        <f t="shared" si="267"/>
        <v>-1.6513255718329845E-2</v>
      </c>
      <c r="O1287" s="13">
        <f t="shared" si="268"/>
        <v>1013903</v>
      </c>
      <c r="P1287" s="13">
        <f t="shared" si="269"/>
        <v>1020738</v>
      </c>
      <c r="Q1287" s="13">
        <f t="shared" si="270"/>
        <v>1015819</v>
      </c>
      <c r="R1287" s="33">
        <f t="shared" si="271"/>
        <v>1.8897271237978686E-3</v>
      </c>
      <c r="S1287" s="33">
        <f t="shared" si="272"/>
        <v>-4.8190622863065746E-3</v>
      </c>
    </row>
    <row r="1288" spans="1:19" x14ac:dyDescent="0.25">
      <c r="A1288" t="s">
        <v>43</v>
      </c>
      <c r="B1288">
        <v>1</v>
      </c>
      <c r="C1288" t="s">
        <v>72</v>
      </c>
      <c r="D1288" s="68">
        <v>67104</v>
      </c>
      <c r="E1288" s="68">
        <v>67776</v>
      </c>
      <c r="F1288" s="69">
        <v>67420</v>
      </c>
      <c r="G1288" s="13">
        <f t="shared" si="260"/>
        <v>-356</v>
      </c>
      <c r="H1288" s="13">
        <f t="shared" si="261"/>
        <v>316</v>
      </c>
      <c r="I1288" s="73">
        <f t="shared" si="262"/>
        <v>4.7091082498806891E-3</v>
      </c>
      <c r="J1288" s="73">
        <f t="shared" si="263"/>
        <v>-5.2525967894240244E-3</v>
      </c>
      <c r="K1288" s="72" t="str">
        <f t="shared" si="264"/>
        <v>GM1</v>
      </c>
      <c r="L1288" s="72" t="str">
        <f t="shared" si="265"/>
        <v>SEPTEMBER-1-GM1</v>
      </c>
      <c r="M1288" s="73">
        <f t="shared" si="266"/>
        <v>6.6154263326694274E-3</v>
      </c>
      <c r="N1288" s="73">
        <f t="shared" si="267"/>
        <v>-2.1010032449772287E-2</v>
      </c>
      <c r="O1288" s="13">
        <f t="shared" si="268"/>
        <v>1013903</v>
      </c>
      <c r="P1288" s="13">
        <f t="shared" si="269"/>
        <v>1020738</v>
      </c>
      <c r="Q1288" s="13">
        <f t="shared" si="270"/>
        <v>1015819</v>
      </c>
      <c r="R1288" s="33">
        <f t="shared" si="271"/>
        <v>1.8897271237978686E-3</v>
      </c>
      <c r="S1288" s="33">
        <f t="shared" si="272"/>
        <v>-4.8190622863065746E-3</v>
      </c>
    </row>
    <row r="1289" spans="1:19" x14ac:dyDescent="0.25">
      <c r="A1289" t="s">
        <v>43</v>
      </c>
      <c r="B1289">
        <v>1</v>
      </c>
      <c r="C1289" t="s">
        <v>72</v>
      </c>
      <c r="D1289" s="68">
        <v>11016</v>
      </c>
      <c r="E1289" s="66">
        <v>11124</v>
      </c>
      <c r="F1289" s="66">
        <v>11037</v>
      </c>
      <c r="G1289" s="13">
        <f t="shared" si="260"/>
        <v>-87</v>
      </c>
      <c r="H1289" s="13">
        <f t="shared" si="261"/>
        <v>21</v>
      </c>
      <c r="I1289" s="73">
        <f t="shared" si="262"/>
        <v>1.9063180827887383E-3</v>
      </c>
      <c r="J1289" s="73">
        <f t="shared" si="263"/>
        <v>-7.8209277238403541E-3</v>
      </c>
      <c r="K1289" s="72" t="str">
        <f t="shared" si="264"/>
        <v>GM1</v>
      </c>
      <c r="L1289" s="72" t="str">
        <f t="shared" si="265"/>
        <v>SEPTEMBER-1-GM1</v>
      </c>
      <c r="M1289" s="73">
        <f t="shared" si="266"/>
        <v>6.6154263326694274E-3</v>
      </c>
      <c r="N1289" s="73">
        <f t="shared" si="267"/>
        <v>-2.1010032449772287E-2</v>
      </c>
      <c r="O1289" s="13">
        <f t="shared" si="268"/>
        <v>1013903</v>
      </c>
      <c r="P1289" s="13">
        <f t="shared" si="269"/>
        <v>1020738</v>
      </c>
      <c r="Q1289" s="13">
        <f t="shared" si="270"/>
        <v>1015819</v>
      </c>
      <c r="R1289" s="33">
        <f t="shared" si="271"/>
        <v>1.8897271237978686E-3</v>
      </c>
      <c r="S1289" s="33">
        <f t="shared" si="272"/>
        <v>-4.8190622863065746E-3</v>
      </c>
    </row>
    <row r="1290" spans="1:19" x14ac:dyDescent="0.25">
      <c r="A1290" t="s">
        <v>43</v>
      </c>
      <c r="B1290">
        <v>1</v>
      </c>
      <c r="C1290" t="s">
        <v>28</v>
      </c>
      <c r="D1290" s="68">
        <v>11349</v>
      </c>
      <c r="E1290" s="70">
        <v>11349</v>
      </c>
      <c r="F1290" s="70">
        <v>11322</v>
      </c>
      <c r="G1290" s="13">
        <f t="shared" si="260"/>
        <v>-27</v>
      </c>
      <c r="H1290" s="13">
        <f t="shared" si="261"/>
        <v>-27</v>
      </c>
      <c r="I1290" s="73">
        <f t="shared" si="262"/>
        <v>-2.3790642347343294E-3</v>
      </c>
      <c r="J1290" s="73">
        <f t="shared" si="263"/>
        <v>-2.3790642347343294E-3</v>
      </c>
      <c r="K1290" s="72" t="str">
        <f t="shared" si="264"/>
        <v>GM2</v>
      </c>
      <c r="L1290" s="72" t="str">
        <f t="shared" si="265"/>
        <v>SEPTEMBER-1-GM2</v>
      </c>
      <c r="M1290" s="73">
        <f t="shared" si="266"/>
        <v>-1.587457080265442E-2</v>
      </c>
      <c r="N1290" s="73">
        <f t="shared" si="267"/>
        <v>-1.6513255718329845E-2</v>
      </c>
      <c r="O1290" s="13">
        <f t="shared" si="268"/>
        <v>1013903</v>
      </c>
      <c r="P1290" s="13">
        <f t="shared" si="269"/>
        <v>1020738</v>
      </c>
      <c r="Q1290" s="13">
        <f t="shared" si="270"/>
        <v>1015819</v>
      </c>
      <c r="R1290" s="33">
        <f t="shared" si="271"/>
        <v>1.8897271237978686E-3</v>
      </c>
      <c r="S1290" s="33">
        <f t="shared" si="272"/>
        <v>-4.8190622863065746E-3</v>
      </c>
    </row>
    <row r="1291" spans="1:19" x14ac:dyDescent="0.25">
      <c r="A1291" t="s">
        <v>43</v>
      </c>
      <c r="B1291">
        <v>1</v>
      </c>
      <c r="C1291" t="s">
        <v>28</v>
      </c>
      <c r="D1291" s="68">
        <v>10941</v>
      </c>
      <c r="E1291" s="70">
        <v>10948</v>
      </c>
      <c r="F1291" s="70">
        <v>10929</v>
      </c>
      <c r="G1291" s="13">
        <f t="shared" si="260"/>
        <v>-19</v>
      </c>
      <c r="H1291" s="13">
        <f t="shared" si="261"/>
        <v>-12</v>
      </c>
      <c r="I1291" s="73">
        <f t="shared" si="262"/>
        <v>-1.0967918837400115E-3</v>
      </c>
      <c r="J1291" s="73">
        <f t="shared" si="263"/>
        <v>-1.7354767994154363E-3</v>
      </c>
      <c r="K1291" s="72" t="str">
        <f t="shared" si="264"/>
        <v>GM2</v>
      </c>
      <c r="L1291" s="72" t="str">
        <f t="shared" si="265"/>
        <v>SEPTEMBER-1-GM2</v>
      </c>
      <c r="M1291" s="73">
        <f t="shared" si="266"/>
        <v>-1.587457080265442E-2</v>
      </c>
      <c r="N1291" s="73">
        <f t="shared" si="267"/>
        <v>-1.6513255718329845E-2</v>
      </c>
      <c r="O1291" s="13">
        <f t="shared" si="268"/>
        <v>1013903</v>
      </c>
      <c r="P1291" s="13">
        <f t="shared" si="269"/>
        <v>1020738</v>
      </c>
      <c r="Q1291" s="13">
        <f t="shared" si="270"/>
        <v>1015819</v>
      </c>
      <c r="R1291" s="33">
        <f t="shared" si="271"/>
        <v>1.8897271237978686E-3</v>
      </c>
      <c r="S1291" s="33">
        <f t="shared" si="272"/>
        <v>-4.8190622863065746E-3</v>
      </c>
    </row>
    <row r="1292" spans="1:19" x14ac:dyDescent="0.25">
      <c r="A1292" t="s">
        <v>43</v>
      </c>
      <c r="B1292">
        <v>1</v>
      </c>
      <c r="C1292" t="s">
        <v>28</v>
      </c>
      <c r="D1292" s="68">
        <v>54593</v>
      </c>
      <c r="E1292" s="70">
        <v>54593</v>
      </c>
      <c r="F1292" s="70">
        <v>54462</v>
      </c>
      <c r="G1292" s="13">
        <f t="shared" si="260"/>
        <v>-131</v>
      </c>
      <c r="H1292" s="13">
        <f t="shared" si="261"/>
        <v>-131</v>
      </c>
      <c r="I1292" s="73">
        <f t="shared" si="262"/>
        <v>-2.3995750370926494E-3</v>
      </c>
      <c r="J1292" s="73">
        <f t="shared" si="263"/>
        <v>-2.3995750370926494E-3</v>
      </c>
      <c r="K1292" s="72" t="str">
        <f t="shared" si="264"/>
        <v>GM2</v>
      </c>
      <c r="L1292" s="72" t="str">
        <f t="shared" si="265"/>
        <v>SEPTEMBER-1-GM2</v>
      </c>
      <c r="M1292" s="73">
        <f t="shared" si="266"/>
        <v>-1.587457080265442E-2</v>
      </c>
      <c r="N1292" s="73">
        <f t="shared" si="267"/>
        <v>-1.6513255718329845E-2</v>
      </c>
      <c r="O1292" s="13">
        <f t="shared" si="268"/>
        <v>1013903</v>
      </c>
      <c r="P1292" s="13">
        <f t="shared" si="269"/>
        <v>1020738</v>
      </c>
      <c r="Q1292" s="13">
        <f t="shared" si="270"/>
        <v>1015819</v>
      </c>
      <c r="R1292" s="33">
        <f t="shared" si="271"/>
        <v>1.8897271237978686E-3</v>
      </c>
      <c r="S1292" s="33">
        <f t="shared" si="272"/>
        <v>-4.8190622863065746E-3</v>
      </c>
    </row>
    <row r="1293" spans="1:19" x14ac:dyDescent="0.25">
      <c r="A1293" t="s">
        <v>43</v>
      </c>
      <c r="B1293">
        <v>1</v>
      </c>
      <c r="C1293" t="s">
        <v>28</v>
      </c>
      <c r="D1293" s="68">
        <v>1200</v>
      </c>
      <c r="E1293" s="70">
        <v>1200</v>
      </c>
      <c r="F1293" s="70">
        <v>1200</v>
      </c>
      <c r="G1293" s="13">
        <f t="shared" si="260"/>
        <v>0</v>
      </c>
      <c r="H1293" s="13">
        <f t="shared" si="261"/>
        <v>0</v>
      </c>
      <c r="I1293" s="73">
        <f t="shared" si="262"/>
        <v>0</v>
      </c>
      <c r="J1293" s="73">
        <f t="shared" si="263"/>
        <v>0</v>
      </c>
      <c r="K1293" s="72" t="str">
        <f t="shared" si="264"/>
        <v>GM2</v>
      </c>
      <c r="L1293" s="72" t="str">
        <f t="shared" si="265"/>
        <v>SEPTEMBER-1-GM2</v>
      </c>
      <c r="M1293" s="73">
        <f t="shared" si="266"/>
        <v>-1.587457080265442E-2</v>
      </c>
      <c r="N1293" s="73">
        <f t="shared" si="267"/>
        <v>-1.6513255718329845E-2</v>
      </c>
      <c r="O1293" s="13">
        <f t="shared" si="268"/>
        <v>1013903</v>
      </c>
      <c r="P1293" s="13">
        <f t="shared" si="269"/>
        <v>1020738</v>
      </c>
      <c r="Q1293" s="13">
        <f t="shared" si="270"/>
        <v>1015819</v>
      </c>
      <c r="R1293" s="33">
        <f t="shared" si="271"/>
        <v>1.8897271237978686E-3</v>
      </c>
      <c r="S1293" s="33">
        <f t="shared" si="272"/>
        <v>-4.8190622863065746E-3</v>
      </c>
    </row>
    <row r="1294" spans="1:19" x14ac:dyDescent="0.25">
      <c r="A1294" t="s">
        <v>43</v>
      </c>
      <c r="B1294">
        <v>1</v>
      </c>
      <c r="C1294" t="s">
        <v>28</v>
      </c>
      <c r="D1294" s="68">
        <v>30376</v>
      </c>
      <c r="E1294" s="70">
        <v>30376</v>
      </c>
      <c r="F1294" s="70">
        <v>30306</v>
      </c>
      <c r="G1294" s="13">
        <f t="shared" si="260"/>
        <v>-70</v>
      </c>
      <c r="H1294" s="13">
        <f t="shared" si="261"/>
        <v>-70</v>
      </c>
      <c r="I1294" s="73">
        <f t="shared" si="262"/>
        <v>-2.3044508822754883E-3</v>
      </c>
      <c r="J1294" s="73">
        <f t="shared" si="263"/>
        <v>-2.3044508822754883E-3</v>
      </c>
      <c r="K1294" s="72" t="str">
        <f t="shared" si="264"/>
        <v>GM2</v>
      </c>
      <c r="L1294" s="72" t="str">
        <f t="shared" si="265"/>
        <v>SEPTEMBER-1-GM2</v>
      </c>
      <c r="M1294" s="73">
        <f t="shared" si="266"/>
        <v>-1.587457080265442E-2</v>
      </c>
      <c r="N1294" s="73">
        <f t="shared" si="267"/>
        <v>-1.6513255718329845E-2</v>
      </c>
      <c r="O1294" s="13">
        <f t="shared" si="268"/>
        <v>1013903</v>
      </c>
      <c r="P1294" s="13">
        <f t="shared" si="269"/>
        <v>1020738</v>
      </c>
      <c r="Q1294" s="13">
        <f t="shared" si="270"/>
        <v>1015819</v>
      </c>
      <c r="R1294" s="33">
        <f t="shared" si="271"/>
        <v>1.8897271237978686E-3</v>
      </c>
      <c r="S1294" s="33">
        <f t="shared" si="272"/>
        <v>-4.8190622863065746E-3</v>
      </c>
    </row>
    <row r="1295" spans="1:19" x14ac:dyDescent="0.25">
      <c r="A1295" t="s">
        <v>43</v>
      </c>
      <c r="B1295">
        <v>1</v>
      </c>
      <c r="C1295" t="s">
        <v>28</v>
      </c>
      <c r="D1295" s="68">
        <v>1963</v>
      </c>
      <c r="E1295" s="70">
        <v>1963</v>
      </c>
      <c r="F1295" s="70">
        <v>1959</v>
      </c>
      <c r="G1295" s="13">
        <f t="shared" si="260"/>
        <v>-4</v>
      </c>
      <c r="H1295" s="13">
        <f t="shared" si="261"/>
        <v>-4</v>
      </c>
      <c r="I1295" s="73">
        <f t="shared" si="262"/>
        <v>-2.0376974019358229E-3</v>
      </c>
      <c r="J1295" s="73">
        <f t="shared" si="263"/>
        <v>-2.0376974019358229E-3</v>
      </c>
      <c r="K1295" s="72" t="str">
        <f t="shared" si="264"/>
        <v>GM2</v>
      </c>
      <c r="L1295" s="72" t="str">
        <f t="shared" si="265"/>
        <v>SEPTEMBER-1-GM2</v>
      </c>
      <c r="M1295" s="73">
        <f t="shared" si="266"/>
        <v>-1.587457080265442E-2</v>
      </c>
      <c r="N1295" s="73">
        <f t="shared" si="267"/>
        <v>-1.6513255718329845E-2</v>
      </c>
      <c r="O1295" s="13">
        <f t="shared" si="268"/>
        <v>1013903</v>
      </c>
      <c r="P1295" s="13">
        <f t="shared" si="269"/>
        <v>1020738</v>
      </c>
      <c r="Q1295" s="13">
        <f t="shared" si="270"/>
        <v>1015819</v>
      </c>
      <c r="R1295" s="33">
        <f t="shared" si="271"/>
        <v>1.8897271237978686E-3</v>
      </c>
      <c r="S1295" s="33">
        <f t="shared" si="272"/>
        <v>-4.8190622863065746E-3</v>
      </c>
    </row>
    <row r="1296" spans="1:19" x14ac:dyDescent="0.25">
      <c r="A1296" t="s">
        <v>43</v>
      </c>
      <c r="B1296">
        <v>1</v>
      </c>
      <c r="C1296" t="s">
        <v>15</v>
      </c>
      <c r="D1296" s="70">
        <v>3929</v>
      </c>
      <c r="E1296" s="70">
        <v>3955</v>
      </c>
      <c r="F1296" s="70">
        <v>3937</v>
      </c>
      <c r="G1296" s="13">
        <f t="shared" si="260"/>
        <v>-18</v>
      </c>
      <c r="H1296" s="13">
        <f t="shared" si="261"/>
        <v>8</v>
      </c>
      <c r="I1296" s="73">
        <f t="shared" si="262"/>
        <v>2.0361415118350656E-3</v>
      </c>
      <c r="J1296" s="73">
        <f t="shared" si="263"/>
        <v>-4.5512010113779588E-3</v>
      </c>
      <c r="K1296" s="72" t="str">
        <f t="shared" si="264"/>
        <v>CHAWAN</v>
      </c>
      <c r="L1296" s="72" t="str">
        <f t="shared" si="265"/>
        <v>SEPTEMBER-1-CHAWAN</v>
      </c>
      <c r="M1296" s="73">
        <f t="shared" si="266"/>
        <v>3.7832379224227886E-2</v>
      </c>
      <c r="N1296" s="73">
        <f t="shared" si="267"/>
        <v>-0.13083774433361517</v>
      </c>
      <c r="O1296" s="13">
        <f t="shared" si="268"/>
        <v>1013903</v>
      </c>
      <c r="P1296" s="13">
        <f t="shared" si="269"/>
        <v>1020738</v>
      </c>
      <c r="Q1296" s="13">
        <f t="shared" si="270"/>
        <v>1015819</v>
      </c>
      <c r="R1296" s="33">
        <f t="shared" si="271"/>
        <v>1.8897271237978686E-3</v>
      </c>
      <c r="S1296" s="33">
        <f t="shared" si="272"/>
        <v>-4.8190622863065746E-3</v>
      </c>
    </row>
    <row r="1297" spans="1:19" x14ac:dyDescent="0.25">
      <c r="A1297" t="s">
        <v>43</v>
      </c>
      <c r="B1297" s="68">
        <v>1</v>
      </c>
      <c r="C1297" t="s">
        <v>15</v>
      </c>
      <c r="D1297" s="70">
        <v>866</v>
      </c>
      <c r="E1297" s="70">
        <v>878</v>
      </c>
      <c r="F1297" s="70">
        <v>872</v>
      </c>
      <c r="G1297" s="13">
        <f t="shared" si="260"/>
        <v>-6</v>
      </c>
      <c r="H1297" s="13">
        <f t="shared" si="261"/>
        <v>6</v>
      </c>
      <c r="I1297" s="73">
        <f t="shared" si="262"/>
        <v>6.9284064665127154E-3</v>
      </c>
      <c r="J1297" s="73">
        <f t="shared" si="263"/>
        <v>-6.8337129840546629E-3</v>
      </c>
      <c r="K1297" s="72" t="str">
        <f t="shared" si="264"/>
        <v>CHAWAN</v>
      </c>
      <c r="L1297" s="72" t="str">
        <f t="shared" si="265"/>
        <v>SEPTEMBER-1-CHAWAN</v>
      </c>
      <c r="M1297" s="73">
        <f t="shared" si="266"/>
        <v>3.7832379224227886E-2</v>
      </c>
      <c r="N1297" s="73">
        <f t="shared" si="267"/>
        <v>-0.13083774433361517</v>
      </c>
      <c r="O1297" s="13">
        <f t="shared" si="268"/>
        <v>1013903</v>
      </c>
      <c r="P1297" s="13">
        <f t="shared" si="269"/>
        <v>1020738</v>
      </c>
      <c r="Q1297" s="13">
        <f t="shared" si="270"/>
        <v>1015819</v>
      </c>
      <c r="R1297" s="33">
        <f t="shared" si="271"/>
        <v>1.8897271237978686E-3</v>
      </c>
      <c r="S1297" s="33">
        <f t="shared" si="272"/>
        <v>-4.8190622863065746E-3</v>
      </c>
    </row>
    <row r="1298" spans="1:19" x14ac:dyDescent="0.25">
      <c r="A1298" t="s">
        <v>43</v>
      </c>
      <c r="B1298">
        <v>1</v>
      </c>
      <c r="C1298" t="s">
        <v>15</v>
      </c>
      <c r="D1298" s="70">
        <v>3034</v>
      </c>
      <c r="E1298" s="70">
        <v>3180</v>
      </c>
      <c r="F1298" s="70">
        <v>3074</v>
      </c>
      <c r="G1298" s="13">
        <f t="shared" si="260"/>
        <v>-106</v>
      </c>
      <c r="H1298" s="13">
        <f t="shared" si="261"/>
        <v>40</v>
      </c>
      <c r="I1298" s="73">
        <f t="shared" si="262"/>
        <v>1.3183915622940079E-2</v>
      </c>
      <c r="J1298" s="73">
        <f t="shared" si="263"/>
        <v>-3.3333333333333326E-2</v>
      </c>
      <c r="K1298" s="72" t="str">
        <f t="shared" si="264"/>
        <v>CHAWAN</v>
      </c>
      <c r="L1298" s="72" t="str">
        <f t="shared" si="265"/>
        <v>SEPTEMBER-1-CHAWAN</v>
      </c>
      <c r="M1298" s="73">
        <f t="shared" si="266"/>
        <v>3.7832379224227886E-2</v>
      </c>
      <c r="N1298" s="73">
        <f t="shared" si="267"/>
        <v>-0.13083774433361517</v>
      </c>
      <c r="O1298" s="13">
        <f t="shared" si="268"/>
        <v>1013903</v>
      </c>
      <c r="P1298" s="13">
        <f t="shared" si="269"/>
        <v>1020738</v>
      </c>
      <c r="Q1298" s="13">
        <f t="shared" si="270"/>
        <v>1015819</v>
      </c>
      <c r="R1298" s="33">
        <f t="shared" si="271"/>
        <v>1.8897271237978686E-3</v>
      </c>
      <c r="S1298" s="33">
        <f t="shared" si="272"/>
        <v>-4.8190622863065746E-3</v>
      </c>
    </row>
    <row r="1299" spans="1:19" x14ac:dyDescent="0.25">
      <c r="A1299" t="s">
        <v>43</v>
      </c>
      <c r="B1299">
        <v>1</v>
      </c>
      <c r="C1299" t="s">
        <v>15</v>
      </c>
      <c r="D1299" s="70">
        <v>3034</v>
      </c>
      <c r="E1299" s="70">
        <v>3236</v>
      </c>
      <c r="F1299" s="70">
        <v>3074</v>
      </c>
      <c r="G1299" s="13">
        <f t="shared" si="260"/>
        <v>-162</v>
      </c>
      <c r="H1299" s="13">
        <f t="shared" si="261"/>
        <v>40</v>
      </c>
      <c r="I1299" s="73">
        <f t="shared" si="262"/>
        <v>1.3183915622940079E-2</v>
      </c>
      <c r="J1299" s="73">
        <f t="shared" si="263"/>
        <v>-5.0061804697156931E-2</v>
      </c>
      <c r="K1299" s="72" t="str">
        <f t="shared" si="264"/>
        <v>CHAWAN</v>
      </c>
      <c r="L1299" s="72" t="str">
        <f t="shared" si="265"/>
        <v>SEPTEMBER-1-CHAWAN</v>
      </c>
      <c r="M1299" s="73">
        <f t="shared" si="266"/>
        <v>3.7832379224227886E-2</v>
      </c>
      <c r="N1299" s="73">
        <f t="shared" si="267"/>
        <v>-0.13083774433361517</v>
      </c>
      <c r="O1299" s="13">
        <f t="shared" si="268"/>
        <v>1013903</v>
      </c>
      <c r="P1299" s="13">
        <f t="shared" si="269"/>
        <v>1020738</v>
      </c>
      <c r="Q1299" s="13">
        <f t="shared" si="270"/>
        <v>1015819</v>
      </c>
      <c r="R1299" s="33">
        <f t="shared" si="271"/>
        <v>1.8897271237978686E-3</v>
      </c>
      <c r="S1299" s="33">
        <f t="shared" si="272"/>
        <v>-4.8190622863065746E-3</v>
      </c>
    </row>
    <row r="1300" spans="1:19" x14ac:dyDescent="0.25">
      <c r="A1300" t="s">
        <v>43</v>
      </c>
      <c r="B1300">
        <v>1</v>
      </c>
      <c r="C1300" t="s">
        <v>15</v>
      </c>
      <c r="D1300" s="70">
        <v>400</v>
      </c>
      <c r="E1300" s="70">
        <v>416</v>
      </c>
      <c r="F1300" s="70">
        <v>401</v>
      </c>
      <c r="G1300" s="13">
        <f t="shared" si="260"/>
        <v>-15</v>
      </c>
      <c r="H1300" s="13">
        <f t="shared" si="261"/>
        <v>1</v>
      </c>
      <c r="I1300" s="73">
        <f t="shared" si="262"/>
        <v>2.4999999999999467E-3</v>
      </c>
      <c r="J1300" s="73">
        <f t="shared" si="263"/>
        <v>-3.6057692307692291E-2</v>
      </c>
      <c r="K1300" s="72" t="str">
        <f t="shared" si="264"/>
        <v>CHAWAN</v>
      </c>
      <c r="L1300" s="72" t="str">
        <f t="shared" si="265"/>
        <v>SEPTEMBER-1-CHAWAN</v>
      </c>
      <c r="M1300" s="73">
        <f t="shared" si="266"/>
        <v>3.7832379224227886E-2</v>
      </c>
      <c r="N1300" s="73">
        <f t="shared" si="267"/>
        <v>-0.13083774433361517</v>
      </c>
      <c r="O1300" s="13">
        <f t="shared" si="268"/>
        <v>1013903</v>
      </c>
      <c r="P1300" s="13">
        <f t="shared" si="269"/>
        <v>1020738</v>
      </c>
      <c r="Q1300" s="13">
        <f t="shared" si="270"/>
        <v>1015819</v>
      </c>
      <c r="R1300" s="33">
        <f t="shared" si="271"/>
        <v>1.8897271237978686E-3</v>
      </c>
      <c r="S1300" s="33">
        <f t="shared" si="272"/>
        <v>-4.8190622863065746E-3</v>
      </c>
    </row>
    <row r="1301" spans="1:19" x14ac:dyDescent="0.25">
      <c r="A1301" t="s">
        <v>43</v>
      </c>
      <c r="B1301">
        <v>2</v>
      </c>
      <c r="C1301" t="s">
        <v>16</v>
      </c>
      <c r="D1301" s="68">
        <v>3450</v>
      </c>
      <c r="E1301" s="68">
        <v>3398</v>
      </c>
      <c r="F1301" s="68">
        <v>3183</v>
      </c>
      <c r="G1301" s="13">
        <f t="shared" si="260"/>
        <v>-215</v>
      </c>
      <c r="H1301" s="13">
        <f t="shared" si="261"/>
        <v>-267</v>
      </c>
      <c r="I1301" s="73">
        <f t="shared" si="262"/>
        <v>-7.739130434782604E-2</v>
      </c>
      <c r="J1301" s="73">
        <f t="shared" si="263"/>
        <v>-6.3272513243084139E-2</v>
      </c>
      <c r="K1301" s="72" t="str">
        <f t="shared" si="264"/>
        <v>ANUGERAH</v>
      </c>
      <c r="L1301" s="72" t="str">
        <f t="shared" si="265"/>
        <v>SEPTEMBER-2-ANUGERAH</v>
      </c>
      <c r="M1301" s="73">
        <f t="shared" si="266"/>
        <v>-0.38456521739130434</v>
      </c>
      <c r="N1301" s="73">
        <f t="shared" si="267"/>
        <v>-0.38891247775485172</v>
      </c>
      <c r="O1301" s="13">
        <f t="shared" si="268"/>
        <v>1013903</v>
      </c>
      <c r="P1301" s="13">
        <f t="shared" si="269"/>
        <v>1020738</v>
      </c>
      <c r="Q1301" s="13">
        <f t="shared" si="270"/>
        <v>1015819</v>
      </c>
      <c r="R1301" s="33">
        <f t="shared" si="271"/>
        <v>1.8897271237978686E-3</v>
      </c>
      <c r="S1301" s="33">
        <f t="shared" si="272"/>
        <v>-4.8190622863065746E-3</v>
      </c>
    </row>
    <row r="1302" spans="1:19" x14ac:dyDescent="0.25">
      <c r="A1302" t="s">
        <v>43</v>
      </c>
      <c r="B1302">
        <v>2</v>
      </c>
      <c r="C1302" t="s">
        <v>16</v>
      </c>
      <c r="D1302" s="68">
        <v>1600</v>
      </c>
      <c r="E1302" s="68">
        <v>1616</v>
      </c>
      <c r="F1302" s="68">
        <v>1576</v>
      </c>
      <c r="G1302" s="13">
        <f t="shared" si="260"/>
        <v>-40</v>
      </c>
      <c r="H1302" s="13">
        <f t="shared" si="261"/>
        <v>-24</v>
      </c>
      <c r="I1302" s="73">
        <f t="shared" si="262"/>
        <v>-1.5000000000000013E-2</v>
      </c>
      <c r="J1302" s="73">
        <f t="shared" si="263"/>
        <v>-2.4752475247524774E-2</v>
      </c>
      <c r="K1302" s="72" t="str">
        <f t="shared" si="264"/>
        <v>ANUGERAH</v>
      </c>
      <c r="L1302" s="72" t="str">
        <f t="shared" si="265"/>
        <v>SEPTEMBER-2-ANUGERAH</v>
      </c>
      <c r="M1302" s="73">
        <f t="shared" si="266"/>
        <v>-0.38456521739130434</v>
      </c>
      <c r="N1302" s="73">
        <f t="shared" si="267"/>
        <v>-0.38891247775485172</v>
      </c>
      <c r="O1302" s="13">
        <f t="shared" si="268"/>
        <v>1013903</v>
      </c>
      <c r="P1302" s="13">
        <f t="shared" si="269"/>
        <v>1020738</v>
      </c>
      <c r="Q1302" s="13">
        <f t="shared" si="270"/>
        <v>1015819</v>
      </c>
      <c r="R1302" s="33">
        <f t="shared" si="271"/>
        <v>1.8897271237978686E-3</v>
      </c>
      <c r="S1302" s="33">
        <f t="shared" si="272"/>
        <v>-4.8190622863065746E-3</v>
      </c>
    </row>
    <row r="1303" spans="1:19" x14ac:dyDescent="0.25">
      <c r="A1303" t="s">
        <v>43</v>
      </c>
      <c r="B1303">
        <v>2</v>
      </c>
      <c r="C1303" t="s">
        <v>16</v>
      </c>
      <c r="D1303" s="68">
        <v>3450</v>
      </c>
      <c r="E1303" s="68">
        <v>3493</v>
      </c>
      <c r="F1303" s="68">
        <v>2442</v>
      </c>
      <c r="G1303" s="13">
        <f t="shared" si="260"/>
        <v>-1051</v>
      </c>
      <c r="H1303" s="13">
        <f t="shared" si="261"/>
        <v>-1008</v>
      </c>
      <c r="I1303" s="73">
        <f t="shared" si="262"/>
        <v>-0.29217391304347828</v>
      </c>
      <c r="J1303" s="73">
        <f t="shared" si="263"/>
        <v>-0.3008874892642428</v>
      </c>
      <c r="K1303" s="72" t="str">
        <f t="shared" si="264"/>
        <v>ANUGERAH</v>
      </c>
      <c r="L1303" s="72" t="str">
        <f t="shared" si="265"/>
        <v>SEPTEMBER-2-ANUGERAH</v>
      </c>
      <c r="M1303" s="73">
        <f t="shared" si="266"/>
        <v>-0.38456521739130434</v>
      </c>
      <c r="N1303" s="73">
        <f t="shared" si="267"/>
        <v>-0.38891247775485172</v>
      </c>
      <c r="O1303" s="13">
        <f t="shared" si="268"/>
        <v>1013903</v>
      </c>
      <c r="P1303" s="13">
        <f t="shared" si="269"/>
        <v>1020738</v>
      </c>
      <c r="Q1303" s="13">
        <f t="shared" si="270"/>
        <v>1015819</v>
      </c>
      <c r="R1303" s="33">
        <f t="shared" si="271"/>
        <v>1.8897271237978686E-3</v>
      </c>
      <c r="S1303" s="33">
        <f t="shared" si="272"/>
        <v>-4.8190622863065746E-3</v>
      </c>
    </row>
    <row r="1304" spans="1:19" x14ac:dyDescent="0.25">
      <c r="A1304" t="s">
        <v>43</v>
      </c>
      <c r="B1304">
        <v>2</v>
      </c>
      <c r="C1304" t="s">
        <v>17</v>
      </c>
      <c r="D1304" s="68">
        <v>2185</v>
      </c>
      <c r="E1304" s="70">
        <v>2185</v>
      </c>
      <c r="F1304" s="70">
        <v>2177</v>
      </c>
      <c r="G1304" s="13">
        <f t="shared" si="260"/>
        <v>-8</v>
      </c>
      <c r="H1304" s="13">
        <f t="shared" si="261"/>
        <v>-8</v>
      </c>
      <c r="I1304" s="73">
        <f t="shared" si="262"/>
        <v>-3.6613272311213363E-3</v>
      </c>
      <c r="J1304" s="73">
        <f t="shared" si="263"/>
        <v>-3.6613272311213363E-3</v>
      </c>
      <c r="K1304" s="72" t="str">
        <f t="shared" si="264"/>
        <v>CBA</v>
      </c>
      <c r="L1304" s="72" t="str">
        <f t="shared" si="265"/>
        <v>SEPTEMBER-2-CBA</v>
      </c>
      <c r="M1304" s="73">
        <f t="shared" si="266"/>
        <v>-9.902747416636215E-2</v>
      </c>
      <c r="N1304" s="73">
        <f t="shared" si="267"/>
        <v>-3.8753284204966376E-2</v>
      </c>
      <c r="O1304" s="13">
        <f t="shared" si="268"/>
        <v>1013903</v>
      </c>
      <c r="P1304" s="13">
        <f t="shared" si="269"/>
        <v>1020738</v>
      </c>
      <c r="Q1304" s="13">
        <f t="shared" si="270"/>
        <v>1015819</v>
      </c>
      <c r="R1304" s="33">
        <f t="shared" si="271"/>
        <v>1.8897271237978686E-3</v>
      </c>
      <c r="S1304" s="33">
        <f t="shared" si="272"/>
        <v>-4.8190622863065746E-3</v>
      </c>
    </row>
    <row r="1305" spans="1:19" x14ac:dyDescent="0.25">
      <c r="A1305" t="s">
        <v>43</v>
      </c>
      <c r="B1305">
        <v>2</v>
      </c>
      <c r="C1305" t="s">
        <v>17</v>
      </c>
      <c r="D1305" s="68">
        <v>1301</v>
      </c>
      <c r="E1305" s="70">
        <v>1285</v>
      </c>
      <c r="F1305" s="70">
        <v>1298</v>
      </c>
      <c r="G1305" s="13">
        <f t="shared" si="260"/>
        <v>13</v>
      </c>
      <c r="H1305" s="13">
        <f t="shared" si="261"/>
        <v>-3</v>
      </c>
      <c r="I1305" s="73">
        <f t="shared" si="262"/>
        <v>-2.3059185242121361E-3</v>
      </c>
      <c r="J1305" s="73">
        <f t="shared" si="263"/>
        <v>1.0116731517509692E-2</v>
      </c>
      <c r="K1305" s="72" t="str">
        <f t="shared" si="264"/>
        <v>CBA</v>
      </c>
      <c r="L1305" s="72" t="str">
        <f t="shared" si="265"/>
        <v>SEPTEMBER-2-CBA</v>
      </c>
      <c r="M1305" s="73">
        <f t="shared" si="266"/>
        <v>-9.902747416636215E-2</v>
      </c>
      <c r="N1305" s="73">
        <f t="shared" si="267"/>
        <v>-3.8753284204966376E-2</v>
      </c>
      <c r="O1305" s="13">
        <f t="shared" si="268"/>
        <v>1013903</v>
      </c>
      <c r="P1305" s="13">
        <f t="shared" si="269"/>
        <v>1020738</v>
      </c>
      <c r="Q1305" s="13">
        <f t="shared" si="270"/>
        <v>1015819</v>
      </c>
      <c r="R1305" s="33">
        <f t="shared" si="271"/>
        <v>1.8897271237978686E-3</v>
      </c>
      <c r="S1305" s="33">
        <f t="shared" si="272"/>
        <v>-4.8190622863065746E-3</v>
      </c>
    </row>
    <row r="1306" spans="1:19" x14ac:dyDescent="0.25">
      <c r="A1306" t="s">
        <v>43</v>
      </c>
      <c r="B1306">
        <v>2</v>
      </c>
      <c r="C1306" t="s">
        <v>17</v>
      </c>
      <c r="D1306" s="68">
        <v>1001</v>
      </c>
      <c r="E1306" s="70">
        <v>992</v>
      </c>
      <c r="F1306" s="70">
        <v>985</v>
      </c>
      <c r="G1306" s="13">
        <f t="shared" si="260"/>
        <v>-7</v>
      </c>
      <c r="H1306" s="13">
        <f t="shared" si="261"/>
        <v>-16</v>
      </c>
      <c r="I1306" s="73">
        <f t="shared" si="262"/>
        <v>-1.5984015984015998E-2</v>
      </c>
      <c r="J1306" s="73">
        <f t="shared" si="263"/>
        <v>-7.0564516129032473E-3</v>
      </c>
      <c r="K1306" s="72" t="str">
        <f t="shared" si="264"/>
        <v>CBA</v>
      </c>
      <c r="L1306" s="72" t="str">
        <f t="shared" si="265"/>
        <v>SEPTEMBER-2-CBA</v>
      </c>
      <c r="M1306" s="73">
        <f t="shared" si="266"/>
        <v>-9.902747416636215E-2</v>
      </c>
      <c r="N1306" s="73">
        <f t="shared" si="267"/>
        <v>-3.8753284204966376E-2</v>
      </c>
      <c r="O1306" s="13">
        <f t="shared" si="268"/>
        <v>1013903</v>
      </c>
      <c r="P1306" s="13">
        <f t="shared" si="269"/>
        <v>1020738</v>
      </c>
      <c r="Q1306" s="13">
        <f t="shared" si="270"/>
        <v>1015819</v>
      </c>
      <c r="R1306" s="33">
        <f t="shared" si="271"/>
        <v>1.8897271237978686E-3</v>
      </c>
      <c r="S1306" s="33">
        <f t="shared" si="272"/>
        <v>-4.8190622863065746E-3</v>
      </c>
    </row>
    <row r="1307" spans="1:19" x14ac:dyDescent="0.25">
      <c r="A1307" t="s">
        <v>43</v>
      </c>
      <c r="B1307">
        <v>2</v>
      </c>
      <c r="C1307" t="s">
        <v>17</v>
      </c>
      <c r="D1307" s="68">
        <v>2050</v>
      </c>
      <c r="E1307" s="70">
        <v>2050</v>
      </c>
      <c r="F1307" s="70">
        <v>2039</v>
      </c>
      <c r="G1307" s="13">
        <f t="shared" si="260"/>
        <v>-11</v>
      </c>
      <c r="H1307" s="13">
        <f t="shared" si="261"/>
        <v>-11</v>
      </c>
      <c r="I1307" s="73">
        <f t="shared" si="262"/>
        <v>-5.3658536585365901E-3</v>
      </c>
      <c r="J1307" s="73">
        <f t="shared" si="263"/>
        <v>-5.3658536585365901E-3</v>
      </c>
      <c r="K1307" s="72" t="str">
        <f t="shared" si="264"/>
        <v>CBA</v>
      </c>
      <c r="L1307" s="72" t="str">
        <f t="shared" si="265"/>
        <v>SEPTEMBER-2-CBA</v>
      </c>
      <c r="M1307" s="73">
        <f t="shared" si="266"/>
        <v>-9.902747416636215E-2</v>
      </c>
      <c r="N1307" s="73">
        <f t="shared" si="267"/>
        <v>-3.8753284204966376E-2</v>
      </c>
      <c r="O1307" s="13">
        <f t="shared" si="268"/>
        <v>1013903</v>
      </c>
      <c r="P1307" s="13">
        <f t="shared" si="269"/>
        <v>1020738</v>
      </c>
      <c r="Q1307" s="13">
        <f t="shared" si="270"/>
        <v>1015819</v>
      </c>
      <c r="R1307" s="33">
        <f t="shared" si="271"/>
        <v>1.8897271237978686E-3</v>
      </c>
      <c r="S1307" s="33">
        <f t="shared" si="272"/>
        <v>-4.8190622863065746E-3</v>
      </c>
    </row>
    <row r="1308" spans="1:19" x14ac:dyDescent="0.25">
      <c r="A1308" t="s">
        <v>43</v>
      </c>
      <c r="B1308">
        <v>2</v>
      </c>
      <c r="C1308" t="s">
        <v>17</v>
      </c>
      <c r="D1308" s="68">
        <v>2350</v>
      </c>
      <c r="E1308" s="70">
        <v>2280</v>
      </c>
      <c r="F1308" s="70">
        <v>2270</v>
      </c>
      <c r="G1308" s="13">
        <f t="shared" si="260"/>
        <v>-10</v>
      </c>
      <c r="H1308" s="13">
        <f t="shared" si="261"/>
        <v>-80</v>
      </c>
      <c r="I1308" s="73">
        <f t="shared" si="262"/>
        <v>-3.4042553191489411E-2</v>
      </c>
      <c r="J1308" s="73">
        <f t="shared" si="263"/>
        <v>-4.3859649122807154E-3</v>
      </c>
      <c r="K1308" s="72" t="str">
        <f t="shared" si="264"/>
        <v>CBA</v>
      </c>
      <c r="L1308" s="72" t="str">
        <f t="shared" si="265"/>
        <v>SEPTEMBER-2-CBA</v>
      </c>
      <c r="M1308" s="73">
        <f t="shared" si="266"/>
        <v>-9.902747416636215E-2</v>
      </c>
      <c r="N1308" s="73">
        <f t="shared" si="267"/>
        <v>-3.8753284204966376E-2</v>
      </c>
      <c r="O1308" s="13">
        <f t="shared" si="268"/>
        <v>1013903</v>
      </c>
      <c r="P1308" s="13">
        <f t="shared" si="269"/>
        <v>1020738</v>
      </c>
      <c r="Q1308" s="13">
        <f t="shared" si="270"/>
        <v>1015819</v>
      </c>
      <c r="R1308" s="33">
        <f t="shared" si="271"/>
        <v>1.8897271237978686E-3</v>
      </c>
      <c r="S1308" s="33">
        <f t="shared" si="272"/>
        <v>-4.8190622863065746E-3</v>
      </c>
    </row>
    <row r="1309" spans="1:19" x14ac:dyDescent="0.25">
      <c r="A1309" t="s">
        <v>43</v>
      </c>
      <c r="B1309">
        <v>2</v>
      </c>
      <c r="C1309" t="s">
        <v>17</v>
      </c>
      <c r="D1309" s="68">
        <v>2150</v>
      </c>
      <c r="E1309" s="70">
        <v>2130</v>
      </c>
      <c r="F1309" s="70">
        <v>2122</v>
      </c>
      <c r="G1309" s="13">
        <f t="shared" si="260"/>
        <v>-8</v>
      </c>
      <c r="H1309" s="13">
        <f t="shared" si="261"/>
        <v>-28</v>
      </c>
      <c r="I1309" s="73">
        <f t="shared" si="262"/>
        <v>-1.3023255813953472E-2</v>
      </c>
      <c r="J1309" s="73">
        <f t="shared" si="263"/>
        <v>-3.755868544600971E-3</v>
      </c>
      <c r="K1309" s="72" t="str">
        <f t="shared" si="264"/>
        <v>CBA</v>
      </c>
      <c r="L1309" s="72" t="str">
        <f t="shared" si="265"/>
        <v>SEPTEMBER-2-CBA</v>
      </c>
      <c r="M1309" s="73">
        <f t="shared" si="266"/>
        <v>-9.902747416636215E-2</v>
      </c>
      <c r="N1309" s="73">
        <f t="shared" si="267"/>
        <v>-3.8753284204966376E-2</v>
      </c>
      <c r="O1309" s="13">
        <f t="shared" si="268"/>
        <v>1013903</v>
      </c>
      <c r="P1309" s="13">
        <f t="shared" si="269"/>
        <v>1020738</v>
      </c>
      <c r="Q1309" s="13">
        <f t="shared" si="270"/>
        <v>1015819</v>
      </c>
      <c r="R1309" s="33">
        <f t="shared" si="271"/>
        <v>1.8897271237978686E-3</v>
      </c>
      <c r="S1309" s="33">
        <f t="shared" si="272"/>
        <v>-4.8190622863065746E-3</v>
      </c>
    </row>
    <row r="1310" spans="1:19" x14ac:dyDescent="0.25">
      <c r="A1310" t="s">
        <v>43</v>
      </c>
      <c r="B1310">
        <v>2</v>
      </c>
      <c r="C1310" t="s">
        <v>17</v>
      </c>
      <c r="D1310" s="68">
        <v>1055</v>
      </c>
      <c r="E1310" s="70">
        <v>1055</v>
      </c>
      <c r="F1310" s="70">
        <v>1029</v>
      </c>
      <c r="G1310" s="13">
        <f t="shared" si="260"/>
        <v>-26</v>
      </c>
      <c r="H1310" s="13">
        <f t="shared" si="261"/>
        <v>-26</v>
      </c>
      <c r="I1310" s="73">
        <f t="shared" si="262"/>
        <v>-2.4644549763033208E-2</v>
      </c>
      <c r="J1310" s="73">
        <f t="shared" si="263"/>
        <v>-2.4644549763033208E-2</v>
      </c>
      <c r="K1310" s="72" t="str">
        <f t="shared" si="264"/>
        <v>CBA</v>
      </c>
      <c r="L1310" s="72" t="str">
        <f t="shared" si="265"/>
        <v>SEPTEMBER-2-CBA</v>
      </c>
      <c r="M1310" s="73">
        <f t="shared" si="266"/>
        <v>-9.902747416636215E-2</v>
      </c>
      <c r="N1310" s="73">
        <f t="shared" si="267"/>
        <v>-3.8753284204966376E-2</v>
      </c>
      <c r="O1310" s="13">
        <f t="shared" si="268"/>
        <v>1013903</v>
      </c>
      <c r="P1310" s="13">
        <f t="shared" si="269"/>
        <v>1020738</v>
      </c>
      <c r="Q1310" s="13">
        <f t="shared" si="270"/>
        <v>1015819</v>
      </c>
      <c r="R1310" s="33">
        <f t="shared" si="271"/>
        <v>1.8897271237978686E-3</v>
      </c>
      <c r="S1310" s="33">
        <f t="shared" si="272"/>
        <v>-4.8190622863065746E-3</v>
      </c>
    </row>
    <row r="1311" spans="1:19" x14ac:dyDescent="0.25">
      <c r="A1311" t="s">
        <v>43</v>
      </c>
      <c r="B1311">
        <v>2</v>
      </c>
      <c r="C1311" t="s">
        <v>27</v>
      </c>
      <c r="D1311" s="68">
        <v>1001</v>
      </c>
      <c r="E1311" s="70">
        <v>1001</v>
      </c>
      <c r="F1311" s="70">
        <v>997</v>
      </c>
      <c r="G1311" s="13">
        <f t="shared" si="260"/>
        <v>-4</v>
      </c>
      <c r="H1311" s="13">
        <f t="shared" si="261"/>
        <v>-4</v>
      </c>
      <c r="I1311" s="73">
        <f t="shared" si="262"/>
        <v>-3.9960039960039717E-3</v>
      </c>
      <c r="J1311" s="73">
        <f t="shared" si="263"/>
        <v>-3.9960039960039717E-3</v>
      </c>
      <c r="K1311" s="72" t="str">
        <f t="shared" si="264"/>
        <v>CNJ2</v>
      </c>
      <c r="L1311" s="72" t="str">
        <f t="shared" si="265"/>
        <v>SEPTEMBER-2-CNJ2</v>
      </c>
      <c r="M1311" s="73">
        <f t="shared" si="266"/>
        <v>-7.4259792964828875E-2</v>
      </c>
      <c r="N1311" s="73">
        <f t="shared" si="267"/>
        <v>-1.0242250242250228E-2</v>
      </c>
      <c r="O1311" s="13">
        <f t="shared" si="268"/>
        <v>1013903</v>
      </c>
      <c r="P1311" s="13">
        <f t="shared" si="269"/>
        <v>1020738</v>
      </c>
      <c r="Q1311" s="13">
        <f t="shared" si="270"/>
        <v>1015819</v>
      </c>
      <c r="R1311" s="33">
        <f t="shared" si="271"/>
        <v>1.8897271237978686E-3</v>
      </c>
      <c r="S1311" s="33">
        <f t="shared" si="272"/>
        <v>-4.8190622863065746E-3</v>
      </c>
    </row>
    <row r="1312" spans="1:19" x14ac:dyDescent="0.25">
      <c r="A1312" t="s">
        <v>43</v>
      </c>
      <c r="B1312">
        <v>2</v>
      </c>
      <c r="C1312" t="s">
        <v>27</v>
      </c>
      <c r="D1312" s="68">
        <v>1200</v>
      </c>
      <c r="E1312" s="70">
        <v>1125</v>
      </c>
      <c r="F1312" s="70">
        <v>1120</v>
      </c>
      <c r="G1312" s="13">
        <f t="shared" si="260"/>
        <v>-5</v>
      </c>
      <c r="H1312" s="13">
        <f t="shared" si="261"/>
        <v>-80</v>
      </c>
      <c r="I1312" s="73">
        <f t="shared" si="262"/>
        <v>-6.6666666666666652E-2</v>
      </c>
      <c r="J1312" s="73">
        <f t="shared" si="263"/>
        <v>-4.4444444444444731E-3</v>
      </c>
      <c r="K1312" s="72" t="str">
        <f t="shared" si="264"/>
        <v>CNJ2</v>
      </c>
      <c r="L1312" s="72" t="str">
        <f t="shared" si="265"/>
        <v>SEPTEMBER-2-CNJ2</v>
      </c>
      <c r="M1312" s="73">
        <f t="shared" si="266"/>
        <v>-7.4259792964828875E-2</v>
      </c>
      <c r="N1312" s="73">
        <f t="shared" si="267"/>
        <v>-1.0242250242250228E-2</v>
      </c>
      <c r="O1312" s="13">
        <f t="shared" si="268"/>
        <v>1013903</v>
      </c>
      <c r="P1312" s="13">
        <f t="shared" si="269"/>
        <v>1020738</v>
      </c>
      <c r="Q1312" s="13">
        <f t="shared" si="270"/>
        <v>1015819</v>
      </c>
      <c r="R1312" s="33">
        <f t="shared" si="271"/>
        <v>1.8897271237978686E-3</v>
      </c>
      <c r="S1312" s="33">
        <f t="shared" si="272"/>
        <v>-4.8190622863065746E-3</v>
      </c>
    </row>
    <row r="1313" spans="1:19" x14ac:dyDescent="0.25">
      <c r="A1313" t="s">
        <v>43</v>
      </c>
      <c r="B1313">
        <v>2</v>
      </c>
      <c r="C1313" t="s">
        <v>27</v>
      </c>
      <c r="D1313" s="68">
        <v>2780</v>
      </c>
      <c r="E1313" s="70">
        <v>2775</v>
      </c>
      <c r="F1313" s="70">
        <v>2770</v>
      </c>
      <c r="G1313" s="13">
        <f t="shared" si="260"/>
        <v>-5</v>
      </c>
      <c r="H1313" s="13">
        <f t="shared" si="261"/>
        <v>-10</v>
      </c>
      <c r="I1313" s="73">
        <f t="shared" si="262"/>
        <v>-3.597122302158251E-3</v>
      </c>
      <c r="J1313" s="73">
        <f t="shared" si="263"/>
        <v>-1.8018018018017834E-3</v>
      </c>
      <c r="K1313" s="72" t="str">
        <f t="shared" si="264"/>
        <v>CNJ2</v>
      </c>
      <c r="L1313" s="72" t="str">
        <f t="shared" si="265"/>
        <v>SEPTEMBER-2-CNJ2</v>
      </c>
      <c r="M1313" s="73">
        <f t="shared" si="266"/>
        <v>-7.4259792964828875E-2</v>
      </c>
      <c r="N1313" s="73">
        <f t="shared" si="267"/>
        <v>-1.0242250242250228E-2</v>
      </c>
      <c r="O1313" s="13">
        <f t="shared" si="268"/>
        <v>1013903</v>
      </c>
      <c r="P1313" s="13">
        <f t="shared" si="269"/>
        <v>1020738</v>
      </c>
      <c r="Q1313" s="13">
        <f t="shared" si="270"/>
        <v>1015819</v>
      </c>
      <c r="R1313" s="33">
        <f t="shared" si="271"/>
        <v>1.8897271237978686E-3</v>
      </c>
      <c r="S1313" s="33">
        <f t="shared" si="272"/>
        <v>-4.8190622863065746E-3</v>
      </c>
    </row>
    <row r="1314" spans="1:19" x14ac:dyDescent="0.25">
      <c r="A1314" t="s">
        <v>43</v>
      </c>
      <c r="B1314">
        <v>2</v>
      </c>
      <c r="C1314" t="s">
        <v>72</v>
      </c>
      <c r="D1314">
        <v>270</v>
      </c>
      <c r="E1314">
        <v>270</v>
      </c>
      <c r="F1314" s="70">
        <v>270</v>
      </c>
      <c r="G1314" s="13">
        <f t="shared" si="260"/>
        <v>0</v>
      </c>
      <c r="H1314" s="13">
        <f t="shared" si="261"/>
        <v>0</v>
      </c>
      <c r="I1314" s="73">
        <f t="shared" si="262"/>
        <v>0</v>
      </c>
      <c r="J1314" s="73">
        <f t="shared" si="263"/>
        <v>0</v>
      </c>
      <c r="K1314" s="72" t="str">
        <f t="shared" si="264"/>
        <v>GM1</v>
      </c>
      <c r="L1314" s="72" t="str">
        <f t="shared" si="265"/>
        <v>SEPTEMBER-2-GM1</v>
      </c>
      <c r="M1314" s="73">
        <f t="shared" si="266"/>
        <v>0.13547943696496711</v>
      </c>
      <c r="N1314" s="73">
        <f t="shared" si="267"/>
        <v>-8.3591640412952972E-2</v>
      </c>
      <c r="O1314" s="13">
        <f t="shared" si="268"/>
        <v>1013903</v>
      </c>
      <c r="P1314" s="13">
        <f t="shared" si="269"/>
        <v>1020738</v>
      </c>
      <c r="Q1314" s="13">
        <f t="shared" si="270"/>
        <v>1015819</v>
      </c>
      <c r="R1314" s="33">
        <f t="shared" si="271"/>
        <v>1.8897271237978686E-3</v>
      </c>
      <c r="S1314" s="33">
        <f t="shared" si="272"/>
        <v>-4.8190622863065746E-3</v>
      </c>
    </row>
    <row r="1315" spans="1:19" x14ac:dyDescent="0.25">
      <c r="A1315" t="s">
        <v>43</v>
      </c>
      <c r="B1315">
        <v>2</v>
      </c>
      <c r="C1315" t="s">
        <v>72</v>
      </c>
      <c r="D1315">
        <v>60</v>
      </c>
      <c r="E1315">
        <v>60</v>
      </c>
      <c r="F1315" s="70">
        <v>60</v>
      </c>
      <c r="G1315" s="13">
        <f t="shared" si="260"/>
        <v>0</v>
      </c>
      <c r="H1315" s="13">
        <f t="shared" si="261"/>
        <v>0</v>
      </c>
      <c r="I1315" s="73">
        <f t="shared" si="262"/>
        <v>0</v>
      </c>
      <c r="J1315" s="73">
        <f t="shared" si="263"/>
        <v>0</v>
      </c>
      <c r="K1315" s="72" t="str">
        <f t="shared" si="264"/>
        <v>GM1</v>
      </c>
      <c r="L1315" s="72" t="str">
        <f t="shared" si="265"/>
        <v>SEPTEMBER-2-GM1</v>
      </c>
      <c r="M1315" s="73">
        <f t="shared" si="266"/>
        <v>0.13547943696496711</v>
      </c>
      <c r="N1315" s="73">
        <f t="shared" si="267"/>
        <v>-8.3591640412952972E-2</v>
      </c>
      <c r="O1315" s="13">
        <f t="shared" si="268"/>
        <v>1013903</v>
      </c>
      <c r="P1315" s="13">
        <f t="shared" si="269"/>
        <v>1020738</v>
      </c>
      <c r="Q1315" s="13">
        <f t="shared" si="270"/>
        <v>1015819</v>
      </c>
      <c r="R1315" s="33">
        <f t="shared" si="271"/>
        <v>1.8897271237978686E-3</v>
      </c>
      <c r="S1315" s="33">
        <f t="shared" si="272"/>
        <v>-4.8190622863065746E-3</v>
      </c>
    </row>
    <row r="1316" spans="1:19" x14ac:dyDescent="0.25">
      <c r="A1316" t="s">
        <v>43</v>
      </c>
      <c r="B1316">
        <v>2</v>
      </c>
      <c r="C1316" t="s">
        <v>72</v>
      </c>
      <c r="D1316">
        <v>410</v>
      </c>
      <c r="E1316">
        <v>410</v>
      </c>
      <c r="F1316" s="70">
        <v>410</v>
      </c>
      <c r="G1316" s="13">
        <f t="shared" si="260"/>
        <v>0</v>
      </c>
      <c r="H1316" s="13">
        <f t="shared" si="261"/>
        <v>0</v>
      </c>
      <c r="I1316" s="73">
        <f t="shared" si="262"/>
        <v>0</v>
      </c>
      <c r="J1316" s="73">
        <f t="shared" si="263"/>
        <v>0</v>
      </c>
      <c r="K1316" s="72" t="str">
        <f t="shared" si="264"/>
        <v>GM1</v>
      </c>
      <c r="L1316" s="72" t="str">
        <f t="shared" si="265"/>
        <v>SEPTEMBER-2-GM1</v>
      </c>
      <c r="M1316" s="73">
        <f t="shared" si="266"/>
        <v>0.13547943696496711</v>
      </c>
      <c r="N1316" s="73">
        <f t="shared" si="267"/>
        <v>-8.3591640412952972E-2</v>
      </c>
      <c r="O1316" s="13">
        <f t="shared" si="268"/>
        <v>1013903</v>
      </c>
      <c r="P1316" s="13">
        <f t="shared" si="269"/>
        <v>1020738</v>
      </c>
      <c r="Q1316" s="13">
        <f t="shared" si="270"/>
        <v>1015819</v>
      </c>
      <c r="R1316" s="33">
        <f t="shared" si="271"/>
        <v>1.8897271237978686E-3</v>
      </c>
      <c r="S1316" s="33">
        <f t="shared" si="272"/>
        <v>-4.8190622863065746E-3</v>
      </c>
    </row>
    <row r="1317" spans="1:19" x14ac:dyDescent="0.25">
      <c r="A1317" t="s">
        <v>43</v>
      </c>
      <c r="B1317">
        <v>2</v>
      </c>
      <c r="C1317" t="s">
        <v>72</v>
      </c>
      <c r="D1317">
        <v>120</v>
      </c>
      <c r="E1317">
        <v>120</v>
      </c>
      <c r="F1317" s="68">
        <v>120</v>
      </c>
      <c r="G1317" s="13">
        <f t="shared" si="260"/>
        <v>0</v>
      </c>
      <c r="H1317" s="13">
        <f t="shared" si="261"/>
        <v>0</v>
      </c>
      <c r="I1317" s="73">
        <f t="shared" si="262"/>
        <v>0</v>
      </c>
      <c r="J1317" s="73">
        <f t="shared" si="263"/>
        <v>0</v>
      </c>
      <c r="K1317" s="72" t="str">
        <f t="shared" si="264"/>
        <v>GM1</v>
      </c>
      <c r="L1317" s="72" t="str">
        <f t="shared" si="265"/>
        <v>SEPTEMBER-2-GM1</v>
      </c>
      <c r="M1317" s="73">
        <f t="shared" si="266"/>
        <v>0.13547943696496711</v>
      </c>
      <c r="N1317" s="73">
        <f t="shared" si="267"/>
        <v>-8.3591640412952972E-2</v>
      </c>
      <c r="O1317" s="13">
        <f t="shared" si="268"/>
        <v>1013903</v>
      </c>
      <c r="P1317" s="13">
        <f t="shared" si="269"/>
        <v>1020738</v>
      </c>
      <c r="Q1317" s="13">
        <f t="shared" si="270"/>
        <v>1015819</v>
      </c>
      <c r="R1317" s="33">
        <f t="shared" si="271"/>
        <v>1.8897271237978686E-3</v>
      </c>
      <c r="S1317" s="33">
        <f t="shared" si="272"/>
        <v>-4.8190622863065746E-3</v>
      </c>
    </row>
    <row r="1318" spans="1:19" x14ac:dyDescent="0.25">
      <c r="A1318" t="s">
        <v>43</v>
      </c>
      <c r="B1318">
        <v>2</v>
      </c>
      <c r="C1318" t="s">
        <v>13</v>
      </c>
      <c r="D1318" s="68">
        <v>50976</v>
      </c>
      <c r="E1318" s="69">
        <v>51485</v>
      </c>
      <c r="F1318" s="69">
        <v>51412</v>
      </c>
      <c r="G1318" s="13">
        <f t="shared" si="260"/>
        <v>-73</v>
      </c>
      <c r="H1318" s="13">
        <f t="shared" si="261"/>
        <v>436</v>
      </c>
      <c r="I1318" s="73">
        <f t="shared" si="262"/>
        <v>8.5530445699937285E-3</v>
      </c>
      <c r="J1318" s="73">
        <f t="shared" si="263"/>
        <v>-1.4178887054482336E-3</v>
      </c>
      <c r="K1318" s="72" t="str">
        <f t="shared" si="264"/>
        <v>KALIBENDA</v>
      </c>
      <c r="L1318" s="72" t="str">
        <f t="shared" si="265"/>
        <v>SEPTEMBER-2-KALIBENDA</v>
      </c>
      <c r="M1318" s="73">
        <f t="shared" si="266"/>
        <v>1.6778503038170633E-2</v>
      </c>
      <c r="N1318" s="73">
        <f t="shared" si="267"/>
        <v>-3.2867980633444205E-3</v>
      </c>
      <c r="O1318" s="13">
        <f t="shared" si="268"/>
        <v>1013903</v>
      </c>
      <c r="P1318" s="13">
        <f t="shared" si="269"/>
        <v>1020738</v>
      </c>
      <c r="Q1318" s="13">
        <f t="shared" si="270"/>
        <v>1015819</v>
      </c>
      <c r="R1318" s="33">
        <f t="shared" si="271"/>
        <v>1.8897271237978686E-3</v>
      </c>
      <c r="S1318" s="33">
        <f t="shared" si="272"/>
        <v>-4.8190622863065746E-3</v>
      </c>
    </row>
    <row r="1319" spans="1:19" x14ac:dyDescent="0.25">
      <c r="A1319" t="s">
        <v>43</v>
      </c>
      <c r="B1319">
        <v>2</v>
      </c>
      <c r="C1319" t="s">
        <v>74</v>
      </c>
      <c r="D1319" s="68">
        <v>19054</v>
      </c>
      <c r="E1319" s="68">
        <v>18818</v>
      </c>
      <c r="F1319" s="68">
        <v>19056</v>
      </c>
      <c r="G1319" s="13">
        <f t="shared" si="260"/>
        <v>238</v>
      </c>
      <c r="H1319" s="13">
        <f t="shared" si="261"/>
        <v>2</v>
      </c>
      <c r="I1319" s="73">
        <f t="shared" si="262"/>
        <v>1.0496483677968627E-4</v>
      </c>
      <c r="J1319" s="73">
        <f t="shared" si="263"/>
        <v>1.2647465192900498E-2</v>
      </c>
      <c r="K1319" s="72" t="str">
        <f t="shared" si="264"/>
        <v>MAJA2</v>
      </c>
      <c r="L1319" s="72" t="str">
        <f t="shared" si="265"/>
        <v>SEPTEMBER-2-MAJA2</v>
      </c>
      <c r="M1319" s="73">
        <f t="shared" si="266"/>
        <v>0.21929783293367289</v>
      </c>
      <c r="N1319" s="73">
        <f t="shared" si="267"/>
        <v>-1.3766389954398495E-2</v>
      </c>
      <c r="O1319" s="13">
        <f t="shared" si="268"/>
        <v>1013903</v>
      </c>
      <c r="P1319" s="13">
        <f t="shared" si="269"/>
        <v>1020738</v>
      </c>
      <c r="Q1319" s="13">
        <f t="shared" si="270"/>
        <v>1015819</v>
      </c>
      <c r="R1319" s="33">
        <f t="shared" si="271"/>
        <v>1.8897271237978686E-3</v>
      </c>
      <c r="S1319" s="33">
        <f t="shared" si="272"/>
        <v>-4.8190622863065746E-3</v>
      </c>
    </row>
    <row r="1320" spans="1:19" x14ac:dyDescent="0.25">
      <c r="A1320" t="s">
        <v>43</v>
      </c>
      <c r="B1320">
        <v>2</v>
      </c>
      <c r="C1320" t="s">
        <v>74</v>
      </c>
      <c r="D1320" s="68">
        <v>17585</v>
      </c>
      <c r="E1320" s="68">
        <v>17373</v>
      </c>
      <c r="F1320" s="68">
        <v>17544</v>
      </c>
      <c r="G1320" s="13">
        <f t="shared" si="260"/>
        <v>171</v>
      </c>
      <c r="H1320" s="13">
        <f t="shared" si="261"/>
        <v>-41</v>
      </c>
      <c r="I1320" s="73">
        <f t="shared" si="262"/>
        <v>-2.3315325561558131E-3</v>
      </c>
      <c r="J1320" s="73">
        <f t="shared" si="263"/>
        <v>9.8428596097392962E-3</v>
      </c>
      <c r="K1320" s="72" t="str">
        <f t="shared" si="264"/>
        <v>MAJA2</v>
      </c>
      <c r="L1320" s="72" t="str">
        <f t="shared" si="265"/>
        <v>SEPTEMBER-2-MAJA2</v>
      </c>
      <c r="M1320" s="73">
        <f t="shared" si="266"/>
        <v>0.21929783293367289</v>
      </c>
      <c r="N1320" s="73">
        <f t="shared" si="267"/>
        <v>-1.3766389954398495E-2</v>
      </c>
      <c r="O1320" s="13">
        <f t="shared" si="268"/>
        <v>1013903</v>
      </c>
      <c r="P1320" s="13">
        <f t="shared" si="269"/>
        <v>1020738</v>
      </c>
      <c r="Q1320" s="13">
        <f t="shared" si="270"/>
        <v>1015819</v>
      </c>
      <c r="R1320" s="33">
        <f t="shared" si="271"/>
        <v>1.8897271237978686E-3</v>
      </c>
      <c r="S1320" s="33">
        <f t="shared" si="272"/>
        <v>-4.8190622863065746E-3</v>
      </c>
    </row>
    <row r="1321" spans="1:19" x14ac:dyDescent="0.25">
      <c r="A1321" t="s">
        <v>43</v>
      </c>
      <c r="B1321">
        <v>2</v>
      </c>
      <c r="C1321" t="s">
        <v>74</v>
      </c>
      <c r="D1321" s="68">
        <v>6372</v>
      </c>
      <c r="E1321" s="70">
        <v>6709</v>
      </c>
      <c r="F1321" s="70">
        <v>6693</v>
      </c>
      <c r="G1321" s="13">
        <f t="shared" si="260"/>
        <v>-16</v>
      </c>
      <c r="H1321" s="13">
        <f t="shared" si="261"/>
        <v>321</v>
      </c>
      <c r="I1321" s="73">
        <f t="shared" si="262"/>
        <v>5.0376647834274868E-2</v>
      </c>
      <c r="J1321" s="73">
        <f t="shared" si="263"/>
        <v>-2.384856163362592E-3</v>
      </c>
      <c r="K1321" s="72" t="str">
        <f t="shared" si="264"/>
        <v>MAJA2</v>
      </c>
      <c r="L1321" s="72" t="str">
        <f t="shared" si="265"/>
        <v>SEPTEMBER-2-MAJA2</v>
      </c>
      <c r="M1321" s="73">
        <f t="shared" si="266"/>
        <v>0.21929783293367289</v>
      </c>
      <c r="N1321" s="73">
        <f t="shared" si="267"/>
        <v>-1.3766389954398495E-2</v>
      </c>
      <c r="O1321" s="13">
        <f t="shared" si="268"/>
        <v>1013903</v>
      </c>
      <c r="P1321" s="13">
        <f t="shared" si="269"/>
        <v>1020738</v>
      </c>
      <c r="Q1321" s="13">
        <f t="shared" si="270"/>
        <v>1015819</v>
      </c>
      <c r="R1321" s="33">
        <f t="shared" si="271"/>
        <v>1.8897271237978686E-3</v>
      </c>
      <c r="S1321" s="33">
        <f t="shared" si="272"/>
        <v>-4.8190622863065746E-3</v>
      </c>
    </row>
    <row r="1322" spans="1:19" x14ac:dyDescent="0.25">
      <c r="A1322" t="s">
        <v>43</v>
      </c>
      <c r="B1322">
        <v>2</v>
      </c>
      <c r="C1322" t="s">
        <v>74</v>
      </c>
      <c r="D1322" s="68">
        <v>1080</v>
      </c>
      <c r="E1322" s="70">
        <v>1136</v>
      </c>
      <c r="F1322" s="70">
        <v>1134</v>
      </c>
      <c r="G1322" s="13">
        <f t="shared" si="260"/>
        <v>-2</v>
      </c>
      <c r="H1322" s="13">
        <f t="shared" si="261"/>
        <v>54</v>
      </c>
      <c r="I1322" s="73">
        <f t="shared" si="262"/>
        <v>5.0000000000000044E-2</v>
      </c>
      <c r="J1322" s="73">
        <f t="shared" si="263"/>
        <v>-1.7605633802817433E-3</v>
      </c>
      <c r="K1322" s="72" t="str">
        <f t="shared" si="264"/>
        <v>MAJA2</v>
      </c>
      <c r="L1322" s="72" t="str">
        <f t="shared" si="265"/>
        <v>SEPTEMBER-2-MAJA2</v>
      </c>
      <c r="M1322" s="73">
        <f t="shared" si="266"/>
        <v>0.21929783293367289</v>
      </c>
      <c r="N1322" s="73">
        <f t="shared" si="267"/>
        <v>-1.3766389954398495E-2</v>
      </c>
      <c r="O1322" s="13">
        <f t="shared" si="268"/>
        <v>1013903</v>
      </c>
      <c r="P1322" s="13">
        <f t="shared" si="269"/>
        <v>1020738</v>
      </c>
      <c r="Q1322" s="13">
        <f t="shared" si="270"/>
        <v>1015819</v>
      </c>
      <c r="R1322" s="33">
        <f t="shared" si="271"/>
        <v>1.8897271237978686E-3</v>
      </c>
      <c r="S1322" s="33">
        <f t="shared" si="272"/>
        <v>-4.8190622863065746E-3</v>
      </c>
    </row>
    <row r="1323" spans="1:19" x14ac:dyDescent="0.25">
      <c r="A1323" t="s">
        <v>43</v>
      </c>
      <c r="B1323">
        <v>2</v>
      </c>
      <c r="C1323" t="s">
        <v>74</v>
      </c>
      <c r="D1323" s="68">
        <v>1224</v>
      </c>
      <c r="E1323" s="70">
        <v>1299</v>
      </c>
      <c r="F1323" s="70">
        <v>1282</v>
      </c>
      <c r="G1323" s="13">
        <f t="shared" si="260"/>
        <v>-17</v>
      </c>
      <c r="H1323" s="13">
        <f t="shared" si="261"/>
        <v>58</v>
      </c>
      <c r="I1323" s="73">
        <f t="shared" si="262"/>
        <v>4.7385620915032733E-2</v>
      </c>
      <c r="J1323" s="73">
        <f t="shared" si="263"/>
        <v>-1.3086989992301734E-2</v>
      </c>
      <c r="K1323" s="72" t="str">
        <f t="shared" si="264"/>
        <v>MAJA2</v>
      </c>
      <c r="L1323" s="72" t="str">
        <f t="shared" si="265"/>
        <v>SEPTEMBER-2-MAJA2</v>
      </c>
      <c r="M1323" s="73">
        <f t="shared" si="266"/>
        <v>0.21929783293367289</v>
      </c>
      <c r="N1323" s="73">
        <f t="shared" si="267"/>
        <v>-1.3766389954398495E-2</v>
      </c>
      <c r="O1323" s="13">
        <f t="shared" si="268"/>
        <v>1013903</v>
      </c>
      <c r="P1323" s="13">
        <f t="shared" si="269"/>
        <v>1020738</v>
      </c>
      <c r="Q1323" s="13">
        <f t="shared" si="270"/>
        <v>1015819</v>
      </c>
      <c r="R1323" s="33">
        <f t="shared" si="271"/>
        <v>1.8897271237978686E-3</v>
      </c>
      <c r="S1323" s="33">
        <f t="shared" si="272"/>
        <v>-4.8190622863065746E-3</v>
      </c>
    </row>
    <row r="1324" spans="1:19" x14ac:dyDescent="0.25">
      <c r="A1324" t="s">
        <v>43</v>
      </c>
      <c r="B1324">
        <v>2</v>
      </c>
      <c r="C1324" t="s">
        <v>74</v>
      </c>
      <c r="D1324" s="68">
        <v>10044</v>
      </c>
      <c r="E1324" s="70">
        <v>10126</v>
      </c>
      <c r="F1324" s="70">
        <v>10137</v>
      </c>
      <c r="G1324" s="13">
        <f t="shared" si="260"/>
        <v>11</v>
      </c>
      <c r="H1324" s="13">
        <f t="shared" si="261"/>
        <v>93</v>
      </c>
      <c r="I1324" s="73">
        <f t="shared" si="262"/>
        <v>9.2592592592593004E-3</v>
      </c>
      <c r="J1324" s="73">
        <f t="shared" si="263"/>
        <v>1.0863124629665322E-3</v>
      </c>
      <c r="K1324" s="72" t="str">
        <f t="shared" si="264"/>
        <v>MAJA2</v>
      </c>
      <c r="L1324" s="72" t="str">
        <f t="shared" si="265"/>
        <v>SEPTEMBER-2-MAJA2</v>
      </c>
      <c r="M1324" s="73">
        <f t="shared" si="266"/>
        <v>0.21929783293367289</v>
      </c>
      <c r="N1324" s="73">
        <f t="shared" si="267"/>
        <v>-1.3766389954398495E-2</v>
      </c>
      <c r="O1324" s="13">
        <f t="shared" si="268"/>
        <v>1013903</v>
      </c>
      <c r="P1324" s="13">
        <f t="shared" si="269"/>
        <v>1020738</v>
      </c>
      <c r="Q1324" s="13">
        <f t="shared" si="270"/>
        <v>1015819</v>
      </c>
      <c r="R1324" s="33">
        <f t="shared" si="271"/>
        <v>1.8897271237978686E-3</v>
      </c>
      <c r="S1324" s="33">
        <f t="shared" si="272"/>
        <v>-4.8190622863065746E-3</v>
      </c>
    </row>
    <row r="1325" spans="1:19" x14ac:dyDescent="0.25">
      <c r="A1325" t="s">
        <v>43</v>
      </c>
      <c r="B1325">
        <v>2</v>
      </c>
      <c r="C1325" t="s">
        <v>74</v>
      </c>
      <c r="D1325" s="68">
        <v>6048</v>
      </c>
      <c r="E1325" s="70">
        <v>6120</v>
      </c>
      <c r="F1325" s="70">
        <v>6105</v>
      </c>
      <c r="G1325" s="13">
        <f t="shared" si="260"/>
        <v>-15</v>
      </c>
      <c r="H1325" s="13">
        <f t="shared" si="261"/>
        <v>57</v>
      </c>
      <c r="I1325" s="73">
        <f t="shared" si="262"/>
        <v>9.4246031746032521E-3</v>
      </c>
      <c r="J1325" s="73">
        <f t="shared" si="263"/>
        <v>-2.450980392156854E-3</v>
      </c>
      <c r="K1325" s="72" t="str">
        <f t="shared" si="264"/>
        <v>MAJA2</v>
      </c>
      <c r="L1325" s="72" t="str">
        <f t="shared" si="265"/>
        <v>SEPTEMBER-2-MAJA2</v>
      </c>
      <c r="M1325" s="73">
        <f t="shared" si="266"/>
        <v>0.21929783293367289</v>
      </c>
      <c r="N1325" s="73">
        <f t="shared" si="267"/>
        <v>-1.3766389954398495E-2</v>
      </c>
      <c r="O1325" s="13">
        <f t="shared" si="268"/>
        <v>1013903</v>
      </c>
      <c r="P1325" s="13">
        <f t="shared" si="269"/>
        <v>1020738</v>
      </c>
      <c r="Q1325" s="13">
        <f t="shared" si="270"/>
        <v>1015819</v>
      </c>
      <c r="R1325" s="33">
        <f t="shared" si="271"/>
        <v>1.8897271237978686E-3</v>
      </c>
      <c r="S1325" s="33">
        <f t="shared" si="272"/>
        <v>-4.8190622863065746E-3</v>
      </c>
    </row>
    <row r="1326" spans="1:19" x14ac:dyDescent="0.25">
      <c r="A1326" t="s">
        <v>43</v>
      </c>
      <c r="B1326">
        <v>2</v>
      </c>
      <c r="C1326" t="s">
        <v>74</v>
      </c>
      <c r="D1326" s="68">
        <v>4752</v>
      </c>
      <c r="E1326" s="70">
        <v>4814</v>
      </c>
      <c r="F1326" s="70">
        <v>4803</v>
      </c>
      <c r="G1326" s="13">
        <f t="shared" si="260"/>
        <v>-11</v>
      </c>
      <c r="H1326" s="13">
        <f t="shared" si="261"/>
        <v>51</v>
      </c>
      <c r="I1326" s="73">
        <f t="shared" si="262"/>
        <v>1.0732323232323315E-2</v>
      </c>
      <c r="J1326" s="73">
        <f t="shared" si="263"/>
        <v>-2.2850020772746671E-3</v>
      </c>
      <c r="K1326" s="72" t="str">
        <f t="shared" si="264"/>
        <v>MAJA2</v>
      </c>
      <c r="L1326" s="72" t="str">
        <f t="shared" si="265"/>
        <v>SEPTEMBER-2-MAJA2</v>
      </c>
      <c r="M1326" s="73">
        <f t="shared" si="266"/>
        <v>0.21929783293367289</v>
      </c>
      <c r="N1326" s="73">
        <f t="shared" si="267"/>
        <v>-1.3766389954398495E-2</v>
      </c>
      <c r="O1326" s="13">
        <f t="shared" si="268"/>
        <v>1013903</v>
      </c>
      <c r="P1326" s="13">
        <f t="shared" si="269"/>
        <v>1020738</v>
      </c>
      <c r="Q1326" s="13">
        <f t="shared" si="270"/>
        <v>1015819</v>
      </c>
      <c r="R1326" s="33">
        <f t="shared" si="271"/>
        <v>1.8897271237978686E-3</v>
      </c>
      <c r="S1326" s="33">
        <f t="shared" si="272"/>
        <v>-4.8190622863065746E-3</v>
      </c>
    </row>
    <row r="1327" spans="1:19" x14ac:dyDescent="0.25">
      <c r="A1327" t="s">
        <v>43</v>
      </c>
      <c r="B1327">
        <v>2</v>
      </c>
      <c r="C1327" t="s">
        <v>74</v>
      </c>
      <c r="D1327" s="68">
        <v>8640</v>
      </c>
      <c r="E1327" s="70">
        <v>8733</v>
      </c>
      <c r="F1327" s="70">
        <v>8736</v>
      </c>
      <c r="G1327" s="13">
        <f t="shared" si="260"/>
        <v>3</v>
      </c>
      <c r="H1327" s="13">
        <f t="shared" si="261"/>
        <v>96</v>
      </c>
      <c r="I1327" s="73">
        <f t="shared" si="262"/>
        <v>1.1111111111111072E-2</v>
      </c>
      <c r="J1327" s="73">
        <f t="shared" si="263"/>
        <v>3.435245620062588E-4</v>
      </c>
      <c r="K1327" s="72" t="str">
        <f t="shared" si="264"/>
        <v>MAJA2</v>
      </c>
      <c r="L1327" s="72" t="str">
        <f t="shared" si="265"/>
        <v>SEPTEMBER-2-MAJA2</v>
      </c>
      <c r="M1327" s="73">
        <f t="shared" si="266"/>
        <v>0.21929783293367289</v>
      </c>
      <c r="N1327" s="73">
        <f t="shared" si="267"/>
        <v>-1.3766389954398495E-2</v>
      </c>
      <c r="O1327" s="13">
        <f t="shared" si="268"/>
        <v>1013903</v>
      </c>
      <c r="P1327" s="13">
        <f t="shared" si="269"/>
        <v>1020738</v>
      </c>
      <c r="Q1327" s="13">
        <f t="shared" si="270"/>
        <v>1015819</v>
      </c>
      <c r="R1327" s="33">
        <f t="shared" si="271"/>
        <v>1.8897271237978686E-3</v>
      </c>
      <c r="S1327" s="33">
        <f t="shared" si="272"/>
        <v>-4.8190622863065746E-3</v>
      </c>
    </row>
    <row r="1328" spans="1:19" x14ac:dyDescent="0.25">
      <c r="A1328" t="s">
        <v>43</v>
      </c>
      <c r="B1328">
        <v>2</v>
      </c>
      <c r="C1328" t="s">
        <v>74</v>
      </c>
      <c r="D1328" s="68">
        <v>1836</v>
      </c>
      <c r="E1328" s="70">
        <v>1855</v>
      </c>
      <c r="F1328" s="70">
        <v>1851</v>
      </c>
      <c r="G1328" s="13">
        <f t="shared" si="260"/>
        <v>-4</v>
      </c>
      <c r="H1328" s="13">
        <f t="shared" si="261"/>
        <v>15</v>
      </c>
      <c r="I1328" s="73">
        <f t="shared" si="262"/>
        <v>8.1699346405228468E-3</v>
      </c>
      <c r="J1328" s="73">
        <f t="shared" si="263"/>
        <v>-2.1563342318059453E-3</v>
      </c>
      <c r="K1328" s="72" t="str">
        <f t="shared" si="264"/>
        <v>MAJA2</v>
      </c>
      <c r="L1328" s="72" t="str">
        <f t="shared" si="265"/>
        <v>SEPTEMBER-2-MAJA2</v>
      </c>
      <c r="M1328" s="73">
        <f t="shared" si="266"/>
        <v>0.21929783293367289</v>
      </c>
      <c r="N1328" s="73">
        <f t="shared" si="267"/>
        <v>-1.3766389954398495E-2</v>
      </c>
      <c r="O1328" s="13">
        <f t="shared" si="268"/>
        <v>1013903</v>
      </c>
      <c r="P1328" s="13">
        <f t="shared" si="269"/>
        <v>1020738</v>
      </c>
      <c r="Q1328" s="13">
        <f t="shared" si="270"/>
        <v>1015819</v>
      </c>
      <c r="R1328" s="33">
        <f t="shared" si="271"/>
        <v>1.8897271237978686E-3</v>
      </c>
      <c r="S1328" s="33">
        <f t="shared" si="272"/>
        <v>-4.8190622863065746E-3</v>
      </c>
    </row>
    <row r="1329" spans="1:19" x14ac:dyDescent="0.25">
      <c r="A1329" t="s">
        <v>43</v>
      </c>
      <c r="B1329">
        <v>2</v>
      </c>
      <c r="C1329" t="s">
        <v>74</v>
      </c>
      <c r="D1329" s="68">
        <v>44820</v>
      </c>
      <c r="E1329" s="70">
        <v>45244</v>
      </c>
      <c r="F1329" s="70">
        <v>45129</v>
      </c>
      <c r="G1329" s="13">
        <f t="shared" si="260"/>
        <v>-115</v>
      </c>
      <c r="H1329" s="13">
        <f t="shared" si="261"/>
        <v>309</v>
      </c>
      <c r="I1329" s="73">
        <f t="shared" si="262"/>
        <v>6.8942436412315899E-3</v>
      </c>
      <c r="J1329" s="73">
        <f t="shared" si="263"/>
        <v>-2.5417734948280923E-3</v>
      </c>
      <c r="K1329" s="72" t="str">
        <f t="shared" si="264"/>
        <v>MAJA2</v>
      </c>
      <c r="L1329" s="72" t="str">
        <f t="shared" si="265"/>
        <v>SEPTEMBER-2-MAJA2</v>
      </c>
      <c r="M1329" s="73">
        <f t="shared" si="266"/>
        <v>0.21929783293367289</v>
      </c>
      <c r="N1329" s="73">
        <f t="shared" si="267"/>
        <v>-1.3766389954398495E-2</v>
      </c>
      <c r="O1329" s="13">
        <f t="shared" si="268"/>
        <v>1013903</v>
      </c>
      <c r="P1329" s="13">
        <f t="shared" si="269"/>
        <v>1020738</v>
      </c>
      <c r="Q1329" s="13">
        <f t="shared" si="270"/>
        <v>1015819</v>
      </c>
      <c r="R1329" s="33">
        <f t="shared" si="271"/>
        <v>1.8897271237978686E-3</v>
      </c>
      <c r="S1329" s="33">
        <f t="shared" si="272"/>
        <v>-4.8190622863065746E-3</v>
      </c>
    </row>
    <row r="1330" spans="1:19" x14ac:dyDescent="0.25">
      <c r="A1330" t="s">
        <v>43</v>
      </c>
      <c r="B1330">
        <v>2</v>
      </c>
      <c r="C1330" t="s">
        <v>74</v>
      </c>
      <c r="D1330" s="68">
        <v>19548</v>
      </c>
      <c r="E1330" s="70">
        <v>19730</v>
      </c>
      <c r="F1330" s="70">
        <v>19686</v>
      </c>
      <c r="G1330" s="13">
        <f t="shared" si="260"/>
        <v>-44</v>
      </c>
      <c r="H1330" s="13">
        <f t="shared" si="261"/>
        <v>138</v>
      </c>
      <c r="I1330" s="73">
        <f t="shared" si="262"/>
        <v>7.0595457335789202E-3</v>
      </c>
      <c r="J1330" s="73">
        <f t="shared" si="263"/>
        <v>-2.2301064368981383E-3</v>
      </c>
      <c r="K1330" s="72" t="str">
        <f t="shared" si="264"/>
        <v>MAJA2</v>
      </c>
      <c r="L1330" s="72" t="str">
        <f t="shared" si="265"/>
        <v>SEPTEMBER-2-MAJA2</v>
      </c>
      <c r="M1330" s="73">
        <f t="shared" si="266"/>
        <v>0.21929783293367289</v>
      </c>
      <c r="N1330" s="73">
        <f t="shared" si="267"/>
        <v>-1.3766389954398495E-2</v>
      </c>
      <c r="O1330" s="13">
        <f t="shared" si="268"/>
        <v>1013903</v>
      </c>
      <c r="P1330" s="13">
        <f t="shared" si="269"/>
        <v>1020738</v>
      </c>
      <c r="Q1330" s="13">
        <f t="shared" si="270"/>
        <v>1015819</v>
      </c>
      <c r="R1330" s="33">
        <f t="shared" si="271"/>
        <v>1.8897271237978686E-3</v>
      </c>
      <c r="S1330" s="33">
        <f t="shared" si="272"/>
        <v>-4.8190622863065746E-3</v>
      </c>
    </row>
    <row r="1331" spans="1:19" x14ac:dyDescent="0.25">
      <c r="A1331" t="s">
        <v>43</v>
      </c>
      <c r="B1331">
        <v>2</v>
      </c>
      <c r="C1331" t="s">
        <v>74</v>
      </c>
      <c r="D1331" s="68">
        <v>1080</v>
      </c>
      <c r="E1331" s="70">
        <v>1094</v>
      </c>
      <c r="F1331" s="70">
        <v>1092</v>
      </c>
      <c r="G1331" s="13">
        <f t="shared" si="260"/>
        <v>-2</v>
      </c>
      <c r="H1331" s="13">
        <f t="shared" si="261"/>
        <v>12</v>
      </c>
      <c r="I1331" s="73">
        <f t="shared" si="262"/>
        <v>1.1111111111111072E-2</v>
      </c>
      <c r="J1331" s="73">
        <f t="shared" si="263"/>
        <v>-1.8281535648994041E-3</v>
      </c>
      <c r="K1331" s="72" t="str">
        <f t="shared" si="264"/>
        <v>MAJA2</v>
      </c>
      <c r="L1331" s="72" t="str">
        <f t="shared" si="265"/>
        <v>SEPTEMBER-2-MAJA2</v>
      </c>
      <c r="M1331" s="73">
        <f t="shared" si="266"/>
        <v>0.21929783293367289</v>
      </c>
      <c r="N1331" s="73">
        <f t="shared" si="267"/>
        <v>-1.3766389954398495E-2</v>
      </c>
      <c r="O1331" s="13">
        <f t="shared" si="268"/>
        <v>1013903</v>
      </c>
      <c r="P1331" s="13">
        <f t="shared" si="269"/>
        <v>1020738</v>
      </c>
      <c r="Q1331" s="13">
        <f t="shared" si="270"/>
        <v>1015819</v>
      </c>
      <c r="R1331" s="33">
        <f t="shared" si="271"/>
        <v>1.8897271237978686E-3</v>
      </c>
      <c r="S1331" s="33">
        <f t="shared" si="272"/>
        <v>-4.8190622863065746E-3</v>
      </c>
    </row>
    <row r="1332" spans="1:19" x14ac:dyDescent="0.25">
      <c r="A1332" t="s">
        <v>43</v>
      </c>
      <c r="B1332">
        <v>2</v>
      </c>
      <c r="C1332" t="s">
        <v>74</v>
      </c>
      <c r="D1332" s="68">
        <v>4104</v>
      </c>
      <c r="E1332" s="70">
        <v>4112</v>
      </c>
      <c r="F1332" s="70">
        <v>4104</v>
      </c>
      <c r="G1332" s="13">
        <f t="shared" si="260"/>
        <v>-8</v>
      </c>
      <c r="H1332" s="13">
        <f t="shared" si="261"/>
        <v>0</v>
      </c>
      <c r="I1332" s="73">
        <f t="shared" si="262"/>
        <v>0</v>
      </c>
      <c r="J1332" s="73">
        <f t="shared" si="263"/>
        <v>-1.9455252918287869E-3</v>
      </c>
      <c r="K1332" s="72" t="str">
        <f t="shared" si="264"/>
        <v>MAJA2</v>
      </c>
      <c r="L1332" s="72" t="str">
        <f t="shared" si="265"/>
        <v>SEPTEMBER-2-MAJA2</v>
      </c>
      <c r="M1332" s="73">
        <f t="shared" si="266"/>
        <v>0.21929783293367289</v>
      </c>
      <c r="N1332" s="73">
        <f t="shared" si="267"/>
        <v>-1.3766389954398495E-2</v>
      </c>
      <c r="O1332" s="13">
        <f t="shared" si="268"/>
        <v>1013903</v>
      </c>
      <c r="P1332" s="13">
        <f t="shared" si="269"/>
        <v>1020738</v>
      </c>
      <c r="Q1332" s="13">
        <f t="shared" si="270"/>
        <v>1015819</v>
      </c>
      <c r="R1332" s="33">
        <f t="shared" si="271"/>
        <v>1.8897271237978686E-3</v>
      </c>
      <c r="S1332" s="33">
        <f t="shared" si="272"/>
        <v>-4.8190622863065746E-3</v>
      </c>
    </row>
    <row r="1333" spans="1:19" x14ac:dyDescent="0.25">
      <c r="A1333" t="s">
        <v>43</v>
      </c>
      <c r="B1333">
        <v>2</v>
      </c>
      <c r="C1333" t="s">
        <v>74</v>
      </c>
      <c r="D1333" s="68">
        <v>3888</v>
      </c>
      <c r="E1333" s="70">
        <v>3897</v>
      </c>
      <c r="F1333" s="70">
        <v>3888</v>
      </c>
      <c r="G1333" s="13">
        <f t="shared" si="260"/>
        <v>-9</v>
      </c>
      <c r="H1333" s="13">
        <f t="shared" si="261"/>
        <v>0</v>
      </c>
      <c r="I1333" s="73">
        <f t="shared" si="262"/>
        <v>0</v>
      </c>
      <c r="J1333" s="73">
        <f t="shared" si="263"/>
        <v>-2.3094688221708681E-3</v>
      </c>
      <c r="K1333" s="72" t="str">
        <f t="shared" si="264"/>
        <v>MAJA2</v>
      </c>
      <c r="L1333" s="72" t="str">
        <f t="shared" si="265"/>
        <v>SEPTEMBER-2-MAJA2</v>
      </c>
      <c r="M1333" s="73">
        <f t="shared" si="266"/>
        <v>0.21929783293367289</v>
      </c>
      <c r="N1333" s="73">
        <f t="shared" si="267"/>
        <v>-1.3766389954398495E-2</v>
      </c>
      <c r="O1333" s="13">
        <f t="shared" si="268"/>
        <v>1013903</v>
      </c>
      <c r="P1333" s="13">
        <f t="shared" si="269"/>
        <v>1020738</v>
      </c>
      <c r="Q1333" s="13">
        <f t="shared" si="270"/>
        <v>1015819</v>
      </c>
      <c r="R1333" s="33">
        <f t="shared" si="271"/>
        <v>1.8897271237978686E-3</v>
      </c>
      <c r="S1333" s="33">
        <f t="shared" si="272"/>
        <v>-4.8190622863065746E-3</v>
      </c>
    </row>
    <row r="1334" spans="1:19" x14ac:dyDescent="0.25">
      <c r="A1334" t="s">
        <v>43</v>
      </c>
      <c r="B1334">
        <v>2</v>
      </c>
      <c r="C1334" t="s">
        <v>74</v>
      </c>
      <c r="D1334" s="68">
        <v>4860</v>
      </c>
      <c r="E1334" s="70">
        <v>4869</v>
      </c>
      <c r="F1334" s="70">
        <v>4860</v>
      </c>
      <c r="G1334" s="13">
        <f t="shared" si="260"/>
        <v>-9</v>
      </c>
      <c r="H1334" s="13">
        <f t="shared" si="261"/>
        <v>0</v>
      </c>
      <c r="I1334" s="73">
        <f t="shared" si="262"/>
        <v>0</v>
      </c>
      <c r="J1334" s="73">
        <f t="shared" si="263"/>
        <v>-1.848428835489857E-3</v>
      </c>
      <c r="K1334" s="72" t="str">
        <f t="shared" si="264"/>
        <v>MAJA2</v>
      </c>
      <c r="L1334" s="72" t="str">
        <f t="shared" si="265"/>
        <v>SEPTEMBER-2-MAJA2</v>
      </c>
      <c r="M1334" s="73">
        <f t="shared" si="266"/>
        <v>0.21929783293367289</v>
      </c>
      <c r="N1334" s="73">
        <f t="shared" si="267"/>
        <v>-1.3766389954398495E-2</v>
      </c>
      <c r="O1334" s="13">
        <f t="shared" si="268"/>
        <v>1013903</v>
      </c>
      <c r="P1334" s="13">
        <f t="shared" si="269"/>
        <v>1020738</v>
      </c>
      <c r="Q1334" s="13">
        <f t="shared" si="270"/>
        <v>1015819</v>
      </c>
      <c r="R1334" s="33">
        <f t="shared" si="271"/>
        <v>1.8897271237978686E-3</v>
      </c>
      <c r="S1334" s="33">
        <f t="shared" si="272"/>
        <v>-4.8190622863065746E-3</v>
      </c>
    </row>
    <row r="1335" spans="1:19" x14ac:dyDescent="0.25">
      <c r="A1335" t="s">
        <v>43</v>
      </c>
      <c r="B1335">
        <v>2</v>
      </c>
      <c r="C1335" t="s">
        <v>74</v>
      </c>
      <c r="D1335" s="68">
        <v>1080</v>
      </c>
      <c r="E1335" s="70">
        <v>1080</v>
      </c>
      <c r="F1335" s="70">
        <v>1080</v>
      </c>
      <c r="G1335" s="13">
        <f t="shared" si="260"/>
        <v>0</v>
      </c>
      <c r="H1335" s="13">
        <f t="shared" si="261"/>
        <v>0</v>
      </c>
      <c r="I1335" s="73">
        <f t="shared" si="262"/>
        <v>0</v>
      </c>
      <c r="J1335" s="73">
        <f t="shared" si="263"/>
        <v>0</v>
      </c>
      <c r="K1335" s="72" t="str">
        <f t="shared" si="264"/>
        <v>MAJA2</v>
      </c>
      <c r="L1335" s="72" t="str">
        <f t="shared" si="265"/>
        <v>SEPTEMBER-2-MAJA2</v>
      </c>
      <c r="M1335" s="73">
        <f t="shared" si="266"/>
        <v>0.21929783293367289</v>
      </c>
      <c r="N1335" s="73">
        <f t="shared" si="267"/>
        <v>-1.3766389954398495E-2</v>
      </c>
      <c r="O1335" s="13">
        <f t="shared" si="268"/>
        <v>1013903</v>
      </c>
      <c r="P1335" s="13">
        <f t="shared" si="269"/>
        <v>1020738</v>
      </c>
      <c r="Q1335" s="13">
        <f t="shared" si="270"/>
        <v>1015819</v>
      </c>
      <c r="R1335" s="33">
        <f t="shared" si="271"/>
        <v>1.8897271237978686E-3</v>
      </c>
      <c r="S1335" s="33">
        <f t="shared" si="272"/>
        <v>-4.8190622863065746E-3</v>
      </c>
    </row>
    <row r="1336" spans="1:19" x14ac:dyDescent="0.25">
      <c r="A1336" t="s">
        <v>43</v>
      </c>
      <c r="B1336">
        <v>2</v>
      </c>
      <c r="C1336" t="s">
        <v>74</v>
      </c>
      <c r="D1336" s="68">
        <v>10476</v>
      </c>
      <c r="E1336" s="70">
        <v>10485</v>
      </c>
      <c r="F1336" s="70">
        <v>10476</v>
      </c>
      <c r="G1336" s="13">
        <f t="shared" si="260"/>
        <v>-9</v>
      </c>
      <c r="H1336" s="13">
        <f t="shared" si="261"/>
        <v>0</v>
      </c>
      <c r="I1336" s="73">
        <f t="shared" si="262"/>
        <v>0</v>
      </c>
      <c r="J1336" s="73">
        <f t="shared" si="263"/>
        <v>-8.5836909871239708E-4</v>
      </c>
      <c r="K1336" s="72" t="str">
        <f t="shared" si="264"/>
        <v>MAJA2</v>
      </c>
      <c r="L1336" s="72" t="str">
        <f t="shared" si="265"/>
        <v>SEPTEMBER-2-MAJA2</v>
      </c>
      <c r="M1336" s="73">
        <f t="shared" si="266"/>
        <v>0.21929783293367289</v>
      </c>
      <c r="N1336" s="73">
        <f t="shared" si="267"/>
        <v>-1.3766389954398495E-2</v>
      </c>
      <c r="O1336" s="13">
        <f t="shared" si="268"/>
        <v>1013903</v>
      </c>
      <c r="P1336" s="13">
        <f t="shared" si="269"/>
        <v>1020738</v>
      </c>
      <c r="Q1336" s="13">
        <f t="shared" si="270"/>
        <v>1015819</v>
      </c>
      <c r="R1336" s="33">
        <f t="shared" si="271"/>
        <v>1.8897271237978686E-3</v>
      </c>
      <c r="S1336" s="33">
        <f t="shared" si="272"/>
        <v>-4.8190622863065746E-3</v>
      </c>
    </row>
    <row r="1337" spans="1:19" x14ac:dyDescent="0.25">
      <c r="A1337" t="s">
        <v>43</v>
      </c>
      <c r="B1337">
        <v>2</v>
      </c>
      <c r="C1337" t="s">
        <v>13</v>
      </c>
      <c r="D1337" s="68">
        <v>3780</v>
      </c>
      <c r="E1337" s="69">
        <v>3780</v>
      </c>
      <c r="F1337" s="69">
        <v>3780</v>
      </c>
      <c r="G1337" s="13">
        <f t="shared" si="260"/>
        <v>0</v>
      </c>
      <c r="H1337" s="13">
        <f t="shared" si="261"/>
        <v>0</v>
      </c>
      <c r="I1337" s="73">
        <f t="shared" si="262"/>
        <v>0</v>
      </c>
      <c r="J1337" s="73">
        <f t="shared" si="263"/>
        <v>0</v>
      </c>
      <c r="K1337" s="72" t="str">
        <f t="shared" si="264"/>
        <v>KALIBENDA</v>
      </c>
      <c r="L1337" s="72" t="str">
        <f t="shared" si="265"/>
        <v>SEPTEMBER-2-KALIBENDA</v>
      </c>
      <c r="M1337" s="73">
        <f t="shared" si="266"/>
        <v>1.6778503038170633E-2</v>
      </c>
      <c r="N1337" s="73">
        <f t="shared" si="267"/>
        <v>-3.2867980633444205E-3</v>
      </c>
      <c r="O1337" s="13">
        <f t="shared" si="268"/>
        <v>1013903</v>
      </c>
      <c r="P1337" s="13">
        <f t="shared" si="269"/>
        <v>1020738</v>
      </c>
      <c r="Q1337" s="13">
        <f t="shared" si="270"/>
        <v>1015819</v>
      </c>
      <c r="R1337" s="33">
        <f t="shared" si="271"/>
        <v>1.8897271237978686E-3</v>
      </c>
      <c r="S1337" s="33">
        <f t="shared" si="272"/>
        <v>-4.8190622863065746E-3</v>
      </c>
    </row>
    <row r="1338" spans="1:19" x14ac:dyDescent="0.25">
      <c r="A1338" t="s">
        <v>43</v>
      </c>
      <c r="B1338">
        <v>2</v>
      </c>
      <c r="C1338" t="s">
        <v>13</v>
      </c>
      <c r="D1338" s="68">
        <v>22248</v>
      </c>
      <c r="E1338" s="69">
        <v>22473</v>
      </c>
      <c r="F1338" s="69">
        <v>22431</v>
      </c>
      <c r="G1338" s="13">
        <f t="shared" si="260"/>
        <v>-42</v>
      </c>
      <c r="H1338" s="13">
        <f t="shared" si="261"/>
        <v>183</v>
      </c>
      <c r="I1338" s="73">
        <f t="shared" si="262"/>
        <v>8.225458468176905E-3</v>
      </c>
      <c r="J1338" s="73">
        <f t="shared" si="263"/>
        <v>-1.8689093578961868E-3</v>
      </c>
      <c r="K1338" s="72" t="str">
        <f t="shared" si="264"/>
        <v>KALIBENDA</v>
      </c>
      <c r="L1338" s="72" t="str">
        <f t="shared" si="265"/>
        <v>SEPTEMBER-2-KALIBENDA</v>
      </c>
      <c r="M1338" s="73">
        <f t="shared" si="266"/>
        <v>1.6778503038170633E-2</v>
      </c>
      <c r="N1338" s="73">
        <f t="shared" si="267"/>
        <v>-3.2867980633444205E-3</v>
      </c>
      <c r="O1338" s="13">
        <f t="shared" si="268"/>
        <v>1013903</v>
      </c>
      <c r="P1338" s="13">
        <f t="shared" si="269"/>
        <v>1020738</v>
      </c>
      <c r="Q1338" s="13">
        <f t="shared" si="270"/>
        <v>1015819</v>
      </c>
      <c r="R1338" s="33">
        <f t="shared" si="271"/>
        <v>1.8897271237978686E-3</v>
      </c>
      <c r="S1338" s="33">
        <f t="shared" si="272"/>
        <v>-4.8190622863065746E-3</v>
      </c>
    </row>
    <row r="1339" spans="1:19" x14ac:dyDescent="0.25">
      <c r="A1339" t="s">
        <v>43</v>
      </c>
      <c r="B1339">
        <v>2</v>
      </c>
      <c r="C1339" t="s">
        <v>72</v>
      </c>
      <c r="D1339" s="68">
        <v>3888</v>
      </c>
      <c r="E1339" s="68">
        <v>3888</v>
      </c>
      <c r="F1339" s="69">
        <v>3912</v>
      </c>
      <c r="G1339" s="13">
        <f t="shared" si="260"/>
        <v>24</v>
      </c>
      <c r="H1339" s="13">
        <f t="shared" si="261"/>
        <v>24</v>
      </c>
      <c r="I1339" s="73">
        <f t="shared" si="262"/>
        <v>6.1728395061728669E-3</v>
      </c>
      <c r="J1339" s="73">
        <f t="shared" si="263"/>
        <v>6.1728395061728669E-3</v>
      </c>
      <c r="K1339" s="72" t="str">
        <f t="shared" si="264"/>
        <v>GM1</v>
      </c>
      <c r="L1339" s="72" t="str">
        <f t="shared" si="265"/>
        <v>SEPTEMBER-2-GM1</v>
      </c>
      <c r="M1339" s="73">
        <f t="shared" si="266"/>
        <v>0.13547943696496711</v>
      </c>
      <c r="N1339" s="73">
        <f t="shared" si="267"/>
        <v>-8.3591640412952972E-2</v>
      </c>
      <c r="O1339" s="13">
        <f t="shared" si="268"/>
        <v>1013903</v>
      </c>
      <c r="P1339" s="13">
        <f t="shared" si="269"/>
        <v>1020738</v>
      </c>
      <c r="Q1339" s="13">
        <f t="shared" si="270"/>
        <v>1015819</v>
      </c>
      <c r="R1339" s="33">
        <f t="shared" si="271"/>
        <v>1.8897271237978686E-3</v>
      </c>
      <c r="S1339" s="33">
        <f t="shared" si="272"/>
        <v>-4.8190622863065746E-3</v>
      </c>
    </row>
    <row r="1340" spans="1:19" x14ac:dyDescent="0.25">
      <c r="A1340" t="s">
        <v>43</v>
      </c>
      <c r="B1340">
        <v>2</v>
      </c>
      <c r="C1340" t="s">
        <v>72</v>
      </c>
      <c r="D1340" s="68">
        <v>3096</v>
      </c>
      <c r="E1340" s="68">
        <v>3096</v>
      </c>
      <c r="F1340" s="69">
        <v>3112</v>
      </c>
      <c r="G1340" s="13">
        <f t="shared" si="260"/>
        <v>16</v>
      </c>
      <c r="H1340" s="13">
        <f t="shared" si="261"/>
        <v>16</v>
      </c>
      <c r="I1340" s="73">
        <f t="shared" si="262"/>
        <v>5.1679586563306845E-3</v>
      </c>
      <c r="J1340" s="73">
        <f t="shared" si="263"/>
        <v>5.1679586563306845E-3</v>
      </c>
      <c r="K1340" s="72" t="str">
        <f t="shared" si="264"/>
        <v>GM1</v>
      </c>
      <c r="L1340" s="72" t="str">
        <f t="shared" si="265"/>
        <v>SEPTEMBER-2-GM1</v>
      </c>
      <c r="M1340" s="73">
        <f t="shared" si="266"/>
        <v>0.13547943696496711</v>
      </c>
      <c r="N1340" s="73">
        <f t="shared" si="267"/>
        <v>-8.3591640412952972E-2</v>
      </c>
      <c r="O1340" s="13">
        <f t="shared" si="268"/>
        <v>1013903</v>
      </c>
      <c r="P1340" s="13">
        <f t="shared" si="269"/>
        <v>1020738</v>
      </c>
      <c r="Q1340" s="13">
        <f t="shared" si="270"/>
        <v>1015819</v>
      </c>
      <c r="R1340" s="33">
        <f t="shared" si="271"/>
        <v>1.8897271237978686E-3</v>
      </c>
      <c r="S1340" s="33">
        <f t="shared" si="272"/>
        <v>-4.8190622863065746E-3</v>
      </c>
    </row>
    <row r="1341" spans="1:19" x14ac:dyDescent="0.25">
      <c r="A1341" t="s">
        <v>43</v>
      </c>
      <c r="B1341">
        <v>2</v>
      </c>
      <c r="C1341" t="s">
        <v>72</v>
      </c>
      <c r="D1341" s="68">
        <v>16092</v>
      </c>
      <c r="E1341" s="68">
        <v>16421</v>
      </c>
      <c r="F1341" s="68">
        <v>16320</v>
      </c>
      <c r="G1341" s="13">
        <f t="shared" si="260"/>
        <v>-101</v>
      </c>
      <c r="H1341" s="13">
        <f t="shared" si="261"/>
        <v>228</v>
      </c>
      <c r="I1341" s="73">
        <f t="shared" si="262"/>
        <v>1.4168530947054503E-2</v>
      </c>
      <c r="J1341" s="73">
        <f t="shared" si="263"/>
        <v>-6.1506607392972645E-3</v>
      </c>
      <c r="K1341" s="72" t="str">
        <f t="shared" si="264"/>
        <v>GM1</v>
      </c>
      <c r="L1341" s="72" t="str">
        <f t="shared" si="265"/>
        <v>SEPTEMBER-2-GM1</v>
      </c>
      <c r="M1341" s="73">
        <f t="shared" si="266"/>
        <v>0.13547943696496711</v>
      </c>
      <c r="N1341" s="73">
        <f t="shared" si="267"/>
        <v>-8.3591640412952972E-2</v>
      </c>
      <c r="O1341" s="13">
        <f t="shared" si="268"/>
        <v>1013903</v>
      </c>
      <c r="P1341" s="13">
        <f t="shared" si="269"/>
        <v>1020738</v>
      </c>
      <c r="Q1341" s="13">
        <f t="shared" si="270"/>
        <v>1015819</v>
      </c>
      <c r="R1341" s="33">
        <f t="shared" si="271"/>
        <v>1.8897271237978686E-3</v>
      </c>
      <c r="S1341" s="33">
        <f t="shared" si="272"/>
        <v>-4.8190622863065746E-3</v>
      </c>
    </row>
    <row r="1342" spans="1:19" x14ac:dyDescent="0.25">
      <c r="A1342" t="s">
        <v>43</v>
      </c>
      <c r="B1342">
        <v>2</v>
      </c>
      <c r="C1342" t="s">
        <v>72</v>
      </c>
      <c r="D1342" s="68">
        <v>1512</v>
      </c>
      <c r="E1342" s="68">
        <v>1542</v>
      </c>
      <c r="F1342" s="68">
        <v>1512</v>
      </c>
      <c r="G1342" s="13">
        <f t="shared" si="260"/>
        <v>-30</v>
      </c>
      <c r="H1342" s="13">
        <f t="shared" si="261"/>
        <v>0</v>
      </c>
      <c r="I1342" s="73">
        <f t="shared" si="262"/>
        <v>0</v>
      </c>
      <c r="J1342" s="73">
        <f t="shared" si="263"/>
        <v>-1.945525291828798E-2</v>
      </c>
      <c r="K1342" s="72" t="str">
        <f t="shared" si="264"/>
        <v>GM1</v>
      </c>
      <c r="L1342" s="72" t="str">
        <f t="shared" si="265"/>
        <v>SEPTEMBER-2-GM1</v>
      </c>
      <c r="M1342" s="73">
        <f t="shared" si="266"/>
        <v>0.13547943696496711</v>
      </c>
      <c r="N1342" s="73">
        <f t="shared" si="267"/>
        <v>-8.3591640412952972E-2</v>
      </c>
      <c r="O1342" s="13">
        <f t="shared" si="268"/>
        <v>1013903</v>
      </c>
      <c r="P1342" s="13">
        <f t="shared" si="269"/>
        <v>1020738</v>
      </c>
      <c r="Q1342" s="13">
        <f t="shared" si="270"/>
        <v>1015819</v>
      </c>
      <c r="R1342" s="33">
        <f t="shared" si="271"/>
        <v>1.8897271237978686E-3</v>
      </c>
      <c r="S1342" s="33">
        <f t="shared" si="272"/>
        <v>-4.8190622863065746E-3</v>
      </c>
    </row>
    <row r="1343" spans="1:19" x14ac:dyDescent="0.25">
      <c r="A1343" t="s">
        <v>43</v>
      </c>
      <c r="B1343">
        <v>2</v>
      </c>
      <c r="C1343" t="s">
        <v>72</v>
      </c>
      <c r="D1343" s="68">
        <v>12096</v>
      </c>
      <c r="E1343" s="68">
        <v>12381</v>
      </c>
      <c r="F1343" s="68">
        <v>12369</v>
      </c>
      <c r="G1343" s="13">
        <f t="shared" si="260"/>
        <v>-12</v>
      </c>
      <c r="H1343" s="13">
        <f t="shared" si="261"/>
        <v>273</v>
      </c>
      <c r="I1343" s="73">
        <f t="shared" si="262"/>
        <v>2.256944444444442E-2</v>
      </c>
      <c r="J1343" s="73">
        <f t="shared" si="263"/>
        <v>-9.6922704143442839E-4</v>
      </c>
      <c r="K1343" s="72" t="str">
        <f t="shared" si="264"/>
        <v>GM1</v>
      </c>
      <c r="L1343" s="72" t="str">
        <f t="shared" si="265"/>
        <v>SEPTEMBER-2-GM1</v>
      </c>
      <c r="M1343" s="73">
        <f t="shared" si="266"/>
        <v>0.13547943696496711</v>
      </c>
      <c r="N1343" s="73">
        <f t="shared" si="267"/>
        <v>-8.3591640412952972E-2</v>
      </c>
      <c r="O1343" s="13">
        <f t="shared" si="268"/>
        <v>1013903</v>
      </c>
      <c r="P1343" s="13">
        <f t="shared" si="269"/>
        <v>1020738</v>
      </c>
      <c r="Q1343" s="13">
        <f t="shared" si="270"/>
        <v>1015819</v>
      </c>
      <c r="R1343" s="33">
        <f t="shared" si="271"/>
        <v>1.8897271237978686E-3</v>
      </c>
      <c r="S1343" s="33">
        <f t="shared" si="272"/>
        <v>-4.8190622863065746E-3</v>
      </c>
    </row>
    <row r="1344" spans="1:19" x14ac:dyDescent="0.25">
      <c r="A1344" t="s">
        <v>43</v>
      </c>
      <c r="B1344">
        <v>2</v>
      </c>
      <c r="C1344" t="s">
        <v>72</v>
      </c>
      <c r="D1344" s="68">
        <v>1512</v>
      </c>
      <c r="E1344" s="68">
        <v>1542</v>
      </c>
      <c r="F1344" s="68">
        <v>1542</v>
      </c>
      <c r="G1344" s="13">
        <f t="shared" si="260"/>
        <v>0</v>
      </c>
      <c r="H1344" s="13">
        <f t="shared" si="261"/>
        <v>30</v>
      </c>
      <c r="I1344" s="73">
        <f t="shared" si="262"/>
        <v>1.9841269841269771E-2</v>
      </c>
      <c r="J1344" s="73">
        <f t="shared" si="263"/>
        <v>0</v>
      </c>
      <c r="K1344" s="72" t="str">
        <f t="shared" si="264"/>
        <v>GM1</v>
      </c>
      <c r="L1344" s="72" t="str">
        <f t="shared" si="265"/>
        <v>SEPTEMBER-2-GM1</v>
      </c>
      <c r="M1344" s="73">
        <f t="shared" si="266"/>
        <v>0.13547943696496711</v>
      </c>
      <c r="N1344" s="73">
        <f t="shared" si="267"/>
        <v>-8.3591640412952972E-2</v>
      </c>
      <c r="O1344" s="13">
        <f t="shared" si="268"/>
        <v>1013903</v>
      </c>
      <c r="P1344" s="13">
        <f t="shared" si="269"/>
        <v>1020738</v>
      </c>
      <c r="Q1344" s="13">
        <f t="shared" si="270"/>
        <v>1015819</v>
      </c>
      <c r="R1344" s="33">
        <f t="shared" si="271"/>
        <v>1.8897271237978686E-3</v>
      </c>
      <c r="S1344" s="33">
        <f t="shared" si="272"/>
        <v>-4.8190622863065746E-3</v>
      </c>
    </row>
    <row r="1345" spans="1:19" x14ac:dyDescent="0.25">
      <c r="A1345" t="s">
        <v>43</v>
      </c>
      <c r="B1345">
        <v>2</v>
      </c>
      <c r="C1345" t="s">
        <v>72</v>
      </c>
      <c r="D1345" s="68">
        <v>8748</v>
      </c>
      <c r="E1345" s="68">
        <v>8931</v>
      </c>
      <c r="F1345" s="68">
        <v>8859</v>
      </c>
      <c r="G1345" s="13">
        <f t="shared" si="260"/>
        <v>-72</v>
      </c>
      <c r="H1345" s="13">
        <f t="shared" si="261"/>
        <v>111</v>
      </c>
      <c r="I1345" s="73">
        <f t="shared" si="262"/>
        <v>1.2688614540466325E-2</v>
      </c>
      <c r="J1345" s="73">
        <f t="shared" si="263"/>
        <v>-8.0618071884447362E-3</v>
      </c>
      <c r="K1345" s="72" t="str">
        <f t="shared" si="264"/>
        <v>GM1</v>
      </c>
      <c r="L1345" s="72" t="str">
        <f t="shared" si="265"/>
        <v>SEPTEMBER-2-GM1</v>
      </c>
      <c r="M1345" s="73">
        <f t="shared" si="266"/>
        <v>0.13547943696496711</v>
      </c>
      <c r="N1345" s="73">
        <f t="shared" si="267"/>
        <v>-8.3591640412952972E-2</v>
      </c>
      <c r="O1345" s="13">
        <f t="shared" si="268"/>
        <v>1013903</v>
      </c>
      <c r="P1345" s="13">
        <f t="shared" si="269"/>
        <v>1020738</v>
      </c>
      <c r="Q1345" s="13">
        <f t="shared" si="270"/>
        <v>1015819</v>
      </c>
      <c r="R1345" s="33">
        <f t="shared" si="271"/>
        <v>1.8897271237978686E-3</v>
      </c>
      <c r="S1345" s="33">
        <f t="shared" si="272"/>
        <v>-4.8190622863065746E-3</v>
      </c>
    </row>
    <row r="1346" spans="1:19" x14ac:dyDescent="0.25">
      <c r="A1346" t="s">
        <v>43</v>
      </c>
      <c r="B1346">
        <v>2</v>
      </c>
      <c r="C1346" t="s">
        <v>72</v>
      </c>
      <c r="D1346" s="68">
        <v>1080</v>
      </c>
      <c r="E1346" s="68">
        <v>1104</v>
      </c>
      <c r="F1346" s="68">
        <v>1098</v>
      </c>
      <c r="G1346" s="13">
        <f t="shared" ref="G1346:G1409" si="273">F1346-E1346</f>
        <v>-6</v>
      </c>
      <c r="H1346" s="13">
        <f t="shared" ref="H1346:H1396" si="274">F1346-D1346</f>
        <v>18</v>
      </c>
      <c r="I1346" s="73">
        <f t="shared" ref="I1346:I1396" si="275">F1346/D1346-1</f>
        <v>1.6666666666666607E-2</v>
      </c>
      <c r="J1346" s="73">
        <f t="shared" ref="J1346:J1396" si="276">F1346/E1346-1</f>
        <v>-5.4347826086956763E-3</v>
      </c>
      <c r="K1346" s="72" t="str">
        <f t="shared" ref="K1346:K1396" si="277">CLEAN(SUBSTITUTE(C1346," ",""))</f>
        <v>GM1</v>
      </c>
      <c r="L1346" s="72" t="str">
        <f t="shared" ref="L1346:L1409" si="278">A1346&amp;"-"&amp;B1346&amp;"-"&amp;K1346</f>
        <v>SEPTEMBER-2-GM1</v>
      </c>
      <c r="M1346" s="73">
        <f t="shared" ref="M1346:M1409" si="279">SUMIF($L$2:$L$1396,L1346,$I$2:$I$1396)</f>
        <v>0.13547943696496711</v>
      </c>
      <c r="N1346" s="73">
        <f t="shared" ref="N1346:N1396" si="280">SUMIF($L$2:$L$1396,L1346,$J$2:$J$1396)</f>
        <v>-8.3591640412952972E-2</v>
      </c>
      <c r="O1346" s="13">
        <f t="shared" ref="O1346:O1396" si="281">SUMIF($A$2:$A$1396,A1346,$D$2:$D$1396)</f>
        <v>1013903</v>
      </c>
      <c r="P1346" s="13">
        <f t="shared" ref="P1346:P1396" si="282">SUMIF($A$2:$A$1396,A1346,$E$2:$E$1396)</f>
        <v>1020738</v>
      </c>
      <c r="Q1346" s="13">
        <f t="shared" ref="Q1346:Q1396" si="283">SUMIF($A$2:$A$1396,A1346,$F$2:$F$1396)</f>
        <v>1015819</v>
      </c>
      <c r="R1346" s="33">
        <f t="shared" ref="R1346:R1409" si="284">Q1346/O1346-1</f>
        <v>1.8897271237978686E-3</v>
      </c>
      <c r="S1346" s="33">
        <f t="shared" ref="S1346:S1396" si="285">Q1346/P1346-1</f>
        <v>-4.8190622863065746E-3</v>
      </c>
    </row>
    <row r="1347" spans="1:19" x14ac:dyDescent="0.25">
      <c r="A1347" t="s">
        <v>43</v>
      </c>
      <c r="B1347">
        <v>2</v>
      </c>
      <c r="C1347" t="s">
        <v>72</v>
      </c>
      <c r="D1347" s="68">
        <v>12528</v>
      </c>
      <c r="E1347" s="68">
        <v>13134</v>
      </c>
      <c r="F1347" s="68">
        <v>12798</v>
      </c>
      <c r="G1347" s="13">
        <f t="shared" si="273"/>
        <v>-336</v>
      </c>
      <c r="H1347" s="13">
        <f t="shared" si="274"/>
        <v>270</v>
      </c>
      <c r="I1347" s="73">
        <f t="shared" si="275"/>
        <v>2.155172413793105E-2</v>
      </c>
      <c r="J1347" s="73">
        <f t="shared" si="276"/>
        <v>-2.5582457743261733E-2</v>
      </c>
      <c r="K1347" s="72" t="str">
        <f t="shared" si="277"/>
        <v>GM1</v>
      </c>
      <c r="L1347" s="72" t="str">
        <f t="shared" si="278"/>
        <v>SEPTEMBER-2-GM1</v>
      </c>
      <c r="M1347" s="73">
        <f t="shared" si="279"/>
        <v>0.13547943696496711</v>
      </c>
      <c r="N1347" s="73">
        <f t="shared" si="280"/>
        <v>-8.3591640412952972E-2</v>
      </c>
      <c r="O1347" s="13">
        <f t="shared" si="281"/>
        <v>1013903</v>
      </c>
      <c r="P1347" s="13">
        <f t="shared" si="282"/>
        <v>1020738</v>
      </c>
      <c r="Q1347" s="13">
        <f t="shared" si="283"/>
        <v>1015819</v>
      </c>
      <c r="R1347" s="33">
        <f t="shared" si="284"/>
        <v>1.8897271237978686E-3</v>
      </c>
      <c r="S1347" s="33">
        <f t="shared" si="285"/>
        <v>-4.8190622863065746E-3</v>
      </c>
    </row>
    <row r="1348" spans="1:19" x14ac:dyDescent="0.25">
      <c r="A1348" t="s">
        <v>43</v>
      </c>
      <c r="B1348">
        <v>2</v>
      </c>
      <c r="C1348" t="s">
        <v>72</v>
      </c>
      <c r="D1348" s="68">
        <v>1620</v>
      </c>
      <c r="E1348" s="68">
        <v>1667</v>
      </c>
      <c r="F1348" s="68">
        <v>1659</v>
      </c>
      <c r="G1348" s="13">
        <f t="shared" si="273"/>
        <v>-8</v>
      </c>
      <c r="H1348" s="13">
        <f t="shared" si="274"/>
        <v>39</v>
      </c>
      <c r="I1348" s="73">
        <f t="shared" si="275"/>
        <v>2.4074074074074137E-2</v>
      </c>
      <c r="J1348" s="73">
        <f t="shared" si="276"/>
        <v>-4.7990401919616454E-3</v>
      </c>
      <c r="K1348" s="72" t="str">
        <f t="shared" si="277"/>
        <v>GM1</v>
      </c>
      <c r="L1348" s="72" t="str">
        <f t="shared" si="278"/>
        <v>SEPTEMBER-2-GM1</v>
      </c>
      <c r="M1348" s="73">
        <f t="shared" si="279"/>
        <v>0.13547943696496711</v>
      </c>
      <c r="N1348" s="73">
        <f t="shared" si="280"/>
        <v>-8.3591640412952972E-2</v>
      </c>
      <c r="O1348" s="13">
        <f t="shared" si="281"/>
        <v>1013903</v>
      </c>
      <c r="P1348" s="13">
        <f t="shared" si="282"/>
        <v>1020738</v>
      </c>
      <c r="Q1348" s="13">
        <f t="shared" si="283"/>
        <v>1015819</v>
      </c>
      <c r="R1348" s="33">
        <f t="shared" si="284"/>
        <v>1.8897271237978686E-3</v>
      </c>
      <c r="S1348" s="33">
        <f t="shared" si="285"/>
        <v>-4.8190622863065746E-3</v>
      </c>
    </row>
    <row r="1349" spans="1:19" x14ac:dyDescent="0.25">
      <c r="A1349" t="s">
        <v>43</v>
      </c>
      <c r="B1349">
        <v>2</v>
      </c>
      <c r="C1349" t="s">
        <v>72</v>
      </c>
      <c r="D1349" s="68">
        <v>19152</v>
      </c>
      <c r="E1349" s="68">
        <v>19536</v>
      </c>
      <c r="F1349" s="68">
        <v>19264</v>
      </c>
      <c r="G1349" s="13">
        <f t="shared" si="273"/>
        <v>-272</v>
      </c>
      <c r="H1349" s="13">
        <f t="shared" si="274"/>
        <v>112</v>
      </c>
      <c r="I1349" s="73">
        <f t="shared" si="275"/>
        <v>5.8479532163742132E-3</v>
      </c>
      <c r="J1349" s="73">
        <f t="shared" si="276"/>
        <v>-1.3923013923013872E-2</v>
      </c>
      <c r="K1349" s="72" t="str">
        <f t="shared" si="277"/>
        <v>GM1</v>
      </c>
      <c r="L1349" s="72" t="str">
        <f t="shared" si="278"/>
        <v>SEPTEMBER-2-GM1</v>
      </c>
      <c r="M1349" s="73">
        <f t="shared" si="279"/>
        <v>0.13547943696496711</v>
      </c>
      <c r="N1349" s="73">
        <f t="shared" si="280"/>
        <v>-8.3591640412952972E-2</v>
      </c>
      <c r="O1349" s="13">
        <f t="shared" si="281"/>
        <v>1013903</v>
      </c>
      <c r="P1349" s="13">
        <f t="shared" si="282"/>
        <v>1020738</v>
      </c>
      <c r="Q1349" s="13">
        <f t="shared" si="283"/>
        <v>1015819</v>
      </c>
      <c r="R1349" s="33">
        <f t="shared" si="284"/>
        <v>1.8897271237978686E-3</v>
      </c>
      <c r="S1349" s="33">
        <f t="shared" si="285"/>
        <v>-4.8190622863065746E-3</v>
      </c>
    </row>
    <row r="1350" spans="1:19" x14ac:dyDescent="0.25">
      <c r="A1350" t="s">
        <v>43</v>
      </c>
      <c r="B1350">
        <v>2</v>
      </c>
      <c r="C1350" t="s">
        <v>72</v>
      </c>
      <c r="D1350" s="68">
        <v>22608</v>
      </c>
      <c r="E1350" s="68">
        <v>22546</v>
      </c>
      <c r="F1350" s="68">
        <v>22308</v>
      </c>
      <c r="G1350" s="13">
        <f t="shared" si="273"/>
        <v>-238</v>
      </c>
      <c r="H1350" s="13">
        <f t="shared" si="274"/>
        <v>-300</v>
      </c>
      <c r="I1350" s="73">
        <f t="shared" si="275"/>
        <v>-1.3269639065817462E-2</v>
      </c>
      <c r="J1350" s="73">
        <f t="shared" si="276"/>
        <v>-1.0556196221059189E-2</v>
      </c>
      <c r="K1350" s="72" t="str">
        <f t="shared" si="277"/>
        <v>GM1</v>
      </c>
      <c r="L1350" s="72" t="str">
        <f t="shared" si="278"/>
        <v>SEPTEMBER-2-GM1</v>
      </c>
      <c r="M1350" s="73">
        <f t="shared" si="279"/>
        <v>0.13547943696496711</v>
      </c>
      <c r="N1350" s="73">
        <f t="shared" si="280"/>
        <v>-8.3591640412952972E-2</v>
      </c>
      <c r="O1350" s="13">
        <f t="shared" si="281"/>
        <v>1013903</v>
      </c>
      <c r="P1350" s="13">
        <f t="shared" si="282"/>
        <v>1020738</v>
      </c>
      <c r="Q1350" s="13">
        <f t="shared" si="283"/>
        <v>1015819</v>
      </c>
      <c r="R1350" s="33">
        <f t="shared" si="284"/>
        <v>1.8897271237978686E-3</v>
      </c>
      <c r="S1350" s="33">
        <f t="shared" si="285"/>
        <v>-4.8190622863065746E-3</v>
      </c>
    </row>
    <row r="1351" spans="1:19" x14ac:dyDescent="0.25">
      <c r="A1351" t="s">
        <v>43</v>
      </c>
      <c r="B1351">
        <v>3</v>
      </c>
      <c r="C1351" t="s">
        <v>27</v>
      </c>
      <c r="D1351" s="68">
        <v>1710</v>
      </c>
      <c r="E1351" s="68">
        <v>1727</v>
      </c>
      <c r="F1351" s="68">
        <v>1710</v>
      </c>
      <c r="G1351" s="13">
        <f t="shared" si="273"/>
        <v>-17</v>
      </c>
      <c r="H1351" s="13">
        <f t="shared" si="274"/>
        <v>0</v>
      </c>
      <c r="I1351" s="73">
        <f t="shared" si="275"/>
        <v>0</v>
      </c>
      <c r="J1351" s="73">
        <f t="shared" si="276"/>
        <v>-9.8436595251881753E-3</v>
      </c>
      <c r="K1351" s="72" t="str">
        <f t="shared" si="277"/>
        <v>CNJ2</v>
      </c>
      <c r="L1351" s="72" t="str">
        <f t="shared" si="278"/>
        <v>SEPTEMBER-3-CNJ2</v>
      </c>
      <c r="M1351" s="73">
        <f t="shared" si="279"/>
        <v>0</v>
      </c>
      <c r="N1351" s="73">
        <f t="shared" si="280"/>
        <v>-0.30901869970783358</v>
      </c>
      <c r="O1351" s="13">
        <f t="shared" si="281"/>
        <v>1013903</v>
      </c>
      <c r="P1351" s="13">
        <f t="shared" si="282"/>
        <v>1020738</v>
      </c>
      <c r="Q1351" s="13">
        <f t="shared" si="283"/>
        <v>1015819</v>
      </c>
      <c r="R1351" s="33">
        <f t="shared" si="284"/>
        <v>1.8897271237978686E-3</v>
      </c>
      <c r="S1351" s="33">
        <f t="shared" si="285"/>
        <v>-4.8190622863065746E-3</v>
      </c>
    </row>
    <row r="1352" spans="1:19" x14ac:dyDescent="0.25">
      <c r="A1352" t="s">
        <v>43</v>
      </c>
      <c r="B1352">
        <v>3</v>
      </c>
      <c r="C1352" t="s">
        <v>27</v>
      </c>
      <c r="D1352" s="68">
        <v>8000</v>
      </c>
      <c r="E1352" s="68">
        <v>8219</v>
      </c>
      <c r="F1352" s="68">
        <v>8000</v>
      </c>
      <c r="G1352" s="13">
        <f t="shared" si="273"/>
        <v>-219</v>
      </c>
      <c r="H1352" s="13">
        <f t="shared" si="274"/>
        <v>0</v>
      </c>
      <c r="I1352" s="73">
        <f t="shared" si="275"/>
        <v>0</v>
      </c>
      <c r="J1352" s="73">
        <f t="shared" si="276"/>
        <v>-2.664557732084194E-2</v>
      </c>
      <c r="K1352" s="72" t="str">
        <f t="shared" si="277"/>
        <v>CNJ2</v>
      </c>
      <c r="L1352" s="72" t="str">
        <f t="shared" si="278"/>
        <v>SEPTEMBER-3-CNJ2</v>
      </c>
      <c r="M1352" s="73">
        <f t="shared" si="279"/>
        <v>0</v>
      </c>
      <c r="N1352" s="73">
        <f t="shared" si="280"/>
        <v>-0.30901869970783358</v>
      </c>
      <c r="O1352" s="13">
        <f t="shared" si="281"/>
        <v>1013903</v>
      </c>
      <c r="P1352" s="13">
        <f t="shared" si="282"/>
        <v>1020738</v>
      </c>
      <c r="Q1352" s="13">
        <f t="shared" si="283"/>
        <v>1015819</v>
      </c>
      <c r="R1352" s="33">
        <f t="shared" si="284"/>
        <v>1.8897271237978686E-3</v>
      </c>
      <c r="S1352" s="33">
        <f t="shared" si="285"/>
        <v>-4.8190622863065746E-3</v>
      </c>
    </row>
    <row r="1353" spans="1:19" x14ac:dyDescent="0.25">
      <c r="A1353" t="s">
        <v>43</v>
      </c>
      <c r="B1353">
        <v>3</v>
      </c>
      <c r="C1353" t="s">
        <v>27</v>
      </c>
      <c r="D1353" s="68">
        <v>1500</v>
      </c>
      <c r="E1353" s="68">
        <v>1540</v>
      </c>
      <c r="F1353" s="68">
        <v>1500</v>
      </c>
      <c r="G1353" s="13">
        <f t="shared" si="273"/>
        <v>-40</v>
      </c>
      <c r="H1353" s="13">
        <f t="shared" si="274"/>
        <v>0</v>
      </c>
      <c r="I1353" s="73">
        <f t="shared" si="275"/>
        <v>0</v>
      </c>
      <c r="J1353" s="73">
        <f t="shared" si="276"/>
        <v>-2.5974025974025983E-2</v>
      </c>
      <c r="K1353" s="72" t="str">
        <f t="shared" si="277"/>
        <v>CNJ2</v>
      </c>
      <c r="L1353" s="72" t="str">
        <f t="shared" si="278"/>
        <v>SEPTEMBER-3-CNJ2</v>
      </c>
      <c r="M1353" s="73">
        <f t="shared" si="279"/>
        <v>0</v>
      </c>
      <c r="N1353" s="73">
        <f t="shared" si="280"/>
        <v>-0.30901869970783358</v>
      </c>
      <c r="O1353" s="13">
        <f t="shared" si="281"/>
        <v>1013903</v>
      </c>
      <c r="P1353" s="13">
        <f t="shared" si="282"/>
        <v>1020738</v>
      </c>
      <c r="Q1353" s="13">
        <f t="shared" si="283"/>
        <v>1015819</v>
      </c>
      <c r="R1353" s="33">
        <f t="shared" si="284"/>
        <v>1.8897271237978686E-3</v>
      </c>
      <c r="S1353" s="33">
        <f t="shared" si="285"/>
        <v>-4.8190622863065746E-3</v>
      </c>
    </row>
    <row r="1354" spans="1:19" x14ac:dyDescent="0.25">
      <c r="A1354" t="s">
        <v>43</v>
      </c>
      <c r="B1354">
        <v>3</v>
      </c>
      <c r="C1354" t="s">
        <v>27</v>
      </c>
      <c r="D1354" s="68">
        <v>2000</v>
      </c>
      <c r="E1354" s="68">
        <v>2077</v>
      </c>
      <c r="F1354" s="68">
        <v>2000</v>
      </c>
      <c r="G1354" s="13">
        <f t="shared" si="273"/>
        <v>-77</v>
      </c>
      <c r="H1354" s="13">
        <f t="shared" si="274"/>
        <v>0</v>
      </c>
      <c r="I1354" s="73">
        <f t="shared" si="275"/>
        <v>0</v>
      </c>
      <c r="J1354" s="73">
        <f t="shared" si="276"/>
        <v>-3.7072701011073628E-2</v>
      </c>
      <c r="K1354" s="72" t="str">
        <f t="shared" si="277"/>
        <v>CNJ2</v>
      </c>
      <c r="L1354" s="72" t="str">
        <f t="shared" si="278"/>
        <v>SEPTEMBER-3-CNJ2</v>
      </c>
      <c r="M1354" s="73">
        <f t="shared" si="279"/>
        <v>0</v>
      </c>
      <c r="N1354" s="73">
        <f t="shared" si="280"/>
        <v>-0.30901869970783358</v>
      </c>
      <c r="O1354" s="13">
        <f t="shared" si="281"/>
        <v>1013903</v>
      </c>
      <c r="P1354" s="13">
        <f t="shared" si="282"/>
        <v>1020738</v>
      </c>
      <c r="Q1354" s="13">
        <f t="shared" si="283"/>
        <v>1015819</v>
      </c>
      <c r="R1354" s="33">
        <f t="shared" si="284"/>
        <v>1.8897271237978686E-3</v>
      </c>
      <c r="S1354" s="33">
        <f t="shared" si="285"/>
        <v>-4.8190622863065746E-3</v>
      </c>
    </row>
    <row r="1355" spans="1:19" x14ac:dyDescent="0.25">
      <c r="A1355" t="s">
        <v>43</v>
      </c>
      <c r="B1355">
        <v>3</v>
      </c>
      <c r="C1355" t="s">
        <v>27</v>
      </c>
      <c r="D1355" s="68">
        <v>8000</v>
      </c>
      <c r="E1355" s="68">
        <v>8074</v>
      </c>
      <c r="F1355" s="68">
        <v>8000</v>
      </c>
      <c r="G1355" s="13">
        <f t="shared" si="273"/>
        <v>-74</v>
      </c>
      <c r="H1355" s="13">
        <f t="shared" si="274"/>
        <v>0</v>
      </c>
      <c r="I1355" s="73">
        <f t="shared" si="275"/>
        <v>0</v>
      </c>
      <c r="J1355" s="73">
        <f t="shared" si="276"/>
        <v>-9.1652216992816893E-3</v>
      </c>
      <c r="K1355" s="72" t="str">
        <f t="shared" si="277"/>
        <v>CNJ2</v>
      </c>
      <c r="L1355" s="72" t="str">
        <f t="shared" si="278"/>
        <v>SEPTEMBER-3-CNJ2</v>
      </c>
      <c r="M1355" s="73">
        <f t="shared" si="279"/>
        <v>0</v>
      </c>
      <c r="N1355" s="73">
        <f t="shared" si="280"/>
        <v>-0.30901869970783358</v>
      </c>
      <c r="O1355" s="13">
        <f t="shared" si="281"/>
        <v>1013903</v>
      </c>
      <c r="P1355" s="13">
        <f t="shared" si="282"/>
        <v>1020738</v>
      </c>
      <c r="Q1355" s="13">
        <f t="shared" si="283"/>
        <v>1015819</v>
      </c>
      <c r="R1355" s="33">
        <f t="shared" si="284"/>
        <v>1.8897271237978686E-3</v>
      </c>
      <c r="S1355" s="33">
        <f t="shared" si="285"/>
        <v>-4.8190622863065746E-3</v>
      </c>
    </row>
    <row r="1356" spans="1:19" x14ac:dyDescent="0.25">
      <c r="A1356" t="s">
        <v>43</v>
      </c>
      <c r="B1356">
        <v>3</v>
      </c>
      <c r="C1356" t="s">
        <v>27</v>
      </c>
      <c r="D1356" s="68">
        <v>6000</v>
      </c>
      <c r="E1356" s="68">
        <v>6129</v>
      </c>
      <c r="F1356" s="68">
        <v>6000</v>
      </c>
      <c r="G1356" s="13">
        <f t="shared" si="273"/>
        <v>-129</v>
      </c>
      <c r="H1356" s="13">
        <f t="shared" si="274"/>
        <v>0</v>
      </c>
      <c r="I1356" s="73">
        <f t="shared" si="275"/>
        <v>0</v>
      </c>
      <c r="J1356" s="73">
        <f t="shared" si="276"/>
        <v>-2.1047479197258911E-2</v>
      </c>
      <c r="K1356" s="72" t="str">
        <f t="shared" si="277"/>
        <v>CNJ2</v>
      </c>
      <c r="L1356" s="72" t="str">
        <f t="shared" si="278"/>
        <v>SEPTEMBER-3-CNJ2</v>
      </c>
      <c r="M1356" s="73">
        <f t="shared" si="279"/>
        <v>0</v>
      </c>
      <c r="N1356" s="73">
        <f t="shared" si="280"/>
        <v>-0.30901869970783358</v>
      </c>
      <c r="O1356" s="13">
        <f t="shared" si="281"/>
        <v>1013903</v>
      </c>
      <c r="P1356" s="13">
        <f t="shared" si="282"/>
        <v>1020738</v>
      </c>
      <c r="Q1356" s="13">
        <f t="shared" si="283"/>
        <v>1015819</v>
      </c>
      <c r="R1356" s="33">
        <f t="shared" si="284"/>
        <v>1.8897271237978686E-3</v>
      </c>
      <c r="S1356" s="33">
        <f t="shared" si="285"/>
        <v>-4.8190622863065746E-3</v>
      </c>
    </row>
    <row r="1357" spans="1:19" x14ac:dyDescent="0.25">
      <c r="A1357" t="s">
        <v>43</v>
      </c>
      <c r="B1357">
        <v>3</v>
      </c>
      <c r="C1357" t="s">
        <v>27</v>
      </c>
      <c r="D1357" s="68">
        <v>2100</v>
      </c>
      <c r="E1357" s="68">
        <v>2121</v>
      </c>
      <c r="F1357" s="68">
        <v>2100</v>
      </c>
      <c r="G1357" s="13">
        <f t="shared" si="273"/>
        <v>-21</v>
      </c>
      <c r="H1357" s="13">
        <f t="shared" si="274"/>
        <v>0</v>
      </c>
      <c r="I1357" s="73">
        <f t="shared" si="275"/>
        <v>0</v>
      </c>
      <c r="J1357" s="73">
        <f t="shared" si="276"/>
        <v>-9.9009900990099098E-3</v>
      </c>
      <c r="K1357" s="72" t="str">
        <f t="shared" si="277"/>
        <v>CNJ2</v>
      </c>
      <c r="L1357" s="72" t="str">
        <f t="shared" si="278"/>
        <v>SEPTEMBER-3-CNJ2</v>
      </c>
      <c r="M1357" s="73">
        <f t="shared" si="279"/>
        <v>0</v>
      </c>
      <c r="N1357" s="73">
        <f t="shared" si="280"/>
        <v>-0.30901869970783358</v>
      </c>
      <c r="O1357" s="13">
        <f t="shared" si="281"/>
        <v>1013903</v>
      </c>
      <c r="P1357" s="13">
        <f t="shared" si="282"/>
        <v>1020738</v>
      </c>
      <c r="Q1357" s="13">
        <f t="shared" si="283"/>
        <v>1015819</v>
      </c>
      <c r="R1357" s="33">
        <f t="shared" si="284"/>
        <v>1.8897271237978686E-3</v>
      </c>
      <c r="S1357" s="33">
        <f t="shared" si="285"/>
        <v>-4.8190622863065746E-3</v>
      </c>
    </row>
    <row r="1358" spans="1:19" x14ac:dyDescent="0.25">
      <c r="A1358" t="s">
        <v>43</v>
      </c>
      <c r="B1358">
        <v>3</v>
      </c>
      <c r="C1358" t="s">
        <v>17</v>
      </c>
      <c r="D1358" s="68">
        <v>1060</v>
      </c>
      <c r="E1358" s="70">
        <v>1079</v>
      </c>
      <c r="F1358" s="70">
        <v>1060</v>
      </c>
      <c r="G1358" s="13">
        <f t="shared" si="273"/>
        <v>-19</v>
      </c>
      <c r="H1358" s="13">
        <f t="shared" si="274"/>
        <v>0</v>
      </c>
      <c r="I1358" s="73">
        <f t="shared" si="275"/>
        <v>0</v>
      </c>
      <c r="J1358" s="73">
        <f t="shared" si="276"/>
        <v>-1.7608897126969447E-2</v>
      </c>
      <c r="K1358" s="72" t="str">
        <f t="shared" si="277"/>
        <v>CBA</v>
      </c>
      <c r="L1358" s="72" t="str">
        <f t="shared" si="278"/>
        <v>SEPTEMBER-3-CBA</v>
      </c>
      <c r="M1358" s="73">
        <f t="shared" si="279"/>
        <v>0</v>
      </c>
      <c r="N1358" s="73">
        <f t="shared" si="280"/>
        <v>-9.6977696439523142E-2</v>
      </c>
      <c r="O1358" s="13">
        <f t="shared" si="281"/>
        <v>1013903</v>
      </c>
      <c r="P1358" s="13">
        <f t="shared" si="282"/>
        <v>1020738</v>
      </c>
      <c r="Q1358" s="13">
        <f t="shared" si="283"/>
        <v>1015819</v>
      </c>
      <c r="R1358" s="33">
        <f t="shared" si="284"/>
        <v>1.8897271237978686E-3</v>
      </c>
      <c r="S1358" s="33">
        <f t="shared" si="285"/>
        <v>-4.8190622863065746E-3</v>
      </c>
    </row>
    <row r="1359" spans="1:19" x14ac:dyDescent="0.25">
      <c r="A1359" t="s">
        <v>43</v>
      </c>
      <c r="B1359">
        <v>3</v>
      </c>
      <c r="C1359" t="s">
        <v>17</v>
      </c>
      <c r="D1359" s="68">
        <v>1180</v>
      </c>
      <c r="E1359" s="70">
        <v>1255</v>
      </c>
      <c r="F1359" s="70">
        <v>1180</v>
      </c>
      <c r="G1359" s="13">
        <f t="shared" si="273"/>
        <v>-75</v>
      </c>
      <c r="H1359" s="13">
        <f t="shared" si="274"/>
        <v>0</v>
      </c>
      <c r="I1359" s="73">
        <f t="shared" si="275"/>
        <v>0</v>
      </c>
      <c r="J1359" s="73">
        <f t="shared" si="276"/>
        <v>-5.9760956175298752E-2</v>
      </c>
      <c r="K1359" s="72" t="str">
        <f t="shared" si="277"/>
        <v>CBA</v>
      </c>
      <c r="L1359" s="72" t="str">
        <f t="shared" si="278"/>
        <v>SEPTEMBER-3-CBA</v>
      </c>
      <c r="M1359" s="73">
        <f t="shared" si="279"/>
        <v>0</v>
      </c>
      <c r="N1359" s="73">
        <f t="shared" si="280"/>
        <v>-9.6977696439523142E-2</v>
      </c>
      <c r="O1359" s="13">
        <f t="shared" si="281"/>
        <v>1013903</v>
      </c>
      <c r="P1359" s="13">
        <f t="shared" si="282"/>
        <v>1020738</v>
      </c>
      <c r="Q1359" s="13">
        <f t="shared" si="283"/>
        <v>1015819</v>
      </c>
      <c r="R1359" s="33">
        <f t="shared" si="284"/>
        <v>1.8897271237978686E-3</v>
      </c>
      <c r="S1359" s="33">
        <f t="shared" si="285"/>
        <v>-4.8190622863065746E-3</v>
      </c>
    </row>
    <row r="1360" spans="1:19" x14ac:dyDescent="0.25">
      <c r="A1360" t="s">
        <v>43</v>
      </c>
      <c r="B1360">
        <v>3</v>
      </c>
      <c r="C1360" t="s">
        <v>27</v>
      </c>
      <c r="D1360" s="68">
        <v>1290</v>
      </c>
      <c r="E1360" s="68">
        <v>1333</v>
      </c>
      <c r="F1360" s="68">
        <v>1290</v>
      </c>
      <c r="G1360" s="13">
        <f t="shared" si="273"/>
        <v>-43</v>
      </c>
      <c r="H1360" s="13">
        <f t="shared" si="274"/>
        <v>0</v>
      </c>
      <c r="I1360" s="73">
        <f t="shared" si="275"/>
        <v>0</v>
      </c>
      <c r="J1360" s="73">
        <f t="shared" si="276"/>
        <v>-3.2258064516129004E-2</v>
      </c>
      <c r="K1360" s="72" t="str">
        <f t="shared" si="277"/>
        <v>CNJ2</v>
      </c>
      <c r="L1360" s="72" t="str">
        <f t="shared" si="278"/>
        <v>SEPTEMBER-3-CNJ2</v>
      </c>
      <c r="M1360" s="73">
        <f t="shared" si="279"/>
        <v>0</v>
      </c>
      <c r="N1360" s="73">
        <f t="shared" si="280"/>
        <v>-0.30901869970783358</v>
      </c>
      <c r="O1360" s="13">
        <f t="shared" si="281"/>
        <v>1013903</v>
      </c>
      <c r="P1360" s="13">
        <f t="shared" si="282"/>
        <v>1020738</v>
      </c>
      <c r="Q1360" s="13">
        <f t="shared" si="283"/>
        <v>1015819</v>
      </c>
      <c r="R1360" s="33">
        <f t="shared" si="284"/>
        <v>1.8897271237978686E-3</v>
      </c>
      <c r="S1360" s="33">
        <f t="shared" si="285"/>
        <v>-4.8190622863065746E-3</v>
      </c>
    </row>
    <row r="1361" spans="1:19" x14ac:dyDescent="0.25">
      <c r="A1361" t="s">
        <v>43</v>
      </c>
      <c r="B1361">
        <v>3</v>
      </c>
      <c r="C1361" t="s">
        <v>27</v>
      </c>
      <c r="D1361" s="68">
        <v>1670</v>
      </c>
      <c r="E1361" s="68">
        <v>1698</v>
      </c>
      <c r="F1361" s="68">
        <v>1670</v>
      </c>
      <c r="G1361" s="13">
        <f t="shared" si="273"/>
        <v>-28</v>
      </c>
      <c r="H1361" s="13">
        <f t="shared" si="274"/>
        <v>0</v>
      </c>
      <c r="I1361" s="73">
        <f t="shared" si="275"/>
        <v>0</v>
      </c>
      <c r="J1361" s="73">
        <f t="shared" si="276"/>
        <v>-1.6489988221436991E-2</v>
      </c>
      <c r="K1361" s="72" t="str">
        <f t="shared" si="277"/>
        <v>CNJ2</v>
      </c>
      <c r="L1361" s="72" t="str">
        <f t="shared" si="278"/>
        <v>SEPTEMBER-3-CNJ2</v>
      </c>
      <c r="M1361" s="73">
        <f t="shared" si="279"/>
        <v>0</v>
      </c>
      <c r="N1361" s="73">
        <f t="shared" si="280"/>
        <v>-0.30901869970783358</v>
      </c>
      <c r="O1361" s="13">
        <f t="shared" si="281"/>
        <v>1013903</v>
      </c>
      <c r="P1361" s="13">
        <f t="shared" si="282"/>
        <v>1020738</v>
      </c>
      <c r="Q1361" s="13">
        <f t="shared" si="283"/>
        <v>1015819</v>
      </c>
      <c r="R1361" s="33">
        <f t="shared" si="284"/>
        <v>1.8897271237978686E-3</v>
      </c>
      <c r="S1361" s="33">
        <f t="shared" si="285"/>
        <v>-4.8190622863065746E-3</v>
      </c>
    </row>
    <row r="1362" spans="1:19" x14ac:dyDescent="0.25">
      <c r="A1362" t="s">
        <v>43</v>
      </c>
      <c r="B1362">
        <v>3</v>
      </c>
      <c r="C1362" t="s">
        <v>27</v>
      </c>
      <c r="D1362" s="68">
        <v>3340</v>
      </c>
      <c r="E1362" s="68">
        <v>3382</v>
      </c>
      <c r="F1362" s="68">
        <v>3340</v>
      </c>
      <c r="G1362" s="13">
        <f t="shared" si="273"/>
        <v>-42</v>
      </c>
      <c r="H1362" s="13">
        <f t="shared" si="274"/>
        <v>0</v>
      </c>
      <c r="I1362" s="73">
        <f t="shared" si="275"/>
        <v>0</v>
      </c>
      <c r="J1362" s="73">
        <f t="shared" si="276"/>
        <v>-1.2418687167356612E-2</v>
      </c>
      <c r="K1362" s="72" t="str">
        <f t="shared" si="277"/>
        <v>CNJ2</v>
      </c>
      <c r="L1362" s="72" t="str">
        <f t="shared" si="278"/>
        <v>SEPTEMBER-3-CNJ2</v>
      </c>
      <c r="M1362" s="73">
        <f t="shared" si="279"/>
        <v>0</v>
      </c>
      <c r="N1362" s="73">
        <f t="shared" si="280"/>
        <v>-0.30901869970783358</v>
      </c>
      <c r="O1362" s="13">
        <f t="shared" si="281"/>
        <v>1013903</v>
      </c>
      <c r="P1362" s="13">
        <f t="shared" si="282"/>
        <v>1020738</v>
      </c>
      <c r="Q1362" s="13">
        <f t="shared" si="283"/>
        <v>1015819</v>
      </c>
      <c r="R1362" s="33">
        <f t="shared" si="284"/>
        <v>1.8897271237978686E-3</v>
      </c>
      <c r="S1362" s="33">
        <f t="shared" si="285"/>
        <v>-4.8190622863065746E-3</v>
      </c>
    </row>
    <row r="1363" spans="1:19" x14ac:dyDescent="0.25">
      <c r="A1363" t="s">
        <v>43</v>
      </c>
      <c r="B1363">
        <v>3</v>
      </c>
      <c r="C1363" t="s">
        <v>27</v>
      </c>
      <c r="D1363" s="68">
        <v>1090</v>
      </c>
      <c r="E1363" s="68">
        <v>1122</v>
      </c>
      <c r="F1363" s="68">
        <v>1090</v>
      </c>
      <c r="G1363" s="13">
        <f t="shared" si="273"/>
        <v>-32</v>
      </c>
      <c r="H1363" s="13">
        <f t="shared" si="274"/>
        <v>0</v>
      </c>
      <c r="I1363" s="73">
        <f t="shared" si="275"/>
        <v>0</v>
      </c>
      <c r="J1363" s="73">
        <f t="shared" si="276"/>
        <v>-2.8520499108734443E-2</v>
      </c>
      <c r="K1363" s="72" t="str">
        <f t="shared" si="277"/>
        <v>CNJ2</v>
      </c>
      <c r="L1363" s="72" t="str">
        <f t="shared" si="278"/>
        <v>SEPTEMBER-3-CNJ2</v>
      </c>
      <c r="M1363" s="73">
        <f t="shared" si="279"/>
        <v>0</v>
      </c>
      <c r="N1363" s="73">
        <f t="shared" si="280"/>
        <v>-0.30901869970783358</v>
      </c>
      <c r="O1363" s="13">
        <f t="shared" si="281"/>
        <v>1013903</v>
      </c>
      <c r="P1363" s="13">
        <f t="shared" si="282"/>
        <v>1020738</v>
      </c>
      <c r="Q1363" s="13">
        <f t="shared" si="283"/>
        <v>1015819</v>
      </c>
      <c r="R1363" s="33">
        <f t="shared" si="284"/>
        <v>1.8897271237978686E-3</v>
      </c>
      <c r="S1363" s="33">
        <f t="shared" si="285"/>
        <v>-4.8190622863065746E-3</v>
      </c>
    </row>
    <row r="1364" spans="1:19" x14ac:dyDescent="0.25">
      <c r="A1364" t="s">
        <v>43</v>
      </c>
      <c r="B1364">
        <v>3</v>
      </c>
      <c r="C1364" t="s">
        <v>27</v>
      </c>
      <c r="D1364" s="68">
        <v>1740</v>
      </c>
      <c r="E1364" s="68">
        <v>1802</v>
      </c>
      <c r="F1364" s="68">
        <v>1740</v>
      </c>
      <c r="G1364" s="13">
        <f t="shared" si="273"/>
        <v>-62</v>
      </c>
      <c r="H1364" s="13">
        <f t="shared" si="274"/>
        <v>0</v>
      </c>
      <c r="I1364" s="73">
        <f t="shared" si="275"/>
        <v>0</v>
      </c>
      <c r="J1364" s="73">
        <f t="shared" si="276"/>
        <v>-3.4406215316315159E-2</v>
      </c>
      <c r="K1364" s="72" t="str">
        <f t="shared" si="277"/>
        <v>CNJ2</v>
      </c>
      <c r="L1364" s="72" t="str">
        <f t="shared" si="278"/>
        <v>SEPTEMBER-3-CNJ2</v>
      </c>
      <c r="M1364" s="73">
        <f t="shared" si="279"/>
        <v>0</v>
      </c>
      <c r="N1364" s="73">
        <f t="shared" si="280"/>
        <v>-0.30901869970783358</v>
      </c>
      <c r="O1364" s="13">
        <f t="shared" si="281"/>
        <v>1013903</v>
      </c>
      <c r="P1364" s="13">
        <f t="shared" si="282"/>
        <v>1020738</v>
      </c>
      <c r="Q1364" s="13">
        <f t="shared" si="283"/>
        <v>1015819</v>
      </c>
      <c r="R1364" s="33">
        <f t="shared" si="284"/>
        <v>1.8897271237978686E-3</v>
      </c>
      <c r="S1364" s="33">
        <f t="shared" si="285"/>
        <v>-4.8190622863065746E-3</v>
      </c>
    </row>
    <row r="1365" spans="1:19" x14ac:dyDescent="0.25">
      <c r="A1365" t="s">
        <v>43</v>
      </c>
      <c r="B1365">
        <v>3</v>
      </c>
      <c r="C1365" t="s">
        <v>27</v>
      </c>
      <c r="D1365" s="68">
        <v>970</v>
      </c>
      <c r="E1365" s="68">
        <v>1016</v>
      </c>
      <c r="F1365" s="68">
        <v>970</v>
      </c>
      <c r="G1365" s="13">
        <f t="shared" si="273"/>
        <v>-46</v>
      </c>
      <c r="H1365" s="13">
        <f t="shared" si="274"/>
        <v>0</v>
      </c>
      <c r="I1365" s="73">
        <f t="shared" si="275"/>
        <v>0</v>
      </c>
      <c r="J1365" s="73">
        <f t="shared" si="276"/>
        <v>-4.5275590551181133E-2</v>
      </c>
      <c r="K1365" s="72" t="str">
        <f t="shared" si="277"/>
        <v>CNJ2</v>
      </c>
      <c r="L1365" s="72" t="str">
        <f t="shared" si="278"/>
        <v>SEPTEMBER-3-CNJ2</v>
      </c>
      <c r="M1365" s="73">
        <f t="shared" si="279"/>
        <v>0</v>
      </c>
      <c r="N1365" s="73">
        <f t="shared" si="280"/>
        <v>-0.30901869970783358</v>
      </c>
      <c r="O1365" s="13">
        <f t="shared" si="281"/>
        <v>1013903</v>
      </c>
      <c r="P1365" s="13">
        <f t="shared" si="282"/>
        <v>1020738</v>
      </c>
      <c r="Q1365" s="13">
        <f t="shared" si="283"/>
        <v>1015819</v>
      </c>
      <c r="R1365" s="33">
        <f t="shared" si="284"/>
        <v>1.8897271237978686E-3</v>
      </c>
      <c r="S1365" s="33">
        <f t="shared" si="285"/>
        <v>-4.8190622863065746E-3</v>
      </c>
    </row>
    <row r="1366" spans="1:19" x14ac:dyDescent="0.25">
      <c r="A1366" t="s">
        <v>43</v>
      </c>
      <c r="B1366">
        <v>3</v>
      </c>
      <c r="C1366" t="s">
        <v>17</v>
      </c>
      <c r="D1366" s="68">
        <v>500</v>
      </c>
      <c r="E1366">
        <v>510</v>
      </c>
      <c r="F1366" s="70">
        <v>500</v>
      </c>
      <c r="G1366" s="13">
        <f t="shared" si="273"/>
        <v>-10</v>
      </c>
      <c r="H1366" s="13">
        <f t="shared" si="274"/>
        <v>0</v>
      </c>
      <c r="I1366" s="73">
        <f t="shared" si="275"/>
        <v>0</v>
      </c>
      <c r="J1366" s="73">
        <f t="shared" si="276"/>
        <v>-1.9607843137254943E-2</v>
      </c>
      <c r="K1366" s="72" t="str">
        <f t="shared" si="277"/>
        <v>CBA</v>
      </c>
      <c r="L1366" s="72" t="str">
        <f t="shared" si="278"/>
        <v>SEPTEMBER-3-CBA</v>
      </c>
      <c r="M1366" s="73">
        <f t="shared" si="279"/>
        <v>0</v>
      </c>
      <c r="N1366" s="73">
        <f t="shared" si="280"/>
        <v>-9.6977696439523142E-2</v>
      </c>
      <c r="O1366" s="13">
        <f t="shared" si="281"/>
        <v>1013903</v>
      </c>
      <c r="P1366" s="13">
        <f t="shared" si="282"/>
        <v>1020738</v>
      </c>
      <c r="Q1366" s="13">
        <f t="shared" si="283"/>
        <v>1015819</v>
      </c>
      <c r="R1366" s="33">
        <f t="shared" si="284"/>
        <v>1.8897271237978686E-3</v>
      </c>
      <c r="S1366" s="33">
        <f t="shared" si="285"/>
        <v>-4.8190622863065746E-3</v>
      </c>
    </row>
    <row r="1367" spans="1:19" x14ac:dyDescent="0.25">
      <c r="A1367" t="s">
        <v>43</v>
      </c>
      <c r="B1367">
        <v>3</v>
      </c>
      <c r="C1367" t="s">
        <v>74</v>
      </c>
      <c r="D1367" s="68">
        <v>6588</v>
      </c>
      <c r="E1367" s="68">
        <v>6749</v>
      </c>
      <c r="F1367" s="68">
        <v>6588</v>
      </c>
      <c r="G1367" s="13">
        <f t="shared" si="273"/>
        <v>-161</v>
      </c>
      <c r="H1367" s="13">
        <f t="shared" si="274"/>
        <v>0</v>
      </c>
      <c r="I1367" s="73">
        <f t="shared" si="275"/>
        <v>0</v>
      </c>
      <c r="J1367" s="73">
        <f t="shared" si="276"/>
        <v>-2.3855385983108657E-2</v>
      </c>
      <c r="K1367" s="72" t="str">
        <f t="shared" si="277"/>
        <v>MAJA2</v>
      </c>
      <c r="L1367" s="72" t="str">
        <f t="shared" si="278"/>
        <v>SEPTEMBER-3-MAJA2</v>
      </c>
      <c r="M1367" s="73">
        <f t="shared" si="279"/>
        <v>6.3974413889878456E-2</v>
      </c>
      <c r="N1367" s="73">
        <f t="shared" si="280"/>
        <v>-7.0649928764268122E-2</v>
      </c>
      <c r="O1367" s="13">
        <f t="shared" si="281"/>
        <v>1013903</v>
      </c>
      <c r="P1367" s="13">
        <f t="shared" si="282"/>
        <v>1020738</v>
      </c>
      <c r="Q1367" s="13">
        <f t="shared" si="283"/>
        <v>1015819</v>
      </c>
      <c r="R1367" s="33">
        <f t="shared" si="284"/>
        <v>1.8897271237978686E-3</v>
      </c>
      <c r="S1367" s="33">
        <f t="shared" si="285"/>
        <v>-4.8190622863065746E-3</v>
      </c>
    </row>
    <row r="1368" spans="1:19" x14ac:dyDescent="0.25">
      <c r="A1368" t="s">
        <v>43</v>
      </c>
      <c r="B1368">
        <v>3</v>
      </c>
      <c r="C1368" t="s">
        <v>74</v>
      </c>
      <c r="D1368" s="68">
        <v>5076</v>
      </c>
      <c r="E1368" s="68">
        <v>5292</v>
      </c>
      <c r="F1368" s="68">
        <v>5280</v>
      </c>
      <c r="G1368" s="13">
        <f t="shared" si="273"/>
        <v>-12</v>
      </c>
      <c r="H1368" s="13">
        <f t="shared" si="274"/>
        <v>204</v>
      </c>
      <c r="I1368" s="73">
        <f t="shared" si="275"/>
        <v>4.0189125295508221E-2</v>
      </c>
      <c r="J1368" s="73">
        <f t="shared" si="276"/>
        <v>-2.2675736961451642E-3</v>
      </c>
      <c r="K1368" s="72" t="str">
        <f t="shared" si="277"/>
        <v>MAJA2</v>
      </c>
      <c r="L1368" s="72" t="str">
        <f t="shared" si="278"/>
        <v>SEPTEMBER-3-MAJA2</v>
      </c>
      <c r="M1368" s="73">
        <f t="shared" si="279"/>
        <v>6.3974413889878456E-2</v>
      </c>
      <c r="N1368" s="73">
        <f t="shared" si="280"/>
        <v>-7.0649928764268122E-2</v>
      </c>
      <c r="O1368" s="13">
        <f t="shared" si="281"/>
        <v>1013903</v>
      </c>
      <c r="P1368" s="13">
        <f t="shared" si="282"/>
        <v>1020738</v>
      </c>
      <c r="Q1368" s="13">
        <f t="shared" si="283"/>
        <v>1015819</v>
      </c>
      <c r="R1368" s="33">
        <f t="shared" si="284"/>
        <v>1.8897271237978686E-3</v>
      </c>
      <c r="S1368" s="33">
        <f t="shared" si="285"/>
        <v>-4.8190622863065746E-3</v>
      </c>
    </row>
    <row r="1369" spans="1:19" x14ac:dyDescent="0.25">
      <c r="A1369" t="s">
        <v>43</v>
      </c>
      <c r="B1369">
        <v>3</v>
      </c>
      <c r="C1369" t="s">
        <v>74</v>
      </c>
      <c r="D1369" s="68">
        <v>4860</v>
      </c>
      <c r="E1369" s="70">
        <v>5058</v>
      </c>
      <c r="F1369" s="70">
        <v>5046</v>
      </c>
      <c r="G1369" s="13">
        <f t="shared" si="273"/>
        <v>-12</v>
      </c>
      <c r="H1369" s="13">
        <f t="shared" si="274"/>
        <v>186</v>
      </c>
      <c r="I1369" s="73">
        <f t="shared" si="275"/>
        <v>3.8271604938271642E-2</v>
      </c>
      <c r="J1369" s="73">
        <f t="shared" si="276"/>
        <v>-2.3724792408066353E-3</v>
      </c>
      <c r="K1369" s="72" t="str">
        <f t="shared" si="277"/>
        <v>MAJA2</v>
      </c>
      <c r="L1369" s="72" t="str">
        <f t="shared" si="278"/>
        <v>SEPTEMBER-3-MAJA2</v>
      </c>
      <c r="M1369" s="73">
        <f t="shared" si="279"/>
        <v>6.3974413889878456E-2</v>
      </c>
      <c r="N1369" s="73">
        <f t="shared" si="280"/>
        <v>-7.0649928764268122E-2</v>
      </c>
      <c r="O1369" s="13">
        <f t="shared" si="281"/>
        <v>1013903</v>
      </c>
      <c r="P1369" s="13">
        <f t="shared" si="282"/>
        <v>1020738</v>
      </c>
      <c r="Q1369" s="13">
        <f t="shared" si="283"/>
        <v>1015819</v>
      </c>
      <c r="R1369" s="33">
        <f t="shared" si="284"/>
        <v>1.8897271237978686E-3</v>
      </c>
      <c r="S1369" s="33">
        <f t="shared" si="285"/>
        <v>-4.8190622863065746E-3</v>
      </c>
    </row>
    <row r="1370" spans="1:19" x14ac:dyDescent="0.25">
      <c r="A1370" t="s">
        <v>43</v>
      </c>
      <c r="B1370">
        <v>3</v>
      </c>
      <c r="C1370" t="s">
        <v>74</v>
      </c>
      <c r="D1370" s="68">
        <v>6156</v>
      </c>
      <c r="E1370" s="70">
        <v>6411</v>
      </c>
      <c r="F1370" s="70">
        <v>6396</v>
      </c>
      <c r="G1370" s="13">
        <f t="shared" si="273"/>
        <v>-15</v>
      </c>
      <c r="H1370" s="13">
        <f t="shared" si="274"/>
        <v>240</v>
      </c>
      <c r="I1370" s="73">
        <f t="shared" si="275"/>
        <v>3.8986354775828458E-2</v>
      </c>
      <c r="J1370" s="73">
        <f t="shared" si="276"/>
        <v>-2.3397285914833477E-3</v>
      </c>
      <c r="K1370" s="72" t="str">
        <f t="shared" si="277"/>
        <v>MAJA2</v>
      </c>
      <c r="L1370" s="72" t="str">
        <f t="shared" si="278"/>
        <v>SEPTEMBER-3-MAJA2</v>
      </c>
      <c r="M1370" s="73">
        <f t="shared" si="279"/>
        <v>6.3974413889878456E-2</v>
      </c>
      <c r="N1370" s="73">
        <f t="shared" si="280"/>
        <v>-7.0649928764268122E-2</v>
      </c>
      <c r="O1370" s="13">
        <f t="shared" si="281"/>
        <v>1013903</v>
      </c>
      <c r="P1370" s="13">
        <f t="shared" si="282"/>
        <v>1020738</v>
      </c>
      <c r="Q1370" s="13">
        <f t="shared" si="283"/>
        <v>1015819</v>
      </c>
      <c r="R1370" s="33">
        <f t="shared" si="284"/>
        <v>1.8897271237978686E-3</v>
      </c>
      <c r="S1370" s="33">
        <f t="shared" si="285"/>
        <v>-4.8190622863065746E-3</v>
      </c>
    </row>
    <row r="1371" spans="1:19" x14ac:dyDescent="0.25">
      <c r="A1371" t="s">
        <v>43</v>
      </c>
      <c r="B1371">
        <v>3</v>
      </c>
      <c r="C1371" t="s">
        <v>74</v>
      </c>
      <c r="D1371" s="68">
        <v>1404</v>
      </c>
      <c r="E1371" s="70">
        <v>1464</v>
      </c>
      <c r="F1371" s="70">
        <v>1461</v>
      </c>
      <c r="G1371" s="13">
        <f t="shared" si="273"/>
        <v>-3</v>
      </c>
      <c r="H1371" s="13">
        <f t="shared" si="274"/>
        <v>57</v>
      </c>
      <c r="I1371" s="73">
        <f t="shared" si="275"/>
        <v>4.0598290598290676E-2</v>
      </c>
      <c r="J1371" s="73">
        <f t="shared" si="276"/>
        <v>-2.049180327868827E-3</v>
      </c>
      <c r="K1371" s="72" t="str">
        <f t="shared" si="277"/>
        <v>MAJA2</v>
      </c>
      <c r="L1371" s="72" t="str">
        <f t="shared" si="278"/>
        <v>SEPTEMBER-3-MAJA2</v>
      </c>
      <c r="M1371" s="73">
        <f t="shared" si="279"/>
        <v>6.3974413889878456E-2</v>
      </c>
      <c r="N1371" s="73">
        <f t="shared" si="280"/>
        <v>-7.0649928764268122E-2</v>
      </c>
      <c r="O1371" s="13">
        <f t="shared" si="281"/>
        <v>1013903</v>
      </c>
      <c r="P1371" s="13">
        <f t="shared" si="282"/>
        <v>1020738</v>
      </c>
      <c r="Q1371" s="13">
        <f t="shared" si="283"/>
        <v>1015819</v>
      </c>
      <c r="R1371" s="33">
        <f t="shared" si="284"/>
        <v>1.8897271237978686E-3</v>
      </c>
      <c r="S1371" s="33">
        <f t="shared" si="285"/>
        <v>-4.8190622863065746E-3</v>
      </c>
    </row>
    <row r="1372" spans="1:19" x14ac:dyDescent="0.25">
      <c r="A1372" t="s">
        <v>43</v>
      </c>
      <c r="B1372">
        <v>3</v>
      </c>
      <c r="C1372" t="s">
        <v>74</v>
      </c>
      <c r="D1372" s="68">
        <v>4860</v>
      </c>
      <c r="E1372" s="70">
        <v>4869</v>
      </c>
      <c r="F1372" s="70">
        <v>4860</v>
      </c>
      <c r="G1372" s="13">
        <f t="shared" si="273"/>
        <v>-9</v>
      </c>
      <c r="H1372" s="13">
        <f t="shared" si="274"/>
        <v>0</v>
      </c>
      <c r="I1372" s="73">
        <f t="shared" si="275"/>
        <v>0</v>
      </c>
      <c r="J1372" s="73">
        <f t="shared" si="276"/>
        <v>-1.848428835489857E-3</v>
      </c>
      <c r="K1372" s="72" t="str">
        <f t="shared" si="277"/>
        <v>MAJA2</v>
      </c>
      <c r="L1372" s="72" t="str">
        <f t="shared" si="278"/>
        <v>SEPTEMBER-3-MAJA2</v>
      </c>
      <c r="M1372" s="73">
        <f t="shared" si="279"/>
        <v>6.3974413889878456E-2</v>
      </c>
      <c r="N1372" s="73">
        <f t="shared" si="280"/>
        <v>-7.0649928764268122E-2</v>
      </c>
      <c r="O1372" s="13">
        <f t="shared" si="281"/>
        <v>1013903</v>
      </c>
      <c r="P1372" s="13">
        <f t="shared" si="282"/>
        <v>1020738</v>
      </c>
      <c r="Q1372" s="13">
        <f t="shared" si="283"/>
        <v>1015819</v>
      </c>
      <c r="R1372" s="33">
        <f t="shared" si="284"/>
        <v>1.8897271237978686E-3</v>
      </c>
      <c r="S1372" s="33">
        <f t="shared" si="285"/>
        <v>-4.8190622863065746E-3</v>
      </c>
    </row>
    <row r="1373" spans="1:19" x14ac:dyDescent="0.25">
      <c r="A1373" t="s">
        <v>43</v>
      </c>
      <c r="B1373">
        <v>3</v>
      </c>
      <c r="C1373" t="s">
        <v>74</v>
      </c>
      <c r="D1373" s="68">
        <v>1188</v>
      </c>
      <c r="E1373" s="70">
        <v>1188</v>
      </c>
      <c r="F1373" s="70">
        <v>1188</v>
      </c>
      <c r="G1373" s="13">
        <f t="shared" si="273"/>
        <v>0</v>
      </c>
      <c r="H1373" s="13">
        <f t="shared" si="274"/>
        <v>0</v>
      </c>
      <c r="I1373" s="73">
        <f t="shared" si="275"/>
        <v>0</v>
      </c>
      <c r="J1373" s="73">
        <f t="shared" si="276"/>
        <v>0</v>
      </c>
      <c r="K1373" s="72" t="str">
        <f t="shared" si="277"/>
        <v>MAJA2</v>
      </c>
      <c r="L1373" s="72" t="str">
        <f t="shared" si="278"/>
        <v>SEPTEMBER-3-MAJA2</v>
      </c>
      <c r="M1373" s="73">
        <f t="shared" si="279"/>
        <v>6.3974413889878456E-2</v>
      </c>
      <c r="N1373" s="73">
        <f t="shared" si="280"/>
        <v>-7.0649928764268122E-2</v>
      </c>
      <c r="O1373" s="13">
        <f t="shared" si="281"/>
        <v>1013903</v>
      </c>
      <c r="P1373" s="13">
        <f t="shared" si="282"/>
        <v>1020738</v>
      </c>
      <c r="Q1373" s="13">
        <f t="shared" si="283"/>
        <v>1015819</v>
      </c>
      <c r="R1373" s="33">
        <f t="shared" si="284"/>
        <v>1.8897271237978686E-3</v>
      </c>
      <c r="S1373" s="33">
        <f t="shared" si="285"/>
        <v>-4.8190622863065746E-3</v>
      </c>
    </row>
    <row r="1374" spans="1:19" x14ac:dyDescent="0.25">
      <c r="A1374" t="s">
        <v>43</v>
      </c>
      <c r="B1374">
        <v>3</v>
      </c>
      <c r="C1374" t="s">
        <v>74</v>
      </c>
      <c r="D1374" s="68">
        <v>12852</v>
      </c>
      <c r="E1374" s="70">
        <v>12072</v>
      </c>
      <c r="F1374" s="70">
        <v>11643</v>
      </c>
      <c r="G1374" s="13">
        <f t="shared" si="273"/>
        <v>-429</v>
      </c>
      <c r="H1374" s="13">
        <f t="shared" si="274"/>
        <v>-1209</v>
      </c>
      <c r="I1374" s="73">
        <f t="shared" si="275"/>
        <v>-9.407096171802054E-2</v>
      </c>
      <c r="J1374" s="73">
        <f t="shared" si="276"/>
        <v>-3.5536779324055634E-2</v>
      </c>
      <c r="K1374" s="72" t="str">
        <f t="shared" si="277"/>
        <v>MAJA2</v>
      </c>
      <c r="L1374" s="72" t="str">
        <f t="shared" si="278"/>
        <v>SEPTEMBER-3-MAJA2</v>
      </c>
      <c r="M1374" s="73">
        <f t="shared" si="279"/>
        <v>6.3974413889878456E-2</v>
      </c>
      <c r="N1374" s="73">
        <f t="shared" si="280"/>
        <v>-7.0649928764268122E-2</v>
      </c>
      <c r="O1374" s="13">
        <f t="shared" si="281"/>
        <v>1013903</v>
      </c>
      <c r="P1374" s="13">
        <f t="shared" si="282"/>
        <v>1020738</v>
      </c>
      <c r="Q1374" s="13">
        <f t="shared" si="283"/>
        <v>1015819</v>
      </c>
      <c r="R1374" s="33">
        <f t="shared" si="284"/>
        <v>1.8897271237978686E-3</v>
      </c>
      <c r="S1374" s="33">
        <f t="shared" si="285"/>
        <v>-4.8190622863065746E-3</v>
      </c>
    </row>
    <row r="1375" spans="1:19" x14ac:dyDescent="0.25">
      <c r="A1375" t="s">
        <v>43</v>
      </c>
      <c r="B1375">
        <v>3</v>
      </c>
      <c r="C1375" t="s">
        <v>74</v>
      </c>
      <c r="D1375" s="68">
        <v>7884</v>
      </c>
      <c r="E1375" s="70">
        <v>7887</v>
      </c>
      <c r="F1375" s="70">
        <v>7884</v>
      </c>
      <c r="G1375" s="13">
        <f t="shared" si="273"/>
        <v>-3</v>
      </c>
      <c r="H1375" s="13">
        <f t="shared" si="274"/>
        <v>0</v>
      </c>
      <c r="I1375" s="73">
        <f t="shared" si="275"/>
        <v>0</v>
      </c>
      <c r="J1375" s="73">
        <f t="shared" si="276"/>
        <v>-3.8037276530999975E-4</v>
      </c>
      <c r="K1375" s="72" t="str">
        <f t="shared" si="277"/>
        <v>MAJA2</v>
      </c>
      <c r="L1375" s="72" t="str">
        <f t="shared" si="278"/>
        <v>SEPTEMBER-3-MAJA2</v>
      </c>
      <c r="M1375" s="73">
        <f t="shared" si="279"/>
        <v>6.3974413889878456E-2</v>
      </c>
      <c r="N1375" s="73">
        <f t="shared" si="280"/>
        <v>-7.0649928764268122E-2</v>
      </c>
      <c r="O1375" s="13">
        <f t="shared" si="281"/>
        <v>1013903</v>
      </c>
      <c r="P1375" s="13">
        <f t="shared" si="282"/>
        <v>1020738</v>
      </c>
      <c r="Q1375" s="13">
        <f t="shared" si="283"/>
        <v>1015819</v>
      </c>
      <c r="R1375" s="33">
        <f t="shared" si="284"/>
        <v>1.8897271237978686E-3</v>
      </c>
      <c r="S1375" s="33">
        <f t="shared" si="285"/>
        <v>-4.8190622863065746E-3</v>
      </c>
    </row>
    <row r="1376" spans="1:19" x14ac:dyDescent="0.25">
      <c r="A1376" t="s">
        <v>43</v>
      </c>
      <c r="B1376">
        <v>3</v>
      </c>
      <c r="C1376" t="s">
        <v>74</v>
      </c>
      <c r="D1376" s="68">
        <v>6048</v>
      </c>
      <c r="E1376" s="70">
        <v>6048</v>
      </c>
      <c r="F1376" s="70">
        <v>6048</v>
      </c>
      <c r="G1376" s="13">
        <f t="shared" si="273"/>
        <v>0</v>
      </c>
      <c r="H1376" s="13">
        <f t="shared" si="274"/>
        <v>0</v>
      </c>
      <c r="I1376" s="73">
        <f t="shared" si="275"/>
        <v>0</v>
      </c>
      <c r="J1376" s="73">
        <f t="shared" si="276"/>
        <v>0</v>
      </c>
      <c r="K1376" s="72" t="str">
        <f t="shared" si="277"/>
        <v>MAJA2</v>
      </c>
      <c r="L1376" s="72" t="str">
        <f t="shared" si="278"/>
        <v>SEPTEMBER-3-MAJA2</v>
      </c>
      <c r="M1376" s="73">
        <f t="shared" si="279"/>
        <v>6.3974413889878456E-2</v>
      </c>
      <c r="N1376" s="73">
        <f t="shared" si="280"/>
        <v>-7.0649928764268122E-2</v>
      </c>
      <c r="O1376" s="13">
        <f t="shared" si="281"/>
        <v>1013903</v>
      </c>
      <c r="P1376" s="13">
        <f t="shared" si="282"/>
        <v>1020738</v>
      </c>
      <c r="Q1376" s="13">
        <f t="shared" si="283"/>
        <v>1015819</v>
      </c>
      <c r="R1376" s="33">
        <f t="shared" si="284"/>
        <v>1.8897271237978686E-3</v>
      </c>
      <c r="S1376" s="33">
        <f t="shared" si="285"/>
        <v>-4.8190622863065746E-3</v>
      </c>
    </row>
    <row r="1377" spans="1:19" x14ac:dyDescent="0.25">
      <c r="A1377" t="s">
        <v>43</v>
      </c>
      <c r="B1377">
        <v>4</v>
      </c>
      <c r="C1377" t="s">
        <v>75</v>
      </c>
      <c r="D1377">
        <v>200</v>
      </c>
      <c r="E1377">
        <v>200</v>
      </c>
      <c r="F1377">
        <v>200</v>
      </c>
      <c r="G1377" s="13">
        <f t="shared" si="273"/>
        <v>0</v>
      </c>
      <c r="H1377" s="13">
        <f t="shared" si="274"/>
        <v>0</v>
      </c>
      <c r="I1377" s="73">
        <f t="shared" si="275"/>
        <v>0</v>
      </c>
      <c r="J1377" s="73">
        <f t="shared" si="276"/>
        <v>0</v>
      </c>
      <c r="K1377" s="72" t="str">
        <f t="shared" si="277"/>
        <v>GM1</v>
      </c>
      <c r="L1377" s="72" t="str">
        <f t="shared" si="278"/>
        <v>SEPTEMBER-4-GM1</v>
      </c>
      <c r="M1377" s="73">
        <f t="shared" si="279"/>
        <v>3.5440613026819889E-2</v>
      </c>
      <c r="N1377" s="73">
        <f t="shared" si="280"/>
        <v>-9.7624563611696802E-3</v>
      </c>
      <c r="O1377" s="13">
        <f t="shared" si="281"/>
        <v>1013903</v>
      </c>
      <c r="P1377" s="13">
        <f t="shared" si="282"/>
        <v>1020738</v>
      </c>
      <c r="Q1377" s="13">
        <f t="shared" si="283"/>
        <v>1015819</v>
      </c>
      <c r="R1377" s="33">
        <f t="shared" si="284"/>
        <v>1.8897271237978686E-3</v>
      </c>
      <c r="S1377" s="33">
        <f t="shared" si="285"/>
        <v>-4.8190622863065746E-3</v>
      </c>
    </row>
    <row r="1378" spans="1:19" x14ac:dyDescent="0.25">
      <c r="A1378" t="s">
        <v>43</v>
      </c>
      <c r="B1378">
        <v>4</v>
      </c>
      <c r="C1378" t="s">
        <v>75</v>
      </c>
      <c r="D1378">
        <v>200</v>
      </c>
      <c r="E1378">
        <v>201</v>
      </c>
      <c r="F1378">
        <v>200</v>
      </c>
      <c r="G1378" s="13">
        <f t="shared" si="273"/>
        <v>-1</v>
      </c>
      <c r="H1378" s="13">
        <f t="shared" si="274"/>
        <v>0</v>
      </c>
      <c r="I1378" s="73">
        <f t="shared" si="275"/>
        <v>0</v>
      </c>
      <c r="J1378" s="73">
        <f t="shared" si="276"/>
        <v>-4.9751243781094301E-3</v>
      </c>
      <c r="K1378" s="72" t="str">
        <f t="shared" si="277"/>
        <v>GM1</v>
      </c>
      <c r="L1378" s="72" t="str">
        <f t="shared" si="278"/>
        <v>SEPTEMBER-4-GM1</v>
      </c>
      <c r="M1378" s="73">
        <f t="shared" si="279"/>
        <v>3.5440613026819889E-2</v>
      </c>
      <c r="N1378" s="73">
        <f t="shared" si="280"/>
        <v>-9.7624563611696802E-3</v>
      </c>
      <c r="O1378" s="13">
        <f t="shared" si="281"/>
        <v>1013903</v>
      </c>
      <c r="P1378" s="13">
        <f t="shared" si="282"/>
        <v>1020738</v>
      </c>
      <c r="Q1378" s="13">
        <f t="shared" si="283"/>
        <v>1015819</v>
      </c>
      <c r="R1378" s="33">
        <f t="shared" si="284"/>
        <v>1.8897271237978686E-3</v>
      </c>
      <c r="S1378" s="33">
        <f t="shared" si="285"/>
        <v>-4.8190622863065746E-3</v>
      </c>
    </row>
    <row r="1379" spans="1:19" x14ac:dyDescent="0.25">
      <c r="A1379" t="s">
        <v>43</v>
      </c>
      <c r="B1379">
        <v>4</v>
      </c>
      <c r="C1379" t="s">
        <v>72</v>
      </c>
      <c r="D1379" s="71">
        <v>4104</v>
      </c>
      <c r="E1379" s="71">
        <v>4104</v>
      </c>
      <c r="F1379" s="71">
        <v>4104</v>
      </c>
      <c r="G1379" s="13">
        <f t="shared" si="273"/>
        <v>0</v>
      </c>
      <c r="H1379" s="13">
        <f t="shared" si="274"/>
        <v>0</v>
      </c>
      <c r="I1379" s="73">
        <f t="shared" si="275"/>
        <v>0</v>
      </c>
      <c r="J1379" s="73">
        <f t="shared" si="276"/>
        <v>0</v>
      </c>
      <c r="K1379" s="72" t="str">
        <f t="shared" si="277"/>
        <v>GM1</v>
      </c>
      <c r="L1379" s="72" t="str">
        <f t="shared" si="278"/>
        <v>SEPTEMBER-4-GM1</v>
      </c>
      <c r="M1379" s="73">
        <f t="shared" si="279"/>
        <v>3.5440613026819889E-2</v>
      </c>
      <c r="N1379" s="73">
        <f t="shared" si="280"/>
        <v>-9.7624563611696802E-3</v>
      </c>
      <c r="O1379" s="13">
        <f t="shared" si="281"/>
        <v>1013903</v>
      </c>
      <c r="P1379" s="13">
        <f t="shared" si="282"/>
        <v>1020738</v>
      </c>
      <c r="Q1379" s="13">
        <f t="shared" si="283"/>
        <v>1015819</v>
      </c>
      <c r="R1379" s="33">
        <f t="shared" si="284"/>
        <v>1.8897271237978686E-3</v>
      </c>
      <c r="S1379" s="33">
        <f t="shared" si="285"/>
        <v>-4.8190622863065746E-3</v>
      </c>
    </row>
    <row r="1380" spans="1:19" x14ac:dyDescent="0.25">
      <c r="A1380" t="s">
        <v>43</v>
      </c>
      <c r="B1380">
        <v>4</v>
      </c>
      <c r="C1380" t="s">
        <v>72</v>
      </c>
      <c r="D1380" s="71">
        <v>15660</v>
      </c>
      <c r="E1380" s="71">
        <v>16293</v>
      </c>
      <c r="F1380" s="71">
        <v>16215</v>
      </c>
      <c r="G1380" s="13">
        <f t="shared" si="273"/>
        <v>-78</v>
      </c>
      <c r="H1380" s="13">
        <f t="shared" si="274"/>
        <v>555</v>
      </c>
      <c r="I1380" s="73">
        <f t="shared" si="275"/>
        <v>3.5440613026819889E-2</v>
      </c>
      <c r="J1380" s="73">
        <f t="shared" si="276"/>
        <v>-4.7873319830602501E-3</v>
      </c>
      <c r="K1380" s="72" t="str">
        <f t="shared" si="277"/>
        <v>GM1</v>
      </c>
      <c r="L1380" s="72" t="str">
        <f t="shared" si="278"/>
        <v>SEPTEMBER-4-GM1</v>
      </c>
      <c r="M1380" s="73">
        <f t="shared" si="279"/>
        <v>3.5440613026819889E-2</v>
      </c>
      <c r="N1380" s="73">
        <f t="shared" si="280"/>
        <v>-9.7624563611696802E-3</v>
      </c>
      <c r="O1380" s="13">
        <f t="shared" si="281"/>
        <v>1013903</v>
      </c>
      <c r="P1380" s="13">
        <f t="shared" si="282"/>
        <v>1020738</v>
      </c>
      <c r="Q1380" s="13">
        <f t="shared" si="283"/>
        <v>1015819</v>
      </c>
      <c r="R1380" s="33">
        <f t="shared" si="284"/>
        <v>1.8897271237978686E-3</v>
      </c>
      <c r="S1380" s="33">
        <f t="shared" si="285"/>
        <v>-4.8190622863065746E-3</v>
      </c>
    </row>
    <row r="1381" spans="1:19" x14ac:dyDescent="0.25">
      <c r="A1381" t="s">
        <v>43</v>
      </c>
      <c r="B1381">
        <v>4</v>
      </c>
      <c r="C1381" t="s">
        <v>72</v>
      </c>
      <c r="D1381" s="71">
        <v>7344</v>
      </c>
      <c r="E1381" s="71">
        <v>7344</v>
      </c>
      <c r="F1381" s="71">
        <v>7344</v>
      </c>
      <c r="G1381" s="13">
        <f t="shared" si="273"/>
        <v>0</v>
      </c>
      <c r="H1381" s="13">
        <f t="shared" si="274"/>
        <v>0</v>
      </c>
      <c r="I1381" s="73">
        <f t="shared" si="275"/>
        <v>0</v>
      </c>
      <c r="J1381" s="73">
        <f t="shared" si="276"/>
        <v>0</v>
      </c>
      <c r="K1381" s="72" t="str">
        <f t="shared" si="277"/>
        <v>GM1</v>
      </c>
      <c r="L1381" s="72" t="str">
        <f t="shared" si="278"/>
        <v>SEPTEMBER-4-GM1</v>
      </c>
      <c r="M1381" s="73">
        <f t="shared" si="279"/>
        <v>3.5440613026819889E-2</v>
      </c>
      <c r="N1381" s="73">
        <f t="shared" si="280"/>
        <v>-9.7624563611696802E-3</v>
      </c>
      <c r="O1381" s="13">
        <f t="shared" si="281"/>
        <v>1013903</v>
      </c>
      <c r="P1381" s="13">
        <f t="shared" si="282"/>
        <v>1020738</v>
      </c>
      <c r="Q1381" s="13">
        <f t="shared" si="283"/>
        <v>1015819</v>
      </c>
      <c r="R1381" s="33">
        <f t="shared" si="284"/>
        <v>1.8897271237978686E-3</v>
      </c>
      <c r="S1381" s="33">
        <f t="shared" si="285"/>
        <v>-4.8190622863065746E-3</v>
      </c>
    </row>
    <row r="1382" spans="1:19" x14ac:dyDescent="0.25">
      <c r="A1382" t="s">
        <v>43</v>
      </c>
      <c r="B1382">
        <v>4</v>
      </c>
      <c r="C1382" t="s">
        <v>74</v>
      </c>
      <c r="D1382" s="68">
        <v>3888</v>
      </c>
      <c r="E1382" s="68">
        <v>3941</v>
      </c>
      <c r="F1382" s="68">
        <v>3933</v>
      </c>
      <c r="G1382" s="13">
        <f t="shared" si="273"/>
        <v>-8</v>
      </c>
      <c r="H1382" s="13">
        <f t="shared" si="274"/>
        <v>45</v>
      </c>
      <c r="I1382" s="73">
        <f t="shared" si="275"/>
        <v>1.1574074074074181E-2</v>
      </c>
      <c r="J1382" s="73">
        <f t="shared" si="276"/>
        <v>-2.0299416391779124E-3</v>
      </c>
      <c r="K1382" s="72" t="str">
        <f t="shared" si="277"/>
        <v>MAJA2</v>
      </c>
      <c r="L1382" s="72" t="str">
        <f t="shared" si="278"/>
        <v>SEPTEMBER-4-MAJA2</v>
      </c>
      <c r="M1382" s="73">
        <f t="shared" si="279"/>
        <v>6.2470812242770291E-2</v>
      </c>
      <c r="N1382" s="73">
        <f t="shared" si="280"/>
        <v>0.31150240424645759</v>
      </c>
      <c r="O1382" s="13">
        <f t="shared" si="281"/>
        <v>1013903</v>
      </c>
      <c r="P1382" s="13">
        <f t="shared" si="282"/>
        <v>1020738</v>
      </c>
      <c r="Q1382" s="13">
        <f t="shared" si="283"/>
        <v>1015819</v>
      </c>
      <c r="R1382" s="33">
        <f t="shared" si="284"/>
        <v>1.8897271237978686E-3</v>
      </c>
      <c r="S1382" s="33">
        <f t="shared" si="285"/>
        <v>-4.8190622863065746E-3</v>
      </c>
    </row>
    <row r="1383" spans="1:19" x14ac:dyDescent="0.25">
      <c r="A1383" t="s">
        <v>43</v>
      </c>
      <c r="B1383">
        <v>4</v>
      </c>
      <c r="C1383" t="s">
        <v>74</v>
      </c>
      <c r="D1383" s="68">
        <v>7344</v>
      </c>
      <c r="E1383" s="68">
        <v>7428</v>
      </c>
      <c r="F1383" s="68">
        <v>7431</v>
      </c>
      <c r="G1383" s="13">
        <f t="shared" si="273"/>
        <v>3</v>
      </c>
      <c r="H1383" s="13">
        <f t="shared" si="274"/>
        <v>87</v>
      </c>
      <c r="I1383" s="73">
        <f t="shared" si="275"/>
        <v>1.1846405228758128E-2</v>
      </c>
      <c r="J1383" s="73">
        <f t="shared" si="276"/>
        <v>4.0387722132462223E-4</v>
      </c>
      <c r="K1383" s="72" t="str">
        <f t="shared" si="277"/>
        <v>MAJA2</v>
      </c>
      <c r="L1383" s="72" t="str">
        <f t="shared" si="278"/>
        <v>SEPTEMBER-4-MAJA2</v>
      </c>
      <c r="M1383" s="73">
        <f t="shared" si="279"/>
        <v>6.2470812242770291E-2</v>
      </c>
      <c r="N1383" s="73">
        <f t="shared" si="280"/>
        <v>0.31150240424645759</v>
      </c>
      <c r="O1383" s="13">
        <f t="shared" si="281"/>
        <v>1013903</v>
      </c>
      <c r="P1383" s="13">
        <f t="shared" si="282"/>
        <v>1020738</v>
      </c>
      <c r="Q1383" s="13">
        <f t="shared" si="283"/>
        <v>1015819</v>
      </c>
      <c r="R1383" s="33">
        <f t="shared" si="284"/>
        <v>1.8897271237978686E-3</v>
      </c>
      <c r="S1383" s="33">
        <f t="shared" si="285"/>
        <v>-4.8190622863065746E-3</v>
      </c>
    </row>
    <row r="1384" spans="1:19" x14ac:dyDescent="0.25">
      <c r="A1384" t="s">
        <v>43</v>
      </c>
      <c r="B1384">
        <v>4</v>
      </c>
      <c r="C1384" t="s">
        <v>74</v>
      </c>
      <c r="D1384" s="68">
        <v>1080</v>
      </c>
      <c r="E1384" s="70">
        <v>1091</v>
      </c>
      <c r="F1384" s="70">
        <v>1089</v>
      </c>
      <c r="G1384" s="13">
        <f t="shared" si="273"/>
        <v>-2</v>
      </c>
      <c r="H1384" s="13">
        <f t="shared" si="274"/>
        <v>9</v>
      </c>
      <c r="I1384" s="73">
        <f t="shared" si="275"/>
        <v>8.3333333333333037E-3</v>
      </c>
      <c r="J1384" s="73">
        <f t="shared" si="276"/>
        <v>-1.8331805682859637E-3</v>
      </c>
      <c r="K1384" s="72" t="str">
        <f t="shared" si="277"/>
        <v>MAJA2</v>
      </c>
      <c r="L1384" s="72" t="str">
        <f t="shared" si="278"/>
        <v>SEPTEMBER-4-MAJA2</v>
      </c>
      <c r="M1384" s="73">
        <f t="shared" si="279"/>
        <v>6.2470812242770291E-2</v>
      </c>
      <c r="N1384" s="73">
        <f t="shared" si="280"/>
        <v>0.31150240424645759</v>
      </c>
      <c r="O1384" s="13">
        <f t="shared" si="281"/>
        <v>1013903</v>
      </c>
      <c r="P1384" s="13">
        <f t="shared" si="282"/>
        <v>1020738</v>
      </c>
      <c r="Q1384" s="13">
        <f t="shared" si="283"/>
        <v>1015819</v>
      </c>
      <c r="R1384" s="33">
        <f t="shared" si="284"/>
        <v>1.8897271237978686E-3</v>
      </c>
      <c r="S1384" s="33">
        <f t="shared" si="285"/>
        <v>-4.8190622863065746E-3</v>
      </c>
    </row>
    <row r="1385" spans="1:19" x14ac:dyDescent="0.25">
      <c r="A1385" t="s">
        <v>43</v>
      </c>
      <c r="B1385">
        <v>4</v>
      </c>
      <c r="C1385" t="s">
        <v>74</v>
      </c>
      <c r="D1385" s="68">
        <v>10476</v>
      </c>
      <c r="E1385" s="70">
        <v>10902</v>
      </c>
      <c r="F1385" s="70">
        <v>10878</v>
      </c>
      <c r="G1385" s="13">
        <f t="shared" si="273"/>
        <v>-24</v>
      </c>
      <c r="H1385" s="13">
        <f t="shared" si="274"/>
        <v>402</v>
      </c>
      <c r="I1385" s="73">
        <f t="shared" si="275"/>
        <v>3.8373424971363201E-2</v>
      </c>
      <c r="J1385" s="73">
        <f t="shared" si="276"/>
        <v>-2.2014309301046087E-3</v>
      </c>
      <c r="K1385" s="72" t="str">
        <f t="shared" si="277"/>
        <v>MAJA2</v>
      </c>
      <c r="L1385" s="72" t="str">
        <f t="shared" si="278"/>
        <v>SEPTEMBER-4-MAJA2</v>
      </c>
      <c r="M1385" s="73">
        <f t="shared" si="279"/>
        <v>6.2470812242770291E-2</v>
      </c>
      <c r="N1385" s="73">
        <f t="shared" si="280"/>
        <v>0.31150240424645759</v>
      </c>
      <c r="O1385" s="13">
        <f t="shared" si="281"/>
        <v>1013903</v>
      </c>
      <c r="P1385" s="13">
        <f t="shared" si="282"/>
        <v>1020738</v>
      </c>
      <c r="Q1385" s="13">
        <f t="shared" si="283"/>
        <v>1015819</v>
      </c>
      <c r="R1385" s="33">
        <f t="shared" si="284"/>
        <v>1.8897271237978686E-3</v>
      </c>
      <c r="S1385" s="33">
        <f t="shared" si="285"/>
        <v>-4.8190622863065746E-3</v>
      </c>
    </row>
    <row r="1386" spans="1:19" x14ac:dyDescent="0.25">
      <c r="A1386" t="s">
        <v>43</v>
      </c>
      <c r="B1386">
        <v>4</v>
      </c>
      <c r="C1386" t="s">
        <v>74</v>
      </c>
      <c r="D1386" s="68">
        <v>1080</v>
      </c>
      <c r="E1386" s="70">
        <v>1118</v>
      </c>
      <c r="F1386" s="70">
        <v>1116</v>
      </c>
      <c r="G1386" s="13">
        <f t="shared" si="273"/>
        <v>-2</v>
      </c>
      <c r="H1386" s="13">
        <f t="shared" si="274"/>
        <v>36</v>
      </c>
      <c r="I1386" s="73">
        <f t="shared" si="275"/>
        <v>3.3333333333333437E-2</v>
      </c>
      <c r="J1386" s="73">
        <f t="shared" si="276"/>
        <v>-1.7889087656529634E-3</v>
      </c>
      <c r="K1386" s="72" t="str">
        <f t="shared" si="277"/>
        <v>MAJA2</v>
      </c>
      <c r="L1386" s="72" t="str">
        <f t="shared" si="278"/>
        <v>SEPTEMBER-4-MAJA2</v>
      </c>
      <c r="M1386" s="73">
        <f t="shared" si="279"/>
        <v>6.2470812242770291E-2</v>
      </c>
      <c r="N1386" s="73">
        <f t="shared" si="280"/>
        <v>0.31150240424645759</v>
      </c>
      <c r="O1386" s="13">
        <f t="shared" si="281"/>
        <v>1013903</v>
      </c>
      <c r="P1386" s="13">
        <f t="shared" si="282"/>
        <v>1020738</v>
      </c>
      <c r="Q1386" s="13">
        <f t="shared" si="283"/>
        <v>1015819</v>
      </c>
      <c r="R1386" s="33">
        <f t="shared" si="284"/>
        <v>1.8897271237978686E-3</v>
      </c>
      <c r="S1386" s="33">
        <f t="shared" si="285"/>
        <v>-4.8190622863065746E-3</v>
      </c>
    </row>
    <row r="1387" spans="1:19" x14ac:dyDescent="0.25">
      <c r="A1387" t="s">
        <v>43</v>
      </c>
      <c r="B1387">
        <v>4</v>
      </c>
      <c r="C1387" t="s">
        <v>74</v>
      </c>
      <c r="D1387" s="68">
        <v>5940</v>
      </c>
      <c r="E1387" s="70">
        <v>5940</v>
      </c>
      <c r="F1387" s="70">
        <v>5925</v>
      </c>
      <c r="G1387" s="13">
        <f t="shared" si="273"/>
        <v>-15</v>
      </c>
      <c r="H1387" s="13">
        <f t="shared" si="274"/>
        <v>-15</v>
      </c>
      <c r="I1387" s="73">
        <f t="shared" si="275"/>
        <v>-2.525252525252486E-3</v>
      </c>
      <c r="J1387" s="73">
        <f t="shared" si="276"/>
        <v>-2.525252525252486E-3</v>
      </c>
      <c r="K1387" s="72" t="str">
        <f t="shared" si="277"/>
        <v>MAJA2</v>
      </c>
      <c r="L1387" s="72" t="str">
        <f t="shared" si="278"/>
        <v>SEPTEMBER-4-MAJA2</v>
      </c>
      <c r="M1387" s="73">
        <f t="shared" si="279"/>
        <v>6.2470812242770291E-2</v>
      </c>
      <c r="N1387" s="73">
        <f t="shared" si="280"/>
        <v>0.31150240424645759</v>
      </c>
      <c r="O1387" s="13">
        <f t="shared" si="281"/>
        <v>1013903</v>
      </c>
      <c r="P1387" s="13">
        <f t="shared" si="282"/>
        <v>1020738</v>
      </c>
      <c r="Q1387" s="13">
        <f t="shared" si="283"/>
        <v>1015819</v>
      </c>
      <c r="R1387" s="33">
        <f t="shared" si="284"/>
        <v>1.8897271237978686E-3</v>
      </c>
      <c r="S1387" s="33">
        <f t="shared" si="285"/>
        <v>-4.8190622863065746E-3</v>
      </c>
    </row>
    <row r="1388" spans="1:19" x14ac:dyDescent="0.25">
      <c r="A1388" t="s">
        <v>43</v>
      </c>
      <c r="B1388">
        <v>4</v>
      </c>
      <c r="C1388" t="s">
        <v>74</v>
      </c>
      <c r="D1388" s="68">
        <v>3996</v>
      </c>
      <c r="E1388" s="70">
        <v>2933</v>
      </c>
      <c r="F1388" s="70">
        <v>3996</v>
      </c>
      <c r="G1388" s="13">
        <f t="shared" si="273"/>
        <v>1063</v>
      </c>
      <c r="H1388" s="13">
        <f t="shared" si="274"/>
        <v>0</v>
      </c>
      <c r="I1388" s="73">
        <f t="shared" si="275"/>
        <v>0</v>
      </c>
      <c r="J1388" s="73">
        <f t="shared" si="276"/>
        <v>0.36242754858506654</v>
      </c>
      <c r="K1388" s="72" t="str">
        <f t="shared" si="277"/>
        <v>MAJA2</v>
      </c>
      <c r="L1388" s="72" t="str">
        <f t="shared" si="278"/>
        <v>SEPTEMBER-4-MAJA2</v>
      </c>
      <c r="M1388" s="73">
        <f t="shared" si="279"/>
        <v>6.2470812242770291E-2</v>
      </c>
      <c r="N1388" s="73">
        <f t="shared" si="280"/>
        <v>0.31150240424645759</v>
      </c>
      <c r="O1388" s="13">
        <f t="shared" si="281"/>
        <v>1013903</v>
      </c>
      <c r="P1388" s="13">
        <f t="shared" si="282"/>
        <v>1020738</v>
      </c>
      <c r="Q1388" s="13">
        <f t="shared" si="283"/>
        <v>1015819</v>
      </c>
      <c r="R1388" s="33">
        <f t="shared" si="284"/>
        <v>1.8897271237978686E-3</v>
      </c>
      <c r="S1388" s="33">
        <f t="shared" si="285"/>
        <v>-4.8190622863065746E-3</v>
      </c>
    </row>
    <row r="1389" spans="1:19" x14ac:dyDescent="0.25">
      <c r="A1389" t="s">
        <v>43</v>
      </c>
      <c r="B1389">
        <v>4</v>
      </c>
      <c r="C1389" t="s">
        <v>74</v>
      </c>
      <c r="D1389" s="68">
        <v>8316</v>
      </c>
      <c r="E1389" s="70">
        <v>8327</v>
      </c>
      <c r="F1389" s="70">
        <v>8316</v>
      </c>
      <c r="G1389" s="13">
        <f t="shared" si="273"/>
        <v>-11</v>
      </c>
      <c r="H1389" s="13">
        <f t="shared" si="274"/>
        <v>0</v>
      </c>
      <c r="I1389" s="73">
        <f t="shared" si="275"/>
        <v>0</v>
      </c>
      <c r="J1389" s="73">
        <f t="shared" si="276"/>
        <v>-1.3210039630119352E-3</v>
      </c>
      <c r="K1389" s="72" t="str">
        <f t="shared" si="277"/>
        <v>MAJA2</v>
      </c>
      <c r="L1389" s="72" t="str">
        <f t="shared" si="278"/>
        <v>SEPTEMBER-4-MAJA2</v>
      </c>
      <c r="M1389" s="73">
        <f t="shared" si="279"/>
        <v>6.2470812242770291E-2</v>
      </c>
      <c r="N1389" s="73">
        <f t="shared" si="280"/>
        <v>0.31150240424645759</v>
      </c>
      <c r="O1389" s="13">
        <f t="shared" si="281"/>
        <v>1013903</v>
      </c>
      <c r="P1389" s="13">
        <f t="shared" si="282"/>
        <v>1020738</v>
      </c>
      <c r="Q1389" s="13">
        <f t="shared" si="283"/>
        <v>1015819</v>
      </c>
      <c r="R1389" s="33">
        <f t="shared" si="284"/>
        <v>1.8897271237978686E-3</v>
      </c>
      <c r="S1389" s="33">
        <f t="shared" si="285"/>
        <v>-4.8190622863065746E-3</v>
      </c>
    </row>
    <row r="1390" spans="1:19" x14ac:dyDescent="0.25">
      <c r="A1390" t="s">
        <v>43</v>
      </c>
      <c r="B1390">
        <v>4</v>
      </c>
      <c r="C1390" t="s">
        <v>74</v>
      </c>
      <c r="D1390" s="68">
        <v>11520</v>
      </c>
      <c r="E1390" s="70">
        <v>11481</v>
      </c>
      <c r="F1390" s="70">
        <v>11316</v>
      </c>
      <c r="G1390" s="13">
        <f t="shared" si="273"/>
        <v>-165</v>
      </c>
      <c r="H1390" s="13">
        <f t="shared" si="274"/>
        <v>-204</v>
      </c>
      <c r="I1390" s="73">
        <f t="shared" si="275"/>
        <v>-1.7708333333333326E-2</v>
      </c>
      <c r="J1390" s="73">
        <f t="shared" si="276"/>
        <v>-1.4371570420695035E-2</v>
      </c>
      <c r="K1390" s="72" t="str">
        <f t="shared" si="277"/>
        <v>MAJA2</v>
      </c>
      <c r="L1390" s="72" t="str">
        <f t="shared" si="278"/>
        <v>SEPTEMBER-4-MAJA2</v>
      </c>
      <c r="M1390" s="73">
        <f t="shared" si="279"/>
        <v>6.2470812242770291E-2</v>
      </c>
      <c r="N1390" s="73">
        <f t="shared" si="280"/>
        <v>0.31150240424645759</v>
      </c>
      <c r="O1390" s="13">
        <f t="shared" si="281"/>
        <v>1013903</v>
      </c>
      <c r="P1390" s="13">
        <f t="shared" si="282"/>
        <v>1020738</v>
      </c>
      <c r="Q1390" s="13">
        <f t="shared" si="283"/>
        <v>1015819</v>
      </c>
      <c r="R1390" s="33">
        <f t="shared" si="284"/>
        <v>1.8897271237978686E-3</v>
      </c>
      <c r="S1390" s="33">
        <f t="shared" si="285"/>
        <v>-4.8190622863065746E-3</v>
      </c>
    </row>
    <row r="1391" spans="1:19" x14ac:dyDescent="0.25">
      <c r="A1391" t="s">
        <v>43</v>
      </c>
      <c r="B1391">
        <v>4</v>
      </c>
      <c r="C1391" t="s">
        <v>74</v>
      </c>
      <c r="D1391" s="68">
        <v>5760</v>
      </c>
      <c r="E1391" s="70">
        <v>5769</v>
      </c>
      <c r="F1391" s="70">
        <v>5716</v>
      </c>
      <c r="G1391" s="13">
        <f t="shared" si="273"/>
        <v>-53</v>
      </c>
      <c r="H1391" s="13">
        <f t="shared" si="274"/>
        <v>-44</v>
      </c>
      <c r="I1391" s="73">
        <f t="shared" si="275"/>
        <v>-7.6388888888888618E-3</v>
      </c>
      <c r="J1391" s="73">
        <f t="shared" si="276"/>
        <v>-9.187034148032569E-3</v>
      </c>
      <c r="K1391" s="72" t="str">
        <f t="shared" si="277"/>
        <v>MAJA2</v>
      </c>
      <c r="L1391" s="72" t="str">
        <f t="shared" si="278"/>
        <v>SEPTEMBER-4-MAJA2</v>
      </c>
      <c r="M1391" s="73">
        <f t="shared" si="279"/>
        <v>6.2470812242770291E-2</v>
      </c>
      <c r="N1391" s="73">
        <f t="shared" si="280"/>
        <v>0.31150240424645759</v>
      </c>
      <c r="O1391" s="13">
        <f t="shared" si="281"/>
        <v>1013903</v>
      </c>
      <c r="P1391" s="13">
        <f t="shared" si="282"/>
        <v>1020738</v>
      </c>
      <c r="Q1391" s="13">
        <f t="shared" si="283"/>
        <v>1015819</v>
      </c>
      <c r="R1391" s="33">
        <f t="shared" si="284"/>
        <v>1.8897271237978686E-3</v>
      </c>
      <c r="S1391" s="33">
        <f t="shared" si="285"/>
        <v>-4.8190622863065746E-3</v>
      </c>
    </row>
    <row r="1392" spans="1:19" x14ac:dyDescent="0.25">
      <c r="A1392" t="s">
        <v>43</v>
      </c>
      <c r="B1392">
        <v>4</v>
      </c>
      <c r="C1392" t="s">
        <v>74</v>
      </c>
      <c r="D1392" s="68">
        <v>15552</v>
      </c>
      <c r="E1392" s="70">
        <v>15563</v>
      </c>
      <c r="F1392" s="70">
        <v>15348</v>
      </c>
      <c r="G1392" s="13">
        <f t="shared" si="273"/>
        <v>-215</v>
      </c>
      <c r="H1392" s="13">
        <f t="shared" si="274"/>
        <v>-204</v>
      </c>
      <c r="I1392" s="73">
        <f t="shared" si="275"/>
        <v>-1.3117283950617287E-2</v>
      </c>
      <c r="J1392" s="73">
        <f t="shared" si="276"/>
        <v>-1.3814817194628293E-2</v>
      </c>
      <c r="K1392" s="72" t="str">
        <f t="shared" si="277"/>
        <v>MAJA2</v>
      </c>
      <c r="L1392" s="72" t="str">
        <f t="shared" si="278"/>
        <v>SEPTEMBER-4-MAJA2</v>
      </c>
      <c r="M1392" s="73">
        <f t="shared" si="279"/>
        <v>6.2470812242770291E-2</v>
      </c>
      <c r="N1392" s="73">
        <f t="shared" si="280"/>
        <v>0.31150240424645759</v>
      </c>
      <c r="O1392" s="13">
        <f t="shared" si="281"/>
        <v>1013903</v>
      </c>
      <c r="P1392" s="13">
        <f t="shared" si="282"/>
        <v>1020738</v>
      </c>
      <c r="Q1392" s="13">
        <f t="shared" si="283"/>
        <v>1015819</v>
      </c>
      <c r="R1392" s="33">
        <f t="shared" si="284"/>
        <v>1.8897271237978686E-3</v>
      </c>
      <c r="S1392" s="33">
        <f t="shared" si="285"/>
        <v>-4.8190622863065746E-3</v>
      </c>
    </row>
    <row r="1393" spans="1:19" x14ac:dyDescent="0.25">
      <c r="A1393" t="s">
        <v>43</v>
      </c>
      <c r="B1393">
        <v>4</v>
      </c>
      <c r="C1393" t="s">
        <v>74</v>
      </c>
      <c r="D1393" s="68">
        <v>6192</v>
      </c>
      <c r="E1393" s="70">
        <v>6206</v>
      </c>
      <c r="F1393" s="70">
        <v>6192</v>
      </c>
      <c r="G1393" s="13">
        <f t="shared" si="273"/>
        <v>-14</v>
      </c>
      <c r="H1393" s="13">
        <f t="shared" si="274"/>
        <v>0</v>
      </c>
      <c r="I1393" s="73">
        <f t="shared" si="275"/>
        <v>0</v>
      </c>
      <c r="J1393" s="73">
        <f t="shared" si="276"/>
        <v>-2.2558814050918086E-3</v>
      </c>
      <c r="K1393" s="72" t="str">
        <f t="shared" si="277"/>
        <v>MAJA2</v>
      </c>
      <c r="L1393" s="72" t="str">
        <f t="shared" si="278"/>
        <v>SEPTEMBER-4-MAJA2</v>
      </c>
      <c r="M1393" s="73">
        <f t="shared" si="279"/>
        <v>6.2470812242770291E-2</v>
      </c>
      <c r="N1393" s="73">
        <f t="shared" si="280"/>
        <v>0.31150240424645759</v>
      </c>
      <c r="O1393" s="13">
        <f t="shared" si="281"/>
        <v>1013903</v>
      </c>
      <c r="P1393" s="13">
        <f t="shared" si="282"/>
        <v>1020738</v>
      </c>
      <c r="Q1393" s="13">
        <f t="shared" si="283"/>
        <v>1015819</v>
      </c>
      <c r="R1393" s="33">
        <f t="shared" si="284"/>
        <v>1.8897271237978686E-3</v>
      </c>
      <c r="S1393" s="33">
        <f t="shared" si="285"/>
        <v>-4.8190622863065746E-3</v>
      </c>
    </row>
    <row r="1394" spans="1:19" x14ac:dyDescent="0.25">
      <c r="A1394" t="s">
        <v>43</v>
      </c>
      <c r="B1394">
        <v>4</v>
      </c>
      <c r="C1394" t="s">
        <v>13</v>
      </c>
      <c r="D1394" s="70">
        <v>29376</v>
      </c>
      <c r="E1394" s="70">
        <v>29670</v>
      </c>
      <c r="F1394" s="68">
        <v>29622</v>
      </c>
      <c r="G1394" s="13">
        <f t="shared" si="273"/>
        <v>-48</v>
      </c>
      <c r="H1394" s="13">
        <f t="shared" si="274"/>
        <v>246</v>
      </c>
      <c r="I1394" s="73">
        <f t="shared" si="275"/>
        <v>8.374183006536029E-3</v>
      </c>
      <c r="J1394" s="73">
        <f t="shared" si="276"/>
        <v>-1.6177957532861331E-3</v>
      </c>
      <c r="K1394" s="72" t="str">
        <f t="shared" si="277"/>
        <v>KALIBENDA</v>
      </c>
      <c r="L1394" s="72" t="str">
        <f t="shared" si="278"/>
        <v>SEPTEMBER-4-KALIBENDA</v>
      </c>
      <c r="M1394" s="73">
        <f t="shared" si="279"/>
        <v>6.7267532284110976E-3</v>
      </c>
      <c r="N1394" s="73">
        <f t="shared" si="280"/>
        <v>-3.2652255314110645E-3</v>
      </c>
      <c r="O1394" s="13">
        <f t="shared" si="281"/>
        <v>1013903</v>
      </c>
      <c r="P1394" s="13">
        <f t="shared" si="282"/>
        <v>1020738</v>
      </c>
      <c r="Q1394" s="13">
        <f t="shared" si="283"/>
        <v>1015819</v>
      </c>
      <c r="R1394" s="33">
        <f t="shared" si="284"/>
        <v>1.8897271237978686E-3</v>
      </c>
      <c r="S1394" s="33">
        <f t="shared" si="285"/>
        <v>-4.8190622863065746E-3</v>
      </c>
    </row>
    <row r="1395" spans="1:19" x14ac:dyDescent="0.25">
      <c r="A1395" t="s">
        <v>43</v>
      </c>
      <c r="B1395">
        <v>4</v>
      </c>
      <c r="C1395" t="s">
        <v>13</v>
      </c>
      <c r="D1395" s="70">
        <v>18036</v>
      </c>
      <c r="E1395" s="70">
        <v>18036</v>
      </c>
      <c r="F1395" s="68">
        <v>18015</v>
      </c>
      <c r="G1395" s="13">
        <f t="shared" si="273"/>
        <v>-21</v>
      </c>
      <c r="H1395" s="13">
        <f t="shared" si="274"/>
        <v>-21</v>
      </c>
      <c r="I1395" s="73">
        <f t="shared" si="275"/>
        <v>-1.1643379906852713E-3</v>
      </c>
      <c r="J1395" s="73">
        <f t="shared" si="276"/>
        <v>-1.1643379906852713E-3</v>
      </c>
      <c r="K1395" s="72" t="str">
        <f t="shared" si="277"/>
        <v>KALIBENDA</v>
      </c>
      <c r="L1395" s="72" t="str">
        <f t="shared" si="278"/>
        <v>SEPTEMBER-4-KALIBENDA</v>
      </c>
      <c r="M1395" s="73">
        <f t="shared" si="279"/>
        <v>6.7267532284110976E-3</v>
      </c>
      <c r="N1395" s="73">
        <f t="shared" si="280"/>
        <v>-3.2652255314110645E-3</v>
      </c>
      <c r="O1395" s="13">
        <f t="shared" si="281"/>
        <v>1013903</v>
      </c>
      <c r="P1395" s="13">
        <f t="shared" si="282"/>
        <v>1020738</v>
      </c>
      <c r="Q1395" s="13">
        <f t="shared" si="283"/>
        <v>1015819</v>
      </c>
      <c r="R1395" s="33">
        <f t="shared" si="284"/>
        <v>1.8897271237978686E-3</v>
      </c>
      <c r="S1395" s="33">
        <f t="shared" si="285"/>
        <v>-4.8190622863065746E-3</v>
      </c>
    </row>
    <row r="1396" spans="1:19" x14ac:dyDescent="0.25">
      <c r="A1396" t="s">
        <v>43</v>
      </c>
      <c r="B1396">
        <v>4</v>
      </c>
      <c r="C1396" t="s">
        <v>13</v>
      </c>
      <c r="D1396" s="70">
        <v>12420</v>
      </c>
      <c r="E1396" s="70">
        <v>12420</v>
      </c>
      <c r="F1396" s="70">
        <v>12414</v>
      </c>
      <c r="G1396" s="13">
        <f t="shared" si="273"/>
        <v>-6</v>
      </c>
      <c r="H1396" s="13">
        <f t="shared" si="274"/>
        <v>-6</v>
      </c>
      <c r="I1396" s="73">
        <f t="shared" si="275"/>
        <v>-4.8309178743966008E-4</v>
      </c>
      <c r="J1396" s="73">
        <f t="shared" si="276"/>
        <v>-4.8309178743966008E-4</v>
      </c>
      <c r="K1396" s="72" t="str">
        <f t="shared" si="277"/>
        <v>KALIBENDA</v>
      </c>
      <c r="L1396" s="72" t="str">
        <f t="shared" si="278"/>
        <v>SEPTEMBER-4-KALIBENDA</v>
      </c>
      <c r="M1396" s="73">
        <f t="shared" si="279"/>
        <v>6.7267532284110976E-3</v>
      </c>
      <c r="N1396" s="73">
        <f t="shared" si="280"/>
        <v>-3.2652255314110645E-3</v>
      </c>
      <c r="O1396" s="13">
        <f t="shared" si="281"/>
        <v>1013903</v>
      </c>
      <c r="P1396" s="13">
        <f t="shared" si="282"/>
        <v>1020738</v>
      </c>
      <c r="Q1396" s="13">
        <f t="shared" si="283"/>
        <v>1015819</v>
      </c>
      <c r="R1396" s="33">
        <f t="shared" si="284"/>
        <v>1.8897271237978686E-3</v>
      </c>
      <c r="S1396" s="33">
        <f t="shared" si="285"/>
        <v>-4.8190622863065746E-3</v>
      </c>
    </row>
  </sheetData>
  <autoFilter ref="A1:S1396" xr:uid="{E7E8451C-B27B-4896-8AAB-A82AC0CE6A5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F3"/>
  <sheetViews>
    <sheetView workbookViewId="0">
      <selection activeCell="A2" sqref="A2"/>
    </sheetView>
  </sheetViews>
  <sheetFormatPr defaultRowHeight="15" x14ac:dyDescent="0.25"/>
  <cols>
    <col min="1" max="1" width="16.140625" bestFit="1" customWidth="1"/>
  </cols>
  <sheetData>
    <row r="1" spans="1:6" x14ac:dyDescent="0.25">
      <c r="A1" t="s">
        <v>78</v>
      </c>
    </row>
    <row r="2" spans="1:6" x14ac:dyDescent="0.25">
      <c r="A2" t="s">
        <v>79</v>
      </c>
      <c r="F2" t="s">
        <v>80</v>
      </c>
    </row>
    <row r="3" spans="1:6" x14ac:dyDescent="0.25">
      <c r="F3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9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91"/>
      <c r="B1" s="91"/>
      <c r="C1" s="92" t="s">
        <v>1</v>
      </c>
      <c r="D1" s="92"/>
      <c r="E1" s="92"/>
      <c r="F1" s="92"/>
      <c r="G1" s="92"/>
      <c r="H1" s="92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91"/>
      <c r="B3" s="96"/>
      <c r="C3" s="2" t="s">
        <v>7</v>
      </c>
      <c r="D3" s="3" t="s">
        <v>5</v>
      </c>
      <c r="E3" s="97" t="s">
        <v>4</v>
      </c>
      <c r="F3" s="98"/>
      <c r="G3" s="3" t="s">
        <v>6</v>
      </c>
      <c r="H3" s="6" t="s">
        <v>2</v>
      </c>
    </row>
    <row r="4" spans="1:11" ht="15" customHeight="1" x14ac:dyDescent="0.25">
      <c r="A4" s="91"/>
      <c r="B4" s="96"/>
      <c r="C4" s="93" t="s">
        <v>60</v>
      </c>
      <c r="D4" s="7" t="s">
        <v>8</v>
      </c>
      <c r="E4" s="1" t="s">
        <v>0</v>
      </c>
      <c r="F4" s="44" t="s">
        <v>61</v>
      </c>
      <c r="G4" s="45" t="str">
        <f ca="1">"NEW INPUT USER - Monitoring Performance Shipment " &amp; F5&amp;".xlsx"</f>
        <v>NEW INPUT USER - Monitoring Performance Shipment 2024.xlsx</v>
      </c>
      <c r="H4" s="94" t="s">
        <v>3</v>
      </c>
      <c r="K4" s="10"/>
    </row>
    <row r="5" spans="1:11" x14ac:dyDescent="0.25">
      <c r="A5" s="91"/>
      <c r="B5" s="96"/>
      <c r="C5" s="93"/>
      <c r="D5" s="7" t="s">
        <v>50</v>
      </c>
      <c r="E5" s="1" t="s">
        <v>0</v>
      </c>
      <c r="F5" s="46" t="str">
        <f ca="1">TEXT(NOW(),"[$-EN-EN]YYYY")</f>
        <v>2024</v>
      </c>
      <c r="G5" s="47"/>
      <c r="H5" s="95"/>
    </row>
    <row r="6" spans="1:11" x14ac:dyDescent="0.25">
      <c r="A6" s="91"/>
      <c r="B6" s="96"/>
      <c r="C6" s="93"/>
      <c r="D6" s="7" t="s">
        <v>69</v>
      </c>
      <c r="E6" s="1" t="s">
        <v>0</v>
      </c>
      <c r="F6" s="46" t="s">
        <v>68</v>
      </c>
      <c r="G6" s="47" t="str">
        <f ca="1">"WOW and MOM Report Performance Shipment " &amp; F5&amp;".xlsx"</f>
        <v>WOW and MOM Report Performance Shipment 2024.xlsx</v>
      </c>
      <c r="H6" s="95"/>
    </row>
    <row r="7" spans="1:11" x14ac:dyDescent="0.25">
      <c r="A7" s="91"/>
      <c r="B7" s="96"/>
      <c r="C7" s="93"/>
      <c r="D7" s="8"/>
      <c r="E7" s="1" t="s">
        <v>0</v>
      </c>
      <c r="F7" s="48"/>
      <c r="G7" s="49"/>
      <c r="H7" s="95"/>
    </row>
    <row r="8" spans="1:11" ht="1.5" customHeight="1" x14ac:dyDescent="0.25">
      <c r="A8" s="91"/>
      <c r="B8" s="96"/>
      <c r="C8" s="12"/>
      <c r="D8" s="12"/>
      <c r="E8" s="12"/>
      <c r="F8" s="12"/>
      <c r="G8" s="12"/>
      <c r="H8" s="12"/>
    </row>
    <row r="9" spans="1:11" ht="7.5" customHeight="1" x14ac:dyDescent="0.25">
      <c r="A9" s="36"/>
      <c r="B9" s="36"/>
      <c r="C9" s="11"/>
      <c r="D9" s="11"/>
      <c r="E9" s="11"/>
      <c r="F9" s="11"/>
      <c r="G9" s="11"/>
      <c r="H9" s="11"/>
    </row>
  </sheetData>
  <mergeCells count="7">
    <mergeCell ref="A1:B1"/>
    <mergeCell ref="C1:H1"/>
    <mergeCell ref="C4:C7"/>
    <mergeCell ref="H4:H7"/>
    <mergeCell ref="A3:A8"/>
    <mergeCell ref="B3:B8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142875</xdr:rowOff>
              </from>
              <to>
                <xdr:col>7</xdr:col>
                <xdr:colOff>1047750</xdr:colOff>
                <xdr:row>5</xdr:row>
                <xdr:rowOff>133350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229CA-3AD1-4D65-A70E-4C775E0C67A3}">
  <sheetPr codeName="Sheet7"/>
  <dimension ref="A1:EC35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/>
    </sheetView>
  </sheetViews>
  <sheetFormatPr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5"/>
  </cols>
  <sheetData>
    <row r="1" spans="1:133" s="54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0" t="s">
        <v>57</v>
      </c>
      <c r="B2" s="77" t="s">
        <v>36</v>
      </c>
      <c r="C2" s="78"/>
      <c r="D2" s="78"/>
      <c r="E2" s="78"/>
      <c r="F2" s="78"/>
      <c r="G2" s="78"/>
      <c r="H2" s="78"/>
      <c r="I2" s="78"/>
      <c r="J2" s="78"/>
      <c r="K2" s="79"/>
      <c r="L2" s="21"/>
      <c r="M2" s="77" t="s">
        <v>34</v>
      </c>
      <c r="N2" s="78"/>
      <c r="O2" s="78"/>
      <c r="P2" s="78"/>
      <c r="Q2" s="78"/>
      <c r="R2" s="78"/>
      <c r="S2" s="78"/>
      <c r="T2" s="78"/>
      <c r="U2" s="78"/>
      <c r="V2" s="79"/>
      <c r="W2" s="21"/>
      <c r="X2" s="77" t="s">
        <v>37</v>
      </c>
      <c r="Y2" s="78"/>
      <c r="Z2" s="78"/>
      <c r="AA2" s="78"/>
      <c r="AB2" s="78"/>
      <c r="AC2" s="78"/>
      <c r="AD2" s="78"/>
      <c r="AE2" s="78"/>
      <c r="AF2" s="78"/>
      <c r="AG2" s="79"/>
      <c r="AH2" s="21"/>
      <c r="AI2" s="77" t="s">
        <v>38</v>
      </c>
      <c r="AJ2" s="78"/>
      <c r="AK2" s="78"/>
      <c r="AL2" s="78"/>
      <c r="AM2" s="78"/>
      <c r="AN2" s="78"/>
      <c r="AO2" s="78"/>
      <c r="AP2" s="78"/>
      <c r="AQ2" s="78"/>
      <c r="AR2" s="79"/>
      <c r="AS2" s="21"/>
      <c r="AT2" s="77" t="s">
        <v>39</v>
      </c>
      <c r="AU2" s="78"/>
      <c r="AV2" s="78"/>
      <c r="AW2" s="78"/>
      <c r="AX2" s="78"/>
      <c r="AY2" s="78"/>
      <c r="AZ2" s="78"/>
      <c r="BA2" s="78"/>
      <c r="BB2" s="78"/>
      <c r="BC2" s="79"/>
      <c r="BD2" s="21"/>
      <c r="BE2" s="77" t="s">
        <v>40</v>
      </c>
      <c r="BF2" s="78"/>
      <c r="BG2" s="78"/>
      <c r="BH2" s="78"/>
      <c r="BI2" s="78"/>
      <c r="BJ2" s="78"/>
      <c r="BK2" s="78"/>
      <c r="BL2" s="78"/>
      <c r="BM2" s="78"/>
      <c r="BN2" s="79"/>
      <c r="BO2" s="21"/>
      <c r="BP2" s="77" t="s">
        <v>41</v>
      </c>
      <c r="BQ2" s="78"/>
      <c r="BR2" s="78"/>
      <c r="BS2" s="78"/>
      <c r="BT2" s="78"/>
      <c r="BU2" s="78"/>
      <c r="BV2" s="78"/>
      <c r="BW2" s="78"/>
      <c r="BX2" s="78"/>
      <c r="BY2" s="79"/>
      <c r="BZ2" s="21"/>
      <c r="CA2" s="77" t="s">
        <v>42</v>
      </c>
      <c r="CB2" s="78"/>
      <c r="CC2" s="78"/>
      <c r="CD2" s="78"/>
      <c r="CE2" s="78"/>
      <c r="CF2" s="78"/>
      <c r="CG2" s="78"/>
      <c r="CH2" s="78"/>
      <c r="CI2" s="78"/>
      <c r="CJ2" s="79"/>
      <c r="CK2" s="21"/>
      <c r="CL2" s="77" t="s">
        <v>43</v>
      </c>
      <c r="CM2" s="78"/>
      <c r="CN2" s="78"/>
      <c r="CO2" s="78"/>
      <c r="CP2" s="78"/>
      <c r="CQ2" s="78"/>
      <c r="CR2" s="78"/>
      <c r="CS2" s="78"/>
      <c r="CT2" s="78"/>
      <c r="CU2" s="79"/>
      <c r="CV2" s="21"/>
      <c r="CW2" s="77" t="s">
        <v>44</v>
      </c>
      <c r="CX2" s="78"/>
      <c r="CY2" s="78"/>
      <c r="CZ2" s="78"/>
      <c r="DA2" s="78"/>
      <c r="DB2" s="78"/>
      <c r="DC2" s="78"/>
      <c r="DD2" s="78"/>
      <c r="DE2" s="78"/>
      <c r="DF2" s="79"/>
      <c r="DG2" s="21"/>
      <c r="DH2" s="77" t="s">
        <v>45</v>
      </c>
      <c r="DI2" s="78"/>
      <c r="DJ2" s="78"/>
      <c r="DK2" s="78"/>
      <c r="DL2" s="78"/>
      <c r="DM2" s="78"/>
      <c r="DN2" s="78"/>
      <c r="DO2" s="78"/>
      <c r="DP2" s="78"/>
      <c r="DQ2" s="79"/>
      <c r="DR2" s="21"/>
      <c r="DS2" s="77" t="s">
        <v>46</v>
      </c>
      <c r="DT2" s="78"/>
      <c r="DU2" s="78"/>
      <c r="DV2" s="78"/>
      <c r="DW2" s="78"/>
      <c r="DX2" s="78"/>
      <c r="DY2" s="78"/>
      <c r="DZ2" s="78"/>
      <c r="EA2" s="78"/>
      <c r="EB2" s="79"/>
      <c r="EC2" s="21"/>
    </row>
    <row r="3" spans="1:133" ht="15.75" x14ac:dyDescent="0.3">
      <c r="A3" s="80"/>
      <c r="B3" s="83" t="s">
        <v>23</v>
      </c>
      <c r="C3" s="83"/>
      <c r="D3" s="83"/>
      <c r="E3" s="83"/>
      <c r="F3" s="83"/>
      <c r="G3" s="82" t="s">
        <v>24</v>
      </c>
      <c r="H3" s="82"/>
      <c r="I3" s="82"/>
      <c r="J3" s="82"/>
      <c r="K3" s="82"/>
      <c r="L3" s="28"/>
      <c r="M3" s="83" t="s">
        <v>23</v>
      </c>
      <c r="N3" s="83"/>
      <c r="O3" s="83"/>
      <c r="P3" s="83"/>
      <c r="Q3" s="83"/>
      <c r="R3" s="82" t="s">
        <v>24</v>
      </c>
      <c r="S3" s="82"/>
      <c r="T3" s="82"/>
      <c r="U3" s="82"/>
      <c r="V3" s="82"/>
      <c r="W3" s="28"/>
      <c r="X3" s="83" t="s">
        <v>23</v>
      </c>
      <c r="Y3" s="83"/>
      <c r="Z3" s="83"/>
      <c r="AA3" s="83"/>
      <c r="AB3" s="83"/>
      <c r="AC3" s="82" t="s">
        <v>24</v>
      </c>
      <c r="AD3" s="82"/>
      <c r="AE3" s="82"/>
      <c r="AF3" s="82"/>
      <c r="AG3" s="82"/>
      <c r="AH3" s="28"/>
      <c r="AI3" s="83" t="s">
        <v>23</v>
      </c>
      <c r="AJ3" s="83"/>
      <c r="AK3" s="83"/>
      <c r="AL3" s="83"/>
      <c r="AM3" s="83"/>
      <c r="AN3" s="82" t="s">
        <v>24</v>
      </c>
      <c r="AO3" s="82"/>
      <c r="AP3" s="82"/>
      <c r="AQ3" s="82"/>
      <c r="AR3" s="82"/>
      <c r="AS3" s="28"/>
      <c r="AT3" s="83" t="s">
        <v>23</v>
      </c>
      <c r="AU3" s="83"/>
      <c r="AV3" s="83"/>
      <c r="AW3" s="83"/>
      <c r="AX3" s="83"/>
      <c r="AY3" s="82" t="s">
        <v>24</v>
      </c>
      <c r="AZ3" s="82"/>
      <c r="BA3" s="82"/>
      <c r="BB3" s="82"/>
      <c r="BC3" s="82"/>
      <c r="BD3" s="28"/>
      <c r="BE3" s="83" t="s">
        <v>23</v>
      </c>
      <c r="BF3" s="83"/>
      <c r="BG3" s="83"/>
      <c r="BH3" s="83"/>
      <c r="BI3" s="83"/>
      <c r="BJ3" s="82" t="s">
        <v>24</v>
      </c>
      <c r="BK3" s="82"/>
      <c r="BL3" s="82"/>
      <c r="BM3" s="82"/>
      <c r="BN3" s="82"/>
      <c r="BO3" s="28"/>
      <c r="BP3" s="83" t="s">
        <v>23</v>
      </c>
      <c r="BQ3" s="83"/>
      <c r="BR3" s="83"/>
      <c r="BS3" s="83"/>
      <c r="BT3" s="83"/>
      <c r="BU3" s="82" t="s">
        <v>24</v>
      </c>
      <c r="BV3" s="82"/>
      <c r="BW3" s="82"/>
      <c r="BX3" s="82"/>
      <c r="BY3" s="82"/>
      <c r="BZ3" s="28"/>
      <c r="CA3" s="83" t="s">
        <v>23</v>
      </c>
      <c r="CB3" s="83"/>
      <c r="CC3" s="83"/>
      <c r="CD3" s="83"/>
      <c r="CE3" s="83"/>
      <c r="CF3" s="82" t="s">
        <v>24</v>
      </c>
      <c r="CG3" s="82"/>
      <c r="CH3" s="82"/>
      <c r="CI3" s="82"/>
      <c r="CJ3" s="82"/>
      <c r="CK3" s="28"/>
      <c r="CL3" s="83" t="s">
        <v>23</v>
      </c>
      <c r="CM3" s="83"/>
      <c r="CN3" s="83"/>
      <c r="CO3" s="83"/>
      <c r="CP3" s="83"/>
      <c r="CQ3" s="82" t="s">
        <v>24</v>
      </c>
      <c r="CR3" s="82"/>
      <c r="CS3" s="82"/>
      <c r="CT3" s="82"/>
      <c r="CU3" s="82"/>
      <c r="CV3" s="28"/>
      <c r="CW3" s="83" t="s">
        <v>23</v>
      </c>
      <c r="CX3" s="83"/>
      <c r="CY3" s="83"/>
      <c r="CZ3" s="83"/>
      <c r="DA3" s="83"/>
      <c r="DB3" s="82" t="s">
        <v>24</v>
      </c>
      <c r="DC3" s="82"/>
      <c r="DD3" s="82"/>
      <c r="DE3" s="82"/>
      <c r="DF3" s="82"/>
      <c r="DG3" s="28"/>
      <c r="DH3" s="83" t="s">
        <v>23</v>
      </c>
      <c r="DI3" s="83"/>
      <c r="DJ3" s="83"/>
      <c r="DK3" s="83"/>
      <c r="DL3" s="83"/>
      <c r="DM3" s="82" t="s">
        <v>24</v>
      </c>
      <c r="DN3" s="82"/>
      <c r="DO3" s="82"/>
      <c r="DP3" s="82"/>
      <c r="DQ3" s="82"/>
      <c r="DR3" s="28"/>
      <c r="DS3" s="83" t="s">
        <v>23</v>
      </c>
      <c r="DT3" s="83"/>
      <c r="DU3" s="83"/>
      <c r="DV3" s="83"/>
      <c r="DW3" s="83"/>
      <c r="DX3" s="82" t="s">
        <v>24</v>
      </c>
      <c r="DY3" s="82"/>
      <c r="DZ3" s="82"/>
      <c r="EA3" s="82"/>
      <c r="EB3" s="82"/>
      <c r="EC3" s="28"/>
    </row>
    <row r="4" spans="1:133" s="56" customFormat="1" ht="15" x14ac:dyDescent="0.35">
      <c r="A4" s="81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4" t="s">
        <v>16</v>
      </c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-8.2981238141079161E-2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-0.18982183352462934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-7.0585494505494339E-2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-0.35146388528138528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-4.9518711539469518E-2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-0.70051199626505078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8.1111111111111134E-2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-0.13232650125854006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-0.33685355111173731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-1.790517241379308E-2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4.4999999999999929E-2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-7.0858318226189043E-3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-0.18368749919827676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-0.31210089635026961</v>
      </c>
      <c r="AU6" s="23">
        <f>IFERROR(VLOOKUP($AT$2&amp;"-"&amp; RIGHT(AU$4,1)&amp;"-"&amp;$A6,CC1_InputUser!$L:$N,2,FALSE),0)</f>
        <v>-7.8750000000000098E-2</v>
      </c>
      <c r="AV6" s="23">
        <f>IFERROR(VLOOKUP($AT$2&amp;"-"&amp; RIGHT(AV$4,1)&amp;"-"&amp;$A6,CC1_InputUser!$L:$N,2,FALSE),0)</f>
        <v>-8.563456614509235E-2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-1.8333333333333313E-2</v>
      </c>
      <c r="AY6" s="23">
        <f>IFERROR(VLOOKUP($AT$2&amp;"-"&amp; RIGHT(AY$4,1)&amp;"-"&amp;$A6,CC1_InputUser!$L:$N,3,FALSE),0)</f>
        <v>-0.46664429335981128</v>
      </c>
      <c r="AZ6" s="23">
        <f>IFERROR(VLOOKUP($AT$2&amp;"-"&amp; RIGHT(AZ$4,1)&amp;"-"&amp;$A6,CC1_InputUser!$L:$N,3,FALSE),0)</f>
        <v>-0.13136602428300914</v>
      </c>
      <c r="BA6" s="23">
        <f>IFERROR(VLOOKUP($AT$2&amp;"-"&amp; RIGHT(BA$4,1)&amp;"-"&amp;$A6,CC1_InputUser!$L:$N,3,FALSE),0)</f>
        <v>-3.764011819759383E-2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-5.5815023612968084E-2</v>
      </c>
      <c r="BD6" s="24"/>
      <c r="BE6" s="23">
        <f>IFERROR(VLOOKUP($AT$2&amp;"-"&amp; RIGHT(BE$4,1)&amp;"-"&amp;$A6,CC1_InputUser!$L:$N,2,FALSE),0)</f>
        <v>-0.31210089635026961</v>
      </c>
      <c r="BF6" s="23">
        <f>IFERROR(VLOOKUP($AT$2&amp;"-"&amp; RIGHT(BF$4,1)&amp;"-"&amp;$A6,CC1_InputUser!$L:$N,2,FALSE),0)</f>
        <v>-7.8750000000000098E-2</v>
      </c>
      <c r="BG6" s="23">
        <f>IFERROR(VLOOKUP($AT$2&amp;"-"&amp; RIGHT(BG$4,1)&amp;"-"&amp;$A6,CC1_InputUser!$L:$N,2,FALSE),0)</f>
        <v>-8.563456614509235E-2</v>
      </c>
      <c r="BH6" s="23">
        <f>IFERROR(VLOOKUP($AT$2&amp;"-"&amp; RIGHT(BH$4,1)&amp;"-"&amp;$A6,CC1_InputUser!$L:$N,2,FALSE),0)</f>
        <v>0</v>
      </c>
      <c r="BI6" s="23">
        <f>IFERROR(VLOOKUP($AT$2&amp;"-"&amp; RIGHT(BI$4,1)&amp;"-"&amp;$A6,CC1_InputUser!$L:$N,2,FALSE),0)</f>
        <v>-1.8333333333333313E-2</v>
      </c>
      <c r="BJ6" s="23">
        <f>IFERROR(VLOOKUP($AT$2&amp;"-"&amp; RIGHT(BJ$4,1)&amp;"-"&amp;$A6,CC1_InputUser!$L:$N,3,FALSE),0)</f>
        <v>-0.46664429335981128</v>
      </c>
      <c r="BK6" s="23">
        <f>IFERROR(VLOOKUP($AT$2&amp;"-"&amp; RIGHT(BK$4,1)&amp;"-"&amp;$A6,CC1_InputUser!$L:$N,3,FALSE),0)</f>
        <v>-0.13136602428300914</v>
      </c>
      <c r="BL6" s="23">
        <f>IFERROR(VLOOKUP($AT$2&amp;"-"&amp; RIGHT(BL$4,1)&amp;"-"&amp;$A6,CC1_InputUser!$L:$N,3,FALSE),0)</f>
        <v>-3.764011819759383E-2</v>
      </c>
      <c r="BM6" s="23">
        <f>IFERROR(VLOOKUP($AT$2&amp;"-"&amp; RIGHT(BM$4,1)&amp;"-"&amp;$A6,CC1_InputUser!$L:$N,3,FALSE),0)</f>
        <v>0</v>
      </c>
      <c r="BN6" s="23">
        <f>IFERROR(VLOOKUP($AT$2&amp;"-"&amp; RIGHT(BN$4,1)&amp;"-"&amp;$A6,CC1_InputUser!$L:$N,3,FALSE),0)</f>
        <v>-5.5815023612968084E-2</v>
      </c>
      <c r="BO6" s="24"/>
      <c r="BP6" s="23">
        <f>IFERROR(VLOOKUP($BP$2&amp;"-"&amp; RIGHT(BP$4,1)&amp;"-"&amp;$A6,CC1_InputUser!$L:$N,2,FALSE),0)</f>
        <v>-0.20491666666666664</v>
      </c>
      <c r="BQ6" s="23">
        <f>IFERROR(VLOOKUP($BP$2&amp;"-"&amp; RIGHT(BQ$4,1)&amp;"-"&amp;$A6,CC1_InputUser!$L:$N,2,FALSE),0)</f>
        <v>-0.25791666666666679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-0.28027464194272256</v>
      </c>
      <c r="BV6" s="23">
        <f>IFERROR(VLOOKUP($BP$2&amp;"-"&amp; RIGHT(BV$4,1)&amp;"-"&amp;$A6,CC1_InputUser!$L:$N,3,FALSE),0)</f>
        <v>-0.25721674943839379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-0.22644386551451789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-0.19119967570500929</v>
      </c>
      <c r="CJ6" s="23">
        <f>IFERROR(VLOOKUP($CA$2&amp;"-"&amp; RIGHT(CJ$4,1)&amp;"-"&amp;$A6,CC1_InputUser!$L:$N,3,FALSE),0)</f>
        <v>-2.9971130606516017E-2</v>
      </c>
      <c r="CK6" s="24"/>
      <c r="CL6" s="23">
        <f>IFERROR(VLOOKUP($CL$2&amp;"-"&amp; RIGHT(CL$4,1)&amp;"-"&amp;$A6,CC1_InputUser!$L:$N,2,FALSE),0)</f>
        <v>-8.9121887287024748E-3</v>
      </c>
      <c r="CM6" s="23">
        <f>IFERROR(VLOOKUP($CL$2&amp;"-"&amp; RIGHT(CM$4,1)&amp;"-"&amp;$A6,CC1_InputUser!$L:$N,2,FALSE),0)</f>
        <v>-0.38456521739130434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-9.3017162321499258E-3</v>
      </c>
      <c r="CR6" s="23">
        <f>IFERROR(VLOOKUP($CL$2&amp;"-"&amp; RIGHT(CR$4,1)&amp;"-"&amp;$A6,CC1_InputUser!$L:$N,3,FALSE),0)</f>
        <v>-0.38891247775485172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75" t="s">
        <v>12</v>
      </c>
      <c r="B7" s="23">
        <f>IFERROR(VLOOKUP($B$2&amp;"-"&amp; RIGHT(B$4,1)&amp;"-"&amp;$A7,CC1_InputUser!$L:$N,2,FALSE),0)</f>
        <v>0</v>
      </c>
      <c r="C7" s="23">
        <f>IFERROR(VLOOKUP($B$2&amp;"-"&amp; RIGHT(C$4,1)&amp;"-"&amp;$A7,CC1_InputUser!$L:$N,2,FALSE),0)</f>
        <v>0</v>
      </c>
      <c r="D7" s="23">
        <f>IFERROR(VLOOKUP($B$2&amp;"-"&amp; RIGHT(D$4,1)&amp;"-"&amp;$A7,CC1_InputUser!$L:$N,2,FALSE),0)</f>
        <v>0</v>
      </c>
      <c r="E7" s="23">
        <f>IFERROR(VLOOKUP($B$2&amp;"-"&amp; RIGHT(E$4,1)&amp;"-"&amp;$A7,CC1_InputUser!$L:$N,2,FALSE),0)</f>
        <v>0</v>
      </c>
      <c r="F7" s="23">
        <f>IFERROR(VLOOKUP($B$2&amp;"-"&amp; RIGHT(F$4,1)&amp;"-"&amp;$A7,CC1_InputUser!$L:$N,2,FALSE),0)</f>
        <v>0</v>
      </c>
      <c r="G7" s="23">
        <f>IFERROR(VLOOKUP($B$2&amp;"-"&amp; RIGHT(G$4,1)&amp;"-"&amp;$A7,CC1_InputUser!$L:$N,3,FALSE),0)</f>
        <v>0</v>
      </c>
      <c r="H7" s="23">
        <f>IFERROR(VLOOKUP($B$2&amp;"-"&amp; RIGHT(H$4,1)&amp;"-"&amp;$A7,CC1_InputUser!$L:$N,3,FALSE),0)</f>
        <v>0</v>
      </c>
      <c r="I7" s="23">
        <f>IFERROR(VLOOKUP($B$2&amp;"-"&amp; RIGHT(I$4,1)&amp;"-"&amp;$A7,CC1_InputUser!$L:$N,3,FALSE),0)</f>
        <v>0</v>
      </c>
      <c r="J7" s="23">
        <f>IFERROR(VLOOKUP($B$2&amp;"-"&amp; RIGHT(J$4,1)&amp;"-"&amp;$A7,CC1_InputUser!$L:$N,3,FALSE),0)</f>
        <v>0</v>
      </c>
      <c r="K7" s="23">
        <f>IFERROR(VLOOKUP($B$2&amp;"-"&amp; RIGHT(K$4,1)&amp;"-"&amp;$A7,CC1_InputUser!$L:$N,3,FALSE),0)</f>
        <v>0</v>
      </c>
      <c r="L7" s="26"/>
      <c r="M7" s="23">
        <f>IFERROR(VLOOKUP($M$2&amp;"-"&amp; RIGHT(M$4,1)&amp;"-"&amp;$A7,CC1_InputUser!$L:$N,2,FALSE),0)</f>
        <v>0</v>
      </c>
      <c r="N7" s="23">
        <f>IFERROR(VLOOKUP($M$2&amp;"-"&amp; RIGHT(N$4,1)&amp;"-"&amp;$A7,CC1_InputUser!$L:$N,2,FALSE),0)</f>
        <v>0</v>
      </c>
      <c r="O7" s="23">
        <f>IFERROR(VLOOKUP($M$2&amp;"-"&amp; RIGHT(O$4,1)&amp;"-"&amp;$A7,CC1_InputUser!$L:$N,2,FALSE),0)</f>
        <v>0</v>
      </c>
      <c r="P7" s="23">
        <f>IFERROR(VLOOKUP($M$2&amp;"-"&amp; RIGHT(P$4,1)&amp;"-"&amp;$A7,CC1_InputUser!$L:$N,2,FALSE),0)</f>
        <v>0</v>
      </c>
      <c r="Q7" s="23">
        <f>IFERROR(VLOOKUP($M$2&amp;"-"&amp; RIGHT(Q$4,1)&amp;"-"&amp;$A7,CC1_InputUser!$L:$N,2,FALSE),0)</f>
        <v>0</v>
      </c>
      <c r="R7" s="23">
        <f>IFERROR(VLOOKUP($M$2&amp;"-"&amp; RIGHT(R$4,1)&amp;"-"&amp;$A7,CC1_InputUser!$L:$N,3,FALSE),0)</f>
        <v>0</v>
      </c>
      <c r="S7" s="23">
        <f>IFERROR(VLOOKUP($M$2&amp;"-"&amp; RIGHT(S$4,1)&amp;"-"&amp;$A7,CC1_InputUser!$L:$N,3,FALSE),0)</f>
        <v>0</v>
      </c>
      <c r="T7" s="23">
        <f>IFERROR(VLOOKUP($M$2&amp;"-"&amp; RIGHT(T$4,1)&amp;"-"&amp;$A7,CC1_InputUser!$L:$N,3,FALSE),0)</f>
        <v>0</v>
      </c>
      <c r="U7" s="23">
        <f>IFERROR(VLOOKUP($M$2&amp;"-"&amp; RIGHT(U$4,1)&amp;"-"&amp;$A7,CC1_InputUser!$L:$N,3,FALSE),0)</f>
        <v>0</v>
      </c>
      <c r="V7" s="23">
        <f>IFERROR(VLOOKUP($M$2&amp;"-"&amp; RIGHT(V$4,1)&amp;"-"&amp;$A7,CC1_InputUser!$L:$N,3,FALSE),0)</f>
        <v>0</v>
      </c>
      <c r="W7" s="26"/>
      <c r="X7" s="23">
        <f>IFERROR(VLOOKUP($X$2&amp;"-"&amp; RIGHT(X$4,1)&amp;"-"&amp;$A7,CC1_InputUser!$L:$N,2,FALSE),0)</f>
        <v>0</v>
      </c>
      <c r="Y7" s="23">
        <f>IFERROR(VLOOKUP($X$2&amp;"-"&amp; RIGHT(Y$4,1)&amp;"-"&amp;$A7,CC1_InputUser!$L:$N,2,FALSE),0)</f>
        <v>0</v>
      </c>
      <c r="Z7" s="23">
        <f>IFERROR(VLOOKUP($X$2&amp;"-"&amp; RIGHT(Z$4,1)&amp;"-"&amp;$A7,CC1_InputUser!$L:$N,2,FALSE),0)</f>
        <v>0</v>
      </c>
      <c r="AA7" s="23">
        <f>IFERROR(VLOOKUP($X$2&amp;"-"&amp; RIGHT(AA$4,1)&amp;"-"&amp;$A7,CC1_InputUser!$L:$N,2,FALSE),0)</f>
        <v>0</v>
      </c>
      <c r="AB7" s="23">
        <f>IFERROR(VLOOKUP($X$2&amp;"-"&amp; RIGHT(AB$4,1)&amp;"-"&amp;$A7,CC1_InputUser!$L:$N,2,FALSE),0)</f>
        <v>0</v>
      </c>
      <c r="AC7" s="23">
        <f>IFERROR(VLOOKUP($X$2&amp;"-"&amp; RIGHT(AC$4,1)&amp;"-"&amp;$A7,CC1_InputUser!$L:$N,3,FALSE),0)</f>
        <v>0</v>
      </c>
      <c r="AD7" s="23">
        <f>IFERROR(VLOOKUP($X$2&amp;"-"&amp; RIGHT(AD$4,1)&amp;"-"&amp;$A7,CC1_InputUser!$L:$N,3,FALSE),0)</f>
        <v>0</v>
      </c>
      <c r="AE7" s="23">
        <f>IFERROR(VLOOKUP($X$2&amp;"-"&amp; RIGHT(AE$4,1)&amp;"-"&amp;$A7,CC1_InputUser!$L:$N,3,FALSE),0)</f>
        <v>0</v>
      </c>
      <c r="AF7" s="23">
        <f>IFERROR(VLOOKUP($X$2&amp;"-"&amp; RIGHT(AF$4,1)&amp;"-"&amp;$A7,CC1_InputUser!$L:$N,3,FALSE),0)</f>
        <v>0</v>
      </c>
      <c r="AG7" s="23">
        <f>IFERROR(VLOOKUP($X$2&amp;"-"&amp; RIGHT(AG$4,1)&amp;"-"&amp;$A7,CC1_InputUser!$L:$N,3,FALSE),0)</f>
        <v>0</v>
      </c>
      <c r="AH7" s="26"/>
      <c r="AI7" s="23">
        <f>IFERROR(VLOOKUP($AI$2&amp;"-"&amp; RIGHT(AI$4,1)&amp;"-"&amp;$A7,CC1_InputUser!$L:$N,2,FALSE),0)</f>
        <v>0</v>
      </c>
      <c r="AJ7" s="23">
        <f>IFERROR(VLOOKUP($AI$2&amp;"-"&amp; RIGHT(AJ$4,1)&amp;"-"&amp;$A7,CC1_InputUser!$L:$N,2,FALSE),0)</f>
        <v>0</v>
      </c>
      <c r="AK7" s="23">
        <f>IFERROR(VLOOKUP($AI$2&amp;"-"&amp; RIGHT(AK$4,1)&amp;"-"&amp;$A7,CC1_InputUser!$L:$N,2,FALSE),0)</f>
        <v>0</v>
      </c>
      <c r="AL7" s="23">
        <f>IFERROR(VLOOKUP($AI$2&amp;"-"&amp; RIGHT(AL$4,1)&amp;"-"&amp;$A7,CC1_InputUser!$L:$N,2,FALSE),0)</f>
        <v>0</v>
      </c>
      <c r="AM7" s="23">
        <f>IFERROR(VLOOKUP($AI$2&amp;"-"&amp; RIGHT(AM$4,1)&amp;"-"&amp;$A7,CC1_InputUser!$L:$N,2,FALSE),0)</f>
        <v>0</v>
      </c>
      <c r="AN7" s="23">
        <f>IFERROR(VLOOKUP($AI$2&amp;"-"&amp; RIGHT(AN$4,1)&amp;"-"&amp;$A7,CC1_InputUser!$L:$N,3,FALSE),0)</f>
        <v>0</v>
      </c>
      <c r="AO7" s="23">
        <f>IFERROR(VLOOKUP($AI$2&amp;"-"&amp; RIGHT(AO$4,1)&amp;"-"&amp;$A7,CC1_InputUser!$L:$N,3,FALSE),0)</f>
        <v>0</v>
      </c>
      <c r="AP7" s="23">
        <f>IFERROR(VLOOKUP($AI$2&amp;"-"&amp; RIGHT(AP$4,1)&amp;"-"&amp;$A7,CC1_InputUser!$L:$N,3,FALSE),0)</f>
        <v>0</v>
      </c>
      <c r="AQ7" s="23">
        <f>IFERROR(VLOOKUP($AI$2&amp;"-"&amp; RIGHT(AQ$4,1)&amp;"-"&amp;$A7,CC1_InputUser!$L:$N,3,FALSE),0)</f>
        <v>0</v>
      </c>
      <c r="AR7" s="23">
        <f>IFERROR(VLOOKUP($AI$2&amp;"-"&amp; RIGHT(AR$4,1)&amp;"-"&amp;$A7,CC1_InputUser!$L:$N,3,FALSE),0)</f>
        <v>0</v>
      </c>
      <c r="AS7" s="26"/>
      <c r="AT7" s="23">
        <f>IFERROR(VLOOKUP($AT$2&amp;"-"&amp; RIGHT(AT$4,1)&amp;"-"&amp;$A7,CC1_InputUser!$L:$N,2,FALSE),0)</f>
        <v>0</v>
      </c>
      <c r="AU7" s="23">
        <f>IFERROR(VLOOKUP($AT$2&amp;"-"&amp; RIGHT(AU$4,1)&amp;"-"&amp;$A7,CC1_InputUser!$L:$N,2,FALSE),0)</f>
        <v>0</v>
      </c>
      <c r="AV7" s="23">
        <f>IFERROR(VLOOKUP($AT$2&amp;"-"&amp; RIGHT(AV$4,1)&amp;"-"&amp;$A7,CC1_InputUser!$L:$N,2,FALSE),0)</f>
        <v>0</v>
      </c>
      <c r="AW7" s="23">
        <f>IFERROR(VLOOKUP($AT$2&amp;"-"&amp; RIGHT(AW$4,1)&amp;"-"&amp;$A7,CC1_InputUser!$L:$N,2,FALSE),0)</f>
        <v>0</v>
      </c>
      <c r="AX7" s="23">
        <f>IFERROR(VLOOKUP($AT$2&amp;"-"&amp; RIGHT(AX$4,1)&amp;"-"&amp;$A7,CC1_InputUser!$L:$N,2,FALSE),0)</f>
        <v>0</v>
      </c>
      <c r="AY7" s="23">
        <f>IFERROR(VLOOKUP($AT$2&amp;"-"&amp; RIGHT(AY$4,1)&amp;"-"&amp;$A7,CC1_InputUser!$L:$N,3,FALSE),0)</f>
        <v>0</v>
      </c>
      <c r="AZ7" s="23">
        <f>IFERROR(VLOOKUP($AT$2&amp;"-"&amp; RIGHT(AZ$4,1)&amp;"-"&amp;$A7,CC1_InputUser!$L:$N,3,FALSE),0)</f>
        <v>0</v>
      </c>
      <c r="BA7" s="23">
        <f>IFERROR(VLOOKUP($AT$2&amp;"-"&amp; RIGHT(BA$4,1)&amp;"-"&amp;$A7,CC1_InputUser!$L:$N,3,FALSE),0)</f>
        <v>0</v>
      </c>
      <c r="BB7" s="23">
        <f>IFERROR(VLOOKUP($AT$2&amp;"-"&amp; RIGHT(BB$4,1)&amp;"-"&amp;$A7,CC1_InputUser!$L:$N,3,FALSE),0)</f>
        <v>0</v>
      </c>
      <c r="BC7" s="23">
        <f>IFERROR(VLOOKUP($AT$2&amp;"-"&amp; RIGHT(BC$4,1)&amp;"-"&amp;$A7,CC1_InputUser!$L:$N,3,FALSE),0)</f>
        <v>0</v>
      </c>
      <c r="BD7" s="26"/>
      <c r="BE7" s="23">
        <f>IFERROR(VLOOKUP($AT$2&amp;"-"&amp; RIGHT(BE$4,1)&amp;"-"&amp;$A7,CC1_InputUser!$L:$N,2,FALSE),0)</f>
        <v>0</v>
      </c>
      <c r="BF7" s="23">
        <f>IFERROR(VLOOKUP($AT$2&amp;"-"&amp; RIGHT(BF$4,1)&amp;"-"&amp;$A7,CC1_InputUser!$L:$N,2,FALSE),0)</f>
        <v>0</v>
      </c>
      <c r="BG7" s="23">
        <f>IFERROR(VLOOKUP($AT$2&amp;"-"&amp; RIGHT(BG$4,1)&amp;"-"&amp;$A7,CC1_InputUser!$L:$N,2,FALSE),0)</f>
        <v>0</v>
      </c>
      <c r="BH7" s="23">
        <f>IFERROR(VLOOKUP($AT$2&amp;"-"&amp; RIGHT(BH$4,1)&amp;"-"&amp;$A7,CC1_InputUser!$L:$N,2,FALSE),0)</f>
        <v>0</v>
      </c>
      <c r="BI7" s="23">
        <f>IFERROR(VLOOKUP($AT$2&amp;"-"&amp; RIGHT(BI$4,1)&amp;"-"&amp;$A7,CC1_InputUser!$L:$N,2,FALSE),0)</f>
        <v>0</v>
      </c>
      <c r="BJ7" s="23">
        <f>IFERROR(VLOOKUP($AT$2&amp;"-"&amp; RIGHT(BJ$4,1)&amp;"-"&amp;$A7,CC1_InputUser!$L:$N,3,FALSE),0)</f>
        <v>0</v>
      </c>
      <c r="BK7" s="23">
        <f>IFERROR(VLOOKUP($AT$2&amp;"-"&amp; RIGHT(BK$4,1)&amp;"-"&amp;$A7,CC1_InputUser!$L:$N,3,FALSE),0)</f>
        <v>0</v>
      </c>
      <c r="BL7" s="23">
        <f>IFERROR(VLOOKUP($AT$2&amp;"-"&amp; RIGHT(BL$4,1)&amp;"-"&amp;$A7,CC1_InputUser!$L:$N,3,FALSE),0)</f>
        <v>0</v>
      </c>
      <c r="BM7" s="23">
        <f>IFERROR(VLOOKUP($AT$2&amp;"-"&amp; RIGHT(BM$4,1)&amp;"-"&amp;$A7,CC1_InputUser!$L:$N,3,FALSE),0)</f>
        <v>0</v>
      </c>
      <c r="BN7" s="23">
        <f>IFERROR(VLOOKUP($AT$2&amp;"-"&amp; RIGHT(BN$4,1)&amp;"-"&amp;$A7,CC1_InputUser!$L:$N,3,FALSE),0)</f>
        <v>0</v>
      </c>
      <c r="BO7" s="26"/>
      <c r="BP7" s="23">
        <f>IFERROR(VLOOKUP($BP$2&amp;"-"&amp; RIGHT(BP$4,1)&amp;"-"&amp;$A7,CC1_InputUser!$L:$N,2,FALSE),0)</f>
        <v>0</v>
      </c>
      <c r="BQ7" s="23">
        <f>IFERROR(VLOOKUP($BP$2&amp;"-"&amp; RIGHT(BQ$4,1)&amp;"-"&amp;$A7,CC1_InputUser!$L:$N,2,FALSE),0)</f>
        <v>0</v>
      </c>
      <c r="BR7" s="23">
        <f>IFERROR(VLOOKUP($BP$2&amp;"-"&amp; RIGHT(BR$4,1)&amp;"-"&amp;$A7,CC1_InputUser!$L:$N,2,FALSE),0)</f>
        <v>0</v>
      </c>
      <c r="BS7" s="23">
        <f>IFERROR(VLOOKUP($BP$2&amp;"-"&amp; RIGHT(BS$4,1)&amp;"-"&amp;$A7,CC1_InputUser!$L:$N,2,FALSE),0)</f>
        <v>0</v>
      </c>
      <c r="BT7" s="23">
        <f>IFERROR(VLOOKUP($BP$2&amp;"-"&amp; RIGHT(BT$4,1)&amp;"-"&amp;$A7,CC1_InputUser!$L:$N,2,FALSE),0)</f>
        <v>0</v>
      </c>
      <c r="BU7" s="23">
        <f>IFERROR(VLOOKUP($BP$2&amp;"-"&amp; RIGHT(BU$4,1)&amp;"-"&amp;$A7,CC1_InputUser!$L:$N,3,FALSE),0)</f>
        <v>0</v>
      </c>
      <c r="BV7" s="23">
        <f>IFERROR(VLOOKUP($BP$2&amp;"-"&amp; RIGHT(BV$4,1)&amp;"-"&amp;$A7,CC1_InputUser!$L:$N,3,FALSE),0)</f>
        <v>0</v>
      </c>
      <c r="BW7" s="23">
        <f>IFERROR(VLOOKUP($BP$2&amp;"-"&amp; RIGHT(BW$4,1)&amp;"-"&amp;$A7,CC1_InputUser!$L:$N,3,FALSE),0)</f>
        <v>0</v>
      </c>
      <c r="BX7" s="23">
        <f>IFERROR(VLOOKUP($BP$2&amp;"-"&amp; RIGHT(BX$4,1)&amp;"-"&amp;$A7,CC1_InputUser!$L:$N,3,FALSE),0)</f>
        <v>0</v>
      </c>
      <c r="BY7" s="23">
        <f>IFERROR(VLOOKUP($BP$2&amp;"-"&amp; RIGHT(BY$4,1)&amp;"-"&amp;$A7,CC1_InputUser!$L:$N,3,FALSE),0)</f>
        <v>0</v>
      </c>
      <c r="BZ7" s="26"/>
      <c r="CA7" s="23">
        <f>IFERROR(VLOOKUP($CA$2&amp;"-"&amp; RIGHT(CA$4,1)&amp;"-"&amp;$A7,CC1_InputUser!$L:$N,2,FALSE),0)</f>
        <v>0</v>
      </c>
      <c r="CB7" s="23">
        <f>IFERROR(VLOOKUP($CA$2&amp;"-"&amp; RIGHT(CB$4,1)&amp;"-"&amp;$A7,CC1_InputUser!$L:$N,2,FALSE),0)</f>
        <v>0</v>
      </c>
      <c r="CC7" s="23">
        <f>IFERROR(VLOOKUP($CA$2&amp;"-"&amp; RIGHT(CC$4,1)&amp;"-"&amp;$A7,CC1_InputUser!$L:$N,2,FALSE),0)</f>
        <v>0</v>
      </c>
      <c r="CD7" s="23">
        <f>IFERROR(VLOOKUP($CA$2&amp;"-"&amp; RIGHT(CD$4,1)&amp;"-"&amp;$A7,CC1_InputUser!$L:$N,2,FALSE),0)</f>
        <v>0</v>
      </c>
      <c r="CE7" s="23">
        <f>IFERROR(VLOOKUP($CA$2&amp;"-"&amp; RIGHT(CE$4,1)&amp;"-"&amp;$A7,CC1_InputUser!$L:$N,2,FALSE),0)</f>
        <v>0</v>
      </c>
      <c r="CF7" s="23">
        <f>IFERROR(VLOOKUP($CA$2&amp;"-"&amp; RIGHT(CF$4,1)&amp;"-"&amp;$A7,CC1_InputUser!$L:$N,3,FALSE),0)</f>
        <v>0</v>
      </c>
      <c r="CG7" s="23">
        <f>IFERROR(VLOOKUP($CA$2&amp;"-"&amp; RIGHT(CG$4,1)&amp;"-"&amp;$A7,CC1_InputUser!$L:$N,3,FALSE),0)</f>
        <v>0</v>
      </c>
      <c r="CH7" s="23">
        <f>IFERROR(VLOOKUP($CA$2&amp;"-"&amp; RIGHT(CH$4,1)&amp;"-"&amp;$A7,CC1_InputUser!$L:$N,3,FALSE),0)</f>
        <v>0</v>
      </c>
      <c r="CI7" s="23">
        <f>IFERROR(VLOOKUP($CA$2&amp;"-"&amp; RIGHT(CI$4,1)&amp;"-"&amp;$A7,CC1_InputUser!$L:$N,3,FALSE),0)</f>
        <v>0</v>
      </c>
      <c r="CJ7" s="23">
        <f>IFERROR(VLOOKUP($CA$2&amp;"-"&amp; RIGHT(CJ$4,1)&amp;"-"&amp;$A7,CC1_InputUser!$L:$N,3,FALSE),0)</f>
        <v>0</v>
      </c>
      <c r="CK7" s="26"/>
      <c r="CL7" s="23">
        <f>IFERROR(VLOOKUP($CL$2&amp;"-"&amp; RIGHT(CL$4,1)&amp;"-"&amp;$A7,CC1_InputUser!$L:$N,2,FALSE),0)</f>
        <v>0</v>
      </c>
      <c r="CM7" s="23">
        <f>IFERROR(VLOOKUP($CL$2&amp;"-"&amp; RIGHT(CM$4,1)&amp;"-"&amp;$A7,CC1_InputUser!$L:$N,2,FALSE),0)</f>
        <v>0</v>
      </c>
      <c r="CN7" s="23">
        <f>IFERROR(VLOOKUP($CL$2&amp;"-"&amp; RIGHT(CN$4,1)&amp;"-"&amp;$A7,CC1_InputUser!$L:$N,2,FALSE),0)</f>
        <v>0</v>
      </c>
      <c r="CO7" s="23">
        <f>IFERROR(VLOOKUP($CL$2&amp;"-"&amp; RIGHT(CO$4,1)&amp;"-"&amp;$A7,CC1_InputUser!$L:$N,2,FALSE),0)</f>
        <v>0</v>
      </c>
      <c r="CP7" s="23">
        <f>IFERROR(VLOOKUP($CL$2&amp;"-"&amp; RIGHT(CP$4,1)&amp;"-"&amp;$A7,CC1_InputUser!$L:$N,2,FALSE),0)</f>
        <v>0</v>
      </c>
      <c r="CQ7" s="23">
        <f>IFERROR(VLOOKUP($CL$2&amp;"-"&amp; RIGHT(CQ$4,1)&amp;"-"&amp;$A7,CC1_InputUser!$L:$N,3,FALSE),0)</f>
        <v>0</v>
      </c>
      <c r="CR7" s="23">
        <f>IFERROR(VLOOKUP($CL$2&amp;"-"&amp; RIGHT(CR$4,1)&amp;"-"&amp;$A7,CC1_InputUser!$L:$N,3,FALSE),0)</f>
        <v>0</v>
      </c>
      <c r="CS7" s="23">
        <f>IFERROR(VLOOKUP($CL$2&amp;"-"&amp; RIGHT(CS$4,1)&amp;"-"&amp;$A7,CC1_InputUser!$L:$N,3,FALSE),0)</f>
        <v>0</v>
      </c>
      <c r="CT7" s="23">
        <f>IFERROR(VLOOKUP($CL$2&amp;"-"&amp; RIGHT(CT$4,1)&amp;"-"&amp;$A7,CC1_InputUser!$L:$N,3,FALSE),0)</f>
        <v>0</v>
      </c>
      <c r="CU7" s="23">
        <f>IFERROR(VLOOKUP($CL$2&amp;"-"&amp; RIGHT(CU$4,1)&amp;"-"&amp;$A7,CC1_InputUser!$L:$N,3,FALSE),0)</f>
        <v>0</v>
      </c>
      <c r="CV7" s="26"/>
      <c r="CW7" s="23">
        <f>IFERROR(VLOOKUP($CW$2&amp;"-"&amp; RIGHT(CW$4,1)&amp;"-"&amp;$A7,CC1_InputUser!$L:$N,2,FALSE),0)</f>
        <v>0</v>
      </c>
      <c r="CX7" s="23">
        <f>IFERROR(VLOOKUP($CW$2&amp;"-"&amp; RIGHT(CX$4,1)&amp;"-"&amp;$A7,CC1_InputUser!$L:$N,2,FALSE),0)</f>
        <v>0</v>
      </c>
      <c r="CY7" s="23">
        <f>IFERROR(VLOOKUP($CW$2&amp;"-"&amp; RIGHT(CY$4,1)&amp;"-"&amp;$A7,CC1_InputUser!$L:$N,2,FALSE),0)</f>
        <v>0</v>
      </c>
      <c r="CZ7" s="23">
        <f>IFERROR(VLOOKUP($CW$2&amp;"-"&amp; RIGHT(CZ$4,1)&amp;"-"&amp;$A7,CC1_InputUser!$L:$N,2,FALSE),0)</f>
        <v>0</v>
      </c>
      <c r="DA7" s="23">
        <f>IFERROR(VLOOKUP($CW$2&amp;"-"&amp; RIGHT(DA$4,1)&amp;"-"&amp;$A7,CC1_InputUser!$L:$N,2,FALSE),0)</f>
        <v>0</v>
      </c>
      <c r="DB7" s="23">
        <f>IFERROR(VLOOKUP($CW$2&amp;"-"&amp; RIGHT(DB$4,1)&amp;"-"&amp;$A7,CC1_InputUser!$L:$N,3,FALSE),0)</f>
        <v>0</v>
      </c>
      <c r="DC7" s="23">
        <f>IFERROR(VLOOKUP($CW$2&amp;"-"&amp; RIGHT(DC$4,1)&amp;"-"&amp;$A7,CC1_InputUser!$L:$N,3,FALSE),0)</f>
        <v>0</v>
      </c>
      <c r="DD7" s="23">
        <f>IFERROR(VLOOKUP($CW$2&amp;"-"&amp; RIGHT(DD$4,1)&amp;"-"&amp;$A7,CC1_InputUser!$L:$N,3,FALSE),0)</f>
        <v>0</v>
      </c>
      <c r="DE7" s="23">
        <f>IFERROR(VLOOKUP($CW$2&amp;"-"&amp; RIGHT(DE$4,1)&amp;"-"&amp;$A7,CC1_InputUser!$L:$N,3,FALSE),0)</f>
        <v>0</v>
      </c>
      <c r="DF7" s="23">
        <f>IFERROR(VLOOKUP($CW$2&amp;"-"&amp; RIGHT(DF$4,1)&amp;"-"&amp;$A7,CC1_InputUser!$L:$N,3,FALSE),0)</f>
        <v>0</v>
      </c>
      <c r="DG7" s="26"/>
      <c r="DH7" s="23">
        <f>IFERROR(VLOOKUP($DH$2&amp;"-"&amp; RIGHT(DH$4,1)&amp;"-"&amp;$A7,CC1_InputUser!$L:$N,2,FALSE),0)</f>
        <v>0</v>
      </c>
      <c r="DI7" s="23">
        <f>IFERROR(VLOOKUP($DH$2&amp;"-"&amp; RIGHT(DI$4,1)&amp;"-"&amp;$A7,CC1_InputUser!$L:$N,2,FALSE),0)</f>
        <v>0</v>
      </c>
      <c r="DJ7" s="23">
        <f>IFERROR(VLOOKUP($DH$2&amp;"-"&amp; RIGHT(DJ$4,1)&amp;"-"&amp;$A7,CC1_InputUser!$L:$N,2,FALSE),0)</f>
        <v>0</v>
      </c>
      <c r="DK7" s="23">
        <f>IFERROR(VLOOKUP($DH$2&amp;"-"&amp; RIGHT(DK$4,1)&amp;"-"&amp;$A7,CC1_InputUser!$L:$N,2,FALSE),0)</f>
        <v>0</v>
      </c>
      <c r="DL7" s="23">
        <f>IFERROR(VLOOKUP($DH$2&amp;"-"&amp; RIGHT(DL$4,1)&amp;"-"&amp;$A7,CC1_InputUser!$L:$N,2,FALSE),0)</f>
        <v>0</v>
      </c>
      <c r="DM7" s="23">
        <f>IFERROR(VLOOKUP($DH$2&amp;"-"&amp; RIGHT(DM$4,1)&amp;"-"&amp;$A7,CC1_InputUser!$L:$N,3,FALSE),0)</f>
        <v>0</v>
      </c>
      <c r="DN7" s="23">
        <f>IFERROR(VLOOKUP($DH$2&amp;"-"&amp; RIGHT(DN$4,1)&amp;"-"&amp;$A7,CC1_InputUser!$L:$N,3,FALSE),0)</f>
        <v>0</v>
      </c>
      <c r="DO7" s="23">
        <f>IFERROR(VLOOKUP($DH$2&amp;"-"&amp; RIGHT(DO$4,1)&amp;"-"&amp;$A7,CC1_InputUser!$L:$N,3,FALSE),0)</f>
        <v>0</v>
      </c>
      <c r="DP7" s="23">
        <f>IFERROR(VLOOKUP($DH$2&amp;"-"&amp; RIGHT(DP$4,1)&amp;"-"&amp;$A7,CC1_InputUser!$L:$N,3,FALSE),0)</f>
        <v>0</v>
      </c>
      <c r="DQ7" s="23">
        <f>IFERROR(VLOOKUP($DH$2&amp;"-"&amp; RIGHT(DQ$4,1)&amp;"-"&amp;$A7,CC1_InputUser!$L:$N,3,FALSE),0)</f>
        <v>0</v>
      </c>
      <c r="DR7" s="26"/>
      <c r="DS7" s="23">
        <f>IFERROR(VLOOKUP($DS$2&amp;"-"&amp; RIGHT(DS$4,1)&amp;"-"&amp;$A7,CC1_InputUser!$L:$N,2,FALSE),0)</f>
        <v>0</v>
      </c>
      <c r="DT7" s="23">
        <f>IFERROR(VLOOKUP($DS$2&amp;"-"&amp; RIGHT(DT$4,1)&amp;"-"&amp;$A7,CC1_InputUser!$L:$N,2,FALSE),0)</f>
        <v>0</v>
      </c>
      <c r="DU7" s="23">
        <f>IFERROR(VLOOKUP($DS$2&amp;"-"&amp; RIGHT(DU$4,1)&amp;"-"&amp;$A7,CC1_InputUser!$L:$N,2,FALSE),0)</f>
        <v>0</v>
      </c>
      <c r="DV7" s="23">
        <f>IFERROR(VLOOKUP($DS$2&amp;"-"&amp; RIGHT(DV$4,1)&amp;"-"&amp;$A7,CC1_InputUser!$L:$N,2,FALSE),0)</f>
        <v>0</v>
      </c>
      <c r="DW7" s="23">
        <f>IFERROR(VLOOKUP($DS$2&amp;"-"&amp; RIGHT(DW$4,1)&amp;"-"&amp;$A7,CC1_InputUser!$L:$N,2,FALSE),0)</f>
        <v>0</v>
      </c>
      <c r="DX7" s="23">
        <f>IFERROR(VLOOKUP($DS$2&amp;"-"&amp; RIGHT(DX$4,1)&amp;"-"&amp;$A7,CC1_InputUser!$L:$N,3,FALSE),0)</f>
        <v>0</v>
      </c>
      <c r="DY7" s="23">
        <f>IFERROR(VLOOKUP($DS$2&amp;"-"&amp; RIGHT(DY$4,1)&amp;"-"&amp;$A7,CC1_InputUser!$L:$N,3,FALSE),0)</f>
        <v>0</v>
      </c>
      <c r="DZ7" s="23">
        <f>IFERROR(VLOOKUP($DS$2&amp;"-"&amp; RIGHT(DZ$4,1)&amp;"-"&amp;$A7,CC1_InputUser!$L:$N,3,FALSE),0)</f>
        <v>0</v>
      </c>
      <c r="EA7" s="23">
        <f>IFERROR(VLOOKUP($DS$2&amp;"-"&amp; RIGHT(EA$4,1)&amp;"-"&amp;$A7,CC1_InputUser!$L:$N,3,FALSE),0)</f>
        <v>0</v>
      </c>
      <c r="EB7" s="23">
        <f>IFERROR(VLOOKUP($DS$2&amp;"-"&amp; RIGHT(EB$4,1)&amp;"-"&amp;$A7,CC1_InputUser!$L:$N,3,FALSE),0)</f>
        <v>0</v>
      </c>
      <c r="EC7" s="26"/>
    </row>
    <row r="8" spans="1:133" x14ac:dyDescent="0.3">
      <c r="A8" s="74" t="s">
        <v>17</v>
      </c>
      <c r="B8" s="23">
        <f>IFERROR(VLOOKUP($B$2&amp;"-"&amp; RIGHT(B$4,1)&amp;"-"&amp;$A8,CC1_InputUser!$L:$N,2,FALSE),0)</f>
        <v>0</v>
      </c>
      <c r="C8" s="23">
        <f>IFERROR(VLOOKUP($B$2&amp;"-"&amp; RIGHT(C$4,1)&amp;"-"&amp;$A8,CC1_InputUser!$L:$N,2,FALSE),0)</f>
        <v>0</v>
      </c>
      <c r="D8" s="23">
        <f>IFERROR(VLOOKUP($B$2&amp;"-"&amp; RIGHT(D$4,1)&amp;"-"&amp;$A8,CC1_InputUser!$L:$N,2,FALSE),0)</f>
        <v>0</v>
      </c>
      <c r="E8" s="23">
        <f>IFERROR(VLOOKUP($B$2&amp;"-"&amp; RIGHT(E$4,1)&amp;"-"&amp;$A8,CC1_InputUser!$L:$N,2,FALSE),0)</f>
        <v>0</v>
      </c>
      <c r="F8" s="23">
        <f>IFERROR(VLOOKUP($B$2&amp;"-"&amp; RIGHT(F$4,1)&amp;"-"&amp;$A8,CC1_InputUser!$L:$N,2,FALSE),0)</f>
        <v>0</v>
      </c>
      <c r="G8" s="23">
        <f>IFERROR(VLOOKUP($B$2&amp;"-"&amp; RIGHT(G$4,1)&amp;"-"&amp;$A8,CC1_InputUser!$L:$N,3,FALSE),0)</f>
        <v>0</v>
      </c>
      <c r="H8" s="23">
        <f>IFERROR(VLOOKUP($B$2&amp;"-"&amp; RIGHT(H$4,1)&amp;"-"&amp;$A8,CC1_InputUser!$L:$N,3,FALSE),0)</f>
        <v>0</v>
      </c>
      <c r="I8" s="23">
        <f>IFERROR(VLOOKUP($B$2&amp;"-"&amp; RIGHT(I$4,1)&amp;"-"&amp;$A8,CC1_InputUser!$L:$N,3,FALSE),0)</f>
        <v>0</v>
      </c>
      <c r="J8" s="23">
        <f>IFERROR(VLOOKUP($B$2&amp;"-"&amp; RIGHT(J$4,1)&amp;"-"&amp;$A8,CC1_InputUser!$L:$N,3,FALSE),0)</f>
        <v>-2.2682987991527681E-2</v>
      </c>
      <c r="K8" s="23">
        <f>IFERROR(VLOOKUP($B$2&amp;"-"&amp; RIGHT(K$4,1)&amp;"-"&amp;$A8,CC1_InputUser!$L:$N,3,FALSE),0)</f>
        <v>0</v>
      </c>
      <c r="L8" s="24"/>
      <c r="M8" s="23">
        <f>IFERROR(VLOOKUP($M$2&amp;"-"&amp; RIGHT(M$4,1)&amp;"-"&amp;$A8,CC1_InputUser!$L:$N,2,FALSE),0)</f>
        <v>7.2847682119205892E-3</v>
      </c>
      <c r="N8" s="23">
        <f>IFERROR(VLOOKUP($M$2&amp;"-"&amp; RIGHT(N$4,1)&amp;"-"&amp;$A8,CC1_InputUser!$L:$N,2,FALSE),0)</f>
        <v>0</v>
      </c>
      <c r="O8" s="23">
        <f>IFERROR(VLOOKUP($M$2&amp;"-"&amp; RIGHT(O$4,1)&amp;"-"&amp;$A8,CC1_InputUser!$L:$N,2,FALSE),0)</f>
        <v>-8.0321285140561027E-4</v>
      </c>
      <c r="P8" s="23">
        <f>IFERROR(VLOOKUP($M$2&amp;"-"&amp; RIGHT(P$4,1)&amp;"-"&amp;$A8,CC1_InputUser!$L:$N,2,FALSE),0)</f>
        <v>0</v>
      </c>
      <c r="Q8" s="23">
        <f>IFERROR(VLOOKUP($M$2&amp;"-"&amp; RIGHT(Q$4,1)&amp;"-"&amp;$A8,CC1_InputUser!$L:$N,2,FALSE),0)</f>
        <v>0</v>
      </c>
      <c r="R8" s="23">
        <f>IFERROR(VLOOKUP($M$2&amp;"-"&amp; RIGHT(R$4,1)&amp;"-"&amp;$A8,CC1_InputUser!$L:$N,3,FALSE),0)</f>
        <v>-3.2765399737876288E-3</v>
      </c>
      <c r="S8" s="23">
        <f>IFERROR(VLOOKUP($M$2&amp;"-"&amp; RIGHT(S$4,1)&amp;"-"&amp;$A8,CC1_InputUser!$L:$N,3,FALSE),0)</f>
        <v>0</v>
      </c>
      <c r="T8" s="23">
        <f>IFERROR(VLOOKUP($M$2&amp;"-"&amp; RIGHT(T$4,1)&amp;"-"&amp;$A8,CC1_InputUser!$L:$N,3,FALSE),0)</f>
        <v>-1.6051364365970988E-3</v>
      </c>
      <c r="U8" s="23">
        <f>IFERROR(VLOOKUP($M$2&amp;"-"&amp; RIGHT(U$4,1)&amp;"-"&amp;$A8,CC1_InputUser!$L:$N,3,FALSE),0)</f>
        <v>0</v>
      </c>
      <c r="V8" s="23">
        <f>IFERROR(VLOOKUP($M$2&amp;"-"&amp; RIGHT(V$4,1)&amp;"-"&amp;$A8,CC1_InputUser!$L:$N,3,FALSE),0)</f>
        <v>0</v>
      </c>
      <c r="W8" s="24"/>
      <c r="X8" s="23">
        <f>IFERROR(VLOOKUP($X$2&amp;"-"&amp; RIGHT(X$4,1)&amp;"-"&amp;$A8,CC1_InputUser!$L:$N,2,FALSE),0)</f>
        <v>0</v>
      </c>
      <c r="Y8" s="23">
        <f>IFERROR(VLOOKUP($X$2&amp;"-"&amp; RIGHT(Y$4,1)&amp;"-"&amp;$A8,CC1_InputUser!$L:$N,2,FALSE),0)</f>
        <v>7.5043693009118062E-3</v>
      </c>
      <c r="Z8" s="23">
        <f>IFERROR(VLOOKUP($X$2&amp;"-"&amp; RIGHT(Z$4,1)&amp;"-"&amp;$A8,CC1_InputUser!$L:$N,2,FALSE),0)</f>
        <v>0</v>
      </c>
      <c r="AA8" s="23">
        <f>IFERROR(VLOOKUP($X$2&amp;"-"&amp; RIGHT(AA$4,1)&amp;"-"&amp;$A8,CC1_InputUser!$L:$N,2,FALSE),0)</f>
        <v>0</v>
      </c>
      <c r="AB8" s="23">
        <f>IFERROR(VLOOKUP($X$2&amp;"-"&amp; RIGHT(AB$4,1)&amp;"-"&amp;$A8,CC1_InputUser!$L:$N,2,FALSE),0)</f>
        <v>0</v>
      </c>
      <c r="AC8" s="23">
        <f>IFERROR(VLOOKUP($X$2&amp;"-"&amp; RIGHT(AC$4,1)&amp;"-"&amp;$A8,CC1_InputUser!$L:$N,3,FALSE),0)</f>
        <v>0</v>
      </c>
      <c r="AD8" s="23">
        <f>IFERROR(VLOOKUP($X$2&amp;"-"&amp; RIGHT(AD$4,1)&amp;"-"&amp;$A8,CC1_InputUser!$L:$N,3,FALSE),0)</f>
        <v>-1.5054477960195989E-2</v>
      </c>
      <c r="AE8" s="23">
        <f>IFERROR(VLOOKUP($X$2&amp;"-"&amp; RIGHT(AE$4,1)&amp;"-"&amp;$A8,CC1_InputUser!$L:$N,3,FALSE),0)</f>
        <v>0</v>
      </c>
      <c r="AF8" s="23">
        <f>IFERROR(VLOOKUP($X$2&amp;"-"&amp; RIGHT(AF$4,1)&amp;"-"&amp;$A8,CC1_InputUser!$L:$N,3,FALSE),0)</f>
        <v>0</v>
      </c>
      <c r="AG8" s="23">
        <f>IFERROR(VLOOKUP($X$2&amp;"-"&amp; RIGHT(AG$4,1)&amp;"-"&amp;$A8,CC1_InputUser!$L:$N,3,FALSE),0)</f>
        <v>0</v>
      </c>
      <c r="AH8" s="24"/>
      <c r="AI8" s="23">
        <f>IFERROR(VLOOKUP($AI$2&amp;"-"&amp; RIGHT(AI$4,1)&amp;"-"&amp;$A8,CC1_InputUser!$L:$N,2,FALSE),0)</f>
        <v>0</v>
      </c>
      <c r="AJ8" s="23">
        <f>IFERROR(VLOOKUP($AI$2&amp;"-"&amp; RIGHT(AJ$4,1)&amp;"-"&amp;$A8,CC1_InputUser!$L:$N,2,FALSE),0)</f>
        <v>0</v>
      </c>
      <c r="AK8" s="23">
        <f>IFERROR(VLOOKUP($AI$2&amp;"-"&amp; RIGHT(AK$4,1)&amp;"-"&amp;$A8,CC1_InputUser!$L:$N,2,FALSE),0)</f>
        <v>0</v>
      </c>
      <c r="AL8" s="23">
        <f>IFERROR(VLOOKUP($AI$2&amp;"-"&amp; RIGHT(AL$4,1)&amp;"-"&amp;$A8,CC1_InputUser!$L:$N,2,FALSE),0)</f>
        <v>0</v>
      </c>
      <c r="AM8" s="23">
        <f>IFERROR(VLOOKUP($AI$2&amp;"-"&amp; RIGHT(AM$4,1)&amp;"-"&amp;$A8,CC1_InputUser!$L:$N,2,FALSE),0)</f>
        <v>0</v>
      </c>
      <c r="AN8" s="23">
        <f>IFERROR(VLOOKUP($AI$2&amp;"-"&amp; RIGHT(AN$4,1)&amp;"-"&amp;$A8,CC1_InputUser!$L:$N,3,FALSE),0)</f>
        <v>0</v>
      </c>
      <c r="AO8" s="23">
        <f>IFERROR(VLOOKUP($AI$2&amp;"-"&amp; RIGHT(AO$4,1)&amp;"-"&amp;$A8,CC1_InputUser!$L:$N,3,FALSE),0)</f>
        <v>0</v>
      </c>
      <c r="AP8" s="23">
        <f>IFERROR(VLOOKUP($AI$2&amp;"-"&amp; RIGHT(AP$4,1)&amp;"-"&amp;$A8,CC1_InputUser!$L:$N,3,FALSE),0)</f>
        <v>0</v>
      </c>
      <c r="AQ8" s="23">
        <f>IFERROR(VLOOKUP($AI$2&amp;"-"&amp; RIGHT(AQ$4,1)&amp;"-"&amp;$A8,CC1_InputUser!$L:$N,3,FALSE),0)</f>
        <v>0</v>
      </c>
      <c r="AR8" s="23">
        <f>IFERROR(VLOOKUP($AI$2&amp;"-"&amp; RIGHT(AR$4,1)&amp;"-"&amp;$A8,CC1_InputUser!$L:$N,3,FALSE),0)</f>
        <v>0</v>
      </c>
      <c r="AS8" s="24"/>
      <c r="AT8" s="23">
        <f>IFERROR(VLOOKUP($AT$2&amp;"-"&amp; RIGHT(AT$4,1)&amp;"-"&amp;$A8,CC1_InputUser!$L:$N,2,FALSE),0)</f>
        <v>0</v>
      </c>
      <c r="AU8" s="23">
        <f>IFERROR(VLOOKUP($AT$2&amp;"-"&amp; RIGHT(AU$4,1)&amp;"-"&amp;$A8,CC1_InputUser!$L:$N,2,FALSE),0)</f>
        <v>0</v>
      </c>
      <c r="AV8" s="23">
        <f>IFERROR(VLOOKUP($AT$2&amp;"-"&amp; RIGHT(AV$4,1)&amp;"-"&amp;$A8,CC1_InputUser!$L:$N,2,FALSE),0)</f>
        <v>5.6046871107789942E-2</v>
      </c>
      <c r="AW8" s="23">
        <f>IFERROR(VLOOKUP($AT$2&amp;"-"&amp; RIGHT(AW$4,1)&amp;"-"&amp;$A8,CC1_InputUser!$L:$N,2,FALSE),0)</f>
        <v>0</v>
      </c>
      <c r="AX8" s="23">
        <f>IFERROR(VLOOKUP($AT$2&amp;"-"&amp; RIGHT(AX$4,1)&amp;"-"&amp;$A8,CC1_InputUser!$L:$N,2,FALSE),0)</f>
        <v>0</v>
      </c>
      <c r="AY8" s="23">
        <f>IFERROR(VLOOKUP($AT$2&amp;"-"&amp; RIGHT(AY$4,1)&amp;"-"&amp;$A8,CC1_InputUser!$L:$N,3,FALSE),0)</f>
        <v>0</v>
      </c>
      <c r="AZ8" s="23">
        <f>IFERROR(VLOOKUP($AT$2&amp;"-"&amp; RIGHT(AZ$4,1)&amp;"-"&amp;$A8,CC1_InputUser!$L:$N,3,FALSE),0)</f>
        <v>0</v>
      </c>
      <c r="BA8" s="23">
        <f>IFERROR(VLOOKUP($AT$2&amp;"-"&amp; RIGHT(BA$4,1)&amp;"-"&amp;$A8,CC1_InputUser!$L:$N,3,FALSE),0)</f>
        <v>-5.8445471799862925E-2</v>
      </c>
      <c r="BB8" s="23">
        <f>IFERROR(VLOOKUP($AT$2&amp;"-"&amp; RIGHT(BB$4,1)&amp;"-"&amp;$A8,CC1_InputUser!$L:$N,3,FALSE),0)</f>
        <v>0</v>
      </c>
      <c r="BC8" s="23">
        <f>IFERROR(VLOOKUP($AT$2&amp;"-"&amp; RIGHT(BC$4,1)&amp;"-"&amp;$A8,CC1_InputUser!$L:$N,3,FALSE),0)</f>
        <v>0</v>
      </c>
      <c r="BD8" s="24"/>
      <c r="BE8" s="23">
        <f>IFERROR(VLOOKUP($AT$2&amp;"-"&amp; RIGHT(BE$4,1)&amp;"-"&amp;$A8,CC1_InputUser!$L:$N,2,FALSE),0)</f>
        <v>0</v>
      </c>
      <c r="BF8" s="23">
        <f>IFERROR(VLOOKUP($AT$2&amp;"-"&amp; RIGHT(BF$4,1)&amp;"-"&amp;$A8,CC1_InputUser!$L:$N,2,FALSE),0)</f>
        <v>0</v>
      </c>
      <c r="BG8" s="23">
        <f>IFERROR(VLOOKUP($AT$2&amp;"-"&amp; RIGHT(BG$4,1)&amp;"-"&amp;$A8,CC1_InputUser!$L:$N,2,FALSE),0)</f>
        <v>5.6046871107789942E-2</v>
      </c>
      <c r="BH8" s="23">
        <f>IFERROR(VLOOKUP($AT$2&amp;"-"&amp; RIGHT(BH$4,1)&amp;"-"&amp;$A8,CC1_InputUser!$L:$N,2,FALSE),0)</f>
        <v>0</v>
      </c>
      <c r="BI8" s="23">
        <f>IFERROR(VLOOKUP($AT$2&amp;"-"&amp; RIGHT(BI$4,1)&amp;"-"&amp;$A8,CC1_InputUser!$L:$N,2,FALSE),0)</f>
        <v>0</v>
      </c>
      <c r="BJ8" s="23">
        <f>IFERROR(VLOOKUP($AT$2&amp;"-"&amp; RIGHT(BJ$4,1)&amp;"-"&amp;$A8,CC1_InputUser!$L:$N,3,FALSE),0)</f>
        <v>0</v>
      </c>
      <c r="BK8" s="23">
        <f>IFERROR(VLOOKUP($AT$2&amp;"-"&amp; RIGHT(BK$4,1)&amp;"-"&amp;$A8,CC1_InputUser!$L:$N,3,FALSE),0)</f>
        <v>0</v>
      </c>
      <c r="BL8" s="23">
        <f>IFERROR(VLOOKUP($AT$2&amp;"-"&amp; RIGHT(BL$4,1)&amp;"-"&amp;$A8,CC1_InputUser!$L:$N,3,FALSE),0)</f>
        <v>-5.8445471799862925E-2</v>
      </c>
      <c r="BM8" s="23">
        <f>IFERROR(VLOOKUP($AT$2&amp;"-"&amp; RIGHT(BM$4,1)&amp;"-"&amp;$A8,CC1_InputUser!$L:$N,3,FALSE),0)</f>
        <v>0</v>
      </c>
      <c r="BN8" s="23">
        <f>IFERROR(VLOOKUP($AT$2&amp;"-"&amp; RIGHT(BN$4,1)&amp;"-"&amp;$A8,CC1_InputUser!$L:$N,3,FALSE),0)</f>
        <v>0</v>
      </c>
      <c r="BO8" s="24"/>
      <c r="BP8" s="23">
        <f>IFERROR(VLOOKUP($BP$2&amp;"-"&amp; RIGHT(BP$4,1)&amp;"-"&amp;$A8,CC1_InputUser!$L:$N,2,FALSE),0)</f>
        <v>0</v>
      </c>
      <c r="BQ8" s="23">
        <f>IFERROR(VLOOKUP($BP$2&amp;"-"&amp; RIGHT(BQ$4,1)&amp;"-"&amp;$A8,CC1_InputUser!$L:$N,2,FALSE),0)</f>
        <v>0</v>
      </c>
      <c r="BR8" s="23">
        <f>IFERROR(VLOOKUP($BP$2&amp;"-"&amp; RIGHT(BR$4,1)&amp;"-"&amp;$A8,CC1_InputUser!$L:$N,2,FALSE),0)</f>
        <v>0</v>
      </c>
      <c r="BS8" s="23">
        <f>IFERROR(VLOOKUP($BP$2&amp;"-"&amp; RIGHT(BS$4,1)&amp;"-"&amp;$A8,CC1_InputUser!$L:$N,2,FALSE),0)</f>
        <v>0</v>
      </c>
      <c r="BT8" s="23">
        <f>IFERROR(VLOOKUP($BP$2&amp;"-"&amp; RIGHT(BT$4,1)&amp;"-"&amp;$A8,CC1_InputUser!$L:$N,2,FALSE),0)</f>
        <v>0</v>
      </c>
      <c r="BU8" s="23">
        <f>IFERROR(VLOOKUP($BP$2&amp;"-"&amp; RIGHT(BU$4,1)&amp;"-"&amp;$A8,CC1_InputUser!$L:$N,3,FALSE),0)</f>
        <v>0</v>
      </c>
      <c r="BV8" s="23">
        <f>IFERROR(VLOOKUP($BP$2&amp;"-"&amp; RIGHT(BV$4,1)&amp;"-"&amp;$A8,CC1_InputUser!$L:$N,3,FALSE),0)</f>
        <v>0</v>
      </c>
      <c r="BW8" s="23">
        <f>IFERROR(VLOOKUP($BP$2&amp;"-"&amp; RIGHT(BW$4,1)&amp;"-"&amp;$A8,CC1_InputUser!$L:$N,3,FALSE),0)</f>
        <v>0</v>
      </c>
      <c r="BX8" s="23">
        <f>IFERROR(VLOOKUP($BP$2&amp;"-"&amp; RIGHT(BX$4,1)&amp;"-"&amp;$A8,CC1_InputUser!$L:$N,3,FALSE),0)</f>
        <v>0</v>
      </c>
      <c r="BY8" s="23">
        <f>IFERROR(VLOOKUP($BP$2&amp;"-"&amp; RIGHT(BY$4,1)&amp;"-"&amp;$A8,CC1_InputUser!$L:$N,3,FALSE),0)</f>
        <v>0</v>
      </c>
      <c r="BZ8" s="24"/>
      <c r="CA8" s="23">
        <f>IFERROR(VLOOKUP($CA$2&amp;"-"&amp; RIGHT(CA$4,1)&amp;"-"&amp;$A8,CC1_InputUser!$L:$N,2,FALSE),0)</f>
        <v>0</v>
      </c>
      <c r="CB8" s="23">
        <f>IFERROR(VLOOKUP($CA$2&amp;"-"&amp; RIGHT(CB$4,1)&amp;"-"&amp;$A8,CC1_InputUser!$L:$N,2,FALSE),0)</f>
        <v>0</v>
      </c>
      <c r="CC8" s="23">
        <f>IFERROR(VLOOKUP($CA$2&amp;"-"&amp; RIGHT(CC$4,1)&amp;"-"&amp;$A8,CC1_InputUser!$L:$N,2,FALSE),0)</f>
        <v>0</v>
      </c>
      <c r="CD8" s="23">
        <f>IFERROR(VLOOKUP($CA$2&amp;"-"&amp; RIGHT(CD$4,1)&amp;"-"&amp;$A8,CC1_InputUser!$L:$N,2,FALSE),0)</f>
        <v>0</v>
      </c>
      <c r="CE8" s="23">
        <f>IFERROR(VLOOKUP($CA$2&amp;"-"&amp; RIGHT(CE$4,1)&amp;"-"&amp;$A8,CC1_InputUser!$L:$N,2,FALSE),0)</f>
        <v>0</v>
      </c>
      <c r="CF8" s="23">
        <f>IFERROR(VLOOKUP($CA$2&amp;"-"&amp; RIGHT(CF$4,1)&amp;"-"&amp;$A8,CC1_InputUser!$L:$N,3,FALSE),0)</f>
        <v>-0.10845587910335031</v>
      </c>
      <c r="CG8" s="23">
        <f>IFERROR(VLOOKUP($CA$2&amp;"-"&amp; RIGHT(CG$4,1)&amp;"-"&amp;$A8,CC1_InputUser!$L:$N,3,FALSE),0)</f>
        <v>0</v>
      </c>
      <c r="CH8" s="23">
        <f>IFERROR(VLOOKUP($CA$2&amp;"-"&amp; RIGHT(CH$4,1)&amp;"-"&amp;$A8,CC1_InputUser!$L:$N,3,FALSE),0)</f>
        <v>0</v>
      </c>
      <c r="CI8" s="23">
        <f>IFERROR(VLOOKUP($CA$2&amp;"-"&amp; RIGHT(CI$4,1)&amp;"-"&amp;$A8,CC1_InputUser!$L:$N,3,FALSE),0)</f>
        <v>0</v>
      </c>
      <c r="CJ8" s="23">
        <f>IFERROR(VLOOKUP($CA$2&amp;"-"&amp; RIGHT(CJ$4,1)&amp;"-"&amp;$A8,CC1_InputUser!$L:$N,3,FALSE),0)</f>
        <v>0</v>
      </c>
      <c r="CK8" s="24"/>
      <c r="CL8" s="23">
        <f>IFERROR(VLOOKUP($CL$2&amp;"-"&amp; RIGHT(CL$4,1)&amp;"-"&amp;$A8,CC1_InputUser!$L:$N,2,FALSE),0)</f>
        <v>0</v>
      </c>
      <c r="CM8" s="23">
        <f>IFERROR(VLOOKUP($CL$2&amp;"-"&amp; RIGHT(CM$4,1)&amp;"-"&amp;$A8,CC1_InputUser!$L:$N,2,FALSE),0)</f>
        <v>-9.902747416636215E-2</v>
      </c>
      <c r="CN8" s="23">
        <f>IFERROR(VLOOKUP($CL$2&amp;"-"&amp; RIGHT(CN$4,1)&amp;"-"&amp;$A8,CC1_InputUser!$L:$N,2,FALSE),0)</f>
        <v>0</v>
      </c>
      <c r="CO8" s="23">
        <f>IFERROR(VLOOKUP($CL$2&amp;"-"&amp; RIGHT(CO$4,1)&amp;"-"&amp;$A8,CC1_InputUser!$L:$N,2,FALSE),0)</f>
        <v>0</v>
      </c>
      <c r="CP8" s="23">
        <f>IFERROR(VLOOKUP($CL$2&amp;"-"&amp; RIGHT(CP$4,1)&amp;"-"&amp;$A8,CC1_InputUser!$L:$N,2,FALSE),0)</f>
        <v>0</v>
      </c>
      <c r="CQ8" s="23">
        <f>IFERROR(VLOOKUP($CL$2&amp;"-"&amp; RIGHT(CQ$4,1)&amp;"-"&amp;$A8,CC1_InputUser!$L:$N,3,FALSE),0)</f>
        <v>0</v>
      </c>
      <c r="CR8" s="23">
        <f>IFERROR(VLOOKUP($CL$2&amp;"-"&amp; RIGHT(CR$4,1)&amp;"-"&amp;$A8,CC1_InputUser!$L:$N,3,FALSE),0)</f>
        <v>-3.8753284204966376E-2</v>
      </c>
      <c r="CS8" s="23">
        <f>IFERROR(VLOOKUP($CL$2&amp;"-"&amp; RIGHT(CS$4,1)&amp;"-"&amp;$A8,CC1_InputUser!$L:$N,3,FALSE),0)</f>
        <v>-9.6977696439523142E-2</v>
      </c>
      <c r="CT8" s="23">
        <f>IFERROR(VLOOKUP($CL$2&amp;"-"&amp; RIGHT(CT$4,1)&amp;"-"&amp;$A8,CC1_InputUser!$L:$N,3,FALSE),0)</f>
        <v>0</v>
      </c>
      <c r="CU8" s="23">
        <f>IFERROR(VLOOKUP($CL$2&amp;"-"&amp; RIGHT(CU$4,1)&amp;"-"&amp;$A8,CC1_InputUser!$L:$N,3,FALSE),0)</f>
        <v>0</v>
      </c>
      <c r="CV8" s="24"/>
      <c r="CW8" s="23">
        <f>IFERROR(VLOOKUP($CW$2&amp;"-"&amp; RIGHT(CW$4,1)&amp;"-"&amp;$A8,CC1_InputUser!$L:$N,2,FALSE),0)</f>
        <v>0</v>
      </c>
      <c r="CX8" s="23">
        <f>IFERROR(VLOOKUP($CW$2&amp;"-"&amp; RIGHT(CX$4,1)&amp;"-"&amp;$A8,CC1_InputUser!$L:$N,2,FALSE),0)</f>
        <v>0</v>
      </c>
      <c r="CY8" s="23">
        <f>IFERROR(VLOOKUP($CW$2&amp;"-"&amp; RIGHT(CY$4,1)&amp;"-"&amp;$A8,CC1_InputUser!$L:$N,2,FALSE),0)</f>
        <v>0</v>
      </c>
      <c r="CZ8" s="23">
        <f>IFERROR(VLOOKUP($CW$2&amp;"-"&amp; RIGHT(CZ$4,1)&amp;"-"&amp;$A8,CC1_InputUser!$L:$N,2,FALSE),0)</f>
        <v>0</v>
      </c>
      <c r="DA8" s="23">
        <f>IFERROR(VLOOKUP($CW$2&amp;"-"&amp; RIGHT(DA$4,1)&amp;"-"&amp;$A8,CC1_InputUser!$L:$N,2,FALSE),0)</f>
        <v>0</v>
      </c>
      <c r="DB8" s="23">
        <f>IFERROR(VLOOKUP($CW$2&amp;"-"&amp; RIGHT(DB$4,1)&amp;"-"&amp;$A8,CC1_InputUser!$L:$N,3,FALSE),0)</f>
        <v>0</v>
      </c>
      <c r="DC8" s="23">
        <f>IFERROR(VLOOKUP($CW$2&amp;"-"&amp; RIGHT(DC$4,1)&amp;"-"&amp;$A8,CC1_InputUser!$L:$N,3,FALSE),0)</f>
        <v>0</v>
      </c>
      <c r="DD8" s="23">
        <f>IFERROR(VLOOKUP($CW$2&amp;"-"&amp; RIGHT(DD$4,1)&amp;"-"&amp;$A8,CC1_InputUser!$L:$N,3,FALSE),0)</f>
        <v>0</v>
      </c>
      <c r="DE8" s="23">
        <f>IFERROR(VLOOKUP($CW$2&amp;"-"&amp; RIGHT(DE$4,1)&amp;"-"&amp;$A8,CC1_InputUser!$L:$N,3,FALSE),0)</f>
        <v>0</v>
      </c>
      <c r="DF8" s="23">
        <f>IFERROR(VLOOKUP($CW$2&amp;"-"&amp; RIGHT(DF$4,1)&amp;"-"&amp;$A8,CC1_InputUser!$L:$N,3,FALSE),0)</f>
        <v>0</v>
      </c>
      <c r="DG8" s="24"/>
      <c r="DH8" s="23">
        <f>IFERROR(VLOOKUP($DH$2&amp;"-"&amp; RIGHT(DH$4,1)&amp;"-"&amp;$A8,CC1_InputUser!$L:$N,2,FALSE),0)</f>
        <v>0</v>
      </c>
      <c r="DI8" s="23">
        <f>IFERROR(VLOOKUP($DH$2&amp;"-"&amp; RIGHT(DI$4,1)&amp;"-"&amp;$A8,CC1_InputUser!$L:$N,2,FALSE),0)</f>
        <v>0</v>
      </c>
      <c r="DJ8" s="23">
        <f>IFERROR(VLOOKUP($DH$2&amp;"-"&amp; RIGHT(DJ$4,1)&amp;"-"&amp;$A8,CC1_InputUser!$L:$N,2,FALSE),0)</f>
        <v>0</v>
      </c>
      <c r="DK8" s="23">
        <f>IFERROR(VLOOKUP($DH$2&amp;"-"&amp; RIGHT(DK$4,1)&amp;"-"&amp;$A8,CC1_InputUser!$L:$N,2,FALSE),0)</f>
        <v>0</v>
      </c>
      <c r="DL8" s="23">
        <f>IFERROR(VLOOKUP($DH$2&amp;"-"&amp; RIGHT(DL$4,1)&amp;"-"&amp;$A8,CC1_InputUser!$L:$N,2,FALSE),0)</f>
        <v>0</v>
      </c>
      <c r="DM8" s="23">
        <f>IFERROR(VLOOKUP($DH$2&amp;"-"&amp; RIGHT(DM$4,1)&amp;"-"&amp;$A8,CC1_InputUser!$L:$N,3,FALSE),0)</f>
        <v>0</v>
      </c>
      <c r="DN8" s="23">
        <f>IFERROR(VLOOKUP($DH$2&amp;"-"&amp; RIGHT(DN$4,1)&amp;"-"&amp;$A8,CC1_InputUser!$L:$N,3,FALSE),0)</f>
        <v>0</v>
      </c>
      <c r="DO8" s="23">
        <f>IFERROR(VLOOKUP($DH$2&amp;"-"&amp; RIGHT(DO$4,1)&amp;"-"&amp;$A8,CC1_InputUser!$L:$N,3,FALSE),0)</f>
        <v>0</v>
      </c>
      <c r="DP8" s="23">
        <f>IFERROR(VLOOKUP($DH$2&amp;"-"&amp; RIGHT(DP$4,1)&amp;"-"&amp;$A8,CC1_InputUser!$L:$N,3,FALSE),0)</f>
        <v>0</v>
      </c>
      <c r="DQ8" s="23">
        <f>IFERROR(VLOOKUP($DH$2&amp;"-"&amp; RIGHT(DQ$4,1)&amp;"-"&amp;$A8,CC1_InputUser!$L:$N,3,FALSE),0)</f>
        <v>0</v>
      </c>
      <c r="DR8" s="24"/>
      <c r="DS8" s="23">
        <f>IFERROR(VLOOKUP($DS$2&amp;"-"&amp; RIGHT(DS$4,1)&amp;"-"&amp;$A8,CC1_InputUser!$L:$N,2,FALSE),0)</f>
        <v>0</v>
      </c>
      <c r="DT8" s="23">
        <f>IFERROR(VLOOKUP($DS$2&amp;"-"&amp; RIGHT(DT$4,1)&amp;"-"&amp;$A8,CC1_InputUser!$L:$N,2,FALSE),0)</f>
        <v>0</v>
      </c>
      <c r="DU8" s="23">
        <f>IFERROR(VLOOKUP($DS$2&amp;"-"&amp; RIGHT(DU$4,1)&amp;"-"&amp;$A8,CC1_InputUser!$L:$N,2,FALSE),0)</f>
        <v>0</v>
      </c>
      <c r="DV8" s="23">
        <f>IFERROR(VLOOKUP($DS$2&amp;"-"&amp; RIGHT(DV$4,1)&amp;"-"&amp;$A8,CC1_InputUser!$L:$N,2,FALSE),0)</f>
        <v>0</v>
      </c>
      <c r="DW8" s="23">
        <f>IFERROR(VLOOKUP($DS$2&amp;"-"&amp; RIGHT(DW$4,1)&amp;"-"&amp;$A8,CC1_InputUser!$L:$N,2,FALSE),0)</f>
        <v>0</v>
      </c>
      <c r="DX8" s="23">
        <f>IFERROR(VLOOKUP($DS$2&amp;"-"&amp; RIGHT(DX$4,1)&amp;"-"&amp;$A8,CC1_InputUser!$L:$N,3,FALSE),0)</f>
        <v>0</v>
      </c>
      <c r="DY8" s="23">
        <f>IFERROR(VLOOKUP($DS$2&amp;"-"&amp; RIGHT(DY$4,1)&amp;"-"&amp;$A8,CC1_InputUser!$L:$N,3,FALSE),0)</f>
        <v>0</v>
      </c>
      <c r="DZ8" s="23">
        <f>IFERROR(VLOOKUP($DS$2&amp;"-"&amp; RIGHT(DZ$4,1)&amp;"-"&amp;$A8,CC1_InputUser!$L:$N,3,FALSE),0)</f>
        <v>0</v>
      </c>
      <c r="EA8" s="23">
        <f>IFERROR(VLOOKUP($DS$2&amp;"-"&amp; RIGHT(EA$4,1)&amp;"-"&amp;$A8,CC1_InputUser!$L:$N,3,FALSE),0)</f>
        <v>0</v>
      </c>
      <c r="EB8" s="23">
        <f>IFERROR(VLOOKUP($DS$2&amp;"-"&amp; RIGHT(EB$4,1)&amp;"-"&amp;$A8,CC1_InputUser!$L:$N,3,FALSE),0)</f>
        <v>0</v>
      </c>
      <c r="EC8" s="24"/>
    </row>
    <row r="9" spans="1:133" x14ac:dyDescent="0.3">
      <c r="A9" s="75" t="s">
        <v>15</v>
      </c>
      <c r="B9" s="23">
        <f>IFERROR(VLOOKUP($B$2&amp;"-"&amp; RIGHT(B$4,1)&amp;"-"&amp;$A9,CC1_InputUser!$L:$N,2,FALSE),0)</f>
        <v>0</v>
      </c>
      <c r="C9" s="23">
        <f>IFERROR(VLOOKUP($B$2&amp;"-"&amp; RIGHT(C$4,1)&amp;"-"&amp;$A9,CC1_InputUser!$L:$N,2,FALSE),0)</f>
        <v>0</v>
      </c>
      <c r="D9" s="23">
        <f>IFERROR(VLOOKUP($B$2&amp;"-"&amp; RIGHT(D$4,1)&amp;"-"&amp;$A9,CC1_InputUser!$L:$N,2,FALSE),0)</f>
        <v>0</v>
      </c>
      <c r="E9" s="23">
        <f>IFERROR(VLOOKUP($B$2&amp;"-"&amp; RIGHT(E$4,1)&amp;"-"&amp;$A9,CC1_InputUser!$L:$N,2,FALSE),0)</f>
        <v>0</v>
      </c>
      <c r="F9" s="23">
        <f>IFERROR(VLOOKUP($B$2&amp;"-"&amp; RIGHT(F$4,1)&amp;"-"&amp;$A9,CC1_InputUser!$L:$N,2,FALSE),0)</f>
        <v>0</v>
      </c>
      <c r="G9" s="23">
        <f>IFERROR(VLOOKUP($B$2&amp;"-"&amp; RIGHT(G$4,1)&amp;"-"&amp;$A9,CC1_InputUser!$L:$N,3,FALSE),0)</f>
        <v>0</v>
      </c>
      <c r="H9" s="23">
        <f>IFERROR(VLOOKUP($B$2&amp;"-"&amp; RIGHT(H$4,1)&amp;"-"&amp;$A9,CC1_InputUser!$L:$N,3,FALSE),0)</f>
        <v>0</v>
      </c>
      <c r="I9" s="23">
        <f>IFERROR(VLOOKUP($B$2&amp;"-"&amp; RIGHT(I$4,1)&amp;"-"&amp;$A9,CC1_InputUser!$L:$N,3,FALSE),0)</f>
        <v>0</v>
      </c>
      <c r="J9" s="23">
        <f>IFERROR(VLOOKUP($B$2&amp;"-"&amp; RIGHT(J$4,1)&amp;"-"&amp;$A9,CC1_InputUser!$L:$N,3,FALSE),0)</f>
        <v>0</v>
      </c>
      <c r="K9" s="23">
        <f>IFERROR(VLOOKUP($B$2&amp;"-"&amp; RIGHT(K$4,1)&amp;"-"&amp;$A9,CC1_InputUser!$L:$N,3,FALSE),0)</f>
        <v>0</v>
      </c>
      <c r="L9" s="26"/>
      <c r="M9" s="23">
        <f>IFERROR(VLOOKUP($M$2&amp;"-"&amp; RIGHT(M$4,1)&amp;"-"&amp;$A9,CC1_InputUser!$L:$N,2,FALSE),0)</f>
        <v>0</v>
      </c>
      <c r="N9" s="23">
        <f>IFERROR(VLOOKUP($M$2&amp;"-"&amp; RIGHT(N$4,1)&amp;"-"&amp;$A9,CC1_InputUser!$L:$N,2,FALSE),0)</f>
        <v>0</v>
      </c>
      <c r="O9" s="23">
        <f>IFERROR(VLOOKUP($M$2&amp;"-"&amp; RIGHT(O$4,1)&amp;"-"&amp;$A9,CC1_InputUser!$L:$N,2,FALSE),0)</f>
        <v>0</v>
      </c>
      <c r="P9" s="23">
        <f>IFERROR(VLOOKUP($M$2&amp;"-"&amp; RIGHT(P$4,1)&amp;"-"&amp;$A9,CC1_InputUser!$L:$N,2,FALSE),0)</f>
        <v>5.300353356890497E-3</v>
      </c>
      <c r="Q9" s="23">
        <f>IFERROR(VLOOKUP($M$2&amp;"-"&amp; RIGHT(Q$4,1)&amp;"-"&amp;$A9,CC1_InputUser!$L:$N,2,FALSE),0)</f>
        <v>0</v>
      </c>
      <c r="R9" s="23">
        <f>IFERROR(VLOOKUP($M$2&amp;"-"&amp; RIGHT(R$4,1)&amp;"-"&amp;$A9,CC1_InputUser!$L:$N,3,FALSE),0)</f>
        <v>0</v>
      </c>
      <c r="S9" s="23">
        <f>IFERROR(VLOOKUP($M$2&amp;"-"&amp; RIGHT(S$4,1)&amp;"-"&amp;$A9,CC1_InputUser!$L:$N,3,FALSE),0)</f>
        <v>0</v>
      </c>
      <c r="T9" s="23">
        <f>IFERROR(VLOOKUP($M$2&amp;"-"&amp; RIGHT(T$4,1)&amp;"-"&amp;$A9,CC1_InputUser!$L:$N,3,FALSE),0)</f>
        <v>0</v>
      </c>
      <c r="U9" s="23">
        <f>IFERROR(VLOOKUP($M$2&amp;"-"&amp; RIGHT(U$4,1)&amp;"-"&amp;$A9,CC1_InputUser!$L:$N,3,FALSE),0)</f>
        <v>-3.0664395229982988E-2</v>
      </c>
      <c r="V9" s="23">
        <f>IFERROR(VLOOKUP($M$2&amp;"-"&amp; RIGHT(V$4,1)&amp;"-"&amp;$A9,CC1_InputUser!$L:$N,3,FALSE),0)</f>
        <v>0</v>
      </c>
      <c r="W9" s="26"/>
      <c r="X9" s="23">
        <f>IFERROR(VLOOKUP($X$2&amp;"-"&amp; RIGHT(X$4,1)&amp;"-"&amp;$A9,CC1_InputUser!$L:$N,2,FALSE),0)</f>
        <v>0</v>
      </c>
      <c r="Y9" s="23">
        <f>IFERROR(VLOOKUP($X$2&amp;"-"&amp; RIGHT(Y$4,1)&amp;"-"&amp;$A9,CC1_InputUser!$L:$N,2,FALSE),0)</f>
        <v>0</v>
      </c>
      <c r="Z9" s="23">
        <f>IFERROR(VLOOKUP($X$2&amp;"-"&amp; RIGHT(Z$4,1)&amp;"-"&amp;$A9,CC1_InputUser!$L:$N,2,FALSE),0)</f>
        <v>-3.4285714285714253E-2</v>
      </c>
      <c r="AA9" s="23">
        <f>IFERROR(VLOOKUP($X$2&amp;"-"&amp; RIGHT(AA$4,1)&amp;"-"&amp;$A9,CC1_InputUser!$L:$N,2,FALSE),0)</f>
        <v>0</v>
      </c>
      <c r="AB9" s="23">
        <f>IFERROR(VLOOKUP($X$2&amp;"-"&amp; RIGHT(AB$4,1)&amp;"-"&amp;$A9,CC1_InputUser!$L:$N,2,FALSE),0)</f>
        <v>0</v>
      </c>
      <c r="AC9" s="23">
        <f>IFERROR(VLOOKUP($X$2&amp;"-"&amp; RIGHT(AC$4,1)&amp;"-"&amp;$A9,CC1_InputUser!$L:$N,3,FALSE),0)</f>
        <v>0</v>
      </c>
      <c r="AD9" s="23">
        <f>IFERROR(VLOOKUP($X$2&amp;"-"&amp; RIGHT(AD$4,1)&amp;"-"&amp;$A9,CC1_InputUser!$L:$N,3,FALSE),0)</f>
        <v>0</v>
      </c>
      <c r="AE9" s="23">
        <f>IFERROR(VLOOKUP($X$2&amp;"-"&amp; RIGHT(AE$4,1)&amp;"-"&amp;$A9,CC1_InputUser!$L:$N,3,FALSE),0)</f>
        <v>-3.5388127853881235E-2</v>
      </c>
      <c r="AF9" s="23">
        <f>IFERROR(VLOOKUP($X$2&amp;"-"&amp; RIGHT(AF$4,1)&amp;"-"&amp;$A9,CC1_InputUser!$L:$N,3,FALSE),0)</f>
        <v>0</v>
      </c>
      <c r="AG9" s="23">
        <f>IFERROR(VLOOKUP($X$2&amp;"-"&amp; RIGHT(AG$4,1)&amp;"-"&amp;$A9,CC1_InputUser!$L:$N,3,FALSE),0)</f>
        <v>0</v>
      </c>
      <c r="AH9" s="26"/>
      <c r="AI9" s="23">
        <f>IFERROR(VLOOKUP($AI$2&amp;"-"&amp; RIGHT(AI$4,1)&amp;"-"&amp;$A9,CC1_InputUser!$L:$N,2,FALSE),0)</f>
        <v>0</v>
      </c>
      <c r="AJ9" s="23">
        <f>IFERROR(VLOOKUP($AI$2&amp;"-"&amp; RIGHT(AJ$4,1)&amp;"-"&amp;$A9,CC1_InputUser!$L:$N,2,FALSE),0)</f>
        <v>0</v>
      </c>
      <c r="AK9" s="23">
        <f>IFERROR(VLOOKUP($AI$2&amp;"-"&amp; RIGHT(AK$4,1)&amp;"-"&amp;$A9,CC1_InputUser!$L:$N,2,FALSE),0)</f>
        <v>0</v>
      </c>
      <c r="AL9" s="23">
        <f>IFERROR(VLOOKUP($AI$2&amp;"-"&amp; RIGHT(AL$4,1)&amp;"-"&amp;$A9,CC1_InputUser!$L:$N,2,FALSE),0)</f>
        <v>-0.3277355740222696</v>
      </c>
      <c r="AM9" s="23">
        <f>IFERROR(VLOOKUP($AI$2&amp;"-"&amp; RIGHT(AM$4,1)&amp;"-"&amp;$A9,CC1_InputUser!$L:$N,2,FALSE),0)</f>
        <v>0</v>
      </c>
      <c r="AN9" s="23">
        <f>IFERROR(VLOOKUP($AI$2&amp;"-"&amp; RIGHT(AN$4,1)&amp;"-"&amp;$A9,CC1_InputUser!$L:$N,3,FALSE),0)</f>
        <v>0</v>
      </c>
      <c r="AO9" s="23">
        <f>IFERROR(VLOOKUP($AI$2&amp;"-"&amp; RIGHT(AO$4,1)&amp;"-"&amp;$A9,CC1_InputUser!$L:$N,3,FALSE),0)</f>
        <v>0</v>
      </c>
      <c r="AP9" s="23">
        <f>IFERROR(VLOOKUP($AI$2&amp;"-"&amp; RIGHT(AP$4,1)&amp;"-"&amp;$A9,CC1_InputUser!$L:$N,3,FALSE),0)</f>
        <v>0</v>
      </c>
      <c r="AQ9" s="23">
        <f>IFERROR(VLOOKUP($AI$2&amp;"-"&amp; RIGHT(AQ$4,1)&amp;"-"&amp;$A9,CC1_InputUser!$L:$N,3,FALSE),0)</f>
        <v>-0.12081860138900591</v>
      </c>
      <c r="AR9" s="23">
        <f>IFERROR(VLOOKUP($AI$2&amp;"-"&amp; RIGHT(AR$4,1)&amp;"-"&amp;$A9,CC1_InputUser!$L:$N,3,FALSE),0)</f>
        <v>0</v>
      </c>
      <c r="AS9" s="26"/>
      <c r="AT9" s="23">
        <f>IFERROR(VLOOKUP($AT$2&amp;"-"&amp; RIGHT(AT$4,1)&amp;"-"&amp;$A9,CC1_InputUser!$L:$N,2,FALSE),0)</f>
        <v>0</v>
      </c>
      <c r="AU9" s="23">
        <f>IFERROR(VLOOKUP($AT$2&amp;"-"&amp; RIGHT(AU$4,1)&amp;"-"&amp;$A9,CC1_InputUser!$L:$N,2,FALSE),0)</f>
        <v>-8.1991372116977379E-2</v>
      </c>
      <c r="AV9" s="23">
        <f>IFERROR(VLOOKUP($AT$2&amp;"-"&amp; RIGHT(AV$4,1)&amp;"-"&amp;$A9,CC1_InputUser!$L:$N,2,FALSE),0)</f>
        <v>0</v>
      </c>
      <c r="AW9" s="23">
        <f>IFERROR(VLOOKUP($AT$2&amp;"-"&amp; RIGHT(AW$4,1)&amp;"-"&amp;$A9,CC1_InputUser!$L:$N,2,FALSE),0)</f>
        <v>0</v>
      </c>
      <c r="AX9" s="23">
        <f>IFERROR(VLOOKUP($AT$2&amp;"-"&amp; RIGHT(AX$4,1)&amp;"-"&amp;$A9,CC1_InputUser!$L:$N,2,FALSE),0)</f>
        <v>4.2083333333333472E-2</v>
      </c>
      <c r="AY9" s="23">
        <f>IFERROR(VLOOKUP($AT$2&amp;"-"&amp; RIGHT(AY$4,1)&amp;"-"&amp;$A9,CC1_InputUser!$L:$N,3,FALSE),0)</f>
        <v>0</v>
      </c>
      <c r="AZ9" s="23">
        <f>IFERROR(VLOOKUP($AT$2&amp;"-"&amp; RIGHT(AZ$4,1)&amp;"-"&amp;$A9,CC1_InputUser!$L:$N,3,FALSE),0)</f>
        <v>-6.4834537815328996E-2</v>
      </c>
      <c r="BA9" s="23">
        <f>IFERROR(VLOOKUP($AT$2&amp;"-"&amp; RIGHT(BA$4,1)&amp;"-"&amp;$A9,CC1_InputUser!$L:$N,3,FALSE),0)</f>
        <v>0</v>
      </c>
      <c r="BB9" s="23">
        <f>IFERROR(VLOOKUP($AT$2&amp;"-"&amp; RIGHT(BB$4,1)&amp;"-"&amp;$A9,CC1_InputUser!$L:$N,3,FALSE),0)</f>
        <v>0</v>
      </c>
      <c r="BC9" s="23">
        <f>IFERROR(VLOOKUP($AT$2&amp;"-"&amp; RIGHT(BC$4,1)&amp;"-"&amp;$A9,CC1_InputUser!$L:$N,3,FALSE),0)</f>
        <v>-3.4100826382452931E-2</v>
      </c>
      <c r="BD9" s="26"/>
      <c r="BE9" s="23">
        <f>IFERROR(VLOOKUP($AT$2&amp;"-"&amp; RIGHT(BE$4,1)&amp;"-"&amp;$A9,CC1_InputUser!$L:$N,2,FALSE),0)</f>
        <v>0</v>
      </c>
      <c r="BF9" s="23">
        <f>IFERROR(VLOOKUP($AT$2&amp;"-"&amp; RIGHT(BF$4,1)&amp;"-"&amp;$A9,CC1_InputUser!$L:$N,2,FALSE),0)</f>
        <v>-8.1991372116977379E-2</v>
      </c>
      <c r="BG9" s="23">
        <f>IFERROR(VLOOKUP($AT$2&amp;"-"&amp; RIGHT(BG$4,1)&amp;"-"&amp;$A9,CC1_InputUser!$L:$N,2,FALSE),0)</f>
        <v>0</v>
      </c>
      <c r="BH9" s="23">
        <f>IFERROR(VLOOKUP($AT$2&amp;"-"&amp; RIGHT(BH$4,1)&amp;"-"&amp;$A9,CC1_InputUser!$L:$N,2,FALSE),0)</f>
        <v>0</v>
      </c>
      <c r="BI9" s="23">
        <f>IFERROR(VLOOKUP($AT$2&amp;"-"&amp; RIGHT(BI$4,1)&amp;"-"&amp;$A9,CC1_InputUser!$L:$N,2,FALSE),0)</f>
        <v>4.2083333333333472E-2</v>
      </c>
      <c r="BJ9" s="23">
        <f>IFERROR(VLOOKUP($AT$2&amp;"-"&amp; RIGHT(BJ$4,1)&amp;"-"&amp;$A9,CC1_InputUser!$L:$N,3,FALSE),0)</f>
        <v>0</v>
      </c>
      <c r="BK9" s="23">
        <f>IFERROR(VLOOKUP($AT$2&amp;"-"&amp; RIGHT(BK$4,1)&amp;"-"&amp;$A9,CC1_InputUser!$L:$N,3,FALSE),0)</f>
        <v>-6.4834537815328996E-2</v>
      </c>
      <c r="BL9" s="23">
        <f>IFERROR(VLOOKUP($AT$2&amp;"-"&amp; RIGHT(BL$4,1)&amp;"-"&amp;$A9,CC1_InputUser!$L:$N,3,FALSE),0)</f>
        <v>0</v>
      </c>
      <c r="BM9" s="23">
        <f>IFERROR(VLOOKUP($AT$2&amp;"-"&amp; RIGHT(BM$4,1)&amp;"-"&amp;$A9,CC1_InputUser!$L:$N,3,FALSE),0)</f>
        <v>0</v>
      </c>
      <c r="BN9" s="23">
        <f>IFERROR(VLOOKUP($AT$2&amp;"-"&amp; RIGHT(BN$4,1)&amp;"-"&amp;$A9,CC1_InputUser!$L:$N,3,FALSE),0)</f>
        <v>-3.4100826382452931E-2</v>
      </c>
      <c r="BO9" s="26"/>
      <c r="BP9" s="23">
        <f>IFERROR(VLOOKUP($BP$2&amp;"-"&amp; RIGHT(BP$4,1)&amp;"-"&amp;$A9,CC1_InputUser!$L:$N,2,FALSE),0)</f>
        <v>0</v>
      </c>
      <c r="BQ9" s="23">
        <f>IFERROR(VLOOKUP($BP$2&amp;"-"&amp; RIGHT(BQ$4,1)&amp;"-"&amp;$A9,CC1_InputUser!$L:$N,2,FALSE),0)</f>
        <v>-1.8584703359542543E-2</v>
      </c>
      <c r="BR9" s="23">
        <f>IFERROR(VLOOKUP($BP$2&amp;"-"&amp; RIGHT(BR$4,1)&amp;"-"&amp;$A9,CC1_InputUser!$L:$N,2,FALSE),0)</f>
        <v>-1.1494252873563204E-2</v>
      </c>
      <c r="BS9" s="23">
        <f>IFERROR(VLOOKUP($BP$2&amp;"-"&amp; RIGHT(BS$4,1)&amp;"-"&amp;$A9,CC1_InputUser!$L:$N,2,FALSE),0)</f>
        <v>0</v>
      </c>
      <c r="BT9" s="23">
        <f>IFERROR(VLOOKUP($BP$2&amp;"-"&amp; RIGHT(BT$4,1)&amp;"-"&amp;$A9,CC1_InputUser!$L:$N,2,FALSE),0)</f>
        <v>0</v>
      </c>
      <c r="BU9" s="23">
        <f>IFERROR(VLOOKUP($BP$2&amp;"-"&amp; RIGHT(BU$4,1)&amp;"-"&amp;$A9,CC1_InputUser!$L:$N,3,FALSE),0)</f>
        <v>0</v>
      </c>
      <c r="BV9" s="23">
        <f>IFERROR(VLOOKUP($BP$2&amp;"-"&amp; RIGHT(BV$4,1)&amp;"-"&amp;$A9,CC1_InputUser!$L:$N,3,FALSE),0)</f>
        <v>-3.9053751399776071E-2</v>
      </c>
      <c r="BW9" s="23">
        <f>IFERROR(VLOOKUP($BP$2&amp;"-"&amp; RIGHT(BW$4,1)&amp;"-"&amp;$A9,CC1_InputUser!$L:$N,3,FALSE),0)</f>
        <v>-1.1494252873563204E-2</v>
      </c>
      <c r="BX9" s="23">
        <f>IFERROR(VLOOKUP($BP$2&amp;"-"&amp; RIGHT(BX$4,1)&amp;"-"&amp;$A9,CC1_InputUser!$L:$N,3,FALSE),0)</f>
        <v>0</v>
      </c>
      <c r="BY9" s="23">
        <f>IFERROR(VLOOKUP($BP$2&amp;"-"&amp; RIGHT(BY$4,1)&amp;"-"&amp;$A9,CC1_InputUser!$L:$N,3,FALSE),0)</f>
        <v>0</v>
      </c>
      <c r="BZ9" s="26"/>
      <c r="CA9" s="23">
        <f>IFERROR(VLOOKUP($CA$2&amp;"-"&amp; RIGHT(CA$4,1)&amp;"-"&amp;$A9,CC1_InputUser!$L:$N,2,FALSE),0)</f>
        <v>-2.0958083832335328E-2</v>
      </c>
      <c r="CB9" s="23">
        <f>IFERROR(VLOOKUP($CA$2&amp;"-"&amp; RIGHT(CB$4,1)&amp;"-"&amp;$A9,CC1_InputUser!$L:$N,2,FALSE),0)</f>
        <v>7.25559268331466E-3</v>
      </c>
      <c r="CC9" s="23">
        <f>IFERROR(VLOOKUP($CA$2&amp;"-"&amp; RIGHT(CC$4,1)&amp;"-"&amp;$A9,CC1_InputUser!$L:$N,2,FALSE),0)</f>
        <v>0</v>
      </c>
      <c r="CD9" s="23">
        <f>IFERROR(VLOOKUP($CA$2&amp;"-"&amp; RIGHT(CD$4,1)&amp;"-"&amp;$A9,CC1_InputUser!$L:$N,2,FALSE),0)</f>
        <v>5.0581689428419452E-4</v>
      </c>
      <c r="CE9" s="23">
        <f>IFERROR(VLOOKUP($CA$2&amp;"-"&amp; RIGHT(CE$4,1)&amp;"-"&amp;$A9,CC1_InputUser!$L:$N,2,FALSE),0)</f>
        <v>0</v>
      </c>
      <c r="CF9" s="23">
        <f>IFERROR(VLOOKUP($CA$2&amp;"-"&amp; RIGHT(CF$4,1)&amp;"-"&amp;$A9,CC1_InputUser!$L:$N,3,FALSE),0)</f>
        <v>-2.0958083832335328E-2</v>
      </c>
      <c r="CG9" s="23">
        <f>IFERROR(VLOOKUP($CA$2&amp;"-"&amp; RIGHT(CG$4,1)&amp;"-"&amp;$A9,CC1_InputUser!$L:$N,3,FALSE),0)</f>
        <v>-1.0204081632653073E-2</v>
      </c>
      <c r="CH9" s="23">
        <f>IFERROR(VLOOKUP($CA$2&amp;"-"&amp; RIGHT(CH$4,1)&amp;"-"&amp;$A9,CC1_InputUser!$L:$N,3,FALSE),0)</f>
        <v>0</v>
      </c>
      <c r="CI9" s="23">
        <f>IFERROR(VLOOKUP($CA$2&amp;"-"&amp; RIGHT(CI$4,1)&amp;"-"&amp;$A9,CC1_InputUser!$L:$N,3,FALSE),0)</f>
        <v>-2.5214321734745582E-3</v>
      </c>
      <c r="CJ9" s="23">
        <f>IFERROR(VLOOKUP($CA$2&amp;"-"&amp; RIGHT(CJ$4,1)&amp;"-"&amp;$A9,CC1_InputUser!$L:$N,3,FALSE),0)</f>
        <v>-4.4291621551884042E-2</v>
      </c>
      <c r="CK9" s="26"/>
      <c r="CL9" s="23">
        <f>IFERROR(VLOOKUP($CL$2&amp;"-"&amp; RIGHT(CL$4,1)&amp;"-"&amp;$A9,CC1_InputUser!$L:$N,2,FALSE),0)</f>
        <v>3.7832379224227886E-2</v>
      </c>
      <c r="CM9" s="23">
        <f>IFERROR(VLOOKUP($CL$2&amp;"-"&amp; RIGHT(CM$4,1)&amp;"-"&amp;$A9,CC1_InputUser!$L:$N,2,FALSE),0)</f>
        <v>0</v>
      </c>
      <c r="CN9" s="23">
        <f>IFERROR(VLOOKUP($CL$2&amp;"-"&amp; RIGHT(CN$4,1)&amp;"-"&amp;$A9,CC1_InputUser!$L:$N,2,FALSE),0)</f>
        <v>0</v>
      </c>
      <c r="CO9" s="23">
        <f>IFERROR(VLOOKUP($CL$2&amp;"-"&amp; RIGHT(CO$4,1)&amp;"-"&amp;$A9,CC1_InputUser!$L:$N,2,FALSE),0)</f>
        <v>0</v>
      </c>
      <c r="CP9" s="23">
        <f>IFERROR(VLOOKUP($CL$2&amp;"-"&amp; RIGHT(CP$4,1)&amp;"-"&amp;$A9,CC1_InputUser!$L:$N,2,FALSE),0)</f>
        <v>0</v>
      </c>
      <c r="CQ9" s="23">
        <f>IFERROR(VLOOKUP($CL$2&amp;"-"&amp; RIGHT(CQ$4,1)&amp;"-"&amp;$A9,CC1_InputUser!$L:$N,3,FALSE),0)</f>
        <v>-0.13083774433361517</v>
      </c>
      <c r="CR9" s="23">
        <f>IFERROR(VLOOKUP($CL$2&amp;"-"&amp; RIGHT(CR$4,1)&amp;"-"&amp;$A9,CC1_InputUser!$L:$N,3,FALSE),0)</f>
        <v>0</v>
      </c>
      <c r="CS9" s="23">
        <f>IFERROR(VLOOKUP($CL$2&amp;"-"&amp; RIGHT(CS$4,1)&amp;"-"&amp;$A9,CC1_InputUser!$L:$N,3,FALSE),0)</f>
        <v>0</v>
      </c>
      <c r="CT9" s="23">
        <f>IFERROR(VLOOKUP($CL$2&amp;"-"&amp; RIGHT(CT$4,1)&amp;"-"&amp;$A9,CC1_InputUser!$L:$N,3,FALSE),0)</f>
        <v>0</v>
      </c>
      <c r="CU9" s="23">
        <f>IFERROR(VLOOKUP($CL$2&amp;"-"&amp; RIGHT(CU$4,1)&amp;"-"&amp;$A9,CC1_InputUser!$L:$N,3,FALSE),0)</f>
        <v>0</v>
      </c>
      <c r="CV9" s="26"/>
      <c r="CW9" s="23">
        <f>IFERROR(VLOOKUP($CW$2&amp;"-"&amp; RIGHT(CW$4,1)&amp;"-"&amp;$A9,CC1_InputUser!$L:$N,2,FALSE),0)</f>
        <v>0</v>
      </c>
      <c r="CX9" s="23">
        <f>IFERROR(VLOOKUP($CW$2&amp;"-"&amp; RIGHT(CX$4,1)&amp;"-"&amp;$A9,CC1_InputUser!$L:$N,2,FALSE),0)</f>
        <v>0</v>
      </c>
      <c r="CY9" s="23">
        <f>IFERROR(VLOOKUP($CW$2&amp;"-"&amp; RIGHT(CY$4,1)&amp;"-"&amp;$A9,CC1_InputUser!$L:$N,2,FALSE),0)</f>
        <v>0</v>
      </c>
      <c r="CZ9" s="23">
        <f>IFERROR(VLOOKUP($CW$2&amp;"-"&amp; RIGHT(CZ$4,1)&amp;"-"&amp;$A9,CC1_InputUser!$L:$N,2,FALSE),0)</f>
        <v>0</v>
      </c>
      <c r="DA9" s="23">
        <f>IFERROR(VLOOKUP($CW$2&amp;"-"&amp; RIGHT(DA$4,1)&amp;"-"&amp;$A9,CC1_InputUser!$L:$N,2,FALSE),0)</f>
        <v>0</v>
      </c>
      <c r="DB9" s="23">
        <f>IFERROR(VLOOKUP($CW$2&amp;"-"&amp; RIGHT(DB$4,1)&amp;"-"&amp;$A9,CC1_InputUser!$L:$N,3,FALSE),0)</f>
        <v>0</v>
      </c>
      <c r="DC9" s="23">
        <f>IFERROR(VLOOKUP($CW$2&amp;"-"&amp; RIGHT(DC$4,1)&amp;"-"&amp;$A9,CC1_InputUser!$L:$N,3,FALSE),0)</f>
        <v>0</v>
      </c>
      <c r="DD9" s="23">
        <f>IFERROR(VLOOKUP($CW$2&amp;"-"&amp; RIGHT(DD$4,1)&amp;"-"&amp;$A9,CC1_InputUser!$L:$N,3,FALSE),0)</f>
        <v>0</v>
      </c>
      <c r="DE9" s="23">
        <f>IFERROR(VLOOKUP($CW$2&amp;"-"&amp; RIGHT(DE$4,1)&amp;"-"&amp;$A9,CC1_InputUser!$L:$N,3,FALSE),0)</f>
        <v>0</v>
      </c>
      <c r="DF9" s="23">
        <f>IFERROR(VLOOKUP($CW$2&amp;"-"&amp; RIGHT(DF$4,1)&amp;"-"&amp;$A9,CC1_InputUser!$L:$N,3,FALSE),0)</f>
        <v>0</v>
      </c>
      <c r="DG9" s="26"/>
      <c r="DH9" s="23">
        <f>IFERROR(VLOOKUP($DH$2&amp;"-"&amp; RIGHT(DH$4,1)&amp;"-"&amp;$A9,CC1_InputUser!$L:$N,2,FALSE),0)</f>
        <v>0</v>
      </c>
      <c r="DI9" s="23">
        <f>IFERROR(VLOOKUP($DH$2&amp;"-"&amp; RIGHT(DI$4,1)&amp;"-"&amp;$A9,CC1_InputUser!$L:$N,2,FALSE),0)</f>
        <v>0</v>
      </c>
      <c r="DJ9" s="23">
        <f>IFERROR(VLOOKUP($DH$2&amp;"-"&amp; RIGHT(DJ$4,1)&amp;"-"&amp;$A9,CC1_InputUser!$L:$N,2,FALSE),0)</f>
        <v>0</v>
      </c>
      <c r="DK9" s="23">
        <f>IFERROR(VLOOKUP($DH$2&amp;"-"&amp; RIGHT(DK$4,1)&amp;"-"&amp;$A9,CC1_InputUser!$L:$N,2,FALSE),0)</f>
        <v>0</v>
      </c>
      <c r="DL9" s="23">
        <f>IFERROR(VLOOKUP($DH$2&amp;"-"&amp; RIGHT(DL$4,1)&amp;"-"&amp;$A9,CC1_InputUser!$L:$N,2,FALSE),0)</f>
        <v>0</v>
      </c>
      <c r="DM9" s="23">
        <f>IFERROR(VLOOKUP($DH$2&amp;"-"&amp; RIGHT(DM$4,1)&amp;"-"&amp;$A9,CC1_InputUser!$L:$N,3,FALSE),0)</f>
        <v>0</v>
      </c>
      <c r="DN9" s="23">
        <f>IFERROR(VLOOKUP($DH$2&amp;"-"&amp; RIGHT(DN$4,1)&amp;"-"&amp;$A9,CC1_InputUser!$L:$N,3,FALSE),0)</f>
        <v>0</v>
      </c>
      <c r="DO9" s="23">
        <f>IFERROR(VLOOKUP($DH$2&amp;"-"&amp; RIGHT(DO$4,1)&amp;"-"&amp;$A9,CC1_InputUser!$L:$N,3,FALSE),0)</f>
        <v>0</v>
      </c>
      <c r="DP9" s="23">
        <f>IFERROR(VLOOKUP($DH$2&amp;"-"&amp; RIGHT(DP$4,1)&amp;"-"&amp;$A9,CC1_InputUser!$L:$N,3,FALSE),0)</f>
        <v>0</v>
      </c>
      <c r="DQ9" s="23">
        <f>IFERROR(VLOOKUP($DH$2&amp;"-"&amp; RIGHT(DQ$4,1)&amp;"-"&amp;$A9,CC1_InputUser!$L:$N,3,FALSE),0)</f>
        <v>0</v>
      </c>
      <c r="DR9" s="26"/>
      <c r="DS9" s="23">
        <f>IFERROR(VLOOKUP($DS$2&amp;"-"&amp; RIGHT(DS$4,1)&amp;"-"&amp;$A9,CC1_InputUser!$L:$N,2,FALSE),0)</f>
        <v>0</v>
      </c>
      <c r="DT9" s="23">
        <f>IFERROR(VLOOKUP($DS$2&amp;"-"&amp; RIGHT(DT$4,1)&amp;"-"&amp;$A9,CC1_InputUser!$L:$N,2,FALSE),0)</f>
        <v>0</v>
      </c>
      <c r="DU9" s="23">
        <f>IFERROR(VLOOKUP($DS$2&amp;"-"&amp; RIGHT(DU$4,1)&amp;"-"&amp;$A9,CC1_InputUser!$L:$N,2,FALSE),0)</f>
        <v>0</v>
      </c>
      <c r="DV9" s="23">
        <f>IFERROR(VLOOKUP($DS$2&amp;"-"&amp; RIGHT(DV$4,1)&amp;"-"&amp;$A9,CC1_InputUser!$L:$N,2,FALSE),0)</f>
        <v>0</v>
      </c>
      <c r="DW9" s="23">
        <f>IFERROR(VLOOKUP($DS$2&amp;"-"&amp; RIGHT(DW$4,1)&amp;"-"&amp;$A9,CC1_InputUser!$L:$N,2,FALSE),0)</f>
        <v>0</v>
      </c>
      <c r="DX9" s="23">
        <f>IFERROR(VLOOKUP($DS$2&amp;"-"&amp; RIGHT(DX$4,1)&amp;"-"&amp;$A9,CC1_InputUser!$L:$N,3,FALSE),0)</f>
        <v>0</v>
      </c>
      <c r="DY9" s="23">
        <f>IFERROR(VLOOKUP($DS$2&amp;"-"&amp; RIGHT(DY$4,1)&amp;"-"&amp;$A9,CC1_InputUser!$L:$N,3,FALSE),0)</f>
        <v>0</v>
      </c>
      <c r="DZ9" s="23">
        <f>IFERROR(VLOOKUP($DS$2&amp;"-"&amp; RIGHT(DZ$4,1)&amp;"-"&amp;$A9,CC1_InputUser!$L:$N,3,FALSE),0)</f>
        <v>0</v>
      </c>
      <c r="EA9" s="23">
        <f>IFERROR(VLOOKUP($DS$2&amp;"-"&amp; RIGHT(EA$4,1)&amp;"-"&amp;$A9,CC1_InputUser!$L:$N,3,FALSE),0)</f>
        <v>0</v>
      </c>
      <c r="EB9" s="23">
        <f>IFERROR(VLOOKUP($DS$2&amp;"-"&amp; RIGHT(EB$4,1)&amp;"-"&amp;$A9,CC1_InputUser!$L:$N,3,FALSE),0)</f>
        <v>0</v>
      </c>
      <c r="EC9" s="26"/>
    </row>
    <row r="10" spans="1:133" x14ac:dyDescent="0.3">
      <c r="A10" s="74" t="s">
        <v>70</v>
      </c>
      <c r="B10" s="23">
        <f>IFERROR(VLOOKUP($B$2&amp;"-"&amp; RIGHT(B$4,1)&amp;"-"&amp;$A10,CC1_InputUser!$L:$N,2,FALSE),0)</f>
        <v>0</v>
      </c>
      <c r="C10" s="23">
        <f>IFERROR(VLOOKUP($B$2&amp;"-"&amp; RIGHT(C$4,1)&amp;"-"&amp;$A10,CC1_InputUser!$L:$N,2,FALSE),0)</f>
        <v>0</v>
      </c>
      <c r="D10" s="23">
        <f>IFERROR(VLOOKUP($B$2&amp;"-"&amp; RIGHT(D$4,1)&amp;"-"&amp;$A10,CC1_InputUser!$L:$N,2,FALSE),0)</f>
        <v>0</v>
      </c>
      <c r="E10" s="23">
        <f>IFERROR(VLOOKUP($B$2&amp;"-"&amp; RIGHT(E$4,1)&amp;"-"&amp;$A10,CC1_InputUser!$L:$N,2,FALSE),0)</f>
        <v>0</v>
      </c>
      <c r="F10" s="23">
        <f>IFERROR(VLOOKUP($B$2&amp;"-"&amp; RIGHT(F$4,1)&amp;"-"&amp;$A10,CC1_InputUser!$L:$N,2,FALSE),0)</f>
        <v>0</v>
      </c>
      <c r="G10" s="23">
        <f>IFERROR(VLOOKUP($B$2&amp;"-"&amp; RIGHT(G$4,1)&amp;"-"&amp;$A10,CC1_InputUser!$L:$N,3,FALSE),0)</f>
        <v>0</v>
      </c>
      <c r="H10" s="23">
        <f>IFERROR(VLOOKUP($B$2&amp;"-"&amp; RIGHT(H$4,1)&amp;"-"&amp;$A10,CC1_InputUser!$L:$N,3,FALSE),0)</f>
        <v>0</v>
      </c>
      <c r="I10" s="23">
        <f>IFERROR(VLOOKUP($B$2&amp;"-"&amp; RIGHT(I$4,1)&amp;"-"&amp;$A10,CC1_InputUser!$L:$N,3,FALSE),0)</f>
        <v>0</v>
      </c>
      <c r="J10" s="23">
        <f>IFERROR(VLOOKUP($B$2&amp;"-"&amp; RIGHT(J$4,1)&amp;"-"&amp;$A10,CC1_InputUser!$L:$N,3,FALSE),0)</f>
        <v>0</v>
      </c>
      <c r="K10" s="23">
        <f>IFERROR(VLOOKUP($B$2&amp;"-"&amp; RIGHT(K$4,1)&amp;"-"&amp;$A10,CC1_InputUser!$L:$N,3,FALSE),0)</f>
        <v>0</v>
      </c>
      <c r="L10" s="24"/>
      <c r="M10" s="23">
        <f>IFERROR(VLOOKUP($M$2&amp;"-"&amp; RIGHT(M$4,1)&amp;"-"&amp;$A10,CC1_InputUser!$L:$N,2,FALSE),0)</f>
        <v>0</v>
      </c>
      <c r="N10" s="23">
        <f>IFERROR(VLOOKUP($M$2&amp;"-"&amp; RIGHT(N$4,1)&amp;"-"&amp;$A10,CC1_InputUser!$L:$N,2,FALSE),0)</f>
        <v>0</v>
      </c>
      <c r="O10" s="23">
        <f>IFERROR(VLOOKUP($M$2&amp;"-"&amp; RIGHT(O$4,1)&amp;"-"&amp;$A10,CC1_InputUser!$L:$N,2,FALSE),0)</f>
        <v>0</v>
      </c>
      <c r="P10" s="23">
        <f>IFERROR(VLOOKUP($M$2&amp;"-"&amp; RIGHT(P$4,1)&amp;"-"&amp;$A10,CC1_InputUser!$L:$N,2,FALSE),0)</f>
        <v>0</v>
      </c>
      <c r="Q10" s="23">
        <f>IFERROR(VLOOKUP($M$2&amp;"-"&amp; RIGHT(Q$4,1)&amp;"-"&amp;$A10,CC1_InputUser!$L:$N,2,FALSE),0)</f>
        <v>0</v>
      </c>
      <c r="R10" s="23">
        <f>IFERROR(VLOOKUP($M$2&amp;"-"&amp; RIGHT(R$4,1)&amp;"-"&amp;$A10,CC1_InputUser!$L:$N,3,FALSE),0)</f>
        <v>0</v>
      </c>
      <c r="S10" s="23">
        <f>IFERROR(VLOOKUP($M$2&amp;"-"&amp; RIGHT(S$4,1)&amp;"-"&amp;$A10,CC1_InputUser!$L:$N,3,FALSE),0)</f>
        <v>0</v>
      </c>
      <c r="T10" s="23">
        <f>IFERROR(VLOOKUP($M$2&amp;"-"&amp; RIGHT(T$4,1)&amp;"-"&amp;$A10,CC1_InputUser!$L:$N,3,FALSE),0)</f>
        <v>0</v>
      </c>
      <c r="U10" s="23">
        <f>IFERROR(VLOOKUP($M$2&amp;"-"&amp; RIGHT(U$4,1)&amp;"-"&amp;$A10,CC1_InputUser!$L:$N,3,FALSE),0)</f>
        <v>0</v>
      </c>
      <c r="V10" s="23">
        <f>IFERROR(VLOOKUP($M$2&amp;"-"&amp; RIGHT(V$4,1)&amp;"-"&amp;$A10,CC1_InputUser!$L:$N,3,FALSE),0)</f>
        <v>0</v>
      </c>
      <c r="W10" s="24"/>
      <c r="X10" s="23">
        <f>IFERROR(VLOOKUP($X$2&amp;"-"&amp; RIGHT(X$4,1)&amp;"-"&amp;$A10,CC1_InputUser!$L:$N,2,FALSE),0)</f>
        <v>0</v>
      </c>
      <c r="Y10" s="23">
        <f>IFERROR(VLOOKUP($X$2&amp;"-"&amp; RIGHT(Y$4,1)&amp;"-"&amp;$A10,CC1_InputUser!$L:$N,2,FALSE),0)</f>
        <v>0</v>
      </c>
      <c r="Z10" s="23">
        <f>IFERROR(VLOOKUP($X$2&amp;"-"&amp; RIGHT(Z$4,1)&amp;"-"&amp;$A10,CC1_InputUser!$L:$N,2,FALSE),0)</f>
        <v>0</v>
      </c>
      <c r="AA10" s="23">
        <f>IFERROR(VLOOKUP($X$2&amp;"-"&amp; RIGHT(AA$4,1)&amp;"-"&amp;$A10,CC1_InputUser!$L:$N,2,FALSE),0)</f>
        <v>0</v>
      </c>
      <c r="AB10" s="23">
        <f>IFERROR(VLOOKUP($X$2&amp;"-"&amp; RIGHT(AB$4,1)&amp;"-"&amp;$A10,CC1_InputUser!$L:$N,2,FALSE),0)</f>
        <v>0</v>
      </c>
      <c r="AC10" s="23">
        <f>IFERROR(VLOOKUP($X$2&amp;"-"&amp; RIGHT(AC$4,1)&amp;"-"&amp;$A10,CC1_InputUser!$L:$N,3,FALSE),0)</f>
        <v>0</v>
      </c>
      <c r="AD10" s="23">
        <f>IFERROR(VLOOKUP($X$2&amp;"-"&amp; RIGHT(AD$4,1)&amp;"-"&amp;$A10,CC1_InputUser!$L:$N,3,FALSE),0)</f>
        <v>0</v>
      </c>
      <c r="AE10" s="23">
        <f>IFERROR(VLOOKUP($X$2&amp;"-"&amp; RIGHT(AE$4,1)&amp;"-"&amp;$A10,CC1_InputUser!$L:$N,3,FALSE),0)</f>
        <v>0</v>
      </c>
      <c r="AF10" s="23">
        <f>IFERROR(VLOOKUP($X$2&amp;"-"&amp; RIGHT(AF$4,1)&amp;"-"&amp;$A10,CC1_InputUser!$L:$N,3,FALSE),0)</f>
        <v>0</v>
      </c>
      <c r="AG10" s="23">
        <f>IFERROR(VLOOKUP($X$2&amp;"-"&amp; RIGHT(AG$4,1)&amp;"-"&amp;$A10,CC1_InputUser!$L:$N,3,FALSE),0)</f>
        <v>0</v>
      </c>
      <c r="AH10" s="24"/>
      <c r="AI10" s="23">
        <f>IFERROR(VLOOKUP($AI$2&amp;"-"&amp; RIGHT(AI$4,1)&amp;"-"&amp;$A10,CC1_InputUser!$L:$N,2,FALSE),0)</f>
        <v>0</v>
      </c>
      <c r="AJ10" s="23">
        <f>IFERROR(VLOOKUP($AI$2&amp;"-"&amp; RIGHT(AJ$4,1)&amp;"-"&amp;$A10,CC1_InputUser!$L:$N,2,FALSE),0)</f>
        <v>0</v>
      </c>
      <c r="AK10" s="23">
        <f>IFERROR(VLOOKUP($AI$2&amp;"-"&amp; RIGHT(AK$4,1)&amp;"-"&amp;$A10,CC1_InputUser!$L:$N,2,FALSE),0)</f>
        <v>0</v>
      </c>
      <c r="AL10" s="23">
        <f>IFERROR(VLOOKUP($AI$2&amp;"-"&amp; RIGHT(AL$4,1)&amp;"-"&amp;$A10,CC1_InputUser!$L:$N,2,FALSE),0)</f>
        <v>0</v>
      </c>
      <c r="AM10" s="23">
        <f>IFERROR(VLOOKUP($AI$2&amp;"-"&amp; RIGHT(AM$4,1)&amp;"-"&amp;$A10,CC1_InputUser!$L:$N,2,FALSE),0)</f>
        <v>0</v>
      </c>
      <c r="AN10" s="23">
        <f>IFERROR(VLOOKUP($AI$2&amp;"-"&amp; RIGHT(AN$4,1)&amp;"-"&amp;$A10,CC1_InputUser!$L:$N,3,FALSE),0)</f>
        <v>0</v>
      </c>
      <c r="AO10" s="23">
        <f>IFERROR(VLOOKUP($AI$2&amp;"-"&amp; RIGHT(AO$4,1)&amp;"-"&amp;$A10,CC1_InputUser!$L:$N,3,FALSE),0)</f>
        <v>0</v>
      </c>
      <c r="AP10" s="23">
        <f>IFERROR(VLOOKUP($AI$2&amp;"-"&amp; RIGHT(AP$4,1)&amp;"-"&amp;$A10,CC1_InputUser!$L:$N,3,FALSE),0)</f>
        <v>0</v>
      </c>
      <c r="AQ10" s="23">
        <f>IFERROR(VLOOKUP($AI$2&amp;"-"&amp; RIGHT(AQ$4,1)&amp;"-"&amp;$A10,CC1_InputUser!$L:$N,3,FALSE),0)</f>
        <v>0</v>
      </c>
      <c r="AR10" s="23">
        <f>IFERROR(VLOOKUP($AI$2&amp;"-"&amp; RIGHT(AR$4,1)&amp;"-"&amp;$A10,CC1_InputUser!$L:$N,3,FALSE),0)</f>
        <v>0</v>
      </c>
      <c r="AS10" s="24"/>
      <c r="AT10" s="23">
        <f>IFERROR(VLOOKUP($AT$2&amp;"-"&amp; RIGHT(AT$4,1)&amp;"-"&amp;$A10,CC1_InputUser!$L:$N,2,FALSE),0)</f>
        <v>0</v>
      </c>
      <c r="AU10" s="23">
        <f>IFERROR(VLOOKUP($AT$2&amp;"-"&amp; RIGHT(AU$4,1)&amp;"-"&amp;$A10,CC1_InputUser!$L:$N,2,FALSE),0)</f>
        <v>0</v>
      </c>
      <c r="AV10" s="23">
        <f>IFERROR(VLOOKUP($AT$2&amp;"-"&amp; RIGHT(AV$4,1)&amp;"-"&amp;$A10,CC1_InputUser!$L:$N,2,FALSE),0)</f>
        <v>0</v>
      </c>
      <c r="AW10" s="23">
        <f>IFERROR(VLOOKUP($AT$2&amp;"-"&amp; RIGHT(AW$4,1)&amp;"-"&amp;$A10,CC1_InputUser!$L:$N,2,FALSE),0)</f>
        <v>-0.14083333333333337</v>
      </c>
      <c r="AX10" s="23">
        <f>IFERROR(VLOOKUP($AT$2&amp;"-"&amp; RIGHT(AX$4,1)&amp;"-"&amp;$A10,CC1_InputUser!$L:$N,2,FALSE),0)</f>
        <v>0</v>
      </c>
      <c r="AY10" s="23">
        <f>IFERROR(VLOOKUP($AT$2&amp;"-"&amp; RIGHT(AY$4,1)&amp;"-"&amp;$A10,CC1_InputUser!$L:$N,3,FALSE),0)</f>
        <v>0</v>
      </c>
      <c r="AZ10" s="23">
        <f>IFERROR(VLOOKUP($AT$2&amp;"-"&amp; RIGHT(AZ$4,1)&amp;"-"&amp;$A10,CC1_InputUser!$L:$N,3,FALSE),0)</f>
        <v>0</v>
      </c>
      <c r="BA10" s="23">
        <f>IFERROR(VLOOKUP($AT$2&amp;"-"&amp; RIGHT(BA$4,1)&amp;"-"&amp;$A10,CC1_InputUser!$L:$N,3,FALSE),0)</f>
        <v>0</v>
      </c>
      <c r="BB10" s="23">
        <f>IFERROR(VLOOKUP($AT$2&amp;"-"&amp; RIGHT(BB$4,1)&amp;"-"&amp;$A10,CC1_InputUser!$L:$N,3,FALSE),0)</f>
        <v>-0.14716887417218549</v>
      </c>
      <c r="BC10" s="23">
        <f>IFERROR(VLOOKUP($AT$2&amp;"-"&amp; RIGHT(BC$4,1)&amp;"-"&amp;$A10,CC1_InputUser!$L:$N,3,FALSE),0)</f>
        <v>0</v>
      </c>
      <c r="BD10" s="24"/>
      <c r="BE10" s="23">
        <f>IFERROR(VLOOKUP($AT$2&amp;"-"&amp; RIGHT(BE$4,1)&amp;"-"&amp;$A10,CC1_InputUser!$L:$N,2,FALSE),0)</f>
        <v>0</v>
      </c>
      <c r="BF10" s="23">
        <f>IFERROR(VLOOKUP($AT$2&amp;"-"&amp; RIGHT(BF$4,1)&amp;"-"&amp;$A10,CC1_InputUser!$L:$N,2,FALSE),0)</f>
        <v>0</v>
      </c>
      <c r="BG10" s="23">
        <f>IFERROR(VLOOKUP($AT$2&amp;"-"&amp; RIGHT(BG$4,1)&amp;"-"&amp;$A10,CC1_InputUser!$L:$N,2,FALSE),0)</f>
        <v>0</v>
      </c>
      <c r="BH10" s="23">
        <f>IFERROR(VLOOKUP($AT$2&amp;"-"&amp; RIGHT(BH$4,1)&amp;"-"&amp;$A10,CC1_InputUser!$L:$N,2,FALSE),0)</f>
        <v>-0.14083333333333337</v>
      </c>
      <c r="BI10" s="23">
        <f>IFERROR(VLOOKUP($AT$2&amp;"-"&amp; RIGHT(BI$4,1)&amp;"-"&amp;$A10,CC1_InputUser!$L:$N,2,FALSE),0)</f>
        <v>0</v>
      </c>
      <c r="BJ10" s="23">
        <f>IFERROR(VLOOKUP($AT$2&amp;"-"&amp; RIGHT(BJ$4,1)&amp;"-"&amp;$A10,CC1_InputUser!$L:$N,3,FALSE),0)</f>
        <v>0</v>
      </c>
      <c r="BK10" s="23">
        <f>IFERROR(VLOOKUP($AT$2&amp;"-"&amp; RIGHT(BK$4,1)&amp;"-"&amp;$A10,CC1_InputUser!$L:$N,3,FALSE),0)</f>
        <v>0</v>
      </c>
      <c r="BL10" s="23">
        <f>IFERROR(VLOOKUP($AT$2&amp;"-"&amp; RIGHT(BL$4,1)&amp;"-"&amp;$A10,CC1_InputUser!$L:$N,3,FALSE),0)</f>
        <v>0</v>
      </c>
      <c r="BM10" s="23">
        <f>IFERROR(VLOOKUP($AT$2&amp;"-"&amp; RIGHT(BM$4,1)&amp;"-"&amp;$A10,CC1_InputUser!$L:$N,3,FALSE),0)</f>
        <v>-0.14716887417218549</v>
      </c>
      <c r="BN10" s="23">
        <f>IFERROR(VLOOKUP($AT$2&amp;"-"&amp; RIGHT(BN$4,1)&amp;"-"&amp;$A10,CC1_InputUser!$L:$N,3,FALSE),0)</f>
        <v>0</v>
      </c>
      <c r="BO10" s="24"/>
      <c r="BP10" s="23">
        <f>IFERROR(VLOOKUP($BP$2&amp;"-"&amp; RIGHT(BP$4,1)&amp;"-"&amp;$A10,CC1_InputUser!$L:$N,2,FALSE),0)</f>
        <v>0</v>
      </c>
      <c r="BQ10" s="23">
        <f>IFERROR(VLOOKUP($BP$2&amp;"-"&amp; RIGHT(BQ$4,1)&amp;"-"&amp;$A10,CC1_InputUser!$L:$N,2,FALSE),0)</f>
        <v>0</v>
      </c>
      <c r="BR10" s="23">
        <f>IFERROR(VLOOKUP($BP$2&amp;"-"&amp; RIGHT(BR$4,1)&amp;"-"&amp;$A10,CC1_InputUser!$L:$N,2,FALSE),0)</f>
        <v>0</v>
      </c>
      <c r="BS10" s="23">
        <f>IFERROR(VLOOKUP($BP$2&amp;"-"&amp; RIGHT(BS$4,1)&amp;"-"&amp;$A10,CC1_InputUser!$L:$N,2,FALSE),0)</f>
        <v>0</v>
      </c>
      <c r="BT10" s="23">
        <f>IFERROR(VLOOKUP($BP$2&amp;"-"&amp; RIGHT(BT$4,1)&amp;"-"&amp;$A10,CC1_InputUser!$L:$N,2,FALSE),0)</f>
        <v>0</v>
      </c>
      <c r="BU10" s="23">
        <f>IFERROR(VLOOKUP($BP$2&amp;"-"&amp; RIGHT(BU$4,1)&amp;"-"&amp;$A10,CC1_InputUser!$L:$N,3,FALSE),0)</f>
        <v>0</v>
      </c>
      <c r="BV10" s="23">
        <f>IFERROR(VLOOKUP($BP$2&amp;"-"&amp; RIGHT(BV$4,1)&amp;"-"&amp;$A10,CC1_InputUser!$L:$N,3,FALSE),0)</f>
        <v>0</v>
      </c>
      <c r="BW10" s="23">
        <f>IFERROR(VLOOKUP($BP$2&amp;"-"&amp; RIGHT(BW$4,1)&amp;"-"&amp;$A10,CC1_InputUser!$L:$N,3,FALSE),0)</f>
        <v>0</v>
      </c>
      <c r="BX10" s="23">
        <f>IFERROR(VLOOKUP($BP$2&amp;"-"&amp; RIGHT(BX$4,1)&amp;"-"&amp;$A10,CC1_InputUser!$L:$N,3,FALSE),0)</f>
        <v>0</v>
      </c>
      <c r="BY10" s="23">
        <f>IFERROR(VLOOKUP($BP$2&amp;"-"&amp; RIGHT(BY$4,1)&amp;"-"&amp;$A10,CC1_InputUser!$L:$N,3,FALSE),0)</f>
        <v>0</v>
      </c>
      <c r="BZ10" s="24"/>
      <c r="CA10" s="23">
        <f>IFERROR(VLOOKUP($CA$2&amp;"-"&amp; RIGHT(CA$4,1)&amp;"-"&amp;$A10,CC1_InputUser!$L:$N,2,FALSE),0)</f>
        <v>-1.2974051896207595E-2</v>
      </c>
      <c r="CB10" s="23">
        <f>IFERROR(VLOOKUP($CA$2&amp;"-"&amp; RIGHT(CB$4,1)&amp;"-"&amp;$A10,CC1_InputUser!$L:$N,2,FALSE),0)</f>
        <v>0</v>
      </c>
      <c r="CC10" s="23">
        <f>IFERROR(VLOOKUP($CA$2&amp;"-"&amp; RIGHT(CC$4,1)&amp;"-"&amp;$A10,CC1_InputUser!$L:$N,2,FALSE),0)</f>
        <v>0</v>
      </c>
      <c r="CD10" s="23">
        <f>IFERROR(VLOOKUP($CA$2&amp;"-"&amp; RIGHT(CD$4,1)&amp;"-"&amp;$A10,CC1_InputUser!$L:$N,2,FALSE),0)</f>
        <v>0</v>
      </c>
      <c r="CE10" s="23">
        <f>IFERROR(VLOOKUP($CA$2&amp;"-"&amp; RIGHT(CE$4,1)&amp;"-"&amp;$A10,CC1_InputUser!$L:$N,2,FALSE),0)</f>
        <v>0</v>
      </c>
      <c r="CF10" s="23">
        <f>IFERROR(VLOOKUP($CA$2&amp;"-"&amp; RIGHT(CF$4,1)&amp;"-"&amp;$A10,CC1_InputUser!$L:$N,3,FALSE),0)</f>
        <v>-1.2974051896207595E-2</v>
      </c>
      <c r="CG10" s="23">
        <f>IFERROR(VLOOKUP($CA$2&amp;"-"&amp; RIGHT(CG$4,1)&amp;"-"&amp;$A10,CC1_InputUser!$L:$N,3,FALSE),0)</f>
        <v>0</v>
      </c>
      <c r="CH10" s="23">
        <f>IFERROR(VLOOKUP($CA$2&amp;"-"&amp; RIGHT(CH$4,1)&amp;"-"&amp;$A10,CC1_InputUser!$L:$N,3,FALSE),0)</f>
        <v>0</v>
      </c>
      <c r="CI10" s="23">
        <f>IFERROR(VLOOKUP($CA$2&amp;"-"&amp; RIGHT(CI$4,1)&amp;"-"&amp;$A10,CC1_InputUser!$L:$N,3,FALSE),0)</f>
        <v>0</v>
      </c>
      <c r="CJ10" s="23">
        <f>IFERROR(VLOOKUP($CA$2&amp;"-"&amp; RIGHT(CJ$4,1)&amp;"-"&amp;$A10,CC1_InputUser!$L:$N,3,FALSE),0)</f>
        <v>0</v>
      </c>
      <c r="CK10" s="24"/>
      <c r="CL10" s="23">
        <f>IFERROR(VLOOKUP($CL$2&amp;"-"&amp; RIGHT(CL$4,1)&amp;"-"&amp;$A10,CC1_InputUser!$L:$N,2,FALSE),0)</f>
        <v>0</v>
      </c>
      <c r="CM10" s="23">
        <f>IFERROR(VLOOKUP($CL$2&amp;"-"&amp; RIGHT(CM$4,1)&amp;"-"&amp;$A10,CC1_InputUser!$L:$N,2,FALSE),0)</f>
        <v>0</v>
      </c>
      <c r="CN10" s="23">
        <f>IFERROR(VLOOKUP($CL$2&amp;"-"&amp; RIGHT(CN$4,1)&amp;"-"&amp;$A10,CC1_InputUser!$L:$N,2,FALSE),0)</f>
        <v>0</v>
      </c>
      <c r="CO10" s="23">
        <f>IFERROR(VLOOKUP($CL$2&amp;"-"&amp; RIGHT(CO$4,1)&amp;"-"&amp;$A10,CC1_InputUser!$L:$N,2,FALSE),0)</f>
        <v>0</v>
      </c>
      <c r="CP10" s="23">
        <f>IFERROR(VLOOKUP($CL$2&amp;"-"&amp; RIGHT(CP$4,1)&amp;"-"&amp;$A10,CC1_InputUser!$L:$N,2,FALSE),0)</f>
        <v>0</v>
      </c>
      <c r="CQ10" s="23">
        <f>IFERROR(VLOOKUP($CL$2&amp;"-"&amp; RIGHT(CQ$4,1)&amp;"-"&amp;$A10,CC1_InputUser!$L:$N,3,FALSE),0)</f>
        <v>0</v>
      </c>
      <c r="CR10" s="23">
        <f>IFERROR(VLOOKUP($CL$2&amp;"-"&amp; RIGHT(CR$4,1)&amp;"-"&amp;$A10,CC1_InputUser!$L:$N,3,FALSE),0)</f>
        <v>0</v>
      </c>
      <c r="CS10" s="23">
        <f>IFERROR(VLOOKUP($CL$2&amp;"-"&amp; RIGHT(CS$4,1)&amp;"-"&amp;$A10,CC1_InputUser!$L:$N,3,FALSE),0)</f>
        <v>0</v>
      </c>
      <c r="CT10" s="23">
        <f>IFERROR(VLOOKUP($CL$2&amp;"-"&amp; RIGHT(CT$4,1)&amp;"-"&amp;$A10,CC1_InputUser!$L:$N,3,FALSE),0)</f>
        <v>0</v>
      </c>
      <c r="CU10" s="23">
        <f>IFERROR(VLOOKUP($CL$2&amp;"-"&amp; RIGHT(CU$4,1)&amp;"-"&amp;$A10,CC1_InputUser!$L:$N,3,FALSE),0)</f>
        <v>0</v>
      </c>
      <c r="CV10" s="24"/>
      <c r="CW10" s="23">
        <f>IFERROR(VLOOKUP($CW$2&amp;"-"&amp; RIGHT(CW$4,1)&amp;"-"&amp;$A10,CC1_InputUser!$L:$N,2,FALSE),0)</f>
        <v>0</v>
      </c>
      <c r="CX10" s="23">
        <f>IFERROR(VLOOKUP($CW$2&amp;"-"&amp; RIGHT(CX$4,1)&amp;"-"&amp;$A10,CC1_InputUser!$L:$N,2,FALSE),0)</f>
        <v>0</v>
      </c>
      <c r="CY10" s="23">
        <f>IFERROR(VLOOKUP($CW$2&amp;"-"&amp; RIGHT(CY$4,1)&amp;"-"&amp;$A10,CC1_InputUser!$L:$N,2,FALSE),0)</f>
        <v>0</v>
      </c>
      <c r="CZ10" s="23">
        <f>IFERROR(VLOOKUP($CW$2&amp;"-"&amp; RIGHT(CZ$4,1)&amp;"-"&amp;$A10,CC1_InputUser!$L:$N,2,FALSE),0)</f>
        <v>0</v>
      </c>
      <c r="DA10" s="23">
        <f>IFERROR(VLOOKUP($CW$2&amp;"-"&amp; RIGHT(DA$4,1)&amp;"-"&amp;$A10,CC1_InputUser!$L:$N,2,FALSE),0)</f>
        <v>0</v>
      </c>
      <c r="DB10" s="23">
        <f>IFERROR(VLOOKUP($CW$2&amp;"-"&amp; RIGHT(DB$4,1)&amp;"-"&amp;$A10,CC1_InputUser!$L:$N,3,FALSE),0)</f>
        <v>0</v>
      </c>
      <c r="DC10" s="23">
        <f>IFERROR(VLOOKUP($CW$2&amp;"-"&amp; RIGHT(DC$4,1)&amp;"-"&amp;$A10,CC1_InputUser!$L:$N,3,FALSE),0)</f>
        <v>0</v>
      </c>
      <c r="DD10" s="23">
        <f>IFERROR(VLOOKUP($CW$2&amp;"-"&amp; RIGHT(DD$4,1)&amp;"-"&amp;$A10,CC1_InputUser!$L:$N,3,FALSE),0)</f>
        <v>0</v>
      </c>
      <c r="DE10" s="23">
        <f>IFERROR(VLOOKUP($CW$2&amp;"-"&amp; RIGHT(DE$4,1)&amp;"-"&amp;$A10,CC1_InputUser!$L:$N,3,FALSE),0)</f>
        <v>0</v>
      </c>
      <c r="DF10" s="23">
        <f>IFERROR(VLOOKUP($CW$2&amp;"-"&amp; RIGHT(DF$4,1)&amp;"-"&amp;$A10,CC1_InputUser!$L:$N,3,FALSE),0)</f>
        <v>0</v>
      </c>
      <c r="DG10" s="24"/>
      <c r="DH10" s="23">
        <f>IFERROR(VLOOKUP($DH$2&amp;"-"&amp; RIGHT(DH$4,1)&amp;"-"&amp;$A10,CC1_InputUser!$L:$N,2,FALSE),0)</f>
        <v>0</v>
      </c>
      <c r="DI10" s="23">
        <f>IFERROR(VLOOKUP($DH$2&amp;"-"&amp; RIGHT(DI$4,1)&amp;"-"&amp;$A10,CC1_InputUser!$L:$N,2,FALSE),0)</f>
        <v>0</v>
      </c>
      <c r="DJ10" s="23">
        <f>IFERROR(VLOOKUP($DH$2&amp;"-"&amp; RIGHT(DJ$4,1)&amp;"-"&amp;$A10,CC1_InputUser!$L:$N,2,FALSE),0)</f>
        <v>0</v>
      </c>
      <c r="DK10" s="23">
        <f>IFERROR(VLOOKUP($DH$2&amp;"-"&amp; RIGHT(DK$4,1)&amp;"-"&amp;$A10,CC1_InputUser!$L:$N,2,FALSE),0)</f>
        <v>0</v>
      </c>
      <c r="DL10" s="23">
        <f>IFERROR(VLOOKUP($DH$2&amp;"-"&amp; RIGHT(DL$4,1)&amp;"-"&amp;$A10,CC1_InputUser!$L:$N,2,FALSE),0)</f>
        <v>0</v>
      </c>
      <c r="DM10" s="23">
        <f>IFERROR(VLOOKUP($DH$2&amp;"-"&amp; RIGHT(DM$4,1)&amp;"-"&amp;$A10,CC1_InputUser!$L:$N,3,FALSE),0)</f>
        <v>0</v>
      </c>
      <c r="DN10" s="23">
        <f>IFERROR(VLOOKUP($DH$2&amp;"-"&amp; RIGHT(DN$4,1)&amp;"-"&amp;$A10,CC1_InputUser!$L:$N,3,FALSE),0)</f>
        <v>0</v>
      </c>
      <c r="DO10" s="23">
        <f>IFERROR(VLOOKUP($DH$2&amp;"-"&amp; RIGHT(DO$4,1)&amp;"-"&amp;$A10,CC1_InputUser!$L:$N,3,FALSE),0)</f>
        <v>0</v>
      </c>
      <c r="DP10" s="23">
        <f>IFERROR(VLOOKUP($DH$2&amp;"-"&amp; RIGHT(DP$4,1)&amp;"-"&amp;$A10,CC1_InputUser!$L:$N,3,FALSE),0)</f>
        <v>0</v>
      </c>
      <c r="DQ10" s="23">
        <f>IFERROR(VLOOKUP($DH$2&amp;"-"&amp; RIGHT(DQ$4,1)&amp;"-"&amp;$A10,CC1_InputUser!$L:$N,3,FALSE),0)</f>
        <v>0</v>
      </c>
      <c r="DR10" s="24"/>
      <c r="DS10" s="23">
        <f>IFERROR(VLOOKUP($DS$2&amp;"-"&amp; RIGHT(DS$4,1)&amp;"-"&amp;$A10,CC1_InputUser!$L:$N,2,FALSE),0)</f>
        <v>0</v>
      </c>
      <c r="DT10" s="23">
        <f>IFERROR(VLOOKUP($DS$2&amp;"-"&amp; RIGHT(DT$4,1)&amp;"-"&amp;$A10,CC1_InputUser!$L:$N,2,FALSE),0)</f>
        <v>0</v>
      </c>
      <c r="DU10" s="23">
        <f>IFERROR(VLOOKUP($DS$2&amp;"-"&amp; RIGHT(DU$4,1)&amp;"-"&amp;$A10,CC1_InputUser!$L:$N,2,FALSE),0)</f>
        <v>0</v>
      </c>
      <c r="DV10" s="23">
        <f>IFERROR(VLOOKUP($DS$2&amp;"-"&amp; RIGHT(DV$4,1)&amp;"-"&amp;$A10,CC1_InputUser!$L:$N,2,FALSE),0)</f>
        <v>0</v>
      </c>
      <c r="DW10" s="23">
        <f>IFERROR(VLOOKUP($DS$2&amp;"-"&amp; RIGHT(DW$4,1)&amp;"-"&amp;$A10,CC1_InputUser!$L:$N,2,FALSE),0)</f>
        <v>0</v>
      </c>
      <c r="DX10" s="23">
        <f>IFERROR(VLOOKUP($DS$2&amp;"-"&amp; RIGHT(DX$4,1)&amp;"-"&amp;$A10,CC1_InputUser!$L:$N,3,FALSE),0)</f>
        <v>0</v>
      </c>
      <c r="DY10" s="23">
        <f>IFERROR(VLOOKUP($DS$2&amp;"-"&amp; RIGHT(DY$4,1)&amp;"-"&amp;$A10,CC1_InputUser!$L:$N,3,FALSE),0)</f>
        <v>0</v>
      </c>
      <c r="DZ10" s="23">
        <f>IFERROR(VLOOKUP($DS$2&amp;"-"&amp; RIGHT(DZ$4,1)&amp;"-"&amp;$A10,CC1_InputUser!$L:$N,3,FALSE),0)</f>
        <v>0</v>
      </c>
      <c r="EA10" s="23">
        <f>IFERROR(VLOOKUP($DS$2&amp;"-"&amp; RIGHT(EA$4,1)&amp;"-"&amp;$A10,CC1_InputUser!$L:$N,3,FALSE),0)</f>
        <v>0</v>
      </c>
      <c r="EB10" s="23">
        <f>IFERROR(VLOOKUP($DS$2&amp;"-"&amp; RIGHT(EB$4,1)&amp;"-"&amp;$A10,CC1_InputUser!$L:$N,3,FALSE),0)</f>
        <v>0</v>
      </c>
      <c r="EC10" s="24"/>
    </row>
    <row r="11" spans="1:133" x14ac:dyDescent="0.3">
      <c r="A11" s="75" t="s">
        <v>27</v>
      </c>
      <c r="B11" s="23">
        <f>IFERROR(VLOOKUP($B$2&amp;"-"&amp; RIGHT(B$4,1)&amp;"-"&amp;$A11,CC1_InputUser!$L:$N,2,FALSE),0)</f>
        <v>0</v>
      </c>
      <c r="C11" s="23">
        <f>IFERROR(VLOOKUP($B$2&amp;"-"&amp; RIGHT(C$4,1)&amp;"-"&amp;$A11,CC1_InputUser!$L:$N,2,FALSE),0)</f>
        <v>0</v>
      </c>
      <c r="D11" s="23">
        <f>IFERROR(VLOOKUP($B$2&amp;"-"&amp; RIGHT(D$4,1)&amp;"-"&amp;$A11,CC1_InputUser!$L:$N,2,FALSE),0)</f>
        <v>-1.1549999999999949E-2</v>
      </c>
      <c r="E11" s="23">
        <f>IFERROR(VLOOKUP($B$2&amp;"-"&amp; RIGHT(E$4,1)&amp;"-"&amp;$A11,CC1_InputUser!$L:$N,2,FALSE),0)</f>
        <v>0</v>
      </c>
      <c r="F11" s="23">
        <f>IFERROR(VLOOKUP($B$2&amp;"-"&amp; RIGHT(F$4,1)&amp;"-"&amp;$A11,CC1_InputUser!$L:$N,2,FALSE),0)</f>
        <v>0</v>
      </c>
      <c r="G11" s="23">
        <f>IFERROR(VLOOKUP($B$2&amp;"-"&amp; RIGHT(G$4,1)&amp;"-"&amp;$A11,CC1_InputUser!$L:$N,3,FALSE),0)</f>
        <v>-0.15254237288135597</v>
      </c>
      <c r="H11" s="23">
        <f>IFERROR(VLOOKUP($B$2&amp;"-"&amp; RIGHT(H$4,1)&amp;"-"&amp;$A11,CC1_InputUser!$L:$N,3,FALSE),0)</f>
        <v>-1.5735641227380026E-2</v>
      </c>
      <c r="I11" s="23">
        <f>IFERROR(VLOOKUP($B$2&amp;"-"&amp; RIGHT(I$4,1)&amp;"-"&amp;$A11,CC1_InputUser!$L:$N,3,FALSE),0)</f>
        <v>-1.1549999999999949E-2</v>
      </c>
      <c r="J11" s="23">
        <f>IFERROR(VLOOKUP($B$2&amp;"-"&amp; RIGHT(J$4,1)&amp;"-"&amp;$A11,CC1_InputUser!$L:$N,3,FALSE),0)</f>
        <v>-9.9769248285264012E-2</v>
      </c>
      <c r="K11" s="23">
        <f>IFERROR(VLOOKUP($B$2&amp;"-"&amp; RIGHT(K$4,1)&amp;"-"&amp;$A11,CC1_InputUser!$L:$N,3,FALSE),0)</f>
        <v>0</v>
      </c>
      <c r="L11" s="26"/>
      <c r="M11" s="23">
        <f>IFERROR(VLOOKUP($M$2&amp;"-"&amp; RIGHT(M$4,1)&amp;"-"&amp;$A11,CC1_InputUser!$L:$N,2,FALSE),0)</f>
        <v>0</v>
      </c>
      <c r="N11" s="23">
        <f>IFERROR(VLOOKUP($M$2&amp;"-"&amp; RIGHT(N$4,1)&amp;"-"&amp;$A11,CC1_InputUser!$L:$N,2,FALSE),0)</f>
        <v>0</v>
      </c>
      <c r="O11" s="23">
        <f>IFERROR(VLOOKUP($M$2&amp;"-"&amp; RIGHT(O$4,1)&amp;"-"&amp;$A11,CC1_InputUser!$L:$N,2,FALSE),0)</f>
        <v>5.8636363636364042E-3</v>
      </c>
      <c r="P11" s="23">
        <f>IFERROR(VLOOKUP($M$2&amp;"-"&amp; RIGHT(P$4,1)&amp;"-"&amp;$A11,CC1_InputUser!$L:$N,2,FALSE),0)</f>
        <v>0</v>
      </c>
      <c r="Q11" s="23">
        <f>IFERROR(VLOOKUP($M$2&amp;"-"&amp; RIGHT(Q$4,1)&amp;"-"&amp;$A11,CC1_InputUser!$L:$N,2,FALSE),0)</f>
        <v>0</v>
      </c>
      <c r="R11" s="23">
        <f>IFERROR(VLOOKUP($M$2&amp;"-"&amp; RIGHT(R$4,1)&amp;"-"&amp;$A11,CC1_InputUser!$L:$N,3,FALSE),0)</f>
        <v>0</v>
      </c>
      <c r="S11" s="23">
        <f>IFERROR(VLOOKUP($M$2&amp;"-"&amp; RIGHT(S$4,1)&amp;"-"&amp;$A11,CC1_InputUser!$L:$N,3,FALSE),0)</f>
        <v>-0.3276877271831673</v>
      </c>
      <c r="T11" s="23">
        <f>IFERROR(VLOOKUP($M$2&amp;"-"&amp; RIGHT(T$4,1)&amp;"-"&amp;$A11,CC1_InputUser!$L:$N,3,FALSE),0)</f>
        <v>-1.3727325400008872E-2</v>
      </c>
      <c r="U11" s="23">
        <f>IFERROR(VLOOKUP($M$2&amp;"-"&amp; RIGHT(U$4,1)&amp;"-"&amp;$A11,CC1_InputUser!$L:$N,3,FALSE),0)</f>
        <v>0</v>
      </c>
      <c r="V11" s="23">
        <f>IFERROR(VLOOKUP($M$2&amp;"-"&amp; RIGHT(V$4,1)&amp;"-"&amp;$A11,CC1_InputUser!$L:$N,3,FALSE),0)</f>
        <v>0</v>
      </c>
      <c r="W11" s="26"/>
      <c r="X11" s="23">
        <f>IFERROR(VLOOKUP($X$2&amp;"-"&amp; RIGHT(X$4,1)&amp;"-"&amp;$A11,CC1_InputUser!$L:$N,2,FALSE),0)</f>
        <v>0</v>
      </c>
      <c r="Y11" s="23">
        <f>IFERROR(VLOOKUP($X$2&amp;"-"&amp; RIGHT(Y$4,1)&amp;"-"&amp;$A11,CC1_InputUser!$L:$N,2,FALSE),0)</f>
        <v>0</v>
      </c>
      <c r="Z11" s="23">
        <f>IFERROR(VLOOKUP($X$2&amp;"-"&amp; RIGHT(Z$4,1)&amp;"-"&amp;$A11,CC1_InputUser!$L:$N,2,FALSE),0)</f>
        <v>0</v>
      </c>
      <c r="AA11" s="23">
        <f>IFERROR(VLOOKUP($X$2&amp;"-"&amp; RIGHT(AA$4,1)&amp;"-"&amp;$A11,CC1_InputUser!$L:$N,2,FALSE),0)</f>
        <v>0</v>
      </c>
      <c r="AB11" s="23">
        <f>IFERROR(VLOOKUP($X$2&amp;"-"&amp; RIGHT(AB$4,1)&amp;"-"&amp;$A11,CC1_InputUser!$L:$N,2,FALSE),0)</f>
        <v>0</v>
      </c>
      <c r="AC11" s="23">
        <f>IFERROR(VLOOKUP($X$2&amp;"-"&amp; RIGHT(AC$4,1)&amp;"-"&amp;$A11,CC1_InputUser!$L:$N,3,FALSE),0)</f>
        <v>0</v>
      </c>
      <c r="AD11" s="23">
        <f>IFERROR(VLOOKUP($X$2&amp;"-"&amp; RIGHT(AD$4,1)&amp;"-"&amp;$A11,CC1_InputUser!$L:$N,3,FALSE),0)</f>
        <v>-2.5682810696923131E-3</v>
      </c>
      <c r="AE11" s="23">
        <f>IFERROR(VLOOKUP($X$2&amp;"-"&amp; RIGHT(AE$4,1)&amp;"-"&amp;$A11,CC1_InputUser!$L:$N,3,FALSE),0)</f>
        <v>-8.6035026722397046E-2</v>
      </c>
      <c r="AF11" s="23">
        <f>IFERROR(VLOOKUP($X$2&amp;"-"&amp; RIGHT(AF$4,1)&amp;"-"&amp;$A11,CC1_InputUser!$L:$N,3,FALSE),0)</f>
        <v>0</v>
      </c>
      <c r="AG11" s="23">
        <f>IFERROR(VLOOKUP($X$2&amp;"-"&amp; RIGHT(AG$4,1)&amp;"-"&amp;$A11,CC1_InputUser!$L:$N,3,FALSE),0)</f>
        <v>0</v>
      </c>
      <c r="AH11" s="26"/>
      <c r="AI11" s="23">
        <f>IFERROR(VLOOKUP($AI$2&amp;"-"&amp; RIGHT(AI$4,1)&amp;"-"&amp;$A11,CC1_InputUser!$L:$N,2,FALSE),0)</f>
        <v>-7.8988941548230329E-5</v>
      </c>
      <c r="AJ11" s="23">
        <f>IFERROR(VLOOKUP($AI$2&amp;"-"&amp; RIGHT(AJ$4,1)&amp;"-"&amp;$A11,CC1_InputUser!$L:$N,2,FALSE),0)</f>
        <v>0</v>
      </c>
      <c r="AK11" s="23">
        <f>IFERROR(VLOOKUP($AI$2&amp;"-"&amp; RIGHT(AK$4,1)&amp;"-"&amp;$A11,CC1_InputUser!$L:$N,2,FALSE),0)</f>
        <v>0</v>
      </c>
      <c r="AL11" s="23">
        <f>IFERROR(VLOOKUP($AI$2&amp;"-"&amp; RIGHT(AL$4,1)&amp;"-"&amp;$A11,CC1_InputUser!$L:$N,2,FALSE),0)</f>
        <v>1.9333333333333425E-2</v>
      </c>
      <c r="AM11" s="23">
        <f>IFERROR(VLOOKUP($AI$2&amp;"-"&amp; RIGHT(AM$4,1)&amp;"-"&amp;$A11,CC1_InputUser!$L:$N,2,FALSE),0)</f>
        <v>0</v>
      </c>
      <c r="AN11" s="23">
        <f>IFERROR(VLOOKUP($AI$2&amp;"-"&amp; RIGHT(AN$4,1)&amp;"-"&amp;$A11,CC1_InputUser!$L:$N,3,FALSE),0)</f>
        <v>-2.2561882392183596E-2</v>
      </c>
      <c r="AO11" s="23">
        <f>IFERROR(VLOOKUP($AI$2&amp;"-"&amp; RIGHT(AO$4,1)&amp;"-"&amp;$A11,CC1_InputUser!$L:$N,3,FALSE),0)</f>
        <v>0</v>
      </c>
      <c r="AP11" s="23">
        <f>IFERROR(VLOOKUP($AI$2&amp;"-"&amp; RIGHT(AP$4,1)&amp;"-"&amp;$A11,CC1_InputUser!$L:$N,3,FALSE),0)</f>
        <v>0</v>
      </c>
      <c r="AQ11" s="23">
        <f>IFERROR(VLOOKUP($AI$2&amp;"-"&amp; RIGHT(AQ$4,1)&amp;"-"&amp;$A11,CC1_InputUser!$L:$N,3,FALSE),0)</f>
        <v>-0.44956760889206604</v>
      </c>
      <c r="AR11" s="23">
        <f>IFERROR(VLOOKUP($AI$2&amp;"-"&amp; RIGHT(AR$4,1)&amp;"-"&amp;$A11,CC1_InputUser!$L:$N,3,FALSE),0)</f>
        <v>0</v>
      </c>
      <c r="AS11" s="26"/>
      <c r="AT11" s="23">
        <f>IFERROR(VLOOKUP($AT$2&amp;"-"&amp; RIGHT(AT$4,1)&amp;"-"&amp;$A11,CC1_InputUser!$L:$N,2,FALSE),0)</f>
        <v>0</v>
      </c>
      <c r="AU11" s="23">
        <f>IFERROR(VLOOKUP($AT$2&amp;"-"&amp; RIGHT(AU$4,1)&amp;"-"&amp;$A11,CC1_InputUser!$L:$N,2,FALSE),0)</f>
        <v>0</v>
      </c>
      <c r="AV11" s="23">
        <f>IFERROR(VLOOKUP($AT$2&amp;"-"&amp; RIGHT(AV$4,1)&amp;"-"&amp;$A11,CC1_InputUser!$L:$N,2,FALSE),0)</f>
        <v>0</v>
      </c>
      <c r="AW11" s="23">
        <f>IFERROR(VLOOKUP($AT$2&amp;"-"&amp; RIGHT(AW$4,1)&amp;"-"&amp;$A11,CC1_InputUser!$L:$N,2,FALSE),0)</f>
        <v>-6.7936863166420891E-2</v>
      </c>
      <c r="AX11" s="23">
        <f>IFERROR(VLOOKUP($AT$2&amp;"-"&amp; RIGHT(AX$4,1)&amp;"-"&amp;$A11,CC1_InputUser!$L:$N,2,FALSE),0)</f>
        <v>0</v>
      </c>
      <c r="AY11" s="23">
        <f>IFERROR(VLOOKUP($AT$2&amp;"-"&amp; RIGHT(AY$4,1)&amp;"-"&amp;$A11,CC1_InputUser!$L:$N,3,FALSE),0)</f>
        <v>-0.11913189747708564</v>
      </c>
      <c r="AZ11" s="23">
        <f>IFERROR(VLOOKUP($AT$2&amp;"-"&amp; RIGHT(AZ$4,1)&amp;"-"&amp;$A11,CC1_InputUser!$L:$N,3,FALSE),0)</f>
        <v>-0.1201308984760866</v>
      </c>
      <c r="BA11" s="23">
        <f>IFERROR(VLOOKUP($AT$2&amp;"-"&amp; RIGHT(BA$4,1)&amp;"-"&amp;$A11,CC1_InputUser!$L:$N,3,FALSE),0)</f>
        <v>-2.1207177814029365E-2</v>
      </c>
      <c r="BB11" s="23">
        <f>IFERROR(VLOOKUP($AT$2&amp;"-"&amp; RIGHT(BB$4,1)&amp;"-"&amp;$A11,CC1_InputUser!$L:$N,3,FALSE),0)</f>
        <v>-0.23138630900304247</v>
      </c>
      <c r="BC11" s="23">
        <f>IFERROR(VLOOKUP($AT$2&amp;"-"&amp; RIGHT(BC$4,1)&amp;"-"&amp;$A11,CC1_InputUser!$L:$N,3,FALSE),0)</f>
        <v>-3.0044852616673223E-2</v>
      </c>
      <c r="BD11" s="26"/>
      <c r="BE11" s="23">
        <f>IFERROR(VLOOKUP($AT$2&amp;"-"&amp; RIGHT(BE$4,1)&amp;"-"&amp;$A11,CC1_InputUser!$L:$N,2,FALSE),0)</f>
        <v>0</v>
      </c>
      <c r="BF11" s="23">
        <f>IFERROR(VLOOKUP($AT$2&amp;"-"&amp; RIGHT(BF$4,1)&amp;"-"&amp;$A11,CC1_InputUser!$L:$N,2,FALSE),0)</f>
        <v>0</v>
      </c>
      <c r="BG11" s="23">
        <f>IFERROR(VLOOKUP($AT$2&amp;"-"&amp; RIGHT(BG$4,1)&amp;"-"&amp;$A11,CC1_InputUser!$L:$N,2,FALSE),0)</f>
        <v>0</v>
      </c>
      <c r="BH11" s="23">
        <f>IFERROR(VLOOKUP($AT$2&amp;"-"&amp; RIGHT(BH$4,1)&amp;"-"&amp;$A11,CC1_InputUser!$L:$N,2,FALSE),0)</f>
        <v>-6.7936863166420891E-2</v>
      </c>
      <c r="BI11" s="23">
        <f>IFERROR(VLOOKUP($AT$2&amp;"-"&amp; RIGHT(BI$4,1)&amp;"-"&amp;$A11,CC1_InputUser!$L:$N,2,FALSE),0)</f>
        <v>0</v>
      </c>
      <c r="BJ11" s="23">
        <f>IFERROR(VLOOKUP($AT$2&amp;"-"&amp; RIGHT(BJ$4,1)&amp;"-"&amp;$A11,CC1_InputUser!$L:$N,3,FALSE),0)</f>
        <v>-0.11913189747708564</v>
      </c>
      <c r="BK11" s="23">
        <f>IFERROR(VLOOKUP($AT$2&amp;"-"&amp; RIGHT(BK$4,1)&amp;"-"&amp;$A11,CC1_InputUser!$L:$N,3,FALSE),0)</f>
        <v>-0.1201308984760866</v>
      </c>
      <c r="BL11" s="23">
        <f>IFERROR(VLOOKUP($AT$2&amp;"-"&amp; RIGHT(BL$4,1)&amp;"-"&amp;$A11,CC1_InputUser!$L:$N,3,FALSE),0)</f>
        <v>-2.1207177814029365E-2</v>
      </c>
      <c r="BM11" s="23">
        <f>IFERROR(VLOOKUP($AT$2&amp;"-"&amp; RIGHT(BM$4,1)&amp;"-"&amp;$A11,CC1_InputUser!$L:$N,3,FALSE),0)</f>
        <v>-0.23138630900304247</v>
      </c>
      <c r="BN11" s="23">
        <f>IFERROR(VLOOKUP($AT$2&amp;"-"&amp; RIGHT(BN$4,1)&amp;"-"&amp;$A11,CC1_InputUser!$L:$N,3,FALSE),0)</f>
        <v>-3.0044852616673223E-2</v>
      </c>
      <c r="BO11" s="26"/>
      <c r="BP11" s="23">
        <f>IFERROR(VLOOKUP($BP$2&amp;"-"&amp; RIGHT(BP$4,1)&amp;"-"&amp;$A11,CC1_InputUser!$L:$N,2,FALSE),0)</f>
        <v>0</v>
      </c>
      <c r="BQ11" s="23">
        <f>IFERROR(VLOOKUP($BP$2&amp;"-"&amp; RIGHT(BQ$4,1)&amp;"-"&amp;$A11,CC1_InputUser!$L:$N,2,FALSE),0)</f>
        <v>0</v>
      </c>
      <c r="BR11" s="23">
        <f>IFERROR(VLOOKUP($BP$2&amp;"-"&amp; RIGHT(BR$4,1)&amp;"-"&amp;$A11,CC1_InputUser!$L:$N,2,FALSE),0)</f>
        <v>0</v>
      </c>
      <c r="BS11" s="23">
        <f>IFERROR(VLOOKUP($BP$2&amp;"-"&amp; RIGHT(BS$4,1)&amp;"-"&amp;$A11,CC1_InputUser!$L:$N,2,FALSE),0)</f>
        <v>0</v>
      </c>
      <c r="BT11" s="23">
        <f>IFERROR(VLOOKUP($BP$2&amp;"-"&amp; RIGHT(BT$4,1)&amp;"-"&amp;$A11,CC1_InputUser!$L:$N,2,FALSE),0)</f>
        <v>0</v>
      </c>
      <c r="BU11" s="23">
        <f>IFERROR(VLOOKUP($BP$2&amp;"-"&amp; RIGHT(BU$4,1)&amp;"-"&amp;$A11,CC1_InputUser!$L:$N,3,FALSE),0)</f>
        <v>-0.3426865724985968</v>
      </c>
      <c r="BV11" s="23">
        <f>IFERROR(VLOOKUP($BP$2&amp;"-"&amp; RIGHT(BV$4,1)&amp;"-"&amp;$A11,CC1_InputUser!$L:$N,3,FALSE),0)</f>
        <v>0</v>
      </c>
      <c r="BW11" s="23">
        <f>IFERROR(VLOOKUP($BP$2&amp;"-"&amp; RIGHT(BW$4,1)&amp;"-"&amp;$A11,CC1_InputUser!$L:$N,3,FALSE),0)</f>
        <v>0</v>
      </c>
      <c r="BX11" s="23">
        <f>IFERROR(VLOOKUP($BP$2&amp;"-"&amp; RIGHT(BX$4,1)&amp;"-"&amp;$A11,CC1_InputUser!$L:$N,3,FALSE),0)</f>
        <v>0</v>
      </c>
      <c r="BY11" s="23">
        <f>IFERROR(VLOOKUP($BP$2&amp;"-"&amp; RIGHT(BY$4,1)&amp;"-"&amp;$A11,CC1_InputUser!$L:$N,3,FALSE),0)</f>
        <v>0</v>
      </c>
      <c r="BZ11" s="26"/>
      <c r="CA11" s="23">
        <f>IFERROR(VLOOKUP($CA$2&amp;"-"&amp; RIGHT(CA$4,1)&amp;"-"&amp;$A11,CC1_InputUser!$L:$N,2,FALSE),0)</f>
        <v>0</v>
      </c>
      <c r="CB11" s="23">
        <f>IFERROR(VLOOKUP($CA$2&amp;"-"&amp; RIGHT(CB$4,1)&amp;"-"&amp;$A11,CC1_InputUser!$L:$N,2,FALSE),0)</f>
        <v>0</v>
      </c>
      <c r="CC11" s="23">
        <f>IFERROR(VLOOKUP($CA$2&amp;"-"&amp; RIGHT(CC$4,1)&amp;"-"&amp;$A11,CC1_InputUser!$L:$N,2,FALSE),0)</f>
        <v>0</v>
      </c>
      <c r="CD11" s="23">
        <f>IFERROR(VLOOKUP($CA$2&amp;"-"&amp; RIGHT(CD$4,1)&amp;"-"&amp;$A11,CC1_InputUser!$L:$N,2,FALSE),0)</f>
        <v>-4.4444444444444731E-3</v>
      </c>
      <c r="CE11" s="23">
        <f>IFERROR(VLOOKUP($CA$2&amp;"-"&amp; RIGHT(CE$4,1)&amp;"-"&amp;$A11,CC1_InputUser!$L:$N,2,FALSE),0)</f>
        <v>0</v>
      </c>
      <c r="CF11" s="23">
        <f>IFERROR(VLOOKUP($CA$2&amp;"-"&amp; RIGHT(CF$4,1)&amp;"-"&amp;$A11,CC1_InputUser!$L:$N,3,FALSE),0)</f>
        <v>-0.37224215738628508</v>
      </c>
      <c r="CG11" s="23">
        <f>IFERROR(VLOOKUP($CA$2&amp;"-"&amp; RIGHT(CG$4,1)&amp;"-"&amp;$A11,CC1_InputUser!$L:$N,3,FALSE),0)</f>
        <v>0</v>
      </c>
      <c r="CH11" s="23">
        <f>IFERROR(VLOOKUP($CA$2&amp;"-"&amp; RIGHT(CH$4,1)&amp;"-"&amp;$A11,CC1_InputUser!$L:$N,3,FALSE),0)</f>
        <v>0</v>
      </c>
      <c r="CI11" s="23">
        <f>IFERROR(VLOOKUP($CA$2&amp;"-"&amp; RIGHT(CI$4,1)&amp;"-"&amp;$A11,CC1_InputUser!$L:$N,3,FALSE),0)</f>
        <v>-0.27294412212135821</v>
      </c>
      <c r="CJ11" s="23">
        <f>IFERROR(VLOOKUP($CA$2&amp;"-"&amp; RIGHT(CJ$4,1)&amp;"-"&amp;$A11,CC1_InputUser!$L:$N,3,FALSE),0)</f>
        <v>0</v>
      </c>
      <c r="CK11" s="26"/>
      <c r="CL11" s="23">
        <f>IFERROR(VLOOKUP($CL$2&amp;"-"&amp; RIGHT(CL$4,1)&amp;"-"&amp;$A11,CC1_InputUser!$L:$N,2,FALSE),0)</f>
        <v>0</v>
      </c>
      <c r="CM11" s="23">
        <f>IFERROR(VLOOKUP($CL$2&amp;"-"&amp; RIGHT(CM$4,1)&amp;"-"&amp;$A11,CC1_InputUser!$L:$N,2,FALSE),0)</f>
        <v>-7.4259792964828875E-2</v>
      </c>
      <c r="CN11" s="23">
        <f>IFERROR(VLOOKUP($CL$2&amp;"-"&amp; RIGHT(CN$4,1)&amp;"-"&amp;$A11,CC1_InputUser!$L:$N,2,FALSE),0)</f>
        <v>0</v>
      </c>
      <c r="CO11" s="23">
        <f>IFERROR(VLOOKUP($CL$2&amp;"-"&amp; RIGHT(CO$4,1)&amp;"-"&amp;$A11,CC1_InputUser!$L:$N,2,FALSE),0)</f>
        <v>0</v>
      </c>
      <c r="CP11" s="23">
        <f>IFERROR(VLOOKUP($CL$2&amp;"-"&amp; RIGHT(CP$4,1)&amp;"-"&amp;$A11,CC1_InputUser!$L:$N,2,FALSE),0)</f>
        <v>0</v>
      </c>
      <c r="CQ11" s="23">
        <f>IFERROR(VLOOKUP($CL$2&amp;"-"&amp; RIGHT(CQ$4,1)&amp;"-"&amp;$A11,CC1_InputUser!$L:$N,3,FALSE),0)</f>
        <v>0</v>
      </c>
      <c r="CR11" s="23">
        <f>IFERROR(VLOOKUP($CL$2&amp;"-"&amp; RIGHT(CR$4,1)&amp;"-"&amp;$A11,CC1_InputUser!$L:$N,3,FALSE),0)</f>
        <v>-1.0242250242250228E-2</v>
      </c>
      <c r="CS11" s="23">
        <f>IFERROR(VLOOKUP($CL$2&amp;"-"&amp; RIGHT(CS$4,1)&amp;"-"&amp;$A11,CC1_InputUser!$L:$N,3,FALSE),0)</f>
        <v>-0.30901869970783358</v>
      </c>
      <c r="CT11" s="23">
        <f>IFERROR(VLOOKUP($CL$2&amp;"-"&amp; RIGHT(CT$4,1)&amp;"-"&amp;$A11,CC1_InputUser!$L:$N,3,FALSE),0)</f>
        <v>0</v>
      </c>
      <c r="CU11" s="23">
        <f>IFERROR(VLOOKUP($CL$2&amp;"-"&amp; RIGHT(CU$4,1)&amp;"-"&amp;$A11,CC1_InputUser!$L:$N,3,FALSE),0)</f>
        <v>0</v>
      </c>
      <c r="CV11" s="26"/>
      <c r="CW11" s="23">
        <f>IFERROR(VLOOKUP($CW$2&amp;"-"&amp; RIGHT(CW$4,1)&amp;"-"&amp;$A11,CC1_InputUser!$L:$N,2,FALSE),0)</f>
        <v>0</v>
      </c>
      <c r="CX11" s="23">
        <f>IFERROR(VLOOKUP($CW$2&amp;"-"&amp; RIGHT(CX$4,1)&amp;"-"&amp;$A11,CC1_InputUser!$L:$N,2,FALSE),0)</f>
        <v>0</v>
      </c>
      <c r="CY11" s="23">
        <f>IFERROR(VLOOKUP($CW$2&amp;"-"&amp; RIGHT(CY$4,1)&amp;"-"&amp;$A11,CC1_InputUser!$L:$N,2,FALSE),0)</f>
        <v>0</v>
      </c>
      <c r="CZ11" s="23">
        <f>IFERROR(VLOOKUP($CW$2&amp;"-"&amp; RIGHT(CZ$4,1)&amp;"-"&amp;$A11,CC1_InputUser!$L:$N,2,FALSE),0)</f>
        <v>0</v>
      </c>
      <c r="DA11" s="23">
        <f>IFERROR(VLOOKUP($CW$2&amp;"-"&amp; RIGHT(DA$4,1)&amp;"-"&amp;$A11,CC1_InputUser!$L:$N,2,FALSE),0)</f>
        <v>0</v>
      </c>
      <c r="DB11" s="23">
        <f>IFERROR(VLOOKUP($CW$2&amp;"-"&amp; RIGHT(DB$4,1)&amp;"-"&amp;$A11,CC1_InputUser!$L:$N,3,FALSE),0)</f>
        <v>0</v>
      </c>
      <c r="DC11" s="23">
        <f>IFERROR(VLOOKUP($CW$2&amp;"-"&amp; RIGHT(DC$4,1)&amp;"-"&amp;$A11,CC1_InputUser!$L:$N,3,FALSE),0)</f>
        <v>0</v>
      </c>
      <c r="DD11" s="23">
        <f>IFERROR(VLOOKUP($CW$2&amp;"-"&amp; RIGHT(DD$4,1)&amp;"-"&amp;$A11,CC1_InputUser!$L:$N,3,FALSE),0)</f>
        <v>0</v>
      </c>
      <c r="DE11" s="23">
        <f>IFERROR(VLOOKUP($CW$2&amp;"-"&amp; RIGHT(DE$4,1)&amp;"-"&amp;$A11,CC1_InputUser!$L:$N,3,FALSE),0)</f>
        <v>0</v>
      </c>
      <c r="DF11" s="23">
        <f>IFERROR(VLOOKUP($CW$2&amp;"-"&amp; RIGHT(DF$4,1)&amp;"-"&amp;$A11,CC1_InputUser!$L:$N,3,FALSE),0)</f>
        <v>0</v>
      </c>
      <c r="DG11" s="26"/>
      <c r="DH11" s="23">
        <f>IFERROR(VLOOKUP($DH$2&amp;"-"&amp; RIGHT(DH$4,1)&amp;"-"&amp;$A11,CC1_InputUser!$L:$N,2,FALSE),0)</f>
        <v>0</v>
      </c>
      <c r="DI11" s="23">
        <f>IFERROR(VLOOKUP($DH$2&amp;"-"&amp; RIGHT(DI$4,1)&amp;"-"&amp;$A11,CC1_InputUser!$L:$N,2,FALSE),0)</f>
        <v>0</v>
      </c>
      <c r="DJ11" s="23">
        <f>IFERROR(VLOOKUP($DH$2&amp;"-"&amp; RIGHT(DJ$4,1)&amp;"-"&amp;$A11,CC1_InputUser!$L:$N,2,FALSE),0)</f>
        <v>0</v>
      </c>
      <c r="DK11" s="23">
        <f>IFERROR(VLOOKUP($DH$2&amp;"-"&amp; RIGHT(DK$4,1)&amp;"-"&amp;$A11,CC1_InputUser!$L:$N,2,FALSE),0)</f>
        <v>0</v>
      </c>
      <c r="DL11" s="23">
        <f>IFERROR(VLOOKUP($DH$2&amp;"-"&amp; RIGHT(DL$4,1)&amp;"-"&amp;$A11,CC1_InputUser!$L:$N,2,FALSE),0)</f>
        <v>0</v>
      </c>
      <c r="DM11" s="23">
        <f>IFERROR(VLOOKUP($DH$2&amp;"-"&amp; RIGHT(DM$4,1)&amp;"-"&amp;$A11,CC1_InputUser!$L:$N,3,FALSE),0)</f>
        <v>0</v>
      </c>
      <c r="DN11" s="23">
        <f>IFERROR(VLOOKUP($DH$2&amp;"-"&amp; RIGHT(DN$4,1)&amp;"-"&amp;$A11,CC1_InputUser!$L:$N,3,FALSE),0)</f>
        <v>0</v>
      </c>
      <c r="DO11" s="23">
        <f>IFERROR(VLOOKUP($DH$2&amp;"-"&amp; RIGHT(DO$4,1)&amp;"-"&amp;$A11,CC1_InputUser!$L:$N,3,FALSE),0)</f>
        <v>0</v>
      </c>
      <c r="DP11" s="23">
        <f>IFERROR(VLOOKUP($DH$2&amp;"-"&amp; RIGHT(DP$4,1)&amp;"-"&amp;$A11,CC1_InputUser!$L:$N,3,FALSE),0)</f>
        <v>0</v>
      </c>
      <c r="DQ11" s="23">
        <f>IFERROR(VLOOKUP($DH$2&amp;"-"&amp; RIGHT(DQ$4,1)&amp;"-"&amp;$A11,CC1_InputUser!$L:$N,3,FALSE),0)</f>
        <v>0</v>
      </c>
      <c r="DR11" s="26"/>
      <c r="DS11" s="23">
        <f>IFERROR(VLOOKUP($DS$2&amp;"-"&amp; RIGHT(DS$4,1)&amp;"-"&amp;$A11,CC1_InputUser!$L:$N,2,FALSE),0)</f>
        <v>0</v>
      </c>
      <c r="DT11" s="23">
        <f>IFERROR(VLOOKUP($DS$2&amp;"-"&amp; RIGHT(DT$4,1)&amp;"-"&amp;$A11,CC1_InputUser!$L:$N,2,FALSE),0)</f>
        <v>0</v>
      </c>
      <c r="DU11" s="23">
        <f>IFERROR(VLOOKUP($DS$2&amp;"-"&amp; RIGHT(DU$4,1)&amp;"-"&amp;$A11,CC1_InputUser!$L:$N,2,FALSE),0)</f>
        <v>0</v>
      </c>
      <c r="DV11" s="23">
        <f>IFERROR(VLOOKUP($DS$2&amp;"-"&amp; RIGHT(DV$4,1)&amp;"-"&amp;$A11,CC1_InputUser!$L:$N,2,FALSE),0)</f>
        <v>0</v>
      </c>
      <c r="DW11" s="23">
        <f>IFERROR(VLOOKUP($DS$2&amp;"-"&amp; RIGHT(DW$4,1)&amp;"-"&amp;$A11,CC1_InputUser!$L:$N,2,FALSE),0)</f>
        <v>0</v>
      </c>
      <c r="DX11" s="23">
        <f>IFERROR(VLOOKUP($DS$2&amp;"-"&amp; RIGHT(DX$4,1)&amp;"-"&amp;$A11,CC1_InputUser!$L:$N,3,FALSE),0)</f>
        <v>0</v>
      </c>
      <c r="DY11" s="23">
        <f>IFERROR(VLOOKUP($DS$2&amp;"-"&amp; RIGHT(DY$4,1)&amp;"-"&amp;$A11,CC1_InputUser!$L:$N,3,FALSE),0)</f>
        <v>0</v>
      </c>
      <c r="DZ11" s="23">
        <f>IFERROR(VLOOKUP($DS$2&amp;"-"&amp; RIGHT(DZ$4,1)&amp;"-"&amp;$A11,CC1_InputUser!$L:$N,3,FALSE),0)</f>
        <v>0</v>
      </c>
      <c r="EA11" s="23">
        <f>IFERROR(VLOOKUP($DS$2&amp;"-"&amp; RIGHT(EA$4,1)&amp;"-"&amp;$A11,CC1_InputUser!$L:$N,3,FALSE),0)</f>
        <v>0</v>
      </c>
      <c r="EB11" s="23">
        <f>IFERROR(VLOOKUP($DS$2&amp;"-"&amp; RIGHT(EB$4,1)&amp;"-"&amp;$A11,CC1_InputUser!$L:$N,3,FALSE),0)</f>
        <v>0</v>
      </c>
      <c r="EC11" s="26"/>
    </row>
    <row r="12" spans="1:133" x14ac:dyDescent="0.3">
      <c r="A12" s="74" t="s">
        <v>75</v>
      </c>
      <c r="B12" s="23">
        <f>IFERROR(VLOOKUP($B$2&amp;"-"&amp; RIGHT(B$4,1)&amp;"-"&amp;$A12,CC1_InputUser!$L:$N,2,FALSE),0)</f>
        <v>0</v>
      </c>
      <c r="C12" s="23">
        <f>IFERROR(VLOOKUP($B$2&amp;"-"&amp; RIGHT(C$4,1)&amp;"-"&amp;$A12,CC1_InputUser!$L:$N,2,FALSE),0)</f>
        <v>0</v>
      </c>
      <c r="D12" s="23">
        <f>IFERROR(VLOOKUP($B$2&amp;"-"&amp; RIGHT(D$4,1)&amp;"-"&amp;$A12,CC1_InputUser!$L:$N,2,FALSE),0)</f>
        <v>0</v>
      </c>
      <c r="E12" s="23">
        <f>IFERROR(VLOOKUP($B$2&amp;"-"&amp; RIGHT(E$4,1)&amp;"-"&amp;$A12,CC1_InputUser!$L:$N,2,FALSE),0)</f>
        <v>0</v>
      </c>
      <c r="F12" s="23">
        <f>IFERROR(VLOOKUP($B$2&amp;"-"&amp; RIGHT(F$4,1)&amp;"-"&amp;$A12,CC1_InputUser!$L:$N,2,FALSE),0)</f>
        <v>0</v>
      </c>
      <c r="G12" s="23">
        <f>IFERROR(VLOOKUP($B$2&amp;"-"&amp; RIGHT(G$4,1)&amp;"-"&amp;$A12,CC1_InputUser!$L:$N,3,FALSE),0)</f>
        <v>0</v>
      </c>
      <c r="H12" s="23">
        <f>IFERROR(VLOOKUP($B$2&amp;"-"&amp; RIGHT(H$4,1)&amp;"-"&amp;$A12,CC1_InputUser!$L:$N,3,FALSE),0)</f>
        <v>0</v>
      </c>
      <c r="I12" s="23">
        <f>IFERROR(VLOOKUP($B$2&amp;"-"&amp; RIGHT(I$4,1)&amp;"-"&amp;$A12,CC1_InputUser!$L:$N,3,FALSE),0)</f>
        <v>0</v>
      </c>
      <c r="J12" s="23">
        <f>IFERROR(VLOOKUP($B$2&amp;"-"&amp; RIGHT(J$4,1)&amp;"-"&amp;$A12,CC1_InputUser!$L:$N,3,FALSE),0)</f>
        <v>0</v>
      </c>
      <c r="K12" s="23">
        <f>IFERROR(VLOOKUP($B$2&amp;"-"&amp; RIGHT(K$4,1)&amp;"-"&amp;$A12,CC1_InputUser!$L:$N,3,FALSE),0)</f>
        <v>0</v>
      </c>
      <c r="L12" s="24"/>
      <c r="M12" s="23">
        <f>IFERROR(VLOOKUP($M$2&amp;"-"&amp; RIGHT(M$4,1)&amp;"-"&amp;$A12,CC1_InputUser!$L:$N,2,FALSE),0)</f>
        <v>0</v>
      </c>
      <c r="N12" s="23">
        <f>IFERROR(VLOOKUP($M$2&amp;"-"&amp; RIGHT(N$4,1)&amp;"-"&amp;$A12,CC1_InputUser!$L:$N,2,FALSE),0)</f>
        <v>0</v>
      </c>
      <c r="O12" s="23">
        <f>IFERROR(VLOOKUP($M$2&amp;"-"&amp; RIGHT(O$4,1)&amp;"-"&amp;$A12,CC1_InputUser!$L:$N,2,FALSE),0)</f>
        <v>0</v>
      </c>
      <c r="P12" s="23">
        <f>IFERROR(VLOOKUP($M$2&amp;"-"&amp; RIGHT(P$4,1)&amp;"-"&amp;$A12,CC1_InputUser!$L:$N,2,FALSE),0)</f>
        <v>0</v>
      </c>
      <c r="Q12" s="23">
        <f>IFERROR(VLOOKUP($M$2&amp;"-"&amp; RIGHT(Q$4,1)&amp;"-"&amp;$A12,CC1_InputUser!$L:$N,2,FALSE),0)</f>
        <v>0</v>
      </c>
      <c r="R12" s="23">
        <f>IFERROR(VLOOKUP($M$2&amp;"-"&amp; RIGHT(R$4,1)&amp;"-"&amp;$A12,CC1_InputUser!$L:$N,3,FALSE),0)</f>
        <v>0</v>
      </c>
      <c r="S12" s="23">
        <f>IFERROR(VLOOKUP($M$2&amp;"-"&amp; RIGHT(S$4,1)&amp;"-"&amp;$A12,CC1_InputUser!$L:$N,3,FALSE),0)</f>
        <v>0</v>
      </c>
      <c r="T12" s="23">
        <f>IFERROR(VLOOKUP($M$2&amp;"-"&amp; RIGHT(T$4,1)&amp;"-"&amp;$A12,CC1_InputUser!$L:$N,3,FALSE),0)</f>
        <v>0</v>
      </c>
      <c r="U12" s="23">
        <f>IFERROR(VLOOKUP($M$2&amp;"-"&amp; RIGHT(U$4,1)&amp;"-"&amp;$A12,CC1_InputUser!$L:$N,3,FALSE),0)</f>
        <v>0</v>
      </c>
      <c r="V12" s="23">
        <f>IFERROR(VLOOKUP($M$2&amp;"-"&amp; RIGHT(V$4,1)&amp;"-"&amp;$A12,CC1_InputUser!$L:$N,3,FALSE),0)</f>
        <v>0</v>
      </c>
      <c r="W12" s="24"/>
      <c r="X12" s="23">
        <f>IFERROR(VLOOKUP($X$2&amp;"-"&amp; RIGHT(X$4,1)&amp;"-"&amp;$A12,CC1_InputUser!$L:$N,2,FALSE),0)</f>
        <v>0</v>
      </c>
      <c r="Y12" s="23">
        <f>IFERROR(VLOOKUP($X$2&amp;"-"&amp; RIGHT(Y$4,1)&amp;"-"&amp;$A12,CC1_InputUser!$L:$N,2,FALSE),0)</f>
        <v>0</v>
      </c>
      <c r="Z12" s="23">
        <f>IFERROR(VLOOKUP($X$2&amp;"-"&amp; RIGHT(Z$4,1)&amp;"-"&amp;$A12,CC1_InputUser!$L:$N,2,FALSE),0)</f>
        <v>0</v>
      </c>
      <c r="AA12" s="23">
        <f>IFERROR(VLOOKUP($X$2&amp;"-"&amp; RIGHT(AA$4,1)&amp;"-"&amp;$A12,CC1_InputUser!$L:$N,2,FALSE),0)</f>
        <v>0</v>
      </c>
      <c r="AB12" s="23">
        <f>IFERROR(VLOOKUP($X$2&amp;"-"&amp; RIGHT(AB$4,1)&amp;"-"&amp;$A12,CC1_InputUser!$L:$N,2,FALSE),0)</f>
        <v>0</v>
      </c>
      <c r="AC12" s="23">
        <f>IFERROR(VLOOKUP($X$2&amp;"-"&amp; RIGHT(AC$4,1)&amp;"-"&amp;$A12,CC1_InputUser!$L:$N,3,FALSE),0)</f>
        <v>0</v>
      </c>
      <c r="AD12" s="23">
        <f>IFERROR(VLOOKUP($X$2&amp;"-"&amp; RIGHT(AD$4,1)&amp;"-"&amp;$A12,CC1_InputUser!$L:$N,3,FALSE),0)</f>
        <v>0</v>
      </c>
      <c r="AE12" s="23">
        <f>IFERROR(VLOOKUP($X$2&amp;"-"&amp; RIGHT(AE$4,1)&amp;"-"&amp;$A12,CC1_InputUser!$L:$N,3,FALSE),0)</f>
        <v>0</v>
      </c>
      <c r="AF12" s="23">
        <f>IFERROR(VLOOKUP($X$2&amp;"-"&amp; RIGHT(AF$4,1)&amp;"-"&amp;$A12,CC1_InputUser!$L:$N,3,FALSE),0)</f>
        <v>0</v>
      </c>
      <c r="AG12" s="23">
        <f>IFERROR(VLOOKUP($X$2&amp;"-"&amp; RIGHT(AG$4,1)&amp;"-"&amp;$A12,CC1_InputUser!$L:$N,3,FALSE),0)</f>
        <v>0</v>
      </c>
      <c r="AH12" s="24"/>
      <c r="AI12" s="23">
        <f>IFERROR(VLOOKUP($AI$2&amp;"-"&amp; RIGHT(AI$4,1)&amp;"-"&amp;$A12,CC1_InputUser!$L:$N,2,FALSE),0)</f>
        <v>0</v>
      </c>
      <c r="AJ12" s="23">
        <f>IFERROR(VLOOKUP($AI$2&amp;"-"&amp; RIGHT(AJ$4,1)&amp;"-"&amp;$A12,CC1_InputUser!$L:$N,2,FALSE),0)</f>
        <v>0</v>
      </c>
      <c r="AK12" s="23">
        <f>IFERROR(VLOOKUP($AI$2&amp;"-"&amp; RIGHT(AK$4,1)&amp;"-"&amp;$A12,CC1_InputUser!$L:$N,2,FALSE),0)</f>
        <v>0</v>
      </c>
      <c r="AL12" s="23">
        <f>IFERROR(VLOOKUP($AI$2&amp;"-"&amp; RIGHT(AL$4,1)&amp;"-"&amp;$A12,CC1_InputUser!$L:$N,2,FALSE),0)</f>
        <v>0</v>
      </c>
      <c r="AM12" s="23">
        <f>IFERROR(VLOOKUP($AI$2&amp;"-"&amp; RIGHT(AM$4,1)&amp;"-"&amp;$A12,CC1_InputUser!$L:$N,2,FALSE),0)</f>
        <v>0</v>
      </c>
      <c r="AN12" s="23">
        <f>IFERROR(VLOOKUP($AI$2&amp;"-"&amp; RIGHT(AN$4,1)&amp;"-"&amp;$A12,CC1_InputUser!$L:$N,3,FALSE),0)</f>
        <v>0</v>
      </c>
      <c r="AO12" s="23">
        <f>IFERROR(VLOOKUP($AI$2&amp;"-"&amp; RIGHT(AO$4,1)&amp;"-"&amp;$A12,CC1_InputUser!$L:$N,3,FALSE),0)</f>
        <v>0</v>
      </c>
      <c r="AP12" s="23">
        <f>IFERROR(VLOOKUP($AI$2&amp;"-"&amp; RIGHT(AP$4,1)&amp;"-"&amp;$A12,CC1_InputUser!$L:$N,3,FALSE),0)</f>
        <v>0</v>
      </c>
      <c r="AQ12" s="23">
        <f>IFERROR(VLOOKUP($AI$2&amp;"-"&amp; RIGHT(AQ$4,1)&amp;"-"&amp;$A12,CC1_InputUser!$L:$N,3,FALSE),0)</f>
        <v>0</v>
      </c>
      <c r="AR12" s="23">
        <f>IFERROR(VLOOKUP($AI$2&amp;"-"&amp; RIGHT(AR$4,1)&amp;"-"&amp;$A12,CC1_InputUser!$L:$N,3,FALSE),0)</f>
        <v>0</v>
      </c>
      <c r="AS12" s="24"/>
      <c r="AT12" s="23">
        <f>IFERROR(VLOOKUP($AT$2&amp;"-"&amp; RIGHT(AT$4,1)&amp;"-"&amp;$A12,CC1_InputUser!$L:$N,2,FALSE),0)</f>
        <v>0</v>
      </c>
      <c r="AU12" s="23">
        <f>IFERROR(VLOOKUP($AT$2&amp;"-"&amp; RIGHT(AU$4,1)&amp;"-"&amp;$A12,CC1_InputUser!$L:$N,2,FALSE),0)</f>
        <v>0</v>
      </c>
      <c r="AV12" s="23">
        <f>IFERROR(VLOOKUP($AT$2&amp;"-"&amp; RIGHT(AV$4,1)&amp;"-"&amp;$A12,CC1_InputUser!$L:$N,2,FALSE),0)</f>
        <v>0</v>
      </c>
      <c r="AW12" s="23">
        <f>IFERROR(VLOOKUP($AT$2&amp;"-"&amp; RIGHT(AW$4,1)&amp;"-"&amp;$A12,CC1_InputUser!$L:$N,2,FALSE),0)</f>
        <v>0</v>
      </c>
      <c r="AX12" s="23">
        <f>IFERROR(VLOOKUP($AT$2&amp;"-"&amp; RIGHT(AX$4,1)&amp;"-"&amp;$A12,CC1_InputUser!$L:$N,2,FALSE),0)</f>
        <v>0</v>
      </c>
      <c r="AY12" s="23">
        <f>IFERROR(VLOOKUP($AT$2&amp;"-"&amp; RIGHT(AY$4,1)&amp;"-"&amp;$A12,CC1_InputUser!$L:$N,3,FALSE),0)</f>
        <v>0</v>
      </c>
      <c r="AZ12" s="23">
        <f>IFERROR(VLOOKUP($AT$2&amp;"-"&amp; RIGHT(AZ$4,1)&amp;"-"&amp;$A12,CC1_InputUser!$L:$N,3,FALSE),0)</f>
        <v>0</v>
      </c>
      <c r="BA12" s="23">
        <f>IFERROR(VLOOKUP($AT$2&amp;"-"&amp; RIGHT(BA$4,1)&amp;"-"&amp;$A12,CC1_InputUser!$L:$N,3,FALSE),0)</f>
        <v>0</v>
      </c>
      <c r="BB12" s="23">
        <f>IFERROR(VLOOKUP($AT$2&amp;"-"&amp; RIGHT(BB$4,1)&amp;"-"&amp;$A12,CC1_InputUser!$L:$N,3,FALSE),0)</f>
        <v>0</v>
      </c>
      <c r="BC12" s="23">
        <f>IFERROR(VLOOKUP($AT$2&amp;"-"&amp; RIGHT(BC$4,1)&amp;"-"&amp;$A12,CC1_InputUser!$L:$N,3,FALSE),0)</f>
        <v>0</v>
      </c>
      <c r="BD12" s="24"/>
      <c r="BE12" s="23">
        <f>IFERROR(VLOOKUP($AT$2&amp;"-"&amp; RIGHT(BE$4,1)&amp;"-"&amp;$A12,CC1_InputUser!$L:$N,2,FALSE),0)</f>
        <v>0</v>
      </c>
      <c r="BF12" s="23">
        <f>IFERROR(VLOOKUP($AT$2&amp;"-"&amp; RIGHT(BF$4,1)&amp;"-"&amp;$A12,CC1_InputUser!$L:$N,2,FALSE),0)</f>
        <v>0</v>
      </c>
      <c r="BG12" s="23">
        <f>IFERROR(VLOOKUP($AT$2&amp;"-"&amp; RIGHT(BG$4,1)&amp;"-"&amp;$A12,CC1_InputUser!$L:$N,2,FALSE),0)</f>
        <v>0</v>
      </c>
      <c r="BH12" s="23">
        <f>IFERROR(VLOOKUP($AT$2&amp;"-"&amp; RIGHT(BH$4,1)&amp;"-"&amp;$A12,CC1_InputUser!$L:$N,2,FALSE),0)</f>
        <v>0</v>
      </c>
      <c r="BI12" s="23">
        <f>IFERROR(VLOOKUP($AT$2&amp;"-"&amp; RIGHT(BI$4,1)&amp;"-"&amp;$A12,CC1_InputUser!$L:$N,2,FALSE),0)</f>
        <v>0</v>
      </c>
      <c r="BJ12" s="23">
        <f>IFERROR(VLOOKUP($AT$2&amp;"-"&amp; RIGHT(BJ$4,1)&amp;"-"&amp;$A12,CC1_InputUser!$L:$N,3,FALSE),0)</f>
        <v>0</v>
      </c>
      <c r="BK12" s="23">
        <f>IFERROR(VLOOKUP($AT$2&amp;"-"&amp; RIGHT(BK$4,1)&amp;"-"&amp;$A12,CC1_InputUser!$L:$N,3,FALSE),0)</f>
        <v>0</v>
      </c>
      <c r="BL12" s="23">
        <f>IFERROR(VLOOKUP($AT$2&amp;"-"&amp; RIGHT(BL$4,1)&amp;"-"&amp;$A12,CC1_InputUser!$L:$N,3,FALSE),0)</f>
        <v>0</v>
      </c>
      <c r="BM12" s="23">
        <f>IFERROR(VLOOKUP($AT$2&amp;"-"&amp; RIGHT(BM$4,1)&amp;"-"&amp;$A12,CC1_InputUser!$L:$N,3,FALSE),0)</f>
        <v>0</v>
      </c>
      <c r="BN12" s="23">
        <f>IFERROR(VLOOKUP($AT$2&amp;"-"&amp; RIGHT(BN$4,1)&amp;"-"&amp;$A12,CC1_InputUser!$L:$N,3,FALSE),0)</f>
        <v>0</v>
      </c>
      <c r="BO12" s="24"/>
      <c r="BP12" s="23">
        <f>IFERROR(VLOOKUP($BP$2&amp;"-"&amp; RIGHT(BP$4,1)&amp;"-"&amp;$A12,CC1_InputUser!$L:$N,2,FALSE),0)</f>
        <v>0</v>
      </c>
      <c r="BQ12" s="23">
        <f>IFERROR(VLOOKUP($BP$2&amp;"-"&amp; RIGHT(BQ$4,1)&amp;"-"&amp;$A12,CC1_InputUser!$L:$N,2,FALSE),0)</f>
        <v>0</v>
      </c>
      <c r="BR12" s="23">
        <f>IFERROR(VLOOKUP($BP$2&amp;"-"&amp; RIGHT(BR$4,1)&amp;"-"&amp;$A12,CC1_InputUser!$L:$N,2,FALSE),0)</f>
        <v>0</v>
      </c>
      <c r="BS12" s="23">
        <f>IFERROR(VLOOKUP($BP$2&amp;"-"&amp; RIGHT(BS$4,1)&amp;"-"&amp;$A12,CC1_InputUser!$L:$N,2,FALSE),0)</f>
        <v>0</v>
      </c>
      <c r="BT12" s="23">
        <f>IFERROR(VLOOKUP($BP$2&amp;"-"&amp; RIGHT(BT$4,1)&amp;"-"&amp;$A12,CC1_InputUser!$L:$N,2,FALSE),0)</f>
        <v>0</v>
      </c>
      <c r="BU12" s="23">
        <f>IFERROR(VLOOKUP($BP$2&amp;"-"&amp; RIGHT(BU$4,1)&amp;"-"&amp;$A12,CC1_InputUser!$L:$N,3,FALSE),0)</f>
        <v>0</v>
      </c>
      <c r="BV12" s="23">
        <f>IFERROR(VLOOKUP($BP$2&amp;"-"&amp; RIGHT(BV$4,1)&amp;"-"&amp;$A12,CC1_InputUser!$L:$N,3,FALSE),0)</f>
        <v>0</v>
      </c>
      <c r="BW12" s="23">
        <f>IFERROR(VLOOKUP($BP$2&amp;"-"&amp; RIGHT(BW$4,1)&amp;"-"&amp;$A12,CC1_InputUser!$L:$N,3,FALSE),0)</f>
        <v>0</v>
      </c>
      <c r="BX12" s="23">
        <f>IFERROR(VLOOKUP($BP$2&amp;"-"&amp; RIGHT(BX$4,1)&amp;"-"&amp;$A12,CC1_InputUser!$L:$N,3,FALSE),0)</f>
        <v>0</v>
      </c>
      <c r="BY12" s="23">
        <f>IFERROR(VLOOKUP($BP$2&amp;"-"&amp; RIGHT(BY$4,1)&amp;"-"&amp;$A12,CC1_InputUser!$L:$N,3,FALSE),0)</f>
        <v>0</v>
      </c>
      <c r="BZ12" s="24"/>
      <c r="CA12" s="23">
        <f>IFERROR(VLOOKUP($CA$2&amp;"-"&amp; RIGHT(CA$4,1)&amp;"-"&amp;$A12,CC1_InputUser!$L:$N,2,FALSE),0)</f>
        <v>2.9741522144454247E-2</v>
      </c>
      <c r="CB12" s="23">
        <f>IFERROR(VLOOKUP($CA$2&amp;"-"&amp; RIGHT(CB$4,1)&amp;"-"&amp;$A12,CC1_InputUser!$L:$N,2,FALSE),0)</f>
        <v>5.9468283582089443E-2</v>
      </c>
      <c r="CC12" s="23">
        <f>IFERROR(VLOOKUP($CA$2&amp;"-"&amp; RIGHT(CC$4,1)&amp;"-"&amp;$A12,CC1_InputUser!$L:$N,2,FALSE),0)</f>
        <v>0</v>
      </c>
      <c r="CD12" s="23">
        <f>IFERROR(VLOOKUP($CA$2&amp;"-"&amp; RIGHT(CD$4,1)&amp;"-"&amp;$A12,CC1_InputUser!$L:$N,2,FALSE),0)</f>
        <v>0</v>
      </c>
      <c r="CE12" s="23">
        <f>IFERROR(VLOOKUP($CA$2&amp;"-"&amp; RIGHT(CE$4,1)&amp;"-"&amp;$A12,CC1_InputUser!$L:$N,2,FALSE),0)</f>
        <v>-1.3473053892215536E-2</v>
      </c>
      <c r="CF12" s="23">
        <f>IFERROR(VLOOKUP($CA$2&amp;"-"&amp; RIGHT(CF$4,1)&amp;"-"&amp;$A12,CC1_InputUser!$L:$N,3,FALSE),0)</f>
        <v>-0.33703515555485075</v>
      </c>
      <c r="CG12" s="23">
        <f>IFERROR(VLOOKUP($CA$2&amp;"-"&amp; RIGHT(CG$4,1)&amp;"-"&amp;$A12,CC1_InputUser!$L:$N,3,FALSE),0)</f>
        <v>-4.1004774633363383E-2</v>
      </c>
      <c r="CH12" s="23">
        <f>IFERROR(VLOOKUP($CA$2&amp;"-"&amp; RIGHT(CH$4,1)&amp;"-"&amp;$A12,CC1_InputUser!$L:$N,3,FALSE),0)</f>
        <v>-1.4890300498255127E-2</v>
      </c>
      <c r="CI12" s="23">
        <f>IFERROR(VLOOKUP($CA$2&amp;"-"&amp; RIGHT(CI$4,1)&amp;"-"&amp;$A12,CC1_InputUser!$L:$N,3,FALSE),0)</f>
        <v>0</v>
      </c>
      <c r="CJ12" s="23">
        <f>IFERROR(VLOOKUP($CA$2&amp;"-"&amp; RIGHT(CJ$4,1)&amp;"-"&amp;$A12,CC1_InputUser!$L:$N,3,FALSE),0)</f>
        <v>-8.9996124085899298E-2</v>
      </c>
      <c r="CK12" s="24"/>
      <c r="CL12" s="23">
        <f>IFERROR(VLOOKUP($CL$2&amp;"-"&amp; RIGHT(CL$4,1)&amp;"-"&amp;$A12,CC1_InputUser!$L:$N,2,FALSE),0)</f>
        <v>6.6154263326694274E-3</v>
      </c>
      <c r="CM12" s="23">
        <f>IFERROR(VLOOKUP($CL$2&amp;"-"&amp; RIGHT(CM$4,1)&amp;"-"&amp;$A12,CC1_InputUser!$L:$N,2,FALSE),0)</f>
        <v>0.13547943696496711</v>
      </c>
      <c r="CN12" s="23">
        <f>IFERROR(VLOOKUP($CL$2&amp;"-"&amp; RIGHT(CN$4,1)&amp;"-"&amp;$A12,CC1_InputUser!$L:$N,2,FALSE),0)</f>
        <v>0</v>
      </c>
      <c r="CO12" s="23">
        <f>IFERROR(VLOOKUP($CL$2&amp;"-"&amp; RIGHT(CO$4,1)&amp;"-"&amp;$A12,CC1_InputUser!$L:$N,2,FALSE),0)</f>
        <v>3.5440613026819889E-2</v>
      </c>
      <c r="CP12" s="23">
        <f>IFERROR(VLOOKUP($CL$2&amp;"-"&amp; RIGHT(CP$4,1)&amp;"-"&amp;$A12,CC1_InputUser!$L:$N,2,FALSE),0)</f>
        <v>0</v>
      </c>
      <c r="CQ12" s="23">
        <f>IFERROR(VLOOKUP($CL$2&amp;"-"&amp; RIGHT(CQ$4,1)&amp;"-"&amp;$A12,CC1_InputUser!$L:$N,3,FALSE),0)</f>
        <v>-2.1010032449772287E-2</v>
      </c>
      <c r="CR12" s="23">
        <f>IFERROR(VLOOKUP($CL$2&amp;"-"&amp; RIGHT(CR$4,1)&amp;"-"&amp;$A12,CC1_InputUser!$L:$N,3,FALSE),0)</f>
        <v>-8.3591640412952972E-2</v>
      </c>
      <c r="CS12" s="23">
        <f>IFERROR(VLOOKUP($CL$2&amp;"-"&amp; RIGHT(CS$4,1)&amp;"-"&amp;$A12,CC1_InputUser!$L:$N,3,FALSE),0)</f>
        <v>0</v>
      </c>
      <c r="CT12" s="23">
        <f>IFERROR(VLOOKUP($CL$2&amp;"-"&amp; RIGHT(CT$4,1)&amp;"-"&amp;$A12,CC1_InputUser!$L:$N,3,FALSE),0)</f>
        <v>-9.7624563611696802E-3</v>
      </c>
      <c r="CU12" s="23">
        <f>IFERROR(VLOOKUP($CL$2&amp;"-"&amp; RIGHT(CU$4,1)&amp;"-"&amp;$A12,CC1_InputUser!$L:$N,3,FALSE),0)</f>
        <v>0</v>
      </c>
      <c r="CV12" s="24"/>
      <c r="CW12" s="23">
        <f>IFERROR(VLOOKUP($CW$2&amp;"-"&amp; RIGHT(CW$4,1)&amp;"-"&amp;$A12,CC1_InputUser!$L:$N,2,FALSE),0)</f>
        <v>0</v>
      </c>
      <c r="CX12" s="23">
        <f>IFERROR(VLOOKUP($CW$2&amp;"-"&amp; RIGHT(CX$4,1)&amp;"-"&amp;$A12,CC1_InputUser!$L:$N,2,FALSE),0)</f>
        <v>0</v>
      </c>
      <c r="CY12" s="23">
        <f>IFERROR(VLOOKUP($CW$2&amp;"-"&amp; RIGHT(CY$4,1)&amp;"-"&amp;$A12,CC1_InputUser!$L:$N,2,FALSE),0)</f>
        <v>0</v>
      </c>
      <c r="CZ12" s="23">
        <f>IFERROR(VLOOKUP($CW$2&amp;"-"&amp; RIGHT(CZ$4,1)&amp;"-"&amp;$A12,CC1_InputUser!$L:$N,2,FALSE),0)</f>
        <v>0</v>
      </c>
      <c r="DA12" s="23">
        <f>IFERROR(VLOOKUP($CW$2&amp;"-"&amp; RIGHT(DA$4,1)&amp;"-"&amp;$A12,CC1_InputUser!$L:$N,2,FALSE),0)</f>
        <v>0</v>
      </c>
      <c r="DB12" s="23">
        <f>IFERROR(VLOOKUP($CW$2&amp;"-"&amp; RIGHT(DB$4,1)&amp;"-"&amp;$A12,CC1_InputUser!$L:$N,3,FALSE),0)</f>
        <v>0</v>
      </c>
      <c r="DC12" s="23">
        <f>IFERROR(VLOOKUP($CW$2&amp;"-"&amp; RIGHT(DC$4,1)&amp;"-"&amp;$A12,CC1_InputUser!$L:$N,3,FALSE),0)</f>
        <v>0</v>
      </c>
      <c r="DD12" s="23">
        <f>IFERROR(VLOOKUP($CW$2&amp;"-"&amp; RIGHT(DD$4,1)&amp;"-"&amp;$A12,CC1_InputUser!$L:$N,3,FALSE),0)</f>
        <v>0</v>
      </c>
      <c r="DE12" s="23">
        <f>IFERROR(VLOOKUP($CW$2&amp;"-"&amp; RIGHT(DE$4,1)&amp;"-"&amp;$A12,CC1_InputUser!$L:$N,3,FALSE),0)</f>
        <v>0</v>
      </c>
      <c r="DF12" s="23">
        <f>IFERROR(VLOOKUP($CW$2&amp;"-"&amp; RIGHT(DF$4,1)&amp;"-"&amp;$A12,CC1_InputUser!$L:$N,3,FALSE),0)</f>
        <v>0</v>
      </c>
      <c r="DG12" s="24"/>
      <c r="DH12" s="23">
        <f>IFERROR(VLOOKUP($DH$2&amp;"-"&amp; RIGHT(DH$4,1)&amp;"-"&amp;$A12,CC1_InputUser!$L:$N,2,FALSE),0)</f>
        <v>0</v>
      </c>
      <c r="DI12" s="23">
        <f>IFERROR(VLOOKUP($DH$2&amp;"-"&amp; RIGHT(DI$4,1)&amp;"-"&amp;$A12,CC1_InputUser!$L:$N,2,FALSE),0)</f>
        <v>0</v>
      </c>
      <c r="DJ12" s="23">
        <f>IFERROR(VLOOKUP($DH$2&amp;"-"&amp; RIGHT(DJ$4,1)&amp;"-"&amp;$A12,CC1_InputUser!$L:$N,2,FALSE),0)</f>
        <v>0</v>
      </c>
      <c r="DK12" s="23">
        <f>IFERROR(VLOOKUP($DH$2&amp;"-"&amp; RIGHT(DK$4,1)&amp;"-"&amp;$A12,CC1_InputUser!$L:$N,2,FALSE),0)</f>
        <v>0</v>
      </c>
      <c r="DL12" s="23">
        <f>IFERROR(VLOOKUP($DH$2&amp;"-"&amp; RIGHT(DL$4,1)&amp;"-"&amp;$A12,CC1_InputUser!$L:$N,2,FALSE),0)</f>
        <v>0</v>
      </c>
      <c r="DM12" s="23">
        <f>IFERROR(VLOOKUP($DH$2&amp;"-"&amp; RIGHT(DM$4,1)&amp;"-"&amp;$A12,CC1_InputUser!$L:$N,3,FALSE),0)</f>
        <v>0</v>
      </c>
      <c r="DN12" s="23">
        <f>IFERROR(VLOOKUP($DH$2&amp;"-"&amp; RIGHT(DN$4,1)&amp;"-"&amp;$A12,CC1_InputUser!$L:$N,3,FALSE),0)</f>
        <v>0</v>
      </c>
      <c r="DO12" s="23">
        <f>IFERROR(VLOOKUP($DH$2&amp;"-"&amp; RIGHT(DO$4,1)&amp;"-"&amp;$A12,CC1_InputUser!$L:$N,3,FALSE),0)</f>
        <v>0</v>
      </c>
      <c r="DP12" s="23">
        <f>IFERROR(VLOOKUP($DH$2&amp;"-"&amp; RIGHT(DP$4,1)&amp;"-"&amp;$A12,CC1_InputUser!$L:$N,3,FALSE),0)</f>
        <v>0</v>
      </c>
      <c r="DQ12" s="23">
        <f>IFERROR(VLOOKUP($DH$2&amp;"-"&amp; RIGHT(DQ$4,1)&amp;"-"&amp;$A12,CC1_InputUser!$L:$N,3,FALSE),0)</f>
        <v>0</v>
      </c>
      <c r="DR12" s="24"/>
      <c r="DS12" s="23">
        <f>IFERROR(VLOOKUP($DS$2&amp;"-"&amp; RIGHT(DS$4,1)&amp;"-"&amp;$A12,CC1_InputUser!$L:$N,2,FALSE),0)</f>
        <v>0</v>
      </c>
      <c r="DT12" s="23">
        <f>IFERROR(VLOOKUP($DS$2&amp;"-"&amp; RIGHT(DT$4,1)&amp;"-"&amp;$A12,CC1_InputUser!$L:$N,2,FALSE),0)</f>
        <v>0</v>
      </c>
      <c r="DU12" s="23">
        <f>IFERROR(VLOOKUP($DS$2&amp;"-"&amp; RIGHT(DU$4,1)&amp;"-"&amp;$A12,CC1_InputUser!$L:$N,2,FALSE),0)</f>
        <v>0</v>
      </c>
      <c r="DV12" s="23">
        <f>IFERROR(VLOOKUP($DS$2&amp;"-"&amp; RIGHT(DV$4,1)&amp;"-"&amp;$A12,CC1_InputUser!$L:$N,2,FALSE),0)</f>
        <v>0</v>
      </c>
      <c r="DW12" s="23">
        <f>IFERROR(VLOOKUP($DS$2&amp;"-"&amp; RIGHT(DW$4,1)&amp;"-"&amp;$A12,CC1_InputUser!$L:$N,2,FALSE),0)</f>
        <v>0</v>
      </c>
      <c r="DX12" s="23">
        <f>IFERROR(VLOOKUP($DS$2&amp;"-"&amp; RIGHT(DX$4,1)&amp;"-"&amp;$A12,CC1_InputUser!$L:$N,3,FALSE),0)</f>
        <v>0</v>
      </c>
      <c r="DY12" s="23">
        <f>IFERROR(VLOOKUP($DS$2&amp;"-"&amp; RIGHT(DY$4,1)&amp;"-"&amp;$A12,CC1_InputUser!$L:$N,3,FALSE),0)</f>
        <v>0</v>
      </c>
      <c r="DZ12" s="23">
        <f>IFERROR(VLOOKUP($DS$2&amp;"-"&amp; RIGHT(DZ$4,1)&amp;"-"&amp;$A12,CC1_InputUser!$L:$N,3,FALSE),0)</f>
        <v>0</v>
      </c>
      <c r="EA12" s="23">
        <f>IFERROR(VLOOKUP($DS$2&amp;"-"&amp; RIGHT(EA$4,1)&amp;"-"&amp;$A12,CC1_InputUser!$L:$N,3,FALSE),0)</f>
        <v>0</v>
      </c>
      <c r="EB12" s="23">
        <f>IFERROR(VLOOKUP($DS$2&amp;"-"&amp; RIGHT(EB$4,1)&amp;"-"&amp;$A12,CC1_InputUser!$L:$N,3,FALSE),0)</f>
        <v>0</v>
      </c>
      <c r="EC12" s="24"/>
    </row>
    <row r="13" spans="1:133" x14ac:dyDescent="0.3">
      <c r="A13" s="75" t="s">
        <v>28</v>
      </c>
      <c r="B13" s="23">
        <f>IFERROR(VLOOKUP($B$2&amp;"-"&amp; RIGHT(B$4,1)&amp;"-"&amp;$A13,CC1_InputUser!$L:$N,2,FALSE),0)</f>
        <v>0</v>
      </c>
      <c r="C13" s="23">
        <f>IFERROR(VLOOKUP($B$2&amp;"-"&amp; RIGHT(C$4,1)&amp;"-"&amp;$A13,CC1_InputUser!$L:$N,2,FALSE),0)</f>
        <v>0</v>
      </c>
      <c r="D13" s="23">
        <f>IFERROR(VLOOKUP($B$2&amp;"-"&amp; RIGHT(D$4,1)&amp;"-"&amp;$A13,CC1_InputUser!$L:$N,2,FALSE),0)</f>
        <v>0.10707603294098766</v>
      </c>
      <c r="E13" s="23">
        <f>IFERROR(VLOOKUP($B$2&amp;"-"&amp; RIGHT(E$4,1)&amp;"-"&amp;$A13,CC1_InputUser!$L:$N,2,FALSE),0)</f>
        <v>0.1179952108944553</v>
      </c>
      <c r="F13" s="23">
        <f>IFERROR(VLOOKUP($B$2&amp;"-"&amp; RIGHT(F$4,1)&amp;"-"&amp;$A13,CC1_InputUser!$L:$N,2,FALSE),0)</f>
        <v>0</v>
      </c>
      <c r="G13" s="23">
        <f>IFERROR(VLOOKUP($B$2&amp;"-"&amp; RIGHT(G$4,1)&amp;"-"&amp;$A13,CC1_InputUser!$L:$N,3,FALSE),0)</f>
        <v>0</v>
      </c>
      <c r="H13" s="23">
        <f>IFERROR(VLOOKUP($B$2&amp;"-"&amp; RIGHT(H$4,1)&amp;"-"&amp;$A13,CC1_InputUser!$L:$N,3,FALSE),0)</f>
        <v>0</v>
      </c>
      <c r="I13" s="23">
        <f>IFERROR(VLOOKUP($B$2&amp;"-"&amp; RIGHT(I$4,1)&amp;"-"&amp;$A13,CC1_InputUser!$L:$N,3,FALSE),0)</f>
        <v>-0.17452148718482641</v>
      </c>
      <c r="J13" s="23">
        <f>IFERROR(VLOOKUP($B$2&amp;"-"&amp; RIGHT(J$4,1)&amp;"-"&amp;$A13,CC1_InputUser!$L:$N,3,FALSE),0)</f>
        <v>-0.12896181080747948</v>
      </c>
      <c r="K13" s="23">
        <f>IFERROR(VLOOKUP($B$2&amp;"-"&amp; RIGHT(K$4,1)&amp;"-"&amp;$A13,CC1_InputUser!$L:$N,3,FALSE),0)</f>
        <v>0</v>
      </c>
      <c r="L13" s="24"/>
      <c r="M13" s="23">
        <f>IFERROR(VLOOKUP($M$2&amp;"-"&amp; RIGHT(M$4,1)&amp;"-"&amp;$A13,CC1_InputUser!$L:$N,2,FALSE),0)</f>
        <v>0</v>
      </c>
      <c r="N13" s="23">
        <f>IFERROR(VLOOKUP($M$2&amp;"-"&amp; RIGHT(N$4,1)&amp;"-"&amp;$A13,CC1_InputUser!$L:$N,2,FALSE),0)</f>
        <v>0.33919502201993978</v>
      </c>
      <c r="O13" s="23">
        <f>IFERROR(VLOOKUP($M$2&amp;"-"&amp; RIGHT(O$4,1)&amp;"-"&amp;$A13,CC1_InputUser!$L:$N,2,FALSE),0)</f>
        <v>0</v>
      </c>
      <c r="P13" s="23">
        <f>IFERROR(VLOOKUP($M$2&amp;"-"&amp; RIGHT(P$4,1)&amp;"-"&amp;$A13,CC1_InputUser!$L:$N,2,FALSE),0)</f>
        <v>0.41376803845423793</v>
      </c>
      <c r="Q13" s="23">
        <f>IFERROR(VLOOKUP($M$2&amp;"-"&amp; RIGHT(Q$4,1)&amp;"-"&amp;$A13,CC1_InputUser!$L:$N,2,FALSE),0)</f>
        <v>5.7912949800109192E-2</v>
      </c>
      <c r="R13" s="23">
        <f>IFERROR(VLOOKUP($M$2&amp;"-"&amp; RIGHT(R$4,1)&amp;"-"&amp;$A13,CC1_InputUser!$L:$N,3,FALSE),0)</f>
        <v>0</v>
      </c>
      <c r="S13" s="23">
        <f>IFERROR(VLOOKUP($M$2&amp;"-"&amp; RIGHT(S$4,1)&amp;"-"&amp;$A13,CC1_InputUser!$L:$N,3,FALSE),0)</f>
        <v>-0.41437684178720191</v>
      </c>
      <c r="T13" s="23">
        <f>IFERROR(VLOOKUP($M$2&amp;"-"&amp; RIGHT(T$4,1)&amp;"-"&amp;$A13,CC1_InputUser!$L:$N,3,FALSE),0)</f>
        <v>0</v>
      </c>
      <c r="U13" s="23">
        <f>IFERROR(VLOOKUP($M$2&amp;"-"&amp; RIGHT(U$4,1)&amp;"-"&amp;$A13,CC1_InputUser!$L:$N,3,FALSE),0)</f>
        <v>-0.18461597979036748</v>
      </c>
      <c r="V13" s="23">
        <f>IFERROR(VLOOKUP($M$2&amp;"-"&amp; RIGHT(V$4,1)&amp;"-"&amp;$A13,CC1_InputUser!$L:$N,3,FALSE),0)</f>
        <v>-0.28024167602584682</v>
      </c>
      <c r="W13" s="24"/>
      <c r="X13" s="23">
        <f>IFERROR(VLOOKUP($X$2&amp;"-"&amp; RIGHT(X$4,1)&amp;"-"&amp;$A13,CC1_InputUser!$L:$N,2,FALSE),0)</f>
        <v>0</v>
      </c>
      <c r="Y13" s="23">
        <f>IFERROR(VLOOKUP($X$2&amp;"-"&amp; RIGHT(Y$4,1)&amp;"-"&amp;$A13,CC1_InputUser!$L:$N,2,FALSE),0)</f>
        <v>-5.7396850524646048E-2</v>
      </c>
      <c r="Z13" s="23">
        <f>IFERROR(VLOOKUP($X$2&amp;"-"&amp; RIGHT(Z$4,1)&amp;"-"&amp;$A13,CC1_InputUser!$L:$N,2,FALSE),0)</f>
        <v>0.19126240920819415</v>
      </c>
      <c r="AA13" s="23">
        <f>IFERROR(VLOOKUP($X$2&amp;"-"&amp; RIGHT(AA$4,1)&amp;"-"&amp;$A13,CC1_InputUser!$L:$N,2,FALSE),0)</f>
        <v>0</v>
      </c>
      <c r="AB13" s="23">
        <f>IFERROR(VLOOKUP($X$2&amp;"-"&amp; RIGHT(AB$4,1)&amp;"-"&amp;$A13,CC1_InputUser!$L:$N,2,FALSE),0)</f>
        <v>0</v>
      </c>
      <c r="AC13" s="23">
        <f>IFERROR(VLOOKUP($X$2&amp;"-"&amp; RIGHT(AC$4,1)&amp;"-"&amp;$A13,CC1_InputUser!$L:$N,3,FALSE),0)</f>
        <v>0</v>
      </c>
      <c r="AD13" s="23">
        <f>IFERROR(VLOOKUP($X$2&amp;"-"&amp; RIGHT(AD$4,1)&amp;"-"&amp;$A13,CC1_InputUser!$L:$N,3,FALSE),0)</f>
        <v>-0.24934962923312798</v>
      </c>
      <c r="AE13" s="23">
        <f>IFERROR(VLOOKUP($X$2&amp;"-"&amp; RIGHT(AE$4,1)&amp;"-"&amp;$A13,CC1_InputUser!$L:$N,3,FALSE),0)</f>
        <v>-0.43512856298155855</v>
      </c>
      <c r="AF13" s="23">
        <f>IFERROR(VLOOKUP($X$2&amp;"-"&amp; RIGHT(AF$4,1)&amp;"-"&amp;$A13,CC1_InputUser!$L:$N,3,FALSE),0)</f>
        <v>0</v>
      </c>
      <c r="AG13" s="23">
        <f>IFERROR(VLOOKUP($X$2&amp;"-"&amp; RIGHT(AG$4,1)&amp;"-"&amp;$A13,CC1_InputUser!$L:$N,3,FALSE),0)</f>
        <v>0</v>
      </c>
      <c r="AH13" s="24"/>
      <c r="AI13" s="23">
        <f>IFERROR(VLOOKUP($AI$2&amp;"-"&amp; RIGHT(AI$4,1)&amp;"-"&amp;$A13,CC1_InputUser!$L:$N,2,FALSE),0)</f>
        <v>0.18219947353420785</v>
      </c>
      <c r="AJ13" s="23">
        <f>IFERROR(VLOOKUP($AI$2&amp;"-"&amp; RIGHT(AJ$4,1)&amp;"-"&amp;$A13,CC1_InputUser!$L:$N,2,FALSE),0)</f>
        <v>0</v>
      </c>
      <c r="AK13" s="23">
        <f>IFERROR(VLOOKUP($AI$2&amp;"-"&amp; RIGHT(AK$4,1)&amp;"-"&amp;$A13,CC1_InputUser!$L:$N,2,FALSE),0)</f>
        <v>0</v>
      </c>
      <c r="AL13" s="23">
        <f>IFERROR(VLOOKUP($AI$2&amp;"-"&amp; RIGHT(AL$4,1)&amp;"-"&amp;$A13,CC1_InputUser!$L:$N,2,FALSE),0)</f>
        <v>0.40587633359271624</v>
      </c>
      <c r="AM13" s="23">
        <f>IFERROR(VLOOKUP($AI$2&amp;"-"&amp; RIGHT(AM$4,1)&amp;"-"&amp;$A13,CC1_InputUser!$L:$N,2,FALSE),0)</f>
        <v>0</v>
      </c>
      <c r="AN13" s="23">
        <f>IFERROR(VLOOKUP($AI$2&amp;"-"&amp; RIGHT(AN$4,1)&amp;"-"&amp;$A13,CC1_InputUser!$L:$N,3,FALSE),0)</f>
        <v>-8.611411523119672E-2</v>
      </c>
      <c r="AO13" s="23">
        <f>IFERROR(VLOOKUP($AI$2&amp;"-"&amp; RIGHT(AO$4,1)&amp;"-"&amp;$A13,CC1_InputUser!$L:$N,3,FALSE),0)</f>
        <v>0</v>
      </c>
      <c r="AP13" s="23">
        <f>IFERROR(VLOOKUP($AI$2&amp;"-"&amp; RIGHT(AP$4,1)&amp;"-"&amp;$A13,CC1_InputUser!$L:$N,3,FALSE),0)</f>
        <v>0</v>
      </c>
      <c r="AQ13" s="23">
        <f>IFERROR(VLOOKUP($AI$2&amp;"-"&amp; RIGHT(AQ$4,1)&amp;"-"&amp;$A13,CC1_InputUser!$L:$N,3,FALSE),0)</f>
        <v>-0.10240353423334314</v>
      </c>
      <c r="AR13" s="23">
        <f>IFERROR(VLOOKUP($AI$2&amp;"-"&amp; RIGHT(AR$4,1)&amp;"-"&amp;$A13,CC1_InputUser!$L:$N,3,FALSE),0)</f>
        <v>0</v>
      </c>
      <c r="AS13" s="24"/>
      <c r="AT13" s="23">
        <f>IFERROR(VLOOKUP($AT$2&amp;"-"&amp; RIGHT(AT$4,1)&amp;"-"&amp;$A13,CC1_InputUser!$L:$N,2,FALSE),0)</f>
        <v>0.19515119033396189</v>
      </c>
      <c r="AU13" s="23">
        <f>IFERROR(VLOOKUP($AT$2&amp;"-"&amp; RIGHT(AU$4,1)&amp;"-"&amp;$A13,CC1_InputUser!$L:$N,2,FALSE),0)</f>
        <v>2.2422158475839504E-2</v>
      </c>
      <c r="AV13" s="23">
        <f>IFERROR(VLOOKUP($AT$2&amp;"-"&amp; RIGHT(AV$4,1)&amp;"-"&amp;$A13,CC1_InputUser!$L:$N,2,FALSE),0)</f>
        <v>8.9343120561025668E-2</v>
      </c>
      <c r="AW13" s="23">
        <f>IFERROR(VLOOKUP($AT$2&amp;"-"&amp; RIGHT(AW$4,1)&amp;"-"&amp;$A13,CC1_InputUser!$L:$N,2,FALSE),0)</f>
        <v>0</v>
      </c>
      <c r="AX13" s="23">
        <f>IFERROR(VLOOKUP($AT$2&amp;"-"&amp; RIGHT(AX$4,1)&amp;"-"&amp;$A13,CC1_InputUser!$L:$N,2,FALSE),0)</f>
        <v>0.32341279227578323</v>
      </c>
      <c r="AY13" s="23">
        <f>IFERROR(VLOOKUP($AT$2&amp;"-"&amp; RIGHT(AY$4,1)&amp;"-"&amp;$A13,CC1_InputUser!$L:$N,3,FALSE),0)</f>
        <v>-0.20010286795406895</v>
      </c>
      <c r="AZ13" s="23">
        <f>IFERROR(VLOOKUP($AT$2&amp;"-"&amp; RIGHT(AZ$4,1)&amp;"-"&amp;$A13,CC1_InputUser!$L:$N,3,FALSE),0)</f>
        <v>-4.9459864549572852E-2</v>
      </c>
      <c r="BA13" s="23">
        <f>IFERROR(VLOOKUP($AT$2&amp;"-"&amp; RIGHT(BA$4,1)&amp;"-"&amp;$A13,CC1_InputUser!$L:$N,3,FALSE),0)</f>
        <v>-2.1534157302172341E-2</v>
      </c>
      <c r="BB13" s="23">
        <f>IFERROR(VLOOKUP($AT$2&amp;"-"&amp; RIGHT(BB$4,1)&amp;"-"&amp;$A13,CC1_InputUser!$L:$N,3,FALSE),0)</f>
        <v>0</v>
      </c>
      <c r="BC13" s="23">
        <f>IFERROR(VLOOKUP($AT$2&amp;"-"&amp; RIGHT(BC$4,1)&amp;"-"&amp;$A13,CC1_InputUser!$L:$N,3,FALSE),0)</f>
        <v>-0.22913844509815406</v>
      </c>
      <c r="BD13" s="24"/>
      <c r="BE13" s="23">
        <f>IFERROR(VLOOKUP($AT$2&amp;"-"&amp; RIGHT(BE$4,1)&amp;"-"&amp;$A13,CC1_InputUser!$L:$N,2,FALSE),0)</f>
        <v>0.19515119033396189</v>
      </c>
      <c r="BF13" s="23">
        <f>IFERROR(VLOOKUP($AT$2&amp;"-"&amp; RIGHT(BF$4,1)&amp;"-"&amp;$A13,CC1_InputUser!$L:$N,2,FALSE),0)</f>
        <v>2.2422158475839504E-2</v>
      </c>
      <c r="BG13" s="23">
        <f>IFERROR(VLOOKUP($AT$2&amp;"-"&amp; RIGHT(BG$4,1)&amp;"-"&amp;$A13,CC1_InputUser!$L:$N,2,FALSE),0)</f>
        <v>8.9343120561025668E-2</v>
      </c>
      <c r="BH13" s="23">
        <f>IFERROR(VLOOKUP($AT$2&amp;"-"&amp; RIGHT(BH$4,1)&amp;"-"&amp;$A13,CC1_InputUser!$L:$N,2,FALSE),0)</f>
        <v>0</v>
      </c>
      <c r="BI13" s="23">
        <f>IFERROR(VLOOKUP($AT$2&amp;"-"&amp; RIGHT(BI$4,1)&amp;"-"&amp;$A13,CC1_InputUser!$L:$N,2,FALSE),0)</f>
        <v>0.32341279227578323</v>
      </c>
      <c r="BJ13" s="23">
        <f>IFERROR(VLOOKUP($AT$2&amp;"-"&amp; RIGHT(BJ$4,1)&amp;"-"&amp;$A13,CC1_InputUser!$L:$N,3,FALSE),0)</f>
        <v>-0.20010286795406895</v>
      </c>
      <c r="BK13" s="23">
        <f>IFERROR(VLOOKUP($AT$2&amp;"-"&amp; RIGHT(BK$4,1)&amp;"-"&amp;$A13,CC1_InputUser!$L:$N,3,FALSE),0)</f>
        <v>-4.9459864549572852E-2</v>
      </c>
      <c r="BL13" s="23">
        <f>IFERROR(VLOOKUP($AT$2&amp;"-"&amp; RIGHT(BL$4,1)&amp;"-"&amp;$A13,CC1_InputUser!$L:$N,3,FALSE),0)</f>
        <v>-2.1534157302172341E-2</v>
      </c>
      <c r="BM13" s="23">
        <f>IFERROR(VLOOKUP($AT$2&amp;"-"&amp; RIGHT(BM$4,1)&amp;"-"&amp;$A13,CC1_InputUser!$L:$N,3,FALSE),0)</f>
        <v>0</v>
      </c>
      <c r="BN13" s="23">
        <f>IFERROR(VLOOKUP($AT$2&amp;"-"&amp; RIGHT(BN$4,1)&amp;"-"&amp;$A13,CC1_InputUser!$L:$N,3,FALSE),0)</f>
        <v>-0.22913844509815406</v>
      </c>
      <c r="BO13" s="24"/>
      <c r="BP13" s="23">
        <f>IFERROR(VLOOKUP($BP$2&amp;"-"&amp; RIGHT(BP$4,1)&amp;"-"&amp;$A13,CC1_InputUser!$L:$N,2,FALSE),0)</f>
        <v>-0.14422769021747106</v>
      </c>
      <c r="BQ13" s="23">
        <f>IFERROR(VLOOKUP($BP$2&amp;"-"&amp; RIGHT(BQ$4,1)&amp;"-"&amp;$A13,CC1_InputUser!$L:$N,2,FALSE),0)</f>
        <v>-0.16023365441103821</v>
      </c>
      <c r="BR13" s="23">
        <f>IFERROR(VLOOKUP($BP$2&amp;"-"&amp; RIGHT(BR$4,1)&amp;"-"&amp;$A13,CC1_InputUser!$L:$N,2,FALSE),0)</f>
        <v>0</v>
      </c>
      <c r="BS13" s="23">
        <f>IFERROR(VLOOKUP($BP$2&amp;"-"&amp; RIGHT(BS$4,1)&amp;"-"&amp;$A13,CC1_InputUser!$L:$N,2,FALSE),0)</f>
        <v>0</v>
      </c>
      <c r="BT13" s="23">
        <f>IFERROR(VLOOKUP($BP$2&amp;"-"&amp; RIGHT(BT$4,1)&amp;"-"&amp;$A13,CC1_InputUser!$L:$N,2,FALSE),0)</f>
        <v>0</v>
      </c>
      <c r="BU13" s="23">
        <f>IFERROR(VLOOKUP($BP$2&amp;"-"&amp; RIGHT(BU$4,1)&amp;"-"&amp;$A13,CC1_InputUser!$L:$N,3,FALSE),0)</f>
        <v>-0.16167000248519425</v>
      </c>
      <c r="BV13" s="23">
        <f>IFERROR(VLOOKUP($BP$2&amp;"-"&amp; RIGHT(BV$4,1)&amp;"-"&amp;$A13,CC1_InputUser!$L:$N,3,FALSE),0)</f>
        <v>-8.6969151276770185E-2</v>
      </c>
      <c r="BW13" s="23">
        <f>IFERROR(VLOOKUP($BP$2&amp;"-"&amp; RIGHT(BW$4,1)&amp;"-"&amp;$A13,CC1_InputUser!$L:$N,3,FALSE),0)</f>
        <v>0</v>
      </c>
      <c r="BX13" s="23">
        <f>IFERROR(VLOOKUP($BP$2&amp;"-"&amp; RIGHT(BX$4,1)&amp;"-"&amp;$A13,CC1_InputUser!$L:$N,3,FALSE),0)</f>
        <v>0</v>
      </c>
      <c r="BY13" s="23">
        <f>IFERROR(VLOOKUP($BP$2&amp;"-"&amp; RIGHT(BY$4,1)&amp;"-"&amp;$A13,CC1_InputUser!$L:$N,3,FALSE),0)</f>
        <v>0</v>
      </c>
      <c r="BZ13" s="24"/>
      <c r="CA13" s="23">
        <f>IFERROR(VLOOKUP($CA$2&amp;"-"&amp; RIGHT(CA$4,1)&amp;"-"&amp;$A13,CC1_InputUser!$L:$N,2,FALSE),0)</f>
        <v>6.6251503360073682E-2</v>
      </c>
      <c r="CB13" s="23">
        <f>IFERROR(VLOOKUP($CA$2&amp;"-"&amp; RIGHT(CB$4,1)&amp;"-"&amp;$A13,CC1_InputUser!$L:$N,2,FALSE),0)</f>
        <v>0.30575230063556891</v>
      </c>
      <c r="CC13" s="23">
        <f>IFERROR(VLOOKUP($CA$2&amp;"-"&amp; RIGHT(CC$4,1)&amp;"-"&amp;$A13,CC1_InputUser!$L:$N,2,FALSE),0)</f>
        <v>7.4626865671634235E-4</v>
      </c>
      <c r="CD13" s="23">
        <f>IFERROR(VLOOKUP($CA$2&amp;"-"&amp; RIGHT(CD$4,1)&amp;"-"&amp;$A13,CC1_InputUser!$L:$N,2,FALSE),0)</f>
        <v>0</v>
      </c>
      <c r="CE13" s="23">
        <f>IFERROR(VLOOKUP($CA$2&amp;"-"&amp; RIGHT(CE$4,1)&amp;"-"&amp;$A13,CC1_InputUser!$L:$N,2,FALSE),0)</f>
        <v>0.42100071685859808</v>
      </c>
      <c r="CF13" s="23">
        <f>IFERROR(VLOOKUP($CA$2&amp;"-"&amp; RIGHT(CF$4,1)&amp;"-"&amp;$A13,CC1_InputUser!$L:$N,3,FALSE),0)</f>
        <v>-0.19341123951991168</v>
      </c>
      <c r="CG13" s="23">
        <f>IFERROR(VLOOKUP($CA$2&amp;"-"&amp; RIGHT(CG$4,1)&amp;"-"&amp;$A13,CC1_InputUser!$L:$N,3,FALSE),0)</f>
        <v>-8.5986339054255012E-2</v>
      </c>
      <c r="CH13" s="23">
        <f>IFERROR(VLOOKUP($CA$2&amp;"-"&amp; RIGHT(CH$4,1)&amp;"-"&amp;$A13,CC1_InputUser!$L:$N,3,FALSE),0)</f>
        <v>-8.2447682699682279E-3</v>
      </c>
      <c r="CI13" s="23">
        <f>IFERROR(VLOOKUP($CA$2&amp;"-"&amp; RIGHT(CI$4,1)&amp;"-"&amp;$A13,CC1_InputUser!$L:$N,3,FALSE),0)</f>
        <v>0</v>
      </c>
      <c r="CJ13" s="23">
        <f>IFERROR(VLOOKUP($CA$2&amp;"-"&amp; RIGHT(CJ$4,1)&amp;"-"&amp;$A13,CC1_InputUser!$L:$N,3,FALSE),0)</f>
        <v>-8.6402803887488666E-2</v>
      </c>
      <c r="CK13" s="24"/>
      <c r="CL13" s="23">
        <f>IFERROR(VLOOKUP($CL$2&amp;"-"&amp; RIGHT(CL$4,1)&amp;"-"&amp;$A13,CC1_InputUser!$L:$N,2,FALSE),0)</f>
        <v>-1.587457080265442E-2</v>
      </c>
      <c r="CM13" s="23">
        <f>IFERROR(VLOOKUP($CL$2&amp;"-"&amp; RIGHT(CM$4,1)&amp;"-"&amp;$A13,CC1_InputUser!$L:$N,2,FALSE),0)</f>
        <v>0</v>
      </c>
      <c r="CN13" s="23">
        <f>IFERROR(VLOOKUP($CL$2&amp;"-"&amp; RIGHT(CN$4,1)&amp;"-"&amp;$A13,CC1_InputUser!$L:$N,2,FALSE),0)</f>
        <v>0</v>
      </c>
      <c r="CO13" s="23">
        <f>IFERROR(VLOOKUP($CL$2&amp;"-"&amp; RIGHT(CO$4,1)&amp;"-"&amp;$A13,CC1_InputUser!$L:$N,2,FALSE),0)</f>
        <v>0</v>
      </c>
      <c r="CP13" s="23">
        <f>IFERROR(VLOOKUP($CL$2&amp;"-"&amp; RIGHT(CP$4,1)&amp;"-"&amp;$A13,CC1_InputUser!$L:$N,2,FALSE),0)</f>
        <v>0</v>
      </c>
      <c r="CQ13" s="23">
        <f>IFERROR(VLOOKUP($CL$2&amp;"-"&amp; RIGHT(CQ$4,1)&amp;"-"&amp;$A13,CC1_InputUser!$L:$N,3,FALSE),0)</f>
        <v>-1.6513255718329845E-2</v>
      </c>
      <c r="CR13" s="23">
        <f>IFERROR(VLOOKUP($CL$2&amp;"-"&amp; RIGHT(CR$4,1)&amp;"-"&amp;$A13,CC1_InputUser!$L:$N,3,FALSE),0)</f>
        <v>0</v>
      </c>
      <c r="CS13" s="23">
        <f>IFERROR(VLOOKUP($CL$2&amp;"-"&amp; RIGHT(CS$4,1)&amp;"-"&amp;$A13,CC1_InputUser!$L:$N,3,FALSE),0)</f>
        <v>0</v>
      </c>
      <c r="CT13" s="23">
        <f>IFERROR(VLOOKUP($CL$2&amp;"-"&amp; RIGHT(CT$4,1)&amp;"-"&amp;$A13,CC1_InputUser!$L:$N,3,FALSE),0)</f>
        <v>0</v>
      </c>
      <c r="CU13" s="23">
        <f>IFERROR(VLOOKUP($CL$2&amp;"-"&amp; RIGHT(CU$4,1)&amp;"-"&amp;$A13,CC1_InputUser!$L:$N,3,FALSE),0)</f>
        <v>0</v>
      </c>
      <c r="CV13" s="24"/>
      <c r="CW13" s="23">
        <f>IFERROR(VLOOKUP($CW$2&amp;"-"&amp; RIGHT(CW$4,1)&amp;"-"&amp;$A13,CC1_InputUser!$L:$N,2,FALSE),0)</f>
        <v>0</v>
      </c>
      <c r="CX13" s="23">
        <f>IFERROR(VLOOKUP($CW$2&amp;"-"&amp; RIGHT(CX$4,1)&amp;"-"&amp;$A13,CC1_InputUser!$L:$N,2,FALSE),0)</f>
        <v>0</v>
      </c>
      <c r="CY13" s="23">
        <f>IFERROR(VLOOKUP($CW$2&amp;"-"&amp; RIGHT(CY$4,1)&amp;"-"&amp;$A13,CC1_InputUser!$L:$N,2,FALSE),0)</f>
        <v>0</v>
      </c>
      <c r="CZ13" s="23">
        <f>IFERROR(VLOOKUP($CW$2&amp;"-"&amp; RIGHT(CZ$4,1)&amp;"-"&amp;$A13,CC1_InputUser!$L:$N,2,FALSE),0)</f>
        <v>0</v>
      </c>
      <c r="DA13" s="23">
        <f>IFERROR(VLOOKUP($CW$2&amp;"-"&amp; RIGHT(DA$4,1)&amp;"-"&amp;$A13,CC1_InputUser!$L:$N,2,FALSE),0)</f>
        <v>0</v>
      </c>
      <c r="DB13" s="23">
        <f>IFERROR(VLOOKUP($CW$2&amp;"-"&amp; RIGHT(DB$4,1)&amp;"-"&amp;$A13,CC1_InputUser!$L:$N,3,FALSE),0)</f>
        <v>0</v>
      </c>
      <c r="DC13" s="23">
        <f>IFERROR(VLOOKUP($CW$2&amp;"-"&amp; RIGHT(DC$4,1)&amp;"-"&amp;$A13,CC1_InputUser!$L:$N,3,FALSE),0)</f>
        <v>0</v>
      </c>
      <c r="DD13" s="23">
        <f>IFERROR(VLOOKUP($CW$2&amp;"-"&amp; RIGHT(DD$4,1)&amp;"-"&amp;$A13,CC1_InputUser!$L:$N,3,FALSE),0)</f>
        <v>0</v>
      </c>
      <c r="DE13" s="23">
        <f>IFERROR(VLOOKUP($CW$2&amp;"-"&amp; RIGHT(DE$4,1)&amp;"-"&amp;$A13,CC1_InputUser!$L:$N,3,FALSE),0)</f>
        <v>0</v>
      </c>
      <c r="DF13" s="23">
        <f>IFERROR(VLOOKUP($CW$2&amp;"-"&amp; RIGHT(DF$4,1)&amp;"-"&amp;$A13,CC1_InputUser!$L:$N,3,FALSE),0)</f>
        <v>0</v>
      </c>
      <c r="DG13" s="24"/>
      <c r="DH13" s="23">
        <f>IFERROR(VLOOKUP($DH$2&amp;"-"&amp; RIGHT(DH$4,1)&amp;"-"&amp;$A13,CC1_InputUser!$L:$N,2,FALSE),0)</f>
        <v>0</v>
      </c>
      <c r="DI13" s="23">
        <f>IFERROR(VLOOKUP($DH$2&amp;"-"&amp; RIGHT(DI$4,1)&amp;"-"&amp;$A13,CC1_InputUser!$L:$N,2,FALSE),0)</f>
        <v>0</v>
      </c>
      <c r="DJ13" s="23">
        <f>IFERROR(VLOOKUP($DH$2&amp;"-"&amp; RIGHT(DJ$4,1)&amp;"-"&amp;$A13,CC1_InputUser!$L:$N,2,FALSE),0)</f>
        <v>0</v>
      </c>
      <c r="DK13" s="23">
        <f>IFERROR(VLOOKUP($DH$2&amp;"-"&amp; RIGHT(DK$4,1)&amp;"-"&amp;$A13,CC1_InputUser!$L:$N,2,FALSE),0)</f>
        <v>0</v>
      </c>
      <c r="DL13" s="23">
        <f>IFERROR(VLOOKUP($DH$2&amp;"-"&amp; RIGHT(DL$4,1)&amp;"-"&amp;$A13,CC1_InputUser!$L:$N,2,FALSE),0)</f>
        <v>0</v>
      </c>
      <c r="DM13" s="23">
        <f>IFERROR(VLOOKUP($DH$2&amp;"-"&amp; RIGHT(DM$4,1)&amp;"-"&amp;$A13,CC1_InputUser!$L:$N,3,FALSE),0)</f>
        <v>0</v>
      </c>
      <c r="DN13" s="23">
        <f>IFERROR(VLOOKUP($DH$2&amp;"-"&amp; RIGHT(DN$4,1)&amp;"-"&amp;$A13,CC1_InputUser!$L:$N,3,FALSE),0)</f>
        <v>0</v>
      </c>
      <c r="DO13" s="23">
        <f>IFERROR(VLOOKUP($DH$2&amp;"-"&amp; RIGHT(DO$4,1)&amp;"-"&amp;$A13,CC1_InputUser!$L:$N,3,FALSE),0)</f>
        <v>0</v>
      </c>
      <c r="DP13" s="23">
        <f>IFERROR(VLOOKUP($DH$2&amp;"-"&amp; RIGHT(DP$4,1)&amp;"-"&amp;$A13,CC1_InputUser!$L:$N,3,FALSE),0)</f>
        <v>0</v>
      </c>
      <c r="DQ13" s="23">
        <f>IFERROR(VLOOKUP($DH$2&amp;"-"&amp; RIGHT(DQ$4,1)&amp;"-"&amp;$A13,CC1_InputUser!$L:$N,3,FALSE),0)</f>
        <v>0</v>
      </c>
      <c r="DR13" s="24"/>
      <c r="DS13" s="23">
        <f>IFERROR(VLOOKUP($DS$2&amp;"-"&amp; RIGHT(DS$4,1)&amp;"-"&amp;$A13,CC1_InputUser!$L:$N,2,FALSE),0)</f>
        <v>0</v>
      </c>
      <c r="DT13" s="23">
        <f>IFERROR(VLOOKUP($DS$2&amp;"-"&amp; RIGHT(DT$4,1)&amp;"-"&amp;$A13,CC1_InputUser!$L:$N,2,FALSE),0)</f>
        <v>0</v>
      </c>
      <c r="DU13" s="23">
        <f>IFERROR(VLOOKUP($DS$2&amp;"-"&amp; RIGHT(DU$4,1)&amp;"-"&amp;$A13,CC1_InputUser!$L:$N,2,FALSE),0)</f>
        <v>0</v>
      </c>
      <c r="DV13" s="23">
        <f>IFERROR(VLOOKUP($DS$2&amp;"-"&amp; RIGHT(DV$4,1)&amp;"-"&amp;$A13,CC1_InputUser!$L:$N,2,FALSE),0)</f>
        <v>0</v>
      </c>
      <c r="DW13" s="23">
        <f>IFERROR(VLOOKUP($DS$2&amp;"-"&amp; RIGHT(DW$4,1)&amp;"-"&amp;$A13,CC1_InputUser!$L:$N,2,FALSE),0)</f>
        <v>0</v>
      </c>
      <c r="DX13" s="23">
        <f>IFERROR(VLOOKUP($DS$2&amp;"-"&amp; RIGHT(DX$4,1)&amp;"-"&amp;$A13,CC1_InputUser!$L:$N,3,FALSE),0)</f>
        <v>0</v>
      </c>
      <c r="DY13" s="23">
        <f>IFERROR(VLOOKUP($DS$2&amp;"-"&amp; RIGHT(DY$4,1)&amp;"-"&amp;$A13,CC1_InputUser!$L:$N,3,FALSE),0)</f>
        <v>0</v>
      </c>
      <c r="DZ13" s="23">
        <f>IFERROR(VLOOKUP($DS$2&amp;"-"&amp; RIGHT(DZ$4,1)&amp;"-"&amp;$A13,CC1_InputUser!$L:$N,3,FALSE),0)</f>
        <v>0</v>
      </c>
      <c r="EA13" s="23">
        <f>IFERROR(VLOOKUP($DS$2&amp;"-"&amp; RIGHT(EA$4,1)&amp;"-"&amp;$A13,CC1_InputUser!$L:$N,3,FALSE),0)</f>
        <v>0</v>
      </c>
      <c r="EB13" s="23">
        <f>IFERROR(VLOOKUP($DS$2&amp;"-"&amp; RIGHT(EB$4,1)&amp;"-"&amp;$A13,CC1_InputUser!$L:$N,3,FALSE),0)</f>
        <v>0</v>
      </c>
      <c r="EC13" s="24"/>
    </row>
    <row r="14" spans="1:133" x14ac:dyDescent="0.3">
      <c r="A14" s="74" t="s">
        <v>13</v>
      </c>
      <c r="B14" s="23">
        <f>IFERROR(VLOOKUP($B$2&amp;"-"&amp; RIGHT(B$4,1)&amp;"-"&amp;$A14,CC1_InputUser!$L:$N,2,FALSE),0)</f>
        <v>0</v>
      </c>
      <c r="C14" s="23">
        <f>IFERROR(VLOOKUP($B$2&amp;"-"&amp; RIGHT(C$4,1)&amp;"-"&amp;$A14,CC1_InputUser!$L:$N,2,FALSE),0)</f>
        <v>0</v>
      </c>
      <c r="D14" s="23">
        <f>IFERROR(VLOOKUP($B$2&amp;"-"&amp; RIGHT(D$4,1)&amp;"-"&amp;$A14,CC1_InputUser!$L:$N,2,FALSE),0)</f>
        <v>0.17226860165633451</v>
      </c>
      <c r="E14" s="23">
        <f>IFERROR(VLOOKUP($B$2&amp;"-"&amp; RIGHT(E$4,1)&amp;"-"&amp;$A14,CC1_InputUser!$L:$N,2,FALSE),0)</f>
        <v>0.17649768968488622</v>
      </c>
      <c r="F14" s="23">
        <f>IFERROR(VLOOKUP($B$2&amp;"-"&amp; RIGHT(F$4,1)&amp;"-"&amp;$A14,CC1_InputUser!$L:$N,2,FALSE),0)</f>
        <v>0</v>
      </c>
      <c r="G14" s="23">
        <f>IFERROR(VLOOKUP($B$2&amp;"-"&amp; RIGHT(G$4,1)&amp;"-"&amp;$A14,CC1_InputUser!$L:$N,3,FALSE),0)</f>
        <v>0</v>
      </c>
      <c r="H14" s="23">
        <f>IFERROR(VLOOKUP($B$2&amp;"-"&amp; RIGHT(H$4,1)&amp;"-"&amp;$A14,CC1_InputUser!$L:$N,3,FALSE),0)</f>
        <v>0</v>
      </c>
      <c r="I14" s="23">
        <f>IFERROR(VLOOKUP($B$2&amp;"-"&amp; RIGHT(I$4,1)&amp;"-"&amp;$A14,CC1_InputUser!$L:$N,3,FALSE),0)</f>
        <v>-2.5217485958028196E-2</v>
      </c>
      <c r="J14" s="23">
        <f>IFERROR(VLOOKUP($B$2&amp;"-"&amp; RIGHT(J$4,1)&amp;"-"&amp;$A14,CC1_InputUser!$L:$N,3,FALSE),0)</f>
        <v>-2.3863565157408617E-2</v>
      </c>
      <c r="K14" s="23">
        <f>IFERROR(VLOOKUP($B$2&amp;"-"&amp; RIGHT(K$4,1)&amp;"-"&amp;$A14,CC1_InputUser!$L:$N,3,FALSE),0)</f>
        <v>0</v>
      </c>
      <c r="L14" s="24"/>
      <c r="M14" s="23">
        <f>IFERROR(VLOOKUP($M$2&amp;"-"&amp; RIGHT(M$4,1)&amp;"-"&amp;$A14,CC1_InputUser!$L:$N,2,FALSE),0)</f>
        <v>0</v>
      </c>
      <c r="N14" s="23">
        <f>IFERROR(VLOOKUP($M$2&amp;"-"&amp; RIGHT(N$4,1)&amp;"-"&amp;$A14,CC1_InputUser!$L:$N,2,FALSE),0)</f>
        <v>0.1429043110769348</v>
      </c>
      <c r="O14" s="23">
        <f>IFERROR(VLOOKUP($M$2&amp;"-"&amp; RIGHT(O$4,1)&amp;"-"&amp;$A14,CC1_InputUser!$L:$N,2,FALSE),0)</f>
        <v>0</v>
      </c>
      <c r="P14" s="23">
        <f>IFERROR(VLOOKUP($M$2&amp;"-"&amp; RIGHT(P$4,1)&amp;"-"&amp;$A14,CC1_InputUser!$L:$N,2,FALSE),0)</f>
        <v>4.8499126148802585E-2</v>
      </c>
      <c r="Q14" s="23">
        <f>IFERROR(VLOOKUP($M$2&amp;"-"&amp; RIGHT(Q$4,1)&amp;"-"&amp;$A14,CC1_InputUser!$L:$N,2,FALSE),0)</f>
        <v>0.11709997449956644</v>
      </c>
      <c r="R14" s="23">
        <f>IFERROR(VLOOKUP($M$2&amp;"-"&amp; RIGHT(R$4,1)&amp;"-"&amp;$A14,CC1_InputUser!$L:$N,3,FALSE),0)</f>
        <v>0</v>
      </c>
      <c r="S14" s="23">
        <f>IFERROR(VLOOKUP($M$2&amp;"-"&amp; RIGHT(S$4,1)&amp;"-"&amp;$A14,CC1_InputUser!$L:$N,3,FALSE),0)</f>
        <v>-1.9401885427859478E-2</v>
      </c>
      <c r="T14" s="23">
        <f>IFERROR(VLOOKUP($M$2&amp;"-"&amp; RIGHT(T$4,1)&amp;"-"&amp;$A14,CC1_InputUser!$L:$N,3,FALSE),0)</f>
        <v>0</v>
      </c>
      <c r="U14" s="23">
        <f>IFERROR(VLOOKUP($M$2&amp;"-"&amp; RIGHT(U$4,1)&amp;"-"&amp;$A14,CC1_InputUser!$L:$N,3,FALSE),0)</f>
        <v>-1.5004528949160156E-2</v>
      </c>
      <c r="V14" s="23">
        <f>IFERROR(VLOOKUP($M$2&amp;"-"&amp; RIGHT(V$4,1)&amp;"-"&amp;$A14,CC1_InputUser!$L:$N,3,FALSE),0)</f>
        <v>-1.1587744693673074E-2</v>
      </c>
      <c r="W14" s="24"/>
      <c r="X14" s="23">
        <f>IFERROR(VLOOKUP($X$2&amp;"-"&amp; RIGHT(X$4,1)&amp;"-"&amp;$A14,CC1_InputUser!$L:$N,2,FALSE),0)</f>
        <v>0</v>
      </c>
      <c r="Y14" s="23">
        <f>IFERROR(VLOOKUP($X$2&amp;"-"&amp; RIGHT(Y$4,1)&amp;"-"&amp;$A14,CC1_InputUser!$L:$N,2,FALSE),0)</f>
        <v>7.0328502472241095E-2</v>
      </c>
      <c r="Z14" s="23">
        <f>IFERROR(VLOOKUP($X$2&amp;"-"&amp; RIGHT(Z$4,1)&amp;"-"&amp;$A14,CC1_InputUser!$L:$N,2,FALSE),0)</f>
        <v>1.6377649325626242E-2</v>
      </c>
      <c r="AA14" s="23">
        <f>IFERROR(VLOOKUP($X$2&amp;"-"&amp; RIGHT(AA$4,1)&amp;"-"&amp;$A14,CC1_InputUser!$L:$N,2,FALSE),0)</f>
        <v>0</v>
      </c>
      <c r="AB14" s="23">
        <f>IFERROR(VLOOKUP($X$2&amp;"-"&amp; RIGHT(AB$4,1)&amp;"-"&amp;$A14,CC1_InputUser!$L:$N,2,FALSE),0)</f>
        <v>0</v>
      </c>
      <c r="AC14" s="23">
        <f>IFERROR(VLOOKUP($X$2&amp;"-"&amp; RIGHT(AC$4,1)&amp;"-"&amp;$A14,CC1_InputUser!$L:$N,3,FALSE),0)</f>
        <v>0</v>
      </c>
      <c r="AD14" s="23">
        <f>IFERROR(VLOOKUP($X$2&amp;"-"&amp; RIGHT(AD$4,1)&amp;"-"&amp;$A14,CC1_InputUser!$L:$N,3,FALSE),0)</f>
        <v>-1.017306685052799E-2</v>
      </c>
      <c r="AE14" s="23">
        <f>IFERROR(VLOOKUP($X$2&amp;"-"&amp; RIGHT(AE$4,1)&amp;"-"&amp;$A14,CC1_InputUser!$L:$N,3,FALSE),0)</f>
        <v>-3.5680554098016515E-3</v>
      </c>
      <c r="AF14" s="23">
        <f>IFERROR(VLOOKUP($X$2&amp;"-"&amp; RIGHT(AF$4,1)&amp;"-"&amp;$A14,CC1_InputUser!$L:$N,3,FALSE),0)</f>
        <v>0</v>
      </c>
      <c r="AG14" s="23">
        <f>IFERROR(VLOOKUP($X$2&amp;"-"&amp; RIGHT(AG$4,1)&amp;"-"&amp;$A14,CC1_InputUser!$L:$N,3,FALSE),0)</f>
        <v>0</v>
      </c>
      <c r="AH14" s="24"/>
      <c r="AI14" s="23">
        <f>IFERROR(VLOOKUP($AI$2&amp;"-"&amp; RIGHT(AI$4,1)&amp;"-"&amp;$A14,CC1_InputUser!$L:$N,2,FALSE),0)</f>
        <v>2.3794767576752363E-2</v>
      </c>
      <c r="AJ14" s="23">
        <f>IFERROR(VLOOKUP($AI$2&amp;"-"&amp; RIGHT(AJ$4,1)&amp;"-"&amp;$A14,CC1_InputUser!$L:$N,2,FALSE),0)</f>
        <v>0</v>
      </c>
      <c r="AK14" s="23">
        <f>IFERROR(VLOOKUP($AI$2&amp;"-"&amp; RIGHT(AK$4,1)&amp;"-"&amp;$A14,CC1_InputUser!$L:$N,2,FALSE),0)</f>
        <v>0</v>
      </c>
      <c r="AL14" s="23">
        <f>IFERROR(VLOOKUP($AI$2&amp;"-"&amp; RIGHT(AL$4,1)&amp;"-"&amp;$A14,CC1_InputUser!$L:$N,2,FALSE),0)</f>
        <v>1.8041160176029081E-2</v>
      </c>
      <c r="AM14" s="23">
        <f>IFERROR(VLOOKUP($AI$2&amp;"-"&amp; RIGHT(AM$4,1)&amp;"-"&amp;$A14,CC1_InputUser!$L:$N,2,FALSE),0)</f>
        <v>0</v>
      </c>
      <c r="AN14" s="23">
        <f>IFERROR(VLOOKUP($AI$2&amp;"-"&amp; RIGHT(AN$4,1)&amp;"-"&amp;$A14,CC1_InputUser!$L:$N,3,FALSE),0)</f>
        <v>-2.1270148692208446E-2</v>
      </c>
      <c r="AO14" s="23">
        <f>IFERROR(VLOOKUP($AI$2&amp;"-"&amp; RIGHT(AO$4,1)&amp;"-"&amp;$A14,CC1_InputUser!$L:$N,3,FALSE),0)</f>
        <v>0</v>
      </c>
      <c r="AP14" s="23">
        <f>IFERROR(VLOOKUP($AI$2&amp;"-"&amp; RIGHT(AP$4,1)&amp;"-"&amp;$A14,CC1_InputUser!$L:$N,3,FALSE),0)</f>
        <v>0</v>
      </c>
      <c r="AQ14" s="23">
        <f>IFERROR(VLOOKUP($AI$2&amp;"-"&amp; RIGHT(AQ$4,1)&amp;"-"&amp;$A14,CC1_InputUser!$L:$N,3,FALSE),0)</f>
        <v>-8.4661867608917252E-3</v>
      </c>
      <c r="AR14" s="23">
        <f>IFERROR(VLOOKUP($AI$2&amp;"-"&amp; RIGHT(AR$4,1)&amp;"-"&amp;$A14,CC1_InputUser!$L:$N,3,FALSE),0)</f>
        <v>0</v>
      </c>
      <c r="AS14" s="24"/>
      <c r="AT14" s="23">
        <f>IFERROR(VLOOKUP($AT$2&amp;"-"&amp; RIGHT(AT$4,1)&amp;"-"&amp;$A14,CC1_InputUser!$L:$N,2,FALSE),0)</f>
        <v>3.6443609295569779E-2</v>
      </c>
      <c r="AU14" s="23">
        <f>IFERROR(VLOOKUP($AT$2&amp;"-"&amp; RIGHT(AU$4,1)&amp;"-"&amp;$A14,CC1_InputUser!$L:$N,2,FALSE),0)</f>
        <v>0</v>
      </c>
      <c r="AV14" s="23">
        <f>IFERROR(VLOOKUP($AT$2&amp;"-"&amp; RIGHT(AV$4,1)&amp;"-"&amp;$A14,CC1_InputUser!$L:$N,2,FALSE),0)</f>
        <v>2.5429352068696343E-2</v>
      </c>
      <c r="AW14" s="23">
        <f>IFERROR(VLOOKUP($AT$2&amp;"-"&amp; RIGHT(AW$4,1)&amp;"-"&amp;$A14,CC1_InputUser!$L:$N,2,FALSE),0)</f>
        <v>0</v>
      </c>
      <c r="AX14" s="23">
        <f>IFERROR(VLOOKUP($AT$2&amp;"-"&amp; RIGHT(AX$4,1)&amp;"-"&amp;$A14,CC1_InputUser!$L:$N,2,FALSE),0)</f>
        <v>7.2541838839677575E-2</v>
      </c>
      <c r="AY14" s="23">
        <f>IFERROR(VLOOKUP($AT$2&amp;"-"&amp; RIGHT(AY$4,1)&amp;"-"&amp;$A14,CC1_InputUser!$L:$N,3,FALSE),0)</f>
        <v>-5.0445864500788806E-3</v>
      </c>
      <c r="AZ14" s="23">
        <f>IFERROR(VLOOKUP($AT$2&amp;"-"&amp; RIGHT(AZ$4,1)&amp;"-"&amp;$A14,CC1_InputUser!$L:$N,3,FALSE),0)</f>
        <v>0</v>
      </c>
      <c r="BA14" s="23">
        <f>IFERROR(VLOOKUP($AT$2&amp;"-"&amp; RIGHT(BA$4,1)&amp;"-"&amp;$A14,CC1_InputUser!$L:$N,3,FALSE),0)</f>
        <v>-4.5736078113655099E-3</v>
      </c>
      <c r="BB14" s="23">
        <f>IFERROR(VLOOKUP($AT$2&amp;"-"&amp; RIGHT(BB$4,1)&amp;"-"&amp;$A14,CC1_InputUser!$L:$N,3,FALSE),0)</f>
        <v>0</v>
      </c>
      <c r="BC14" s="23">
        <f>IFERROR(VLOOKUP($AT$2&amp;"-"&amp; RIGHT(BC$4,1)&amp;"-"&amp;$A14,CC1_InputUser!$L:$N,3,FALSE),0)</f>
        <v>-6.4716742824510454E-2</v>
      </c>
      <c r="BD14" s="24"/>
      <c r="BE14" s="23">
        <f>IFERROR(VLOOKUP($AT$2&amp;"-"&amp; RIGHT(BE$4,1)&amp;"-"&amp;$A14,CC1_InputUser!$L:$N,2,FALSE),0)</f>
        <v>3.6443609295569779E-2</v>
      </c>
      <c r="BF14" s="23">
        <f>IFERROR(VLOOKUP($AT$2&amp;"-"&amp; RIGHT(BF$4,1)&amp;"-"&amp;$A14,CC1_InputUser!$L:$N,2,FALSE),0)</f>
        <v>0</v>
      </c>
      <c r="BG14" s="23">
        <f>IFERROR(VLOOKUP($AT$2&amp;"-"&amp; RIGHT(BG$4,1)&amp;"-"&amp;$A14,CC1_InputUser!$L:$N,2,FALSE),0)</f>
        <v>2.5429352068696343E-2</v>
      </c>
      <c r="BH14" s="23">
        <f>IFERROR(VLOOKUP($AT$2&amp;"-"&amp; RIGHT(BH$4,1)&amp;"-"&amp;$A14,CC1_InputUser!$L:$N,2,FALSE),0)</f>
        <v>0</v>
      </c>
      <c r="BI14" s="23">
        <f>IFERROR(VLOOKUP($AT$2&amp;"-"&amp; RIGHT(BI$4,1)&amp;"-"&amp;$A14,CC1_InputUser!$L:$N,2,FALSE),0)</f>
        <v>7.2541838839677575E-2</v>
      </c>
      <c r="BJ14" s="23">
        <f>IFERROR(VLOOKUP($AT$2&amp;"-"&amp; RIGHT(BJ$4,1)&amp;"-"&amp;$A14,CC1_InputUser!$L:$N,3,FALSE),0)</f>
        <v>-5.0445864500788806E-3</v>
      </c>
      <c r="BK14" s="23">
        <f>IFERROR(VLOOKUP($AT$2&amp;"-"&amp; RIGHT(BK$4,1)&amp;"-"&amp;$A14,CC1_InputUser!$L:$N,3,FALSE),0)</f>
        <v>0</v>
      </c>
      <c r="BL14" s="23">
        <f>IFERROR(VLOOKUP($AT$2&amp;"-"&amp; RIGHT(BL$4,1)&amp;"-"&amp;$A14,CC1_InputUser!$L:$N,3,FALSE),0)</f>
        <v>-4.5736078113655099E-3</v>
      </c>
      <c r="BM14" s="23">
        <f>IFERROR(VLOOKUP($AT$2&amp;"-"&amp; RIGHT(BM$4,1)&amp;"-"&amp;$A14,CC1_InputUser!$L:$N,3,FALSE),0)</f>
        <v>0</v>
      </c>
      <c r="BN14" s="23">
        <f>IFERROR(VLOOKUP($AT$2&amp;"-"&amp; RIGHT(BN$4,1)&amp;"-"&amp;$A14,CC1_InputUser!$L:$N,3,FALSE),0)</f>
        <v>-6.4716742824510454E-2</v>
      </c>
      <c r="BO14" s="24"/>
      <c r="BP14" s="23">
        <f>IFERROR(VLOOKUP($BP$2&amp;"-"&amp; RIGHT(BP$4,1)&amp;"-"&amp;$A14,CC1_InputUser!$L:$N,2,FALSE),0)</f>
        <v>9.6060638558504996E-3</v>
      </c>
      <c r="BQ14" s="23">
        <f>IFERROR(VLOOKUP($BP$2&amp;"-"&amp; RIGHT(BQ$4,1)&amp;"-"&amp;$A14,CC1_InputUser!$L:$N,2,FALSE),0)</f>
        <v>-4.8049799647486791E-2</v>
      </c>
      <c r="BR14" s="23">
        <f>IFERROR(VLOOKUP($BP$2&amp;"-"&amp; RIGHT(BR$4,1)&amp;"-"&amp;$A14,CC1_InputUser!$L:$N,2,FALSE),0)</f>
        <v>0</v>
      </c>
      <c r="BS14" s="23">
        <f>IFERROR(VLOOKUP($BP$2&amp;"-"&amp; RIGHT(BS$4,1)&amp;"-"&amp;$A14,CC1_InputUser!$L:$N,2,FALSE),0)</f>
        <v>0</v>
      </c>
      <c r="BT14" s="23">
        <f>IFERROR(VLOOKUP($BP$2&amp;"-"&amp; RIGHT(BT$4,1)&amp;"-"&amp;$A14,CC1_InputUser!$L:$N,2,FALSE),0)</f>
        <v>0</v>
      </c>
      <c r="BU14" s="23">
        <f>IFERROR(VLOOKUP($BP$2&amp;"-"&amp; RIGHT(BU$4,1)&amp;"-"&amp;$A14,CC1_InputUser!$L:$N,3,FALSE),0)</f>
        <v>-3.1928806774205953E-2</v>
      </c>
      <c r="BV14" s="23">
        <f>IFERROR(VLOOKUP($BP$2&amp;"-"&amp; RIGHT(BV$4,1)&amp;"-"&amp;$A14,CC1_InputUser!$L:$N,3,FALSE),0)</f>
        <v>-5.8572649666014942E-2</v>
      </c>
      <c r="BW14" s="23">
        <f>IFERROR(VLOOKUP($BP$2&amp;"-"&amp; RIGHT(BW$4,1)&amp;"-"&amp;$A14,CC1_InputUser!$L:$N,3,FALSE),0)</f>
        <v>0</v>
      </c>
      <c r="BX14" s="23">
        <f>IFERROR(VLOOKUP($BP$2&amp;"-"&amp; RIGHT(BX$4,1)&amp;"-"&amp;$A14,CC1_InputUser!$L:$N,3,FALSE),0)</f>
        <v>0</v>
      </c>
      <c r="BY14" s="23">
        <f>IFERROR(VLOOKUP($BP$2&amp;"-"&amp; RIGHT(BY$4,1)&amp;"-"&amp;$A14,CC1_InputUser!$L:$N,3,FALSE),0)</f>
        <v>0</v>
      </c>
      <c r="BZ14" s="24"/>
      <c r="CA14" s="23">
        <f>IFERROR(VLOOKUP($CA$2&amp;"-"&amp; RIGHT(CA$4,1)&amp;"-"&amp;$A14,CC1_InputUser!$L:$N,2,FALSE),0)</f>
        <v>3.3017302164049855E-2</v>
      </c>
      <c r="CB14" s="23">
        <f>IFERROR(VLOOKUP($CA$2&amp;"-"&amp; RIGHT(CB$4,1)&amp;"-"&amp;$A14,CC1_InputUser!$L:$N,2,FALSE),0)</f>
        <v>8.6111379593768578E-2</v>
      </c>
      <c r="CC14" s="23">
        <f>IFERROR(VLOOKUP($CA$2&amp;"-"&amp; RIGHT(CC$4,1)&amp;"-"&amp;$A14,CC1_InputUser!$L:$N,2,FALSE),0)</f>
        <v>0</v>
      </c>
      <c r="CD14" s="23">
        <f>IFERROR(VLOOKUP($CA$2&amp;"-"&amp; RIGHT(CD$4,1)&amp;"-"&amp;$A14,CC1_InputUser!$L:$N,2,FALSE),0)</f>
        <v>0</v>
      </c>
      <c r="CE14" s="23">
        <f>IFERROR(VLOOKUP($CA$2&amp;"-"&amp; RIGHT(CE$4,1)&amp;"-"&amp;$A14,CC1_InputUser!$L:$N,2,FALSE),0)</f>
        <v>0.13216021118030252</v>
      </c>
      <c r="CF14" s="23">
        <f>IFERROR(VLOOKUP($CA$2&amp;"-"&amp; RIGHT(CF$4,1)&amp;"-"&amp;$A14,CC1_InputUser!$L:$N,3,FALSE),0)</f>
        <v>-7.3472587058744931E-3</v>
      </c>
      <c r="CG14" s="23">
        <f>IFERROR(VLOOKUP($CA$2&amp;"-"&amp; RIGHT(CG$4,1)&amp;"-"&amp;$A14,CC1_InputUser!$L:$N,3,FALSE),0)</f>
        <v>-1.5008195517944412E-2</v>
      </c>
      <c r="CH14" s="23">
        <f>IFERROR(VLOOKUP($CA$2&amp;"-"&amp; RIGHT(CH$4,1)&amp;"-"&amp;$A14,CC1_InputUser!$L:$N,3,FALSE),0)</f>
        <v>0</v>
      </c>
      <c r="CI14" s="23">
        <f>IFERROR(VLOOKUP($CA$2&amp;"-"&amp; RIGHT(CI$4,1)&amp;"-"&amp;$A14,CC1_InputUser!$L:$N,3,FALSE),0)</f>
        <v>0</v>
      </c>
      <c r="CJ14" s="23">
        <f>IFERROR(VLOOKUP($CA$2&amp;"-"&amp; RIGHT(CJ$4,1)&amp;"-"&amp;$A14,CC1_InputUser!$L:$N,3,FALSE),0)</f>
        <v>-1.9637953916919026E-2</v>
      </c>
      <c r="CK14" s="24"/>
      <c r="CL14" s="23">
        <f>IFERROR(VLOOKUP($CL$2&amp;"-"&amp; RIGHT(CL$4,1)&amp;"-"&amp;$A14,CC1_InputUser!$L:$N,2,FALSE),0)</f>
        <v>9.1046160983530022E-3</v>
      </c>
      <c r="CM14" s="23">
        <f>IFERROR(VLOOKUP($CL$2&amp;"-"&amp; RIGHT(CM$4,1)&amp;"-"&amp;$A14,CC1_InputUser!$L:$N,2,FALSE),0)</f>
        <v>1.6778503038170633E-2</v>
      </c>
      <c r="CN14" s="23">
        <f>IFERROR(VLOOKUP($CL$2&amp;"-"&amp; RIGHT(CN$4,1)&amp;"-"&amp;$A14,CC1_InputUser!$L:$N,2,FALSE),0)</f>
        <v>0</v>
      </c>
      <c r="CO14" s="23">
        <f>IFERROR(VLOOKUP($CL$2&amp;"-"&amp; RIGHT(CO$4,1)&amp;"-"&amp;$A14,CC1_InputUser!$L:$N,2,FALSE),0)</f>
        <v>6.7267532284110976E-3</v>
      </c>
      <c r="CP14" s="23">
        <f>IFERROR(VLOOKUP($CL$2&amp;"-"&amp; RIGHT(CP$4,1)&amp;"-"&amp;$A14,CC1_InputUser!$L:$N,2,FALSE),0)</f>
        <v>0</v>
      </c>
      <c r="CQ14" s="23">
        <f>IFERROR(VLOOKUP($CL$2&amp;"-"&amp; RIGHT(CQ$4,1)&amp;"-"&amp;$A14,CC1_InputUser!$L:$N,3,FALSE),0)</f>
        <v>-9.1864270540276127E-4</v>
      </c>
      <c r="CR14" s="23">
        <f>IFERROR(VLOOKUP($CL$2&amp;"-"&amp; RIGHT(CR$4,1)&amp;"-"&amp;$A14,CC1_InputUser!$L:$N,3,FALSE),0)</f>
        <v>-3.2867980633444205E-3</v>
      </c>
      <c r="CS14" s="23">
        <f>IFERROR(VLOOKUP($CL$2&amp;"-"&amp; RIGHT(CS$4,1)&amp;"-"&amp;$A14,CC1_InputUser!$L:$N,3,FALSE),0)</f>
        <v>0</v>
      </c>
      <c r="CT14" s="23">
        <f>IFERROR(VLOOKUP($CL$2&amp;"-"&amp; RIGHT(CT$4,1)&amp;"-"&amp;$A14,CC1_InputUser!$L:$N,3,FALSE),0)</f>
        <v>-3.2652255314110645E-3</v>
      </c>
      <c r="CU14" s="23">
        <f>IFERROR(VLOOKUP($CL$2&amp;"-"&amp; RIGHT(CU$4,1)&amp;"-"&amp;$A14,CC1_InputUser!$L:$N,3,FALSE),0)</f>
        <v>0</v>
      </c>
      <c r="CV14" s="24"/>
      <c r="CW14" s="23">
        <f>IFERROR(VLOOKUP($CW$2&amp;"-"&amp; RIGHT(CW$4,1)&amp;"-"&amp;$A14,CC1_InputUser!$L:$N,2,FALSE),0)</f>
        <v>0</v>
      </c>
      <c r="CX14" s="23">
        <f>IFERROR(VLOOKUP($CW$2&amp;"-"&amp; RIGHT(CX$4,1)&amp;"-"&amp;$A14,CC1_InputUser!$L:$N,2,FALSE),0)</f>
        <v>0</v>
      </c>
      <c r="CY14" s="23">
        <f>IFERROR(VLOOKUP($CW$2&amp;"-"&amp; RIGHT(CY$4,1)&amp;"-"&amp;$A14,CC1_InputUser!$L:$N,2,FALSE),0)</f>
        <v>0</v>
      </c>
      <c r="CZ14" s="23">
        <f>IFERROR(VLOOKUP($CW$2&amp;"-"&amp; RIGHT(CZ$4,1)&amp;"-"&amp;$A14,CC1_InputUser!$L:$N,2,FALSE),0)</f>
        <v>0</v>
      </c>
      <c r="DA14" s="23">
        <f>IFERROR(VLOOKUP($CW$2&amp;"-"&amp; RIGHT(DA$4,1)&amp;"-"&amp;$A14,CC1_InputUser!$L:$N,2,FALSE),0)</f>
        <v>0</v>
      </c>
      <c r="DB14" s="23">
        <f>IFERROR(VLOOKUP($CW$2&amp;"-"&amp; RIGHT(DB$4,1)&amp;"-"&amp;$A14,CC1_InputUser!$L:$N,3,FALSE),0)</f>
        <v>0</v>
      </c>
      <c r="DC14" s="23">
        <f>IFERROR(VLOOKUP($CW$2&amp;"-"&amp; RIGHT(DC$4,1)&amp;"-"&amp;$A14,CC1_InputUser!$L:$N,3,FALSE),0)</f>
        <v>0</v>
      </c>
      <c r="DD14" s="23">
        <f>IFERROR(VLOOKUP($CW$2&amp;"-"&amp; RIGHT(DD$4,1)&amp;"-"&amp;$A14,CC1_InputUser!$L:$N,3,FALSE),0)</f>
        <v>0</v>
      </c>
      <c r="DE14" s="23">
        <f>IFERROR(VLOOKUP($CW$2&amp;"-"&amp; RIGHT(DE$4,1)&amp;"-"&amp;$A14,CC1_InputUser!$L:$N,3,FALSE),0)</f>
        <v>0</v>
      </c>
      <c r="DF14" s="23">
        <f>IFERROR(VLOOKUP($CW$2&amp;"-"&amp; RIGHT(DF$4,1)&amp;"-"&amp;$A14,CC1_InputUser!$L:$N,3,FALSE),0)</f>
        <v>0</v>
      </c>
      <c r="DG14" s="24"/>
      <c r="DH14" s="23">
        <f>IFERROR(VLOOKUP($DH$2&amp;"-"&amp; RIGHT(DH$4,1)&amp;"-"&amp;$A14,CC1_InputUser!$L:$N,2,FALSE),0)</f>
        <v>0</v>
      </c>
      <c r="DI14" s="23">
        <f>IFERROR(VLOOKUP($DH$2&amp;"-"&amp; RIGHT(DI$4,1)&amp;"-"&amp;$A14,CC1_InputUser!$L:$N,2,FALSE),0)</f>
        <v>0</v>
      </c>
      <c r="DJ14" s="23">
        <f>IFERROR(VLOOKUP($DH$2&amp;"-"&amp; RIGHT(DJ$4,1)&amp;"-"&amp;$A14,CC1_InputUser!$L:$N,2,FALSE),0)</f>
        <v>0</v>
      </c>
      <c r="DK14" s="23">
        <f>IFERROR(VLOOKUP($DH$2&amp;"-"&amp; RIGHT(DK$4,1)&amp;"-"&amp;$A14,CC1_InputUser!$L:$N,2,FALSE),0)</f>
        <v>0</v>
      </c>
      <c r="DL14" s="23">
        <f>IFERROR(VLOOKUP($DH$2&amp;"-"&amp; RIGHT(DL$4,1)&amp;"-"&amp;$A14,CC1_InputUser!$L:$N,2,FALSE),0)</f>
        <v>0</v>
      </c>
      <c r="DM14" s="23">
        <f>IFERROR(VLOOKUP($DH$2&amp;"-"&amp; RIGHT(DM$4,1)&amp;"-"&amp;$A14,CC1_InputUser!$L:$N,3,FALSE),0)</f>
        <v>0</v>
      </c>
      <c r="DN14" s="23">
        <f>IFERROR(VLOOKUP($DH$2&amp;"-"&amp; RIGHT(DN$4,1)&amp;"-"&amp;$A14,CC1_InputUser!$L:$N,3,FALSE),0)</f>
        <v>0</v>
      </c>
      <c r="DO14" s="23">
        <f>IFERROR(VLOOKUP($DH$2&amp;"-"&amp; RIGHT(DO$4,1)&amp;"-"&amp;$A14,CC1_InputUser!$L:$N,3,FALSE),0)</f>
        <v>0</v>
      </c>
      <c r="DP14" s="23">
        <f>IFERROR(VLOOKUP($DH$2&amp;"-"&amp; RIGHT(DP$4,1)&amp;"-"&amp;$A14,CC1_InputUser!$L:$N,3,FALSE),0)</f>
        <v>0</v>
      </c>
      <c r="DQ14" s="23">
        <f>IFERROR(VLOOKUP($DH$2&amp;"-"&amp; RIGHT(DQ$4,1)&amp;"-"&amp;$A14,CC1_InputUser!$L:$N,3,FALSE),0)</f>
        <v>0</v>
      </c>
      <c r="DR14" s="24"/>
      <c r="DS14" s="23">
        <f>IFERROR(VLOOKUP($DS$2&amp;"-"&amp; RIGHT(DS$4,1)&amp;"-"&amp;$A14,CC1_InputUser!$L:$N,2,FALSE),0)</f>
        <v>0</v>
      </c>
      <c r="DT14" s="23">
        <f>IFERROR(VLOOKUP($DS$2&amp;"-"&amp; RIGHT(DT$4,1)&amp;"-"&amp;$A14,CC1_InputUser!$L:$N,2,FALSE),0)</f>
        <v>0</v>
      </c>
      <c r="DU14" s="23">
        <f>IFERROR(VLOOKUP($DS$2&amp;"-"&amp; RIGHT(DU$4,1)&amp;"-"&amp;$A14,CC1_InputUser!$L:$N,2,FALSE),0)</f>
        <v>0</v>
      </c>
      <c r="DV14" s="23">
        <f>IFERROR(VLOOKUP($DS$2&amp;"-"&amp; RIGHT(DV$4,1)&amp;"-"&amp;$A14,CC1_InputUser!$L:$N,2,FALSE),0)</f>
        <v>0</v>
      </c>
      <c r="DW14" s="23">
        <f>IFERROR(VLOOKUP($DS$2&amp;"-"&amp; RIGHT(DW$4,1)&amp;"-"&amp;$A14,CC1_InputUser!$L:$N,2,FALSE),0)</f>
        <v>0</v>
      </c>
      <c r="DX14" s="23">
        <f>IFERROR(VLOOKUP($DS$2&amp;"-"&amp; RIGHT(DX$4,1)&amp;"-"&amp;$A14,CC1_InputUser!$L:$N,3,FALSE),0)</f>
        <v>0</v>
      </c>
      <c r="DY14" s="23">
        <f>IFERROR(VLOOKUP($DS$2&amp;"-"&amp; RIGHT(DY$4,1)&amp;"-"&amp;$A14,CC1_InputUser!$L:$N,3,FALSE),0)</f>
        <v>0</v>
      </c>
      <c r="DZ14" s="23">
        <f>IFERROR(VLOOKUP($DS$2&amp;"-"&amp; RIGHT(DZ$4,1)&amp;"-"&amp;$A14,CC1_InputUser!$L:$N,3,FALSE),0)</f>
        <v>0</v>
      </c>
      <c r="EA14" s="23">
        <f>IFERROR(VLOOKUP($DS$2&amp;"-"&amp; RIGHT(EA$4,1)&amp;"-"&amp;$A14,CC1_InputUser!$L:$N,3,FALSE),0)</f>
        <v>0</v>
      </c>
      <c r="EB14" s="23">
        <f>IFERROR(VLOOKUP($DS$2&amp;"-"&amp; RIGHT(EB$4,1)&amp;"-"&amp;$A14,CC1_InputUser!$L:$N,3,FALSE),0)</f>
        <v>0</v>
      </c>
      <c r="EC14" s="24"/>
    </row>
    <row r="15" spans="1:133" x14ac:dyDescent="0.3">
      <c r="A15" s="75" t="s">
        <v>76</v>
      </c>
      <c r="B15" s="23">
        <f>IFERROR(VLOOKUP($B$2&amp;"-"&amp; RIGHT(B$4,1)&amp;"-"&amp;$A15,CC1_InputUser!$L:$N,2,FALSE),0)</f>
        <v>0</v>
      </c>
      <c r="C15" s="23">
        <f>IFERROR(VLOOKUP($B$2&amp;"-"&amp; RIGHT(C$4,1)&amp;"-"&amp;$A15,CC1_InputUser!$L:$N,2,FALSE),0)</f>
        <v>0</v>
      </c>
      <c r="D15" s="23">
        <f>IFERROR(VLOOKUP($B$2&amp;"-"&amp; RIGHT(D$4,1)&amp;"-"&amp;$A15,CC1_InputUser!$L:$N,2,FALSE),0)</f>
        <v>2.6122148638704878E-2</v>
      </c>
      <c r="E15" s="23">
        <f>IFERROR(VLOOKUP($B$2&amp;"-"&amp; RIGHT(E$4,1)&amp;"-"&amp;$A15,CC1_InputUser!$L:$N,2,FALSE),0)</f>
        <v>2.1179757343550598E-2</v>
      </c>
      <c r="F15" s="23">
        <f>IFERROR(VLOOKUP($B$2&amp;"-"&amp; RIGHT(F$4,1)&amp;"-"&amp;$A15,CC1_InputUser!$L:$N,2,FALSE),0)</f>
        <v>0</v>
      </c>
      <c r="G15" s="23">
        <f>IFERROR(VLOOKUP($B$2&amp;"-"&amp; RIGHT(G$4,1)&amp;"-"&amp;$A15,CC1_InputUser!$L:$N,3,FALSE),0)</f>
        <v>-2.3404899125306966E-2</v>
      </c>
      <c r="H15" s="23">
        <f>IFERROR(VLOOKUP($B$2&amp;"-"&amp; RIGHT(H$4,1)&amp;"-"&amp;$A15,CC1_InputUser!$L:$N,3,FALSE),0)</f>
        <v>-5.0067658998646847E-2</v>
      </c>
      <c r="I15" s="23">
        <f>IFERROR(VLOOKUP($B$2&amp;"-"&amp; RIGHT(I$4,1)&amp;"-"&amp;$A15,CC1_InputUser!$L:$N,3,FALSE),0)</f>
        <v>-3.9285714285713924E-3</v>
      </c>
      <c r="J15" s="23">
        <f>IFERROR(VLOOKUP($B$2&amp;"-"&amp; RIGHT(J$4,1)&amp;"-"&amp;$A15,CC1_InputUser!$L:$N,3,FALSE),0)</f>
        <v>-0.12498091425365476</v>
      </c>
      <c r="K15" s="23">
        <f>IFERROR(VLOOKUP($B$2&amp;"-"&amp; RIGHT(K$4,1)&amp;"-"&amp;$A15,CC1_InputUser!$L:$N,3,FALSE),0)</f>
        <v>0</v>
      </c>
      <c r="L15" s="24"/>
      <c r="M15" s="23">
        <f>IFERROR(VLOOKUP($M$2&amp;"-"&amp; RIGHT(M$4,1)&amp;"-"&amp;$A15,CC1_InputUser!$L:$N,2,FALSE),0)</f>
        <v>0</v>
      </c>
      <c r="N15" s="23">
        <f>IFERROR(VLOOKUP($M$2&amp;"-"&amp; RIGHT(N$4,1)&amp;"-"&amp;$A15,CC1_InputUser!$L:$N,2,FALSE),0)</f>
        <v>-1.4115067350108701E-2</v>
      </c>
      <c r="O15" s="23">
        <f>IFERROR(VLOOKUP($M$2&amp;"-"&amp; RIGHT(O$4,1)&amp;"-"&amp;$A15,CC1_InputUser!$L:$N,2,FALSE),0)</f>
        <v>0</v>
      </c>
      <c r="P15" s="23">
        <f>IFERROR(VLOOKUP($M$2&amp;"-"&amp; RIGHT(P$4,1)&amp;"-"&amp;$A15,CC1_InputUser!$L:$N,2,FALSE),0)</f>
        <v>7.1294967851639246E-2</v>
      </c>
      <c r="Q15" s="23">
        <f>IFERROR(VLOOKUP($M$2&amp;"-"&amp; RIGHT(Q$4,1)&amp;"-"&amp;$A15,CC1_InputUser!$L:$N,2,FALSE),0)</f>
        <v>8.0072463768115831E-2</v>
      </c>
      <c r="R15" s="23">
        <f>IFERROR(VLOOKUP($M$2&amp;"-"&amp; RIGHT(R$4,1)&amp;"-"&amp;$A15,CC1_InputUser!$L:$N,3,FALSE),0)</f>
        <v>-5.2356020942407877E-3</v>
      </c>
      <c r="S15" s="23">
        <f>IFERROR(VLOOKUP($M$2&amp;"-"&amp; RIGHT(S$4,1)&amp;"-"&amp;$A15,CC1_InputUser!$L:$N,3,FALSE),0)</f>
        <v>-0.41646017702597238</v>
      </c>
      <c r="T15" s="23">
        <f>IFERROR(VLOOKUP($M$2&amp;"-"&amp; RIGHT(T$4,1)&amp;"-"&amp;$A15,CC1_InputUser!$L:$N,3,FALSE),0)</f>
        <v>0</v>
      </c>
      <c r="U15" s="23">
        <f>IFERROR(VLOOKUP($M$2&amp;"-"&amp; RIGHT(U$4,1)&amp;"-"&amp;$A15,CC1_InputUser!$L:$N,3,FALSE),0)</f>
        <v>-0.1191098043784754</v>
      </c>
      <c r="V15" s="23">
        <f>IFERROR(VLOOKUP($M$2&amp;"-"&amp; RIGHT(V$4,1)&amp;"-"&amp;$A15,CC1_InputUser!$L:$N,3,FALSE),0)</f>
        <v>-3.8194481553288084E-2</v>
      </c>
      <c r="W15" s="24"/>
      <c r="X15" s="23">
        <f>IFERROR(VLOOKUP($X$2&amp;"-"&amp; RIGHT(X$4,1)&amp;"-"&amp;$A15,CC1_InputUser!$L:$N,2,FALSE),0)</f>
        <v>0</v>
      </c>
      <c r="Y15" s="23">
        <f>IFERROR(VLOOKUP($X$2&amp;"-"&amp; RIGHT(Y$4,1)&amp;"-"&amp;$A15,CC1_InputUser!$L:$N,2,FALSE),0)</f>
        <v>3.2675223122901942E-2</v>
      </c>
      <c r="Z15" s="23">
        <f>IFERROR(VLOOKUP($X$2&amp;"-"&amp; RIGHT(Z$4,1)&amp;"-"&amp;$A15,CC1_InputUser!$L:$N,2,FALSE),0)</f>
        <v>0.17958272815298937</v>
      </c>
      <c r="AA15" s="23">
        <f>IFERROR(VLOOKUP($X$2&amp;"-"&amp; RIGHT(AA$4,1)&amp;"-"&amp;$A15,CC1_InputUser!$L:$N,2,FALSE),0)</f>
        <v>3.8020544270544354E-2</v>
      </c>
      <c r="AB15" s="23">
        <f>IFERROR(VLOOKUP($X$2&amp;"-"&amp; RIGHT(AB$4,1)&amp;"-"&amp;$A15,CC1_InputUser!$L:$N,2,FALSE),0)</f>
        <v>0</v>
      </c>
      <c r="AC15" s="23">
        <f>IFERROR(VLOOKUP($X$2&amp;"-"&amp; RIGHT(AC$4,1)&amp;"-"&amp;$A15,CC1_InputUser!$L:$N,3,FALSE),0)</f>
        <v>0</v>
      </c>
      <c r="AD15" s="23">
        <f>IFERROR(VLOOKUP($X$2&amp;"-"&amp; RIGHT(AD$4,1)&amp;"-"&amp;$A15,CC1_InputUser!$L:$N,3,FALSE),0)</f>
        <v>-6.036770334376873E-2</v>
      </c>
      <c r="AE15" s="23">
        <f>IFERROR(VLOOKUP($X$2&amp;"-"&amp; RIGHT(AE$4,1)&amp;"-"&amp;$A15,CC1_InputUser!$L:$N,3,FALSE),0)</f>
        <v>-0.24564253954437187</v>
      </c>
      <c r="AF15" s="23">
        <f>IFERROR(VLOOKUP($X$2&amp;"-"&amp; RIGHT(AF$4,1)&amp;"-"&amp;$A15,CC1_InputUser!$L:$N,3,FALSE),0)</f>
        <v>-2.0428856122061356E-2</v>
      </c>
      <c r="AG15" s="23">
        <f>IFERROR(VLOOKUP($X$2&amp;"-"&amp; RIGHT(AG$4,1)&amp;"-"&amp;$A15,CC1_InputUser!$L:$N,3,FALSE),0)</f>
        <v>0</v>
      </c>
      <c r="AH15" s="24"/>
      <c r="AI15" s="23">
        <f>IFERROR(VLOOKUP($AI$2&amp;"-"&amp; RIGHT(AI$4,1)&amp;"-"&amp;$A15,CC1_InputUser!$L:$N,2,FALSE),0)</f>
        <v>5.7323408126441766E-4</v>
      </c>
      <c r="AJ15" s="23">
        <f>IFERROR(VLOOKUP($AI$2&amp;"-"&amp; RIGHT(AJ$4,1)&amp;"-"&amp;$A15,CC1_InputUser!$L:$N,2,FALSE),0)</f>
        <v>0</v>
      </c>
      <c r="AK15" s="23">
        <f>IFERROR(VLOOKUP($AI$2&amp;"-"&amp; RIGHT(AK$4,1)&amp;"-"&amp;$A15,CC1_InputUser!$L:$N,2,FALSE),0)</f>
        <v>-6.7708333333333259E-2</v>
      </c>
      <c r="AL15" s="23">
        <f>IFERROR(VLOOKUP($AI$2&amp;"-"&amp; RIGHT(AL$4,1)&amp;"-"&amp;$A15,CC1_InputUser!$L:$N,2,FALSE),0)</f>
        <v>0.16366357477662208</v>
      </c>
      <c r="AM15" s="23">
        <f>IFERROR(VLOOKUP($AI$2&amp;"-"&amp; RIGHT(AM$4,1)&amp;"-"&amp;$A15,CC1_InputUser!$L:$N,2,FALSE),0)</f>
        <v>0</v>
      </c>
      <c r="AN15" s="23">
        <f>IFERROR(VLOOKUP($AI$2&amp;"-"&amp; RIGHT(AN$4,1)&amp;"-"&amp;$A15,CC1_InputUser!$L:$N,3,FALSE),0)</f>
        <v>-0.25477806202107722</v>
      </c>
      <c r="AO15" s="23">
        <f>IFERROR(VLOOKUP($AI$2&amp;"-"&amp; RIGHT(AO$4,1)&amp;"-"&amp;$A15,CC1_InputUser!$L:$N,3,FALSE),0)</f>
        <v>0</v>
      </c>
      <c r="AP15" s="23">
        <f>IFERROR(VLOOKUP($AI$2&amp;"-"&amp; RIGHT(AP$4,1)&amp;"-"&amp;$A15,CC1_InputUser!$L:$N,3,FALSE),0)</f>
        <v>-9.520287702745367E-2</v>
      </c>
      <c r="AQ15" s="23">
        <f>IFERROR(VLOOKUP($AI$2&amp;"-"&amp; RIGHT(AQ$4,1)&amp;"-"&amp;$A15,CC1_InputUser!$L:$N,3,FALSE),0)</f>
        <v>-8.1632289970909322E-2</v>
      </c>
      <c r="AR15" s="23">
        <f>IFERROR(VLOOKUP($AI$2&amp;"-"&amp; RIGHT(AR$4,1)&amp;"-"&amp;$A15,CC1_InputUser!$L:$N,3,FALSE),0)</f>
        <v>0</v>
      </c>
      <c r="AS15" s="24"/>
      <c r="AT15" s="23">
        <f>IFERROR(VLOOKUP($AT$2&amp;"-"&amp; RIGHT(AT$4,1)&amp;"-"&amp;$A15,CC1_InputUser!$L:$N,2,FALSE),0)</f>
        <v>9.8783591837961593E-2</v>
      </c>
      <c r="AU15" s="23">
        <f>IFERROR(VLOOKUP($AT$2&amp;"-"&amp; RIGHT(AU$4,1)&amp;"-"&amp;$A15,CC1_InputUser!$L:$N,2,FALSE),0)</f>
        <v>0</v>
      </c>
      <c r="AV15" s="23">
        <f>IFERROR(VLOOKUP($AT$2&amp;"-"&amp; RIGHT(AV$4,1)&amp;"-"&amp;$A15,CC1_InputUser!$L:$N,2,FALSE),0)</f>
        <v>7.8439133262782068E-2</v>
      </c>
      <c r="AW15" s="23">
        <f>IFERROR(VLOOKUP($AT$2&amp;"-"&amp; RIGHT(AW$4,1)&amp;"-"&amp;$A15,CC1_InputUser!$L:$N,2,FALSE),0)</f>
        <v>0</v>
      </c>
      <c r="AX15" s="23">
        <f>IFERROR(VLOOKUP($AT$2&amp;"-"&amp; RIGHT(AX$4,1)&amp;"-"&amp;$A15,CC1_InputUser!$L:$N,2,FALSE),0)</f>
        <v>0.15843480634501828</v>
      </c>
      <c r="AY15" s="23">
        <f>IFERROR(VLOOKUP($AT$2&amp;"-"&amp; RIGHT(AY$4,1)&amp;"-"&amp;$A15,CC1_InputUser!$L:$N,3,FALSE),0)</f>
        <v>-6.54499055084522E-2</v>
      </c>
      <c r="AZ15" s="23">
        <f>IFERROR(VLOOKUP($AT$2&amp;"-"&amp; RIGHT(AZ$4,1)&amp;"-"&amp;$A15,CC1_InputUser!$L:$N,3,FALSE),0)</f>
        <v>0</v>
      </c>
      <c r="BA15" s="23">
        <f>IFERROR(VLOOKUP($AT$2&amp;"-"&amp; RIGHT(BA$4,1)&amp;"-"&amp;$A15,CC1_InputUser!$L:$N,3,FALSE),0)</f>
        <v>-0.15723744536218287</v>
      </c>
      <c r="BB15" s="23">
        <f>IFERROR(VLOOKUP($AT$2&amp;"-"&amp; RIGHT(BB$4,1)&amp;"-"&amp;$A15,CC1_InputUser!$L:$N,3,FALSE),0)</f>
        <v>0</v>
      </c>
      <c r="BC15" s="23">
        <f>IFERROR(VLOOKUP($AT$2&amp;"-"&amp; RIGHT(BC$4,1)&amp;"-"&amp;$A15,CC1_InputUser!$L:$N,3,FALSE),0)</f>
        <v>-7.8928658970187637E-2</v>
      </c>
      <c r="BD15" s="24"/>
      <c r="BE15" s="23">
        <f>IFERROR(VLOOKUP($AT$2&amp;"-"&amp; RIGHT(BE$4,1)&amp;"-"&amp;$A15,CC1_InputUser!$L:$N,2,FALSE),0)</f>
        <v>9.8783591837961593E-2</v>
      </c>
      <c r="BF15" s="23">
        <f>IFERROR(VLOOKUP($AT$2&amp;"-"&amp; RIGHT(BF$4,1)&amp;"-"&amp;$A15,CC1_InputUser!$L:$N,2,FALSE),0)</f>
        <v>0</v>
      </c>
      <c r="BG15" s="23">
        <f>IFERROR(VLOOKUP($AT$2&amp;"-"&amp; RIGHT(BG$4,1)&amp;"-"&amp;$A15,CC1_InputUser!$L:$N,2,FALSE),0)</f>
        <v>7.8439133262782068E-2</v>
      </c>
      <c r="BH15" s="23">
        <f>IFERROR(VLOOKUP($AT$2&amp;"-"&amp; RIGHT(BH$4,1)&amp;"-"&amp;$A15,CC1_InputUser!$L:$N,2,FALSE),0)</f>
        <v>0</v>
      </c>
      <c r="BI15" s="23">
        <f>IFERROR(VLOOKUP($AT$2&amp;"-"&amp; RIGHT(BI$4,1)&amp;"-"&amp;$A15,CC1_InputUser!$L:$N,2,FALSE),0)</f>
        <v>0.15843480634501828</v>
      </c>
      <c r="BJ15" s="23">
        <f>IFERROR(VLOOKUP($AT$2&amp;"-"&amp; RIGHT(BJ$4,1)&amp;"-"&amp;$A15,CC1_InputUser!$L:$N,3,FALSE),0)</f>
        <v>-6.54499055084522E-2</v>
      </c>
      <c r="BK15" s="23">
        <f>IFERROR(VLOOKUP($AT$2&amp;"-"&amp; RIGHT(BK$4,1)&amp;"-"&amp;$A15,CC1_InputUser!$L:$N,3,FALSE),0)</f>
        <v>0</v>
      </c>
      <c r="BL15" s="23">
        <f>IFERROR(VLOOKUP($AT$2&amp;"-"&amp; RIGHT(BL$4,1)&amp;"-"&amp;$A15,CC1_InputUser!$L:$N,3,FALSE),0)</f>
        <v>-0.15723744536218287</v>
      </c>
      <c r="BM15" s="23">
        <f>IFERROR(VLOOKUP($AT$2&amp;"-"&amp; RIGHT(BM$4,1)&amp;"-"&amp;$A15,CC1_InputUser!$L:$N,3,FALSE),0)</f>
        <v>0</v>
      </c>
      <c r="BN15" s="23">
        <f>IFERROR(VLOOKUP($AT$2&amp;"-"&amp; RIGHT(BN$4,1)&amp;"-"&amp;$A15,CC1_InputUser!$L:$N,3,FALSE),0)</f>
        <v>-7.8928658970187637E-2</v>
      </c>
      <c r="BO15" s="24"/>
      <c r="BP15" s="23">
        <f>IFERROR(VLOOKUP($BP$2&amp;"-"&amp; RIGHT(BP$4,1)&amp;"-"&amp;$A15,CC1_InputUser!$L:$N,2,FALSE),0)</f>
        <v>-0.26058357970999091</v>
      </c>
      <c r="BQ15" s="23">
        <f>IFERROR(VLOOKUP($BP$2&amp;"-"&amp; RIGHT(BQ$4,1)&amp;"-"&amp;$A15,CC1_InputUser!$L:$N,2,FALSE),0)</f>
        <v>-0.5384998016377488</v>
      </c>
      <c r="BR15" s="23">
        <f>IFERROR(VLOOKUP($BP$2&amp;"-"&amp; RIGHT(BR$4,1)&amp;"-"&amp;$A15,CC1_InputUser!$L:$N,2,FALSE),0)</f>
        <v>-2.6506024096385583E-2</v>
      </c>
      <c r="BS15" s="23">
        <f>IFERROR(VLOOKUP($BP$2&amp;"-"&amp; RIGHT(BS$4,1)&amp;"-"&amp;$A15,CC1_InputUser!$L:$N,2,FALSE),0)</f>
        <v>0</v>
      </c>
      <c r="BT15" s="23">
        <f>IFERROR(VLOOKUP($BP$2&amp;"-"&amp; RIGHT(BT$4,1)&amp;"-"&amp;$A15,CC1_InputUser!$L:$N,2,FALSE),0)</f>
        <v>0</v>
      </c>
      <c r="BU15" s="23">
        <f>IFERROR(VLOOKUP($BP$2&amp;"-"&amp; RIGHT(BU$4,1)&amp;"-"&amp;$A15,CC1_InputUser!$L:$N,3,FALSE),0)</f>
        <v>-0.28514631014536751</v>
      </c>
      <c r="BV15" s="23">
        <f>IFERROR(VLOOKUP($BP$2&amp;"-"&amp; RIGHT(BV$4,1)&amp;"-"&amp;$A15,CC1_InputUser!$L:$N,3,FALSE),0)</f>
        <v>-0.5334436682982403</v>
      </c>
      <c r="BW15" s="23">
        <f>IFERROR(VLOOKUP($BP$2&amp;"-"&amp; RIGHT(BW$4,1)&amp;"-"&amp;$A15,CC1_InputUser!$L:$N,3,FALSE),0)</f>
        <v>-4.8776884114051233E-2</v>
      </c>
      <c r="BX15" s="23">
        <f>IFERROR(VLOOKUP($BP$2&amp;"-"&amp; RIGHT(BX$4,1)&amp;"-"&amp;$A15,CC1_InputUser!$L:$N,3,FALSE),0)</f>
        <v>0</v>
      </c>
      <c r="BY15" s="23">
        <f>IFERROR(VLOOKUP($BP$2&amp;"-"&amp; RIGHT(BY$4,1)&amp;"-"&amp;$A15,CC1_InputUser!$L:$N,3,FALSE),0)</f>
        <v>0</v>
      </c>
      <c r="BZ15" s="24"/>
      <c r="CA15" s="23">
        <f>IFERROR(VLOOKUP($CA$2&amp;"-"&amp; RIGHT(CA$4,1)&amp;"-"&amp;$A15,CC1_InputUser!$L:$N,2,FALSE),0)</f>
        <v>0</v>
      </c>
      <c r="CB15" s="23">
        <f>IFERROR(VLOOKUP($CA$2&amp;"-"&amp; RIGHT(CB$4,1)&amp;"-"&amp;$A15,CC1_InputUser!$L:$N,2,FALSE),0)</f>
        <v>0</v>
      </c>
      <c r="CC15" s="23">
        <f>IFERROR(VLOOKUP($CA$2&amp;"-"&amp; RIGHT(CC$4,1)&amp;"-"&amp;$A15,CC1_InputUser!$L:$N,2,FALSE),0)</f>
        <v>0</v>
      </c>
      <c r="CD15" s="23">
        <f>IFERROR(VLOOKUP($CA$2&amp;"-"&amp; RIGHT(CD$4,1)&amp;"-"&amp;$A15,CC1_InputUser!$L:$N,2,FALSE),0)</f>
        <v>0</v>
      </c>
      <c r="CE15" s="23">
        <f>IFERROR(VLOOKUP($CA$2&amp;"-"&amp; RIGHT(CE$4,1)&amp;"-"&amp;$A15,CC1_InputUser!$L:$N,2,FALSE),0)</f>
        <v>0</v>
      </c>
      <c r="CF15" s="23">
        <f>IFERROR(VLOOKUP($CA$2&amp;"-"&amp; RIGHT(CF$4,1)&amp;"-"&amp;$A15,CC1_InputUser!$L:$N,3,FALSE),0)</f>
        <v>-3.4001648222618308E-2</v>
      </c>
      <c r="CG15" s="23">
        <f>IFERROR(VLOOKUP($CA$2&amp;"-"&amp; RIGHT(CG$4,1)&amp;"-"&amp;$A15,CC1_InputUser!$L:$N,3,FALSE),0)</f>
        <v>0</v>
      </c>
      <c r="CH15" s="23">
        <f>IFERROR(VLOOKUP($CA$2&amp;"-"&amp; RIGHT(CH$4,1)&amp;"-"&amp;$A15,CC1_InputUser!$L:$N,3,FALSE),0)</f>
        <v>0</v>
      </c>
      <c r="CI15" s="23">
        <f>IFERROR(VLOOKUP($CA$2&amp;"-"&amp; RIGHT(CI$4,1)&amp;"-"&amp;$A15,CC1_InputUser!$L:$N,3,FALSE),0)</f>
        <v>0</v>
      </c>
      <c r="CJ15" s="23">
        <f>IFERROR(VLOOKUP($CA$2&amp;"-"&amp; RIGHT(CJ$4,1)&amp;"-"&amp;$A15,CC1_InputUser!$L:$N,3,FALSE),0)</f>
        <v>0</v>
      </c>
      <c r="CK15" s="24"/>
      <c r="CL15" s="23">
        <f>IFERROR(VLOOKUP($CL$2&amp;"-"&amp; RIGHT(CL$4,1)&amp;"-"&amp;$A15,CC1_InputUser!$L:$N,2,FALSE),0)</f>
        <v>0</v>
      </c>
      <c r="CM15" s="23">
        <f>IFERROR(VLOOKUP($CL$2&amp;"-"&amp; RIGHT(CM$4,1)&amp;"-"&amp;$A15,CC1_InputUser!$L:$N,2,FALSE),0)</f>
        <v>0</v>
      </c>
      <c r="CN15" s="23">
        <f>IFERROR(VLOOKUP($CL$2&amp;"-"&amp; RIGHT(CN$4,1)&amp;"-"&amp;$A15,CC1_InputUser!$L:$N,2,FALSE),0)</f>
        <v>0</v>
      </c>
      <c r="CO15" s="23">
        <f>IFERROR(VLOOKUP($CL$2&amp;"-"&amp; RIGHT(CO$4,1)&amp;"-"&amp;$A15,CC1_InputUser!$L:$N,2,FALSE),0)</f>
        <v>0</v>
      </c>
      <c r="CP15" s="23">
        <f>IFERROR(VLOOKUP($CL$2&amp;"-"&amp; RIGHT(CP$4,1)&amp;"-"&amp;$A15,CC1_InputUser!$L:$N,2,FALSE),0)</f>
        <v>0</v>
      </c>
      <c r="CQ15" s="23">
        <f>IFERROR(VLOOKUP($CL$2&amp;"-"&amp; RIGHT(CQ$4,1)&amp;"-"&amp;$A15,CC1_InputUser!$L:$N,3,FALSE),0)</f>
        <v>0</v>
      </c>
      <c r="CR15" s="23">
        <f>IFERROR(VLOOKUP($CL$2&amp;"-"&amp; RIGHT(CR$4,1)&amp;"-"&amp;$A15,CC1_InputUser!$L:$N,3,FALSE),0)</f>
        <v>0</v>
      </c>
      <c r="CS15" s="23">
        <f>IFERROR(VLOOKUP($CL$2&amp;"-"&amp; RIGHT(CS$4,1)&amp;"-"&amp;$A15,CC1_InputUser!$L:$N,3,FALSE),0)</f>
        <v>0</v>
      </c>
      <c r="CT15" s="23">
        <f>IFERROR(VLOOKUP($CL$2&amp;"-"&amp; RIGHT(CT$4,1)&amp;"-"&amp;$A15,CC1_InputUser!$L:$N,3,FALSE),0)</f>
        <v>0</v>
      </c>
      <c r="CU15" s="23">
        <f>IFERROR(VLOOKUP($CL$2&amp;"-"&amp; RIGHT(CU$4,1)&amp;"-"&amp;$A15,CC1_InputUser!$L:$N,3,FALSE),0)</f>
        <v>0</v>
      </c>
      <c r="CV15" s="24"/>
      <c r="CW15" s="23">
        <f>IFERROR(VLOOKUP($CW$2&amp;"-"&amp; RIGHT(CW$4,1)&amp;"-"&amp;$A15,CC1_InputUser!$L:$N,2,FALSE),0)</f>
        <v>0</v>
      </c>
      <c r="CX15" s="23">
        <f>IFERROR(VLOOKUP($CW$2&amp;"-"&amp; RIGHT(CX$4,1)&amp;"-"&amp;$A15,CC1_InputUser!$L:$N,2,FALSE),0)</f>
        <v>0</v>
      </c>
      <c r="CY15" s="23">
        <f>IFERROR(VLOOKUP($CW$2&amp;"-"&amp; RIGHT(CY$4,1)&amp;"-"&amp;$A15,CC1_InputUser!$L:$N,2,FALSE),0)</f>
        <v>0</v>
      </c>
      <c r="CZ15" s="23">
        <f>IFERROR(VLOOKUP($CW$2&amp;"-"&amp; RIGHT(CZ$4,1)&amp;"-"&amp;$A15,CC1_InputUser!$L:$N,2,FALSE),0)</f>
        <v>0</v>
      </c>
      <c r="DA15" s="23">
        <f>IFERROR(VLOOKUP($CW$2&amp;"-"&amp; RIGHT(DA$4,1)&amp;"-"&amp;$A15,CC1_InputUser!$L:$N,2,FALSE),0)</f>
        <v>0</v>
      </c>
      <c r="DB15" s="23">
        <f>IFERROR(VLOOKUP($CW$2&amp;"-"&amp; RIGHT(DB$4,1)&amp;"-"&amp;$A15,CC1_InputUser!$L:$N,3,FALSE),0)</f>
        <v>0</v>
      </c>
      <c r="DC15" s="23">
        <f>IFERROR(VLOOKUP($CW$2&amp;"-"&amp; RIGHT(DC$4,1)&amp;"-"&amp;$A15,CC1_InputUser!$L:$N,3,FALSE),0)</f>
        <v>0</v>
      </c>
      <c r="DD15" s="23">
        <f>IFERROR(VLOOKUP($CW$2&amp;"-"&amp; RIGHT(DD$4,1)&amp;"-"&amp;$A15,CC1_InputUser!$L:$N,3,FALSE),0)</f>
        <v>0</v>
      </c>
      <c r="DE15" s="23">
        <f>IFERROR(VLOOKUP($CW$2&amp;"-"&amp; RIGHT(DE$4,1)&amp;"-"&amp;$A15,CC1_InputUser!$L:$N,3,FALSE),0)</f>
        <v>0</v>
      </c>
      <c r="DF15" s="23">
        <f>IFERROR(VLOOKUP($CW$2&amp;"-"&amp; RIGHT(DF$4,1)&amp;"-"&amp;$A15,CC1_InputUser!$L:$N,3,FALSE),0)</f>
        <v>0</v>
      </c>
      <c r="DG15" s="24"/>
      <c r="DH15" s="23">
        <f>IFERROR(VLOOKUP($DH$2&amp;"-"&amp; RIGHT(DH$4,1)&amp;"-"&amp;$A15,CC1_InputUser!$L:$N,2,FALSE),0)</f>
        <v>0</v>
      </c>
      <c r="DI15" s="23">
        <f>IFERROR(VLOOKUP($DH$2&amp;"-"&amp; RIGHT(DI$4,1)&amp;"-"&amp;$A15,CC1_InputUser!$L:$N,2,FALSE),0)</f>
        <v>0</v>
      </c>
      <c r="DJ15" s="23">
        <f>IFERROR(VLOOKUP($DH$2&amp;"-"&amp; RIGHT(DJ$4,1)&amp;"-"&amp;$A15,CC1_InputUser!$L:$N,2,FALSE),0)</f>
        <v>0</v>
      </c>
      <c r="DK15" s="23">
        <f>IFERROR(VLOOKUP($DH$2&amp;"-"&amp; RIGHT(DK$4,1)&amp;"-"&amp;$A15,CC1_InputUser!$L:$N,2,FALSE),0)</f>
        <v>0</v>
      </c>
      <c r="DL15" s="23">
        <f>IFERROR(VLOOKUP($DH$2&amp;"-"&amp; RIGHT(DL$4,1)&amp;"-"&amp;$A15,CC1_InputUser!$L:$N,2,FALSE),0)</f>
        <v>0</v>
      </c>
      <c r="DM15" s="23">
        <f>IFERROR(VLOOKUP($DH$2&amp;"-"&amp; RIGHT(DM$4,1)&amp;"-"&amp;$A15,CC1_InputUser!$L:$N,3,FALSE),0)</f>
        <v>0</v>
      </c>
      <c r="DN15" s="23">
        <f>IFERROR(VLOOKUP($DH$2&amp;"-"&amp; RIGHT(DN$4,1)&amp;"-"&amp;$A15,CC1_InputUser!$L:$N,3,FALSE),0)</f>
        <v>0</v>
      </c>
      <c r="DO15" s="23">
        <f>IFERROR(VLOOKUP($DH$2&amp;"-"&amp; RIGHT(DO$4,1)&amp;"-"&amp;$A15,CC1_InputUser!$L:$N,3,FALSE),0)</f>
        <v>0</v>
      </c>
      <c r="DP15" s="23">
        <f>IFERROR(VLOOKUP($DH$2&amp;"-"&amp; RIGHT(DP$4,1)&amp;"-"&amp;$A15,CC1_InputUser!$L:$N,3,FALSE),0)</f>
        <v>0</v>
      </c>
      <c r="DQ15" s="23">
        <f>IFERROR(VLOOKUP($DH$2&amp;"-"&amp; RIGHT(DQ$4,1)&amp;"-"&amp;$A15,CC1_InputUser!$L:$N,3,FALSE),0)</f>
        <v>0</v>
      </c>
      <c r="DR15" s="24"/>
      <c r="DS15" s="23">
        <f>IFERROR(VLOOKUP($DS$2&amp;"-"&amp; RIGHT(DS$4,1)&amp;"-"&amp;$A15,CC1_InputUser!$L:$N,2,FALSE),0)</f>
        <v>0</v>
      </c>
      <c r="DT15" s="23">
        <f>IFERROR(VLOOKUP($DS$2&amp;"-"&amp; RIGHT(DT$4,1)&amp;"-"&amp;$A15,CC1_InputUser!$L:$N,2,FALSE),0)</f>
        <v>0</v>
      </c>
      <c r="DU15" s="23">
        <f>IFERROR(VLOOKUP($DS$2&amp;"-"&amp; RIGHT(DU$4,1)&amp;"-"&amp;$A15,CC1_InputUser!$L:$N,2,FALSE),0)</f>
        <v>0</v>
      </c>
      <c r="DV15" s="23">
        <f>IFERROR(VLOOKUP($DS$2&amp;"-"&amp; RIGHT(DV$4,1)&amp;"-"&amp;$A15,CC1_InputUser!$L:$N,2,FALSE),0)</f>
        <v>0</v>
      </c>
      <c r="DW15" s="23">
        <f>IFERROR(VLOOKUP($DS$2&amp;"-"&amp; RIGHT(DW$4,1)&amp;"-"&amp;$A15,CC1_InputUser!$L:$N,2,FALSE),0)</f>
        <v>0</v>
      </c>
      <c r="DX15" s="23">
        <f>IFERROR(VLOOKUP($DS$2&amp;"-"&amp; RIGHT(DX$4,1)&amp;"-"&amp;$A15,CC1_InputUser!$L:$N,3,FALSE),0)</f>
        <v>0</v>
      </c>
      <c r="DY15" s="23">
        <f>IFERROR(VLOOKUP($DS$2&amp;"-"&amp; RIGHT(DY$4,1)&amp;"-"&amp;$A15,CC1_InputUser!$L:$N,3,FALSE),0)</f>
        <v>0</v>
      </c>
      <c r="DZ15" s="23">
        <f>IFERROR(VLOOKUP($DS$2&amp;"-"&amp; RIGHT(DZ$4,1)&amp;"-"&amp;$A15,CC1_InputUser!$L:$N,3,FALSE),0)</f>
        <v>0</v>
      </c>
      <c r="EA15" s="23">
        <f>IFERROR(VLOOKUP($DS$2&amp;"-"&amp; RIGHT(EA$4,1)&amp;"-"&amp;$A15,CC1_InputUser!$L:$N,3,FALSE),0)</f>
        <v>0</v>
      </c>
      <c r="EB15" s="23">
        <f>IFERROR(VLOOKUP($DS$2&amp;"-"&amp; RIGHT(EB$4,1)&amp;"-"&amp;$A15,CC1_InputUser!$L:$N,3,FALSE),0)</f>
        <v>0</v>
      </c>
      <c r="EC15" s="24"/>
    </row>
    <row r="16" spans="1:133" x14ac:dyDescent="0.3">
      <c r="A16" s="74" t="s">
        <v>77</v>
      </c>
      <c r="B16" s="23">
        <f>IFERROR(VLOOKUP($B$2&amp;"-"&amp; RIGHT(B$4,1)&amp;"-"&amp;$A16,CC1_InputUser!$L:$N,2,FALSE),0)</f>
        <v>0</v>
      </c>
      <c r="C16" s="23">
        <f>IFERROR(VLOOKUP($B$2&amp;"-"&amp; RIGHT(C$4,1)&amp;"-"&amp;$A16,CC1_InputUser!$L:$N,2,FALSE),0)</f>
        <v>0</v>
      </c>
      <c r="D16" s="23">
        <f>IFERROR(VLOOKUP($B$2&amp;"-"&amp; RIGHT(D$4,1)&amp;"-"&amp;$A16,CC1_InputUser!$L:$N,2,FALSE),0)</f>
        <v>0</v>
      </c>
      <c r="E16" s="23">
        <f>IFERROR(VLOOKUP($B$2&amp;"-"&amp; RIGHT(E$4,1)&amp;"-"&amp;$A16,CC1_InputUser!$L:$N,2,FALSE),0)</f>
        <v>0</v>
      </c>
      <c r="F16" s="23">
        <f>IFERROR(VLOOKUP($B$2&amp;"-"&amp; RIGHT(F$4,1)&amp;"-"&amp;$A16,CC1_InputUser!$L:$N,2,FALSE),0)</f>
        <v>0</v>
      </c>
      <c r="G16" s="23">
        <f>IFERROR(VLOOKUP($B$2&amp;"-"&amp; RIGHT(G$4,1)&amp;"-"&amp;$A16,CC1_InputUser!$L:$N,3,FALSE),0)</f>
        <v>0</v>
      </c>
      <c r="H16" s="23">
        <f>IFERROR(VLOOKUP($B$2&amp;"-"&amp; RIGHT(H$4,1)&amp;"-"&amp;$A16,CC1_InputUser!$L:$N,3,FALSE),0)</f>
        <v>0</v>
      </c>
      <c r="I16" s="23">
        <f>IFERROR(VLOOKUP($B$2&amp;"-"&amp; RIGHT(I$4,1)&amp;"-"&amp;$A16,CC1_InputUser!$L:$N,3,FALSE),0)</f>
        <v>0</v>
      </c>
      <c r="J16" s="23">
        <f>IFERROR(VLOOKUP($B$2&amp;"-"&amp; RIGHT(J$4,1)&amp;"-"&amp;$A16,CC1_InputUser!$L:$N,3,FALSE),0)</f>
        <v>0</v>
      </c>
      <c r="K16" s="23">
        <f>IFERROR(VLOOKUP($B$2&amp;"-"&amp; RIGHT(K$4,1)&amp;"-"&amp;$A16,CC1_InputUser!$L:$N,3,FALSE),0)</f>
        <v>0</v>
      </c>
      <c r="L16" s="24"/>
      <c r="M16" s="23">
        <f>IFERROR(VLOOKUP($M$2&amp;"-"&amp; RIGHT(M$4,1)&amp;"-"&amp;$A16,CC1_InputUser!$L:$N,2,FALSE),0)</f>
        <v>0</v>
      </c>
      <c r="N16" s="23">
        <f>IFERROR(VLOOKUP($M$2&amp;"-"&amp; RIGHT(N$4,1)&amp;"-"&amp;$A16,CC1_InputUser!$L:$N,2,FALSE),0)</f>
        <v>0</v>
      </c>
      <c r="O16" s="23">
        <f>IFERROR(VLOOKUP($M$2&amp;"-"&amp; RIGHT(O$4,1)&amp;"-"&amp;$A16,CC1_InputUser!$L:$N,2,FALSE),0)</f>
        <v>0</v>
      </c>
      <c r="P16" s="23">
        <f>IFERROR(VLOOKUP($M$2&amp;"-"&amp; RIGHT(P$4,1)&amp;"-"&amp;$A16,CC1_InputUser!$L:$N,2,FALSE),0)</f>
        <v>0</v>
      </c>
      <c r="Q16" s="23">
        <f>IFERROR(VLOOKUP($M$2&amp;"-"&amp; RIGHT(Q$4,1)&amp;"-"&amp;$A16,CC1_InputUser!$L:$N,2,FALSE),0)</f>
        <v>0</v>
      </c>
      <c r="R16" s="23">
        <f>IFERROR(VLOOKUP($M$2&amp;"-"&amp; RIGHT(R$4,1)&amp;"-"&amp;$A16,CC1_InputUser!$L:$N,3,FALSE),0)</f>
        <v>0</v>
      </c>
      <c r="S16" s="23">
        <f>IFERROR(VLOOKUP($M$2&amp;"-"&amp; RIGHT(S$4,1)&amp;"-"&amp;$A16,CC1_InputUser!$L:$N,3,FALSE),0)</f>
        <v>0</v>
      </c>
      <c r="T16" s="23">
        <f>IFERROR(VLOOKUP($M$2&amp;"-"&amp; RIGHT(T$4,1)&amp;"-"&amp;$A16,CC1_InputUser!$L:$N,3,FALSE),0)</f>
        <v>0</v>
      </c>
      <c r="U16" s="23">
        <f>IFERROR(VLOOKUP($M$2&amp;"-"&amp; RIGHT(U$4,1)&amp;"-"&amp;$A16,CC1_InputUser!$L:$N,3,FALSE),0)</f>
        <v>0</v>
      </c>
      <c r="V16" s="23">
        <f>IFERROR(VLOOKUP($M$2&amp;"-"&amp; RIGHT(V$4,1)&amp;"-"&amp;$A16,CC1_InputUser!$L:$N,3,FALSE),0)</f>
        <v>0</v>
      </c>
      <c r="W16" s="24"/>
      <c r="X16" s="23">
        <f>IFERROR(VLOOKUP($X$2&amp;"-"&amp; RIGHT(X$4,1)&amp;"-"&amp;$A16,CC1_InputUser!$L:$N,2,FALSE),0)</f>
        <v>0</v>
      </c>
      <c r="Y16" s="23">
        <f>IFERROR(VLOOKUP($X$2&amp;"-"&amp; RIGHT(Y$4,1)&amp;"-"&amp;$A16,CC1_InputUser!$L:$N,2,FALSE),0)</f>
        <v>0</v>
      </c>
      <c r="Z16" s="23">
        <f>IFERROR(VLOOKUP($X$2&amp;"-"&amp; RIGHT(Z$4,1)&amp;"-"&amp;$A16,CC1_InputUser!$L:$N,2,FALSE),0)</f>
        <v>0</v>
      </c>
      <c r="AA16" s="23">
        <f>IFERROR(VLOOKUP($X$2&amp;"-"&amp; RIGHT(AA$4,1)&amp;"-"&amp;$A16,CC1_InputUser!$L:$N,2,FALSE),0)</f>
        <v>0</v>
      </c>
      <c r="AB16" s="23">
        <f>IFERROR(VLOOKUP($X$2&amp;"-"&amp; RIGHT(AB$4,1)&amp;"-"&amp;$A16,CC1_InputUser!$L:$N,2,FALSE),0)</f>
        <v>0</v>
      </c>
      <c r="AC16" s="23">
        <f>IFERROR(VLOOKUP($X$2&amp;"-"&amp; RIGHT(AC$4,1)&amp;"-"&amp;$A16,CC1_InputUser!$L:$N,3,FALSE),0)</f>
        <v>0</v>
      </c>
      <c r="AD16" s="23">
        <f>IFERROR(VLOOKUP($X$2&amp;"-"&amp; RIGHT(AD$4,1)&amp;"-"&amp;$A16,CC1_InputUser!$L:$N,3,FALSE),0)</f>
        <v>0</v>
      </c>
      <c r="AE16" s="23">
        <f>IFERROR(VLOOKUP($X$2&amp;"-"&amp; RIGHT(AE$4,1)&amp;"-"&amp;$A16,CC1_InputUser!$L:$N,3,FALSE),0)</f>
        <v>0</v>
      </c>
      <c r="AF16" s="23">
        <f>IFERROR(VLOOKUP($X$2&amp;"-"&amp; RIGHT(AF$4,1)&amp;"-"&amp;$A16,CC1_InputUser!$L:$N,3,FALSE),0)</f>
        <v>0</v>
      </c>
      <c r="AG16" s="23">
        <f>IFERROR(VLOOKUP($X$2&amp;"-"&amp; RIGHT(AG$4,1)&amp;"-"&amp;$A16,CC1_InputUser!$L:$N,3,FALSE),0)</f>
        <v>0</v>
      </c>
      <c r="AH16" s="24"/>
      <c r="AI16" s="23">
        <f>IFERROR(VLOOKUP($AI$2&amp;"-"&amp; RIGHT(AI$4,1)&amp;"-"&amp;$A16,CC1_InputUser!$L:$N,2,FALSE),0)</f>
        <v>0</v>
      </c>
      <c r="AJ16" s="23">
        <f>IFERROR(VLOOKUP($AI$2&amp;"-"&amp; RIGHT(AJ$4,1)&amp;"-"&amp;$A16,CC1_InputUser!$L:$N,2,FALSE),0)</f>
        <v>0</v>
      </c>
      <c r="AK16" s="23">
        <f>IFERROR(VLOOKUP($AI$2&amp;"-"&amp; RIGHT(AK$4,1)&amp;"-"&amp;$A16,CC1_InputUser!$L:$N,2,FALSE),0)</f>
        <v>0</v>
      </c>
      <c r="AL16" s="23">
        <f>IFERROR(VLOOKUP($AI$2&amp;"-"&amp; RIGHT(AL$4,1)&amp;"-"&amp;$A16,CC1_InputUser!$L:$N,2,FALSE),0)</f>
        <v>0</v>
      </c>
      <c r="AM16" s="23">
        <f>IFERROR(VLOOKUP($AI$2&amp;"-"&amp; RIGHT(AM$4,1)&amp;"-"&amp;$A16,CC1_InputUser!$L:$N,2,FALSE),0)</f>
        <v>0</v>
      </c>
      <c r="AN16" s="23">
        <f>IFERROR(VLOOKUP($AI$2&amp;"-"&amp; RIGHT(AN$4,1)&amp;"-"&amp;$A16,CC1_InputUser!$L:$N,3,FALSE),0)</f>
        <v>0</v>
      </c>
      <c r="AO16" s="23">
        <f>IFERROR(VLOOKUP($AI$2&amp;"-"&amp; RIGHT(AO$4,1)&amp;"-"&amp;$A16,CC1_InputUser!$L:$N,3,FALSE),0)</f>
        <v>0</v>
      </c>
      <c r="AP16" s="23">
        <f>IFERROR(VLOOKUP($AI$2&amp;"-"&amp; RIGHT(AP$4,1)&amp;"-"&amp;$A16,CC1_InputUser!$L:$N,3,FALSE),0)</f>
        <v>0</v>
      </c>
      <c r="AQ16" s="23">
        <f>IFERROR(VLOOKUP($AI$2&amp;"-"&amp; RIGHT(AQ$4,1)&amp;"-"&amp;$A16,CC1_InputUser!$L:$N,3,FALSE),0)</f>
        <v>0</v>
      </c>
      <c r="AR16" s="23">
        <f>IFERROR(VLOOKUP($AI$2&amp;"-"&amp; RIGHT(AR$4,1)&amp;"-"&amp;$A16,CC1_InputUser!$L:$N,3,FALSE),0)</f>
        <v>0</v>
      </c>
      <c r="AS16" s="24"/>
      <c r="AT16" s="23">
        <f>IFERROR(VLOOKUP($AT$2&amp;"-"&amp; RIGHT(AT$4,1)&amp;"-"&amp;$A16,CC1_InputUser!$L:$N,2,FALSE),0)</f>
        <v>0</v>
      </c>
      <c r="AU16" s="23">
        <f>IFERROR(VLOOKUP($AT$2&amp;"-"&amp; RIGHT(AU$4,1)&amp;"-"&amp;$A16,CC1_InputUser!$L:$N,2,FALSE),0)</f>
        <v>0</v>
      </c>
      <c r="AV16" s="23">
        <f>IFERROR(VLOOKUP($AT$2&amp;"-"&amp; RIGHT(AV$4,1)&amp;"-"&amp;$A16,CC1_InputUser!$L:$N,2,FALSE),0)</f>
        <v>0</v>
      </c>
      <c r="AW16" s="23">
        <f>IFERROR(VLOOKUP($AT$2&amp;"-"&amp; RIGHT(AW$4,1)&amp;"-"&amp;$A16,CC1_InputUser!$L:$N,2,FALSE),0)</f>
        <v>0</v>
      </c>
      <c r="AX16" s="23">
        <f>IFERROR(VLOOKUP($AT$2&amp;"-"&amp; RIGHT(AX$4,1)&amp;"-"&amp;$A16,CC1_InputUser!$L:$N,2,FALSE),0)</f>
        <v>0</v>
      </c>
      <c r="AY16" s="23">
        <f>IFERROR(VLOOKUP($AT$2&amp;"-"&amp; RIGHT(AY$4,1)&amp;"-"&amp;$A16,CC1_InputUser!$L:$N,3,FALSE),0)</f>
        <v>0</v>
      </c>
      <c r="AZ16" s="23">
        <f>IFERROR(VLOOKUP($AT$2&amp;"-"&amp; RIGHT(AZ$4,1)&amp;"-"&amp;$A16,CC1_InputUser!$L:$N,3,FALSE),0)</f>
        <v>0</v>
      </c>
      <c r="BA16" s="23">
        <f>IFERROR(VLOOKUP($AT$2&amp;"-"&amp; RIGHT(BA$4,1)&amp;"-"&amp;$A16,CC1_InputUser!$L:$N,3,FALSE),0)</f>
        <v>0</v>
      </c>
      <c r="BB16" s="23">
        <f>IFERROR(VLOOKUP($AT$2&amp;"-"&amp; RIGHT(BB$4,1)&amp;"-"&amp;$A16,CC1_InputUser!$L:$N,3,FALSE),0)</f>
        <v>0</v>
      </c>
      <c r="BC16" s="23">
        <f>IFERROR(VLOOKUP($AT$2&amp;"-"&amp; RIGHT(BC$4,1)&amp;"-"&amp;$A16,CC1_InputUser!$L:$N,3,FALSE),0)</f>
        <v>0</v>
      </c>
      <c r="BD16" s="24"/>
      <c r="BE16" s="23">
        <f>IFERROR(VLOOKUP($AT$2&amp;"-"&amp; RIGHT(BE$4,1)&amp;"-"&amp;$A16,CC1_InputUser!$L:$N,2,FALSE),0)</f>
        <v>0</v>
      </c>
      <c r="BF16" s="23">
        <f>IFERROR(VLOOKUP($AT$2&amp;"-"&amp; RIGHT(BF$4,1)&amp;"-"&amp;$A16,CC1_InputUser!$L:$N,2,FALSE),0)</f>
        <v>0</v>
      </c>
      <c r="BG16" s="23">
        <f>IFERROR(VLOOKUP($AT$2&amp;"-"&amp; RIGHT(BG$4,1)&amp;"-"&amp;$A16,CC1_InputUser!$L:$N,2,FALSE),0)</f>
        <v>0</v>
      </c>
      <c r="BH16" s="23">
        <f>IFERROR(VLOOKUP($AT$2&amp;"-"&amp; RIGHT(BH$4,1)&amp;"-"&amp;$A16,CC1_InputUser!$L:$N,2,FALSE),0)</f>
        <v>0</v>
      </c>
      <c r="BI16" s="23">
        <f>IFERROR(VLOOKUP($AT$2&amp;"-"&amp; RIGHT(BI$4,1)&amp;"-"&amp;$A16,CC1_InputUser!$L:$N,2,FALSE),0)</f>
        <v>0</v>
      </c>
      <c r="BJ16" s="23">
        <f>IFERROR(VLOOKUP($AT$2&amp;"-"&amp; RIGHT(BJ$4,1)&amp;"-"&amp;$A16,CC1_InputUser!$L:$N,3,FALSE),0)</f>
        <v>0</v>
      </c>
      <c r="BK16" s="23">
        <f>IFERROR(VLOOKUP($AT$2&amp;"-"&amp; RIGHT(BK$4,1)&amp;"-"&amp;$A16,CC1_InputUser!$L:$N,3,FALSE),0)</f>
        <v>0</v>
      </c>
      <c r="BL16" s="23">
        <f>IFERROR(VLOOKUP($AT$2&amp;"-"&amp; RIGHT(BL$4,1)&amp;"-"&amp;$A16,CC1_InputUser!$L:$N,3,FALSE),0)</f>
        <v>0</v>
      </c>
      <c r="BM16" s="23">
        <f>IFERROR(VLOOKUP($AT$2&amp;"-"&amp; RIGHT(BM$4,1)&amp;"-"&amp;$A16,CC1_InputUser!$L:$N,3,FALSE),0)</f>
        <v>0</v>
      </c>
      <c r="BN16" s="23">
        <f>IFERROR(VLOOKUP($AT$2&amp;"-"&amp; RIGHT(BN$4,1)&amp;"-"&amp;$A16,CC1_InputUser!$L:$N,3,FALSE),0)</f>
        <v>0</v>
      </c>
      <c r="BO16" s="24"/>
      <c r="BP16" s="23">
        <f>IFERROR(VLOOKUP($BP$2&amp;"-"&amp; RIGHT(BP$4,1)&amp;"-"&amp;$A16,CC1_InputUser!$L:$N,2,FALSE),0)</f>
        <v>0</v>
      </c>
      <c r="BQ16" s="23">
        <f>IFERROR(VLOOKUP($BP$2&amp;"-"&amp; RIGHT(BQ$4,1)&amp;"-"&amp;$A16,CC1_InputUser!$L:$N,2,FALSE),0)</f>
        <v>0</v>
      </c>
      <c r="BR16" s="23">
        <f>IFERROR(VLOOKUP($BP$2&amp;"-"&amp; RIGHT(BR$4,1)&amp;"-"&amp;$A16,CC1_InputUser!$L:$N,2,FALSE),0)</f>
        <v>0</v>
      </c>
      <c r="BS16" s="23">
        <f>IFERROR(VLOOKUP($BP$2&amp;"-"&amp; RIGHT(BS$4,1)&amp;"-"&amp;$A16,CC1_InputUser!$L:$N,2,FALSE),0)</f>
        <v>0</v>
      </c>
      <c r="BT16" s="23">
        <f>IFERROR(VLOOKUP($BP$2&amp;"-"&amp; RIGHT(BT$4,1)&amp;"-"&amp;$A16,CC1_InputUser!$L:$N,2,FALSE),0)</f>
        <v>0</v>
      </c>
      <c r="BU16" s="23">
        <f>IFERROR(VLOOKUP($BP$2&amp;"-"&amp; RIGHT(BU$4,1)&amp;"-"&amp;$A16,CC1_InputUser!$L:$N,3,FALSE),0)</f>
        <v>0</v>
      </c>
      <c r="BV16" s="23">
        <f>IFERROR(VLOOKUP($BP$2&amp;"-"&amp; RIGHT(BV$4,1)&amp;"-"&amp;$A16,CC1_InputUser!$L:$N,3,FALSE),0)</f>
        <v>0</v>
      </c>
      <c r="BW16" s="23">
        <f>IFERROR(VLOOKUP($BP$2&amp;"-"&amp; RIGHT(BW$4,1)&amp;"-"&amp;$A16,CC1_InputUser!$L:$N,3,FALSE),0)</f>
        <v>0</v>
      </c>
      <c r="BX16" s="23">
        <f>IFERROR(VLOOKUP($BP$2&amp;"-"&amp; RIGHT(BX$4,1)&amp;"-"&amp;$A16,CC1_InputUser!$L:$N,3,FALSE),0)</f>
        <v>0</v>
      </c>
      <c r="BY16" s="23">
        <f>IFERROR(VLOOKUP($BP$2&amp;"-"&amp; RIGHT(BY$4,1)&amp;"-"&amp;$A16,CC1_InputUser!$L:$N,3,FALSE),0)</f>
        <v>0</v>
      </c>
      <c r="BZ16" s="24"/>
      <c r="CA16" s="23">
        <f>IFERROR(VLOOKUP($CA$2&amp;"-"&amp; RIGHT(CA$4,1)&amp;"-"&amp;$A16,CC1_InputUser!$L:$N,2,FALSE),0)</f>
        <v>0</v>
      </c>
      <c r="CB16" s="23">
        <f>IFERROR(VLOOKUP($CA$2&amp;"-"&amp; RIGHT(CB$4,1)&amp;"-"&amp;$A16,CC1_InputUser!$L:$N,2,FALSE),0)</f>
        <v>0</v>
      </c>
      <c r="CC16" s="23">
        <f>IFERROR(VLOOKUP($CA$2&amp;"-"&amp; RIGHT(CC$4,1)&amp;"-"&amp;$A16,CC1_InputUser!$L:$N,2,FALSE),0)</f>
        <v>0</v>
      </c>
      <c r="CD16" s="23">
        <f>IFERROR(VLOOKUP($CA$2&amp;"-"&amp; RIGHT(CD$4,1)&amp;"-"&amp;$A16,CC1_InputUser!$L:$N,2,FALSE),0)</f>
        <v>0</v>
      </c>
      <c r="CE16" s="23">
        <f>IFERROR(VLOOKUP($CA$2&amp;"-"&amp; RIGHT(CE$4,1)&amp;"-"&amp;$A16,CC1_InputUser!$L:$N,2,FALSE),0)</f>
        <v>0</v>
      </c>
      <c r="CF16" s="23">
        <f>IFERROR(VLOOKUP($CA$2&amp;"-"&amp; RIGHT(CF$4,1)&amp;"-"&amp;$A16,CC1_InputUser!$L:$N,3,FALSE),0)</f>
        <v>0</v>
      </c>
      <c r="CG16" s="23">
        <f>IFERROR(VLOOKUP($CA$2&amp;"-"&amp; RIGHT(CG$4,1)&amp;"-"&amp;$A16,CC1_InputUser!$L:$N,3,FALSE),0)</f>
        <v>0</v>
      </c>
      <c r="CH16" s="23">
        <f>IFERROR(VLOOKUP($CA$2&amp;"-"&amp; RIGHT(CH$4,1)&amp;"-"&amp;$A16,CC1_InputUser!$L:$N,3,FALSE),0)</f>
        <v>0</v>
      </c>
      <c r="CI16" s="23">
        <f>IFERROR(VLOOKUP($CA$2&amp;"-"&amp; RIGHT(CI$4,1)&amp;"-"&amp;$A16,CC1_InputUser!$L:$N,3,FALSE),0)</f>
        <v>0</v>
      </c>
      <c r="CJ16" s="23">
        <f>IFERROR(VLOOKUP($CA$2&amp;"-"&amp; RIGHT(CJ$4,1)&amp;"-"&amp;$A16,CC1_InputUser!$L:$N,3,FALSE),0)</f>
        <v>0</v>
      </c>
      <c r="CK16" s="24"/>
      <c r="CL16" s="23">
        <f>IFERROR(VLOOKUP($CL$2&amp;"-"&amp; RIGHT(CL$4,1)&amp;"-"&amp;$A16,CC1_InputUser!$L:$N,2,FALSE),0)</f>
        <v>0</v>
      </c>
      <c r="CM16" s="23">
        <f>IFERROR(VLOOKUP($CL$2&amp;"-"&amp; RIGHT(CM$4,1)&amp;"-"&amp;$A16,CC1_InputUser!$L:$N,2,FALSE),0)</f>
        <v>0.21929783293367289</v>
      </c>
      <c r="CN16" s="23">
        <f>IFERROR(VLOOKUP($CL$2&amp;"-"&amp; RIGHT(CN$4,1)&amp;"-"&amp;$A16,CC1_InputUser!$L:$N,2,FALSE),0)</f>
        <v>6.3974413889878456E-2</v>
      </c>
      <c r="CO16" s="23">
        <f>IFERROR(VLOOKUP($CL$2&amp;"-"&amp; RIGHT(CO$4,1)&amp;"-"&amp;$A16,CC1_InputUser!$L:$N,2,FALSE),0)</f>
        <v>6.2470812242770291E-2</v>
      </c>
      <c r="CP16" s="23">
        <f>IFERROR(VLOOKUP($CL$2&amp;"-"&amp; RIGHT(CP$4,1)&amp;"-"&amp;$A16,CC1_InputUser!$L:$N,2,FALSE),0)</f>
        <v>0</v>
      </c>
      <c r="CQ16" s="23">
        <f>IFERROR(VLOOKUP($CL$2&amp;"-"&amp; RIGHT(CQ$4,1)&amp;"-"&amp;$A16,CC1_InputUser!$L:$N,3,FALSE),0)</f>
        <v>0</v>
      </c>
      <c r="CR16" s="23">
        <f>IFERROR(VLOOKUP($CL$2&amp;"-"&amp; RIGHT(CR$4,1)&amp;"-"&amp;$A16,CC1_InputUser!$L:$N,3,FALSE),0)</f>
        <v>-1.3766389954398495E-2</v>
      </c>
      <c r="CS16" s="23">
        <f>IFERROR(VLOOKUP($CL$2&amp;"-"&amp; RIGHT(CS$4,1)&amp;"-"&amp;$A16,CC1_InputUser!$L:$N,3,FALSE),0)</f>
        <v>-7.0649928764268122E-2</v>
      </c>
      <c r="CT16" s="23">
        <f>IFERROR(VLOOKUP($CL$2&amp;"-"&amp; RIGHT(CT$4,1)&amp;"-"&amp;$A16,CC1_InputUser!$L:$N,3,FALSE),0)</f>
        <v>0.31150240424645759</v>
      </c>
      <c r="CU16" s="23">
        <f>IFERROR(VLOOKUP($CL$2&amp;"-"&amp; RIGHT(CU$4,1)&amp;"-"&amp;$A16,CC1_InputUser!$L:$N,3,FALSE),0)</f>
        <v>0</v>
      </c>
      <c r="CV16" s="24"/>
      <c r="CW16" s="23">
        <f>IFERROR(VLOOKUP($CW$2&amp;"-"&amp; RIGHT(CW$4,1)&amp;"-"&amp;$A16,CC1_InputUser!$L:$N,2,FALSE),0)</f>
        <v>0</v>
      </c>
      <c r="CX16" s="23">
        <f>IFERROR(VLOOKUP($CW$2&amp;"-"&amp; RIGHT(CX$4,1)&amp;"-"&amp;$A16,CC1_InputUser!$L:$N,2,FALSE),0)</f>
        <v>0</v>
      </c>
      <c r="CY16" s="23">
        <f>IFERROR(VLOOKUP($CW$2&amp;"-"&amp; RIGHT(CY$4,1)&amp;"-"&amp;$A16,CC1_InputUser!$L:$N,2,FALSE),0)</f>
        <v>0</v>
      </c>
      <c r="CZ16" s="23">
        <f>IFERROR(VLOOKUP($CW$2&amp;"-"&amp; RIGHT(CZ$4,1)&amp;"-"&amp;$A16,CC1_InputUser!$L:$N,2,FALSE),0)</f>
        <v>0</v>
      </c>
      <c r="DA16" s="23">
        <f>IFERROR(VLOOKUP($CW$2&amp;"-"&amp; RIGHT(DA$4,1)&amp;"-"&amp;$A16,CC1_InputUser!$L:$N,2,FALSE),0)</f>
        <v>0</v>
      </c>
      <c r="DB16" s="23">
        <f>IFERROR(VLOOKUP($CW$2&amp;"-"&amp; RIGHT(DB$4,1)&amp;"-"&amp;$A16,CC1_InputUser!$L:$N,3,FALSE),0)</f>
        <v>0</v>
      </c>
      <c r="DC16" s="23">
        <f>IFERROR(VLOOKUP($CW$2&amp;"-"&amp; RIGHT(DC$4,1)&amp;"-"&amp;$A16,CC1_InputUser!$L:$N,3,FALSE),0)</f>
        <v>0</v>
      </c>
      <c r="DD16" s="23">
        <f>IFERROR(VLOOKUP($CW$2&amp;"-"&amp; RIGHT(DD$4,1)&amp;"-"&amp;$A16,CC1_InputUser!$L:$N,3,FALSE),0)</f>
        <v>0</v>
      </c>
      <c r="DE16" s="23">
        <f>IFERROR(VLOOKUP($CW$2&amp;"-"&amp; RIGHT(DE$4,1)&amp;"-"&amp;$A16,CC1_InputUser!$L:$N,3,FALSE),0)</f>
        <v>0</v>
      </c>
      <c r="DF16" s="23">
        <f>IFERROR(VLOOKUP($CW$2&amp;"-"&amp; RIGHT(DF$4,1)&amp;"-"&amp;$A16,CC1_InputUser!$L:$N,3,FALSE),0)</f>
        <v>0</v>
      </c>
      <c r="DG16" s="24"/>
      <c r="DH16" s="23">
        <f>IFERROR(VLOOKUP($DH$2&amp;"-"&amp; RIGHT(DH$4,1)&amp;"-"&amp;$A16,CC1_InputUser!$L:$N,2,FALSE),0)</f>
        <v>0</v>
      </c>
      <c r="DI16" s="23">
        <f>IFERROR(VLOOKUP($DH$2&amp;"-"&amp; RIGHT(DI$4,1)&amp;"-"&amp;$A16,CC1_InputUser!$L:$N,2,FALSE),0)</f>
        <v>0</v>
      </c>
      <c r="DJ16" s="23">
        <f>IFERROR(VLOOKUP($DH$2&amp;"-"&amp; RIGHT(DJ$4,1)&amp;"-"&amp;$A16,CC1_InputUser!$L:$N,2,FALSE),0)</f>
        <v>0</v>
      </c>
      <c r="DK16" s="23">
        <f>IFERROR(VLOOKUP($DH$2&amp;"-"&amp; RIGHT(DK$4,1)&amp;"-"&amp;$A16,CC1_InputUser!$L:$N,2,FALSE),0)</f>
        <v>0</v>
      </c>
      <c r="DL16" s="23">
        <f>IFERROR(VLOOKUP($DH$2&amp;"-"&amp; RIGHT(DL$4,1)&amp;"-"&amp;$A16,CC1_InputUser!$L:$N,2,FALSE),0)</f>
        <v>0</v>
      </c>
      <c r="DM16" s="23">
        <f>IFERROR(VLOOKUP($DH$2&amp;"-"&amp; RIGHT(DM$4,1)&amp;"-"&amp;$A16,CC1_InputUser!$L:$N,3,FALSE),0)</f>
        <v>0</v>
      </c>
      <c r="DN16" s="23">
        <f>IFERROR(VLOOKUP($DH$2&amp;"-"&amp; RIGHT(DN$4,1)&amp;"-"&amp;$A16,CC1_InputUser!$L:$N,3,FALSE),0)</f>
        <v>0</v>
      </c>
      <c r="DO16" s="23">
        <f>IFERROR(VLOOKUP($DH$2&amp;"-"&amp; RIGHT(DO$4,1)&amp;"-"&amp;$A16,CC1_InputUser!$L:$N,3,FALSE),0)</f>
        <v>0</v>
      </c>
      <c r="DP16" s="23">
        <f>IFERROR(VLOOKUP($DH$2&amp;"-"&amp; RIGHT(DP$4,1)&amp;"-"&amp;$A16,CC1_InputUser!$L:$N,3,FALSE),0)</f>
        <v>0</v>
      </c>
      <c r="DQ16" s="23">
        <f>IFERROR(VLOOKUP($DH$2&amp;"-"&amp; RIGHT(DQ$4,1)&amp;"-"&amp;$A16,CC1_InputUser!$L:$N,3,FALSE),0)</f>
        <v>0</v>
      </c>
      <c r="DR16" s="24"/>
      <c r="DS16" s="23">
        <f>IFERROR(VLOOKUP($DS$2&amp;"-"&amp; RIGHT(DS$4,1)&amp;"-"&amp;$A16,CC1_InputUser!$L:$N,2,FALSE),0)</f>
        <v>0</v>
      </c>
      <c r="DT16" s="23">
        <f>IFERROR(VLOOKUP($DS$2&amp;"-"&amp; RIGHT(DT$4,1)&amp;"-"&amp;$A16,CC1_InputUser!$L:$N,2,FALSE),0)</f>
        <v>0</v>
      </c>
      <c r="DU16" s="23">
        <f>IFERROR(VLOOKUP($DS$2&amp;"-"&amp; RIGHT(DU$4,1)&amp;"-"&amp;$A16,CC1_InputUser!$L:$N,2,FALSE),0)</f>
        <v>0</v>
      </c>
      <c r="DV16" s="23">
        <f>IFERROR(VLOOKUP($DS$2&amp;"-"&amp; RIGHT(DV$4,1)&amp;"-"&amp;$A16,CC1_InputUser!$L:$N,2,FALSE),0)</f>
        <v>0</v>
      </c>
      <c r="DW16" s="23">
        <f>IFERROR(VLOOKUP($DS$2&amp;"-"&amp; RIGHT(DW$4,1)&amp;"-"&amp;$A16,CC1_InputUser!$L:$N,2,FALSE),0)</f>
        <v>0</v>
      </c>
      <c r="DX16" s="23">
        <f>IFERROR(VLOOKUP($DS$2&amp;"-"&amp; RIGHT(DX$4,1)&amp;"-"&amp;$A16,CC1_InputUser!$L:$N,3,FALSE),0)</f>
        <v>0</v>
      </c>
      <c r="DY16" s="23">
        <f>IFERROR(VLOOKUP($DS$2&amp;"-"&amp; RIGHT(DY$4,1)&amp;"-"&amp;$A16,CC1_InputUser!$L:$N,3,FALSE),0)</f>
        <v>0</v>
      </c>
      <c r="DZ16" s="23">
        <f>IFERROR(VLOOKUP($DS$2&amp;"-"&amp; RIGHT(DZ$4,1)&amp;"-"&amp;$A16,CC1_InputUser!$L:$N,3,FALSE),0)</f>
        <v>0</v>
      </c>
      <c r="EA16" s="23">
        <f>IFERROR(VLOOKUP($DS$2&amp;"-"&amp; RIGHT(EA$4,1)&amp;"-"&amp;$A16,CC1_InputUser!$L:$N,3,FALSE),0)</f>
        <v>0</v>
      </c>
      <c r="EB16" s="23">
        <f>IFERROR(VLOOKUP($DS$2&amp;"-"&amp; RIGHT(EB$4,1)&amp;"-"&amp;$A16,CC1_InputUser!$L:$N,3,FALSE),0)</f>
        <v>0</v>
      </c>
      <c r="EC16" s="24"/>
    </row>
    <row r="17" spans="1:133" x14ac:dyDescent="0.3">
      <c r="A17" s="75" t="s">
        <v>73</v>
      </c>
      <c r="B17" s="23">
        <f>IFERROR(VLOOKUP($B$2&amp;"-"&amp; RIGHT(B$4,1)&amp;"-"&amp;$A17,CC1_InputUser!$L:$N,2,FALSE),0)</f>
        <v>0</v>
      </c>
      <c r="C17" s="23">
        <f>IFERROR(VLOOKUP($B$2&amp;"-"&amp; RIGHT(C$4,1)&amp;"-"&amp;$A17,CC1_InputUser!$L:$N,2,FALSE),0)</f>
        <v>0</v>
      </c>
      <c r="D17" s="23">
        <f>IFERROR(VLOOKUP($B$2&amp;"-"&amp; RIGHT(D$4,1)&amp;"-"&amp;$A17,CC1_InputUser!$L:$N,2,FALSE),0)</f>
        <v>0</v>
      </c>
      <c r="E17" s="23">
        <f>IFERROR(VLOOKUP($B$2&amp;"-"&amp; RIGHT(E$4,1)&amp;"-"&amp;$A17,CC1_InputUser!$L:$N,2,FALSE),0)</f>
        <v>0</v>
      </c>
      <c r="F17" s="23">
        <f>IFERROR(VLOOKUP($B$2&amp;"-"&amp; RIGHT(F$4,1)&amp;"-"&amp;$A17,CC1_InputUser!$L:$N,2,FALSE),0)</f>
        <v>0</v>
      </c>
      <c r="G17" s="23">
        <f>IFERROR(VLOOKUP($B$2&amp;"-"&amp; RIGHT(G$4,1)&amp;"-"&amp;$A17,CC1_InputUser!$L:$N,3,FALSE),0)</f>
        <v>0</v>
      </c>
      <c r="H17" s="23">
        <f>IFERROR(VLOOKUP($B$2&amp;"-"&amp; RIGHT(H$4,1)&amp;"-"&amp;$A17,CC1_InputUser!$L:$N,3,FALSE),0)</f>
        <v>0</v>
      </c>
      <c r="I17" s="23">
        <f>IFERROR(VLOOKUP($B$2&amp;"-"&amp; RIGHT(I$4,1)&amp;"-"&amp;$A17,CC1_InputUser!$L:$N,3,FALSE),0)</f>
        <v>0</v>
      </c>
      <c r="J17" s="23">
        <f>IFERROR(VLOOKUP($B$2&amp;"-"&amp; RIGHT(J$4,1)&amp;"-"&amp;$A17,CC1_InputUser!$L:$N,3,FALSE),0)</f>
        <v>0</v>
      </c>
      <c r="K17" s="23">
        <f>IFERROR(VLOOKUP($B$2&amp;"-"&amp; RIGHT(K$4,1)&amp;"-"&amp;$A17,CC1_InputUser!$L:$N,3,FALSE),0)</f>
        <v>0</v>
      </c>
      <c r="L17" s="24"/>
      <c r="M17" s="23">
        <f>IFERROR(VLOOKUP($M$2&amp;"-"&amp; RIGHT(M$4,1)&amp;"-"&amp;$A17,CC1_InputUser!$L:$N,2,FALSE),0)</f>
        <v>0</v>
      </c>
      <c r="N17" s="23">
        <f>IFERROR(VLOOKUP($M$2&amp;"-"&amp; RIGHT(N$4,1)&amp;"-"&amp;$A17,CC1_InputUser!$L:$N,2,FALSE),0)</f>
        <v>0</v>
      </c>
      <c r="O17" s="23">
        <f>IFERROR(VLOOKUP($M$2&amp;"-"&amp; RIGHT(O$4,1)&amp;"-"&amp;$A17,CC1_InputUser!$L:$N,2,FALSE),0)</f>
        <v>0</v>
      </c>
      <c r="P17" s="23">
        <f>IFERROR(VLOOKUP($M$2&amp;"-"&amp; RIGHT(P$4,1)&amp;"-"&amp;$A17,CC1_InputUser!$L:$N,2,FALSE),0)</f>
        <v>0</v>
      </c>
      <c r="Q17" s="23">
        <f>IFERROR(VLOOKUP($M$2&amp;"-"&amp; RIGHT(Q$4,1)&amp;"-"&amp;$A17,CC1_InputUser!$L:$N,2,FALSE),0)</f>
        <v>0</v>
      </c>
      <c r="R17" s="23">
        <f>IFERROR(VLOOKUP($M$2&amp;"-"&amp; RIGHT(R$4,1)&amp;"-"&amp;$A17,CC1_InputUser!$L:$N,3,FALSE),0)</f>
        <v>0</v>
      </c>
      <c r="S17" s="23">
        <f>IFERROR(VLOOKUP($M$2&amp;"-"&amp; RIGHT(S$4,1)&amp;"-"&amp;$A17,CC1_InputUser!$L:$N,3,FALSE),0)</f>
        <v>0</v>
      </c>
      <c r="T17" s="23">
        <f>IFERROR(VLOOKUP($M$2&amp;"-"&amp; RIGHT(T$4,1)&amp;"-"&amp;$A17,CC1_InputUser!$L:$N,3,FALSE),0)</f>
        <v>0</v>
      </c>
      <c r="U17" s="23">
        <f>IFERROR(VLOOKUP($M$2&amp;"-"&amp; RIGHT(U$4,1)&amp;"-"&amp;$A17,CC1_InputUser!$L:$N,3,FALSE),0)</f>
        <v>0</v>
      </c>
      <c r="V17" s="23">
        <f>IFERROR(VLOOKUP($M$2&amp;"-"&amp; RIGHT(V$4,1)&amp;"-"&amp;$A17,CC1_InputUser!$L:$N,3,FALSE),0)</f>
        <v>0</v>
      </c>
      <c r="W17" s="24"/>
      <c r="X17" s="23">
        <f>IFERROR(VLOOKUP($X$2&amp;"-"&amp; RIGHT(X$4,1)&amp;"-"&amp;$A17,CC1_InputUser!$L:$N,2,FALSE),0)</f>
        <v>0</v>
      </c>
      <c r="Y17" s="23">
        <f>IFERROR(VLOOKUP($X$2&amp;"-"&amp; RIGHT(Y$4,1)&amp;"-"&amp;$A17,CC1_InputUser!$L:$N,2,FALSE),0)</f>
        <v>0</v>
      </c>
      <c r="Z17" s="23">
        <f>IFERROR(VLOOKUP($X$2&amp;"-"&amp; RIGHT(Z$4,1)&amp;"-"&amp;$A17,CC1_InputUser!$L:$N,2,FALSE),0)</f>
        <v>0</v>
      </c>
      <c r="AA17" s="23">
        <f>IFERROR(VLOOKUP($X$2&amp;"-"&amp; RIGHT(AA$4,1)&amp;"-"&amp;$A17,CC1_InputUser!$L:$N,2,FALSE),0)</f>
        <v>0</v>
      </c>
      <c r="AB17" s="23">
        <f>IFERROR(VLOOKUP($X$2&amp;"-"&amp; RIGHT(AB$4,1)&amp;"-"&amp;$A17,CC1_InputUser!$L:$N,2,FALSE),0)</f>
        <v>0</v>
      </c>
      <c r="AC17" s="23">
        <f>IFERROR(VLOOKUP($X$2&amp;"-"&amp; RIGHT(AC$4,1)&amp;"-"&amp;$A17,CC1_InputUser!$L:$N,3,FALSE),0)</f>
        <v>0</v>
      </c>
      <c r="AD17" s="23">
        <f>IFERROR(VLOOKUP($X$2&amp;"-"&amp; RIGHT(AD$4,1)&amp;"-"&amp;$A17,CC1_InputUser!$L:$N,3,FALSE),0)</f>
        <v>0</v>
      </c>
      <c r="AE17" s="23">
        <f>IFERROR(VLOOKUP($X$2&amp;"-"&amp; RIGHT(AE$4,1)&amp;"-"&amp;$A17,CC1_InputUser!$L:$N,3,FALSE),0)</f>
        <v>0</v>
      </c>
      <c r="AF17" s="23">
        <f>IFERROR(VLOOKUP($X$2&amp;"-"&amp; RIGHT(AF$4,1)&amp;"-"&amp;$A17,CC1_InputUser!$L:$N,3,FALSE),0)</f>
        <v>0</v>
      </c>
      <c r="AG17" s="23">
        <f>IFERROR(VLOOKUP($X$2&amp;"-"&amp; RIGHT(AG$4,1)&amp;"-"&amp;$A17,CC1_InputUser!$L:$N,3,FALSE),0)</f>
        <v>0</v>
      </c>
      <c r="AH17" s="24"/>
      <c r="AI17" s="23">
        <f>IFERROR(VLOOKUP($AI$2&amp;"-"&amp; RIGHT(AI$4,1)&amp;"-"&amp;$A17,CC1_InputUser!$L:$N,2,FALSE),0)</f>
        <v>0</v>
      </c>
      <c r="AJ17" s="23">
        <f>IFERROR(VLOOKUP($AI$2&amp;"-"&amp; RIGHT(AJ$4,1)&amp;"-"&amp;$A17,CC1_InputUser!$L:$N,2,FALSE),0)</f>
        <v>0</v>
      </c>
      <c r="AK17" s="23">
        <f>IFERROR(VLOOKUP($AI$2&amp;"-"&amp; RIGHT(AK$4,1)&amp;"-"&amp;$A17,CC1_InputUser!$L:$N,2,FALSE),0)</f>
        <v>0</v>
      </c>
      <c r="AL17" s="23">
        <f>IFERROR(VLOOKUP($AI$2&amp;"-"&amp; RIGHT(AL$4,1)&amp;"-"&amp;$A17,CC1_InputUser!$L:$N,2,FALSE),0)</f>
        <v>0</v>
      </c>
      <c r="AM17" s="23">
        <f>IFERROR(VLOOKUP($AI$2&amp;"-"&amp; RIGHT(AM$4,1)&amp;"-"&amp;$A17,CC1_InputUser!$L:$N,2,FALSE),0)</f>
        <v>0</v>
      </c>
      <c r="AN17" s="23">
        <f>IFERROR(VLOOKUP($AI$2&amp;"-"&amp; RIGHT(AN$4,1)&amp;"-"&amp;$A17,CC1_InputUser!$L:$N,3,FALSE),0)</f>
        <v>0</v>
      </c>
      <c r="AO17" s="23">
        <f>IFERROR(VLOOKUP($AI$2&amp;"-"&amp; RIGHT(AO$4,1)&amp;"-"&amp;$A17,CC1_InputUser!$L:$N,3,FALSE),0)</f>
        <v>0</v>
      </c>
      <c r="AP17" s="23">
        <f>IFERROR(VLOOKUP($AI$2&amp;"-"&amp; RIGHT(AP$4,1)&amp;"-"&amp;$A17,CC1_InputUser!$L:$N,3,FALSE),0)</f>
        <v>0</v>
      </c>
      <c r="AQ17" s="23">
        <f>IFERROR(VLOOKUP($AI$2&amp;"-"&amp; RIGHT(AQ$4,1)&amp;"-"&amp;$A17,CC1_InputUser!$L:$N,3,FALSE),0)</f>
        <v>0</v>
      </c>
      <c r="AR17" s="23">
        <f>IFERROR(VLOOKUP($AI$2&amp;"-"&amp; RIGHT(AR$4,1)&amp;"-"&amp;$A17,CC1_InputUser!$L:$N,3,FALSE),0)</f>
        <v>0</v>
      </c>
      <c r="AS17" s="24"/>
      <c r="AT17" s="23">
        <f>IFERROR(VLOOKUP($AT$2&amp;"-"&amp; RIGHT(AT$4,1)&amp;"-"&amp;$A17,CC1_InputUser!$L:$N,2,FALSE),0)</f>
        <v>0</v>
      </c>
      <c r="AU17" s="23">
        <f>IFERROR(VLOOKUP($AT$2&amp;"-"&amp; RIGHT(AU$4,1)&amp;"-"&amp;$A17,CC1_InputUser!$L:$N,2,FALSE),0)</f>
        <v>0</v>
      </c>
      <c r="AV17" s="23">
        <f>IFERROR(VLOOKUP($AT$2&amp;"-"&amp; RIGHT(AV$4,1)&amp;"-"&amp;$A17,CC1_InputUser!$L:$N,2,FALSE),0)</f>
        <v>0</v>
      </c>
      <c r="AW17" s="23">
        <f>IFERROR(VLOOKUP($AT$2&amp;"-"&amp; RIGHT(AW$4,1)&amp;"-"&amp;$A17,CC1_InputUser!$L:$N,2,FALSE),0)</f>
        <v>0</v>
      </c>
      <c r="AX17" s="23">
        <f>IFERROR(VLOOKUP($AT$2&amp;"-"&amp; RIGHT(AX$4,1)&amp;"-"&amp;$A17,CC1_InputUser!$L:$N,2,FALSE),0)</f>
        <v>0</v>
      </c>
      <c r="AY17" s="23">
        <f>IFERROR(VLOOKUP($AT$2&amp;"-"&amp; RIGHT(AY$4,1)&amp;"-"&amp;$A17,CC1_InputUser!$L:$N,3,FALSE),0)</f>
        <v>0</v>
      </c>
      <c r="AZ17" s="23">
        <f>IFERROR(VLOOKUP($AT$2&amp;"-"&amp; RIGHT(AZ$4,1)&amp;"-"&amp;$A17,CC1_InputUser!$L:$N,3,FALSE),0)</f>
        <v>0</v>
      </c>
      <c r="BA17" s="23">
        <f>IFERROR(VLOOKUP($AT$2&amp;"-"&amp; RIGHT(BA$4,1)&amp;"-"&amp;$A17,CC1_InputUser!$L:$N,3,FALSE),0)</f>
        <v>0</v>
      </c>
      <c r="BB17" s="23">
        <f>IFERROR(VLOOKUP($AT$2&amp;"-"&amp; RIGHT(BB$4,1)&amp;"-"&amp;$A17,CC1_InputUser!$L:$N,3,FALSE),0)</f>
        <v>0</v>
      </c>
      <c r="BC17" s="23">
        <f>IFERROR(VLOOKUP($AT$2&amp;"-"&amp; RIGHT(BC$4,1)&amp;"-"&amp;$A17,CC1_InputUser!$L:$N,3,FALSE),0)</f>
        <v>0</v>
      </c>
      <c r="BD17" s="24"/>
      <c r="BE17" s="23">
        <f>IFERROR(VLOOKUP($AT$2&amp;"-"&amp; RIGHT(BE$4,1)&amp;"-"&amp;$A17,CC1_InputUser!$L:$N,2,FALSE),0)</f>
        <v>0</v>
      </c>
      <c r="BF17" s="23">
        <f>IFERROR(VLOOKUP($AT$2&amp;"-"&amp; RIGHT(BF$4,1)&amp;"-"&amp;$A17,CC1_InputUser!$L:$N,2,FALSE),0)</f>
        <v>0</v>
      </c>
      <c r="BG17" s="23">
        <f>IFERROR(VLOOKUP($AT$2&amp;"-"&amp; RIGHT(BG$4,1)&amp;"-"&amp;$A17,CC1_InputUser!$L:$N,2,FALSE),0)</f>
        <v>0</v>
      </c>
      <c r="BH17" s="23">
        <f>IFERROR(VLOOKUP($AT$2&amp;"-"&amp; RIGHT(BH$4,1)&amp;"-"&amp;$A17,CC1_InputUser!$L:$N,2,FALSE),0)</f>
        <v>0</v>
      </c>
      <c r="BI17" s="23">
        <f>IFERROR(VLOOKUP($AT$2&amp;"-"&amp; RIGHT(BI$4,1)&amp;"-"&amp;$A17,CC1_InputUser!$L:$N,2,FALSE),0)</f>
        <v>0</v>
      </c>
      <c r="BJ17" s="23">
        <f>IFERROR(VLOOKUP($AT$2&amp;"-"&amp; RIGHT(BJ$4,1)&amp;"-"&amp;$A17,CC1_InputUser!$L:$N,3,FALSE),0)</f>
        <v>0</v>
      </c>
      <c r="BK17" s="23">
        <f>IFERROR(VLOOKUP($AT$2&amp;"-"&amp; RIGHT(BK$4,1)&amp;"-"&amp;$A17,CC1_InputUser!$L:$N,3,FALSE),0)</f>
        <v>0</v>
      </c>
      <c r="BL17" s="23">
        <f>IFERROR(VLOOKUP($AT$2&amp;"-"&amp; RIGHT(BL$4,1)&amp;"-"&amp;$A17,CC1_InputUser!$L:$N,3,FALSE),0)</f>
        <v>0</v>
      </c>
      <c r="BM17" s="23">
        <f>IFERROR(VLOOKUP($AT$2&amp;"-"&amp; RIGHT(BM$4,1)&amp;"-"&amp;$A17,CC1_InputUser!$L:$N,3,FALSE),0)</f>
        <v>0</v>
      </c>
      <c r="BN17" s="23">
        <f>IFERROR(VLOOKUP($AT$2&amp;"-"&amp; RIGHT(BN$4,1)&amp;"-"&amp;$A17,CC1_InputUser!$L:$N,3,FALSE),0)</f>
        <v>0</v>
      </c>
      <c r="BO17" s="24"/>
      <c r="BP17" s="23">
        <f>IFERROR(VLOOKUP($BP$2&amp;"-"&amp; RIGHT(BP$4,1)&amp;"-"&amp;$A17,CC1_InputUser!$L:$N,2,FALSE),0)</f>
        <v>0</v>
      </c>
      <c r="BQ17" s="23">
        <f>IFERROR(VLOOKUP($BP$2&amp;"-"&amp; RIGHT(BQ$4,1)&amp;"-"&amp;$A17,CC1_InputUser!$L:$N,2,FALSE),0)</f>
        <v>0</v>
      </c>
      <c r="BR17" s="23">
        <f>IFERROR(VLOOKUP($BP$2&amp;"-"&amp; RIGHT(BR$4,1)&amp;"-"&amp;$A17,CC1_InputUser!$L:$N,2,FALSE),0)</f>
        <v>0</v>
      </c>
      <c r="BS17" s="23">
        <f>IFERROR(VLOOKUP($BP$2&amp;"-"&amp; RIGHT(BS$4,1)&amp;"-"&amp;$A17,CC1_InputUser!$L:$N,2,FALSE),0)</f>
        <v>0</v>
      </c>
      <c r="BT17" s="23">
        <f>IFERROR(VLOOKUP($BP$2&amp;"-"&amp; RIGHT(BT$4,1)&amp;"-"&amp;$A17,CC1_InputUser!$L:$N,2,FALSE),0)</f>
        <v>0</v>
      </c>
      <c r="BU17" s="23">
        <f>IFERROR(VLOOKUP($BP$2&amp;"-"&amp; RIGHT(BU$4,1)&amp;"-"&amp;$A17,CC1_InputUser!$L:$N,3,FALSE),0)</f>
        <v>0</v>
      </c>
      <c r="BV17" s="23">
        <f>IFERROR(VLOOKUP($BP$2&amp;"-"&amp; RIGHT(BV$4,1)&amp;"-"&amp;$A17,CC1_InputUser!$L:$N,3,FALSE),0)</f>
        <v>0</v>
      </c>
      <c r="BW17" s="23">
        <f>IFERROR(VLOOKUP($BP$2&amp;"-"&amp; RIGHT(BW$4,1)&amp;"-"&amp;$A17,CC1_InputUser!$L:$N,3,FALSE),0)</f>
        <v>0</v>
      </c>
      <c r="BX17" s="23">
        <f>IFERROR(VLOOKUP($BP$2&amp;"-"&amp; RIGHT(BX$4,1)&amp;"-"&amp;$A17,CC1_InputUser!$L:$N,3,FALSE),0)</f>
        <v>0</v>
      </c>
      <c r="BY17" s="23">
        <f>IFERROR(VLOOKUP($BP$2&amp;"-"&amp; RIGHT(BY$4,1)&amp;"-"&amp;$A17,CC1_InputUser!$L:$N,3,FALSE),0)</f>
        <v>0</v>
      </c>
      <c r="BZ17" s="24"/>
      <c r="CA17" s="23">
        <f>IFERROR(VLOOKUP($CA$2&amp;"-"&amp; RIGHT(CA$4,1)&amp;"-"&amp;$A17,CC1_InputUser!$L:$N,2,FALSE),0)</f>
        <v>0</v>
      </c>
      <c r="CB17" s="23">
        <f>IFERROR(VLOOKUP($CA$2&amp;"-"&amp; RIGHT(CB$4,1)&amp;"-"&amp;$A17,CC1_InputUser!$L:$N,2,FALSE),0)</f>
        <v>0</v>
      </c>
      <c r="CC17" s="23">
        <f>IFERROR(VLOOKUP($CA$2&amp;"-"&amp; RIGHT(CC$4,1)&amp;"-"&amp;$A17,CC1_InputUser!$L:$N,2,FALSE),0)</f>
        <v>0</v>
      </c>
      <c r="CD17" s="23">
        <f>IFERROR(VLOOKUP($CA$2&amp;"-"&amp; RIGHT(CD$4,1)&amp;"-"&amp;$A17,CC1_InputUser!$L:$N,2,FALSE),0)</f>
        <v>0</v>
      </c>
      <c r="CE17" s="23">
        <f>IFERROR(VLOOKUP($CA$2&amp;"-"&amp; RIGHT(CE$4,1)&amp;"-"&amp;$A17,CC1_InputUser!$L:$N,2,FALSE),0)</f>
        <v>0</v>
      </c>
      <c r="CF17" s="23">
        <f>IFERROR(VLOOKUP($CA$2&amp;"-"&amp; RIGHT(CF$4,1)&amp;"-"&amp;$A17,CC1_InputUser!$L:$N,3,FALSE),0)</f>
        <v>0</v>
      </c>
      <c r="CG17" s="23">
        <f>IFERROR(VLOOKUP($CA$2&amp;"-"&amp; RIGHT(CG$4,1)&amp;"-"&amp;$A17,CC1_InputUser!$L:$N,3,FALSE),0)</f>
        <v>0</v>
      </c>
      <c r="CH17" s="23">
        <f>IFERROR(VLOOKUP($CA$2&amp;"-"&amp; RIGHT(CH$4,1)&amp;"-"&amp;$A17,CC1_InputUser!$L:$N,3,FALSE),0)</f>
        <v>0</v>
      </c>
      <c r="CI17" s="23">
        <f>IFERROR(VLOOKUP($CA$2&amp;"-"&amp; RIGHT(CI$4,1)&amp;"-"&amp;$A17,CC1_InputUser!$L:$N,3,FALSE),0)</f>
        <v>0</v>
      </c>
      <c r="CJ17" s="23">
        <f>IFERROR(VLOOKUP($CA$2&amp;"-"&amp; RIGHT(CJ$4,1)&amp;"-"&amp;$A17,CC1_InputUser!$L:$N,3,FALSE),0)</f>
        <v>-4.6206381746815017E-3</v>
      </c>
      <c r="CK17" s="24"/>
      <c r="CL17" s="23">
        <f>IFERROR(VLOOKUP($CL$2&amp;"-"&amp; RIGHT(CL$4,1)&amp;"-"&amp;$A17,CC1_InputUser!$L:$N,2,FALSE),0)</f>
        <v>0</v>
      </c>
      <c r="CM17" s="23">
        <f>IFERROR(VLOOKUP($CL$2&amp;"-"&amp; RIGHT(CM$4,1)&amp;"-"&amp;$A17,CC1_InputUser!$L:$N,2,FALSE),0)</f>
        <v>0</v>
      </c>
      <c r="CN17" s="23">
        <f>IFERROR(VLOOKUP($CL$2&amp;"-"&amp; RIGHT(CN$4,1)&amp;"-"&amp;$A17,CC1_InputUser!$L:$N,2,FALSE),0)</f>
        <v>0</v>
      </c>
      <c r="CO17" s="23">
        <f>IFERROR(VLOOKUP($CL$2&amp;"-"&amp; RIGHT(CO$4,1)&amp;"-"&amp;$A17,CC1_InputUser!$L:$N,2,FALSE),0)</f>
        <v>0</v>
      </c>
      <c r="CP17" s="23">
        <f>IFERROR(VLOOKUP($CL$2&amp;"-"&amp; RIGHT(CP$4,1)&amp;"-"&amp;$A17,CC1_InputUser!$L:$N,2,FALSE),0)</f>
        <v>0</v>
      </c>
      <c r="CQ17" s="23">
        <f>IFERROR(VLOOKUP($CL$2&amp;"-"&amp; RIGHT(CQ$4,1)&amp;"-"&amp;$A17,CC1_InputUser!$L:$N,3,FALSE),0)</f>
        <v>0</v>
      </c>
      <c r="CR17" s="23">
        <f>IFERROR(VLOOKUP($CL$2&amp;"-"&amp; RIGHT(CR$4,1)&amp;"-"&amp;$A17,CC1_InputUser!$L:$N,3,FALSE),0)</f>
        <v>0</v>
      </c>
      <c r="CS17" s="23">
        <f>IFERROR(VLOOKUP($CL$2&amp;"-"&amp; RIGHT(CS$4,1)&amp;"-"&amp;$A17,CC1_InputUser!$L:$N,3,FALSE),0)</f>
        <v>0</v>
      </c>
      <c r="CT17" s="23">
        <f>IFERROR(VLOOKUP($CL$2&amp;"-"&amp; RIGHT(CT$4,1)&amp;"-"&amp;$A17,CC1_InputUser!$L:$N,3,FALSE),0)</f>
        <v>0</v>
      </c>
      <c r="CU17" s="23">
        <f>IFERROR(VLOOKUP($CL$2&amp;"-"&amp; RIGHT(CU$4,1)&amp;"-"&amp;$A17,CC1_InputUser!$L:$N,3,FALSE),0)</f>
        <v>0</v>
      </c>
      <c r="CV17" s="24"/>
      <c r="CW17" s="23">
        <f>IFERROR(VLOOKUP($CW$2&amp;"-"&amp; RIGHT(CW$4,1)&amp;"-"&amp;$A17,CC1_InputUser!$L:$N,2,FALSE),0)</f>
        <v>0</v>
      </c>
      <c r="CX17" s="23">
        <f>IFERROR(VLOOKUP($CW$2&amp;"-"&amp; RIGHT(CX$4,1)&amp;"-"&amp;$A17,CC1_InputUser!$L:$N,2,FALSE),0)</f>
        <v>0</v>
      </c>
      <c r="CY17" s="23">
        <f>IFERROR(VLOOKUP($CW$2&amp;"-"&amp; RIGHT(CY$4,1)&amp;"-"&amp;$A17,CC1_InputUser!$L:$N,2,FALSE),0)</f>
        <v>0</v>
      </c>
      <c r="CZ17" s="23">
        <f>IFERROR(VLOOKUP($CW$2&amp;"-"&amp; RIGHT(CZ$4,1)&amp;"-"&amp;$A17,CC1_InputUser!$L:$N,2,FALSE),0)</f>
        <v>0</v>
      </c>
      <c r="DA17" s="23">
        <f>IFERROR(VLOOKUP($CW$2&amp;"-"&amp; RIGHT(DA$4,1)&amp;"-"&amp;$A17,CC1_InputUser!$L:$N,2,FALSE),0)</f>
        <v>0</v>
      </c>
      <c r="DB17" s="23">
        <f>IFERROR(VLOOKUP($CW$2&amp;"-"&amp; RIGHT(DB$4,1)&amp;"-"&amp;$A17,CC1_InputUser!$L:$N,3,FALSE),0)</f>
        <v>0</v>
      </c>
      <c r="DC17" s="23">
        <f>IFERROR(VLOOKUP($CW$2&amp;"-"&amp; RIGHT(DC$4,1)&amp;"-"&amp;$A17,CC1_InputUser!$L:$N,3,FALSE),0)</f>
        <v>0</v>
      </c>
      <c r="DD17" s="23">
        <f>IFERROR(VLOOKUP($CW$2&amp;"-"&amp; RIGHT(DD$4,1)&amp;"-"&amp;$A17,CC1_InputUser!$L:$N,3,FALSE),0)</f>
        <v>0</v>
      </c>
      <c r="DE17" s="23">
        <f>IFERROR(VLOOKUP($CW$2&amp;"-"&amp; RIGHT(DE$4,1)&amp;"-"&amp;$A17,CC1_InputUser!$L:$N,3,FALSE),0)</f>
        <v>0</v>
      </c>
      <c r="DF17" s="23">
        <f>IFERROR(VLOOKUP($CW$2&amp;"-"&amp; RIGHT(DF$4,1)&amp;"-"&amp;$A17,CC1_InputUser!$L:$N,3,FALSE),0)</f>
        <v>0</v>
      </c>
      <c r="DG17" s="24"/>
      <c r="DH17" s="23">
        <f>IFERROR(VLOOKUP($DH$2&amp;"-"&amp; RIGHT(DH$4,1)&amp;"-"&amp;$A17,CC1_InputUser!$L:$N,2,FALSE),0)</f>
        <v>0</v>
      </c>
      <c r="DI17" s="23">
        <f>IFERROR(VLOOKUP($DH$2&amp;"-"&amp; RIGHT(DI$4,1)&amp;"-"&amp;$A17,CC1_InputUser!$L:$N,2,FALSE),0)</f>
        <v>0</v>
      </c>
      <c r="DJ17" s="23">
        <f>IFERROR(VLOOKUP($DH$2&amp;"-"&amp; RIGHT(DJ$4,1)&amp;"-"&amp;$A17,CC1_InputUser!$L:$N,2,FALSE),0)</f>
        <v>0</v>
      </c>
      <c r="DK17" s="23">
        <f>IFERROR(VLOOKUP($DH$2&amp;"-"&amp; RIGHT(DK$4,1)&amp;"-"&amp;$A17,CC1_InputUser!$L:$N,2,FALSE),0)</f>
        <v>0</v>
      </c>
      <c r="DL17" s="23">
        <f>IFERROR(VLOOKUP($DH$2&amp;"-"&amp; RIGHT(DL$4,1)&amp;"-"&amp;$A17,CC1_InputUser!$L:$N,2,FALSE),0)</f>
        <v>0</v>
      </c>
      <c r="DM17" s="23">
        <f>IFERROR(VLOOKUP($DH$2&amp;"-"&amp; RIGHT(DM$4,1)&amp;"-"&amp;$A17,CC1_InputUser!$L:$N,3,FALSE),0)</f>
        <v>0</v>
      </c>
      <c r="DN17" s="23">
        <f>IFERROR(VLOOKUP($DH$2&amp;"-"&amp; RIGHT(DN$4,1)&amp;"-"&amp;$A17,CC1_InputUser!$L:$N,3,FALSE),0)</f>
        <v>0</v>
      </c>
      <c r="DO17" s="23">
        <f>IFERROR(VLOOKUP($DH$2&amp;"-"&amp; RIGHT(DO$4,1)&amp;"-"&amp;$A17,CC1_InputUser!$L:$N,3,FALSE),0)</f>
        <v>0</v>
      </c>
      <c r="DP17" s="23">
        <f>IFERROR(VLOOKUP($DH$2&amp;"-"&amp; RIGHT(DP$4,1)&amp;"-"&amp;$A17,CC1_InputUser!$L:$N,3,FALSE),0)</f>
        <v>0</v>
      </c>
      <c r="DQ17" s="23">
        <f>IFERROR(VLOOKUP($DH$2&amp;"-"&amp; RIGHT(DQ$4,1)&amp;"-"&amp;$A17,CC1_InputUser!$L:$N,3,FALSE),0)</f>
        <v>0</v>
      </c>
      <c r="DR17" s="24"/>
      <c r="DS17" s="23">
        <f>IFERROR(VLOOKUP($DS$2&amp;"-"&amp; RIGHT(DS$4,1)&amp;"-"&amp;$A17,CC1_InputUser!$L:$N,2,FALSE),0)</f>
        <v>0</v>
      </c>
      <c r="DT17" s="23">
        <f>IFERROR(VLOOKUP($DS$2&amp;"-"&amp; RIGHT(DT$4,1)&amp;"-"&amp;$A17,CC1_InputUser!$L:$N,2,FALSE),0)</f>
        <v>0</v>
      </c>
      <c r="DU17" s="23">
        <f>IFERROR(VLOOKUP($DS$2&amp;"-"&amp; RIGHT(DU$4,1)&amp;"-"&amp;$A17,CC1_InputUser!$L:$N,2,FALSE),0)</f>
        <v>0</v>
      </c>
      <c r="DV17" s="23">
        <f>IFERROR(VLOOKUP($DS$2&amp;"-"&amp; RIGHT(DV$4,1)&amp;"-"&amp;$A17,CC1_InputUser!$L:$N,2,FALSE),0)</f>
        <v>0</v>
      </c>
      <c r="DW17" s="23">
        <f>IFERROR(VLOOKUP($DS$2&amp;"-"&amp; RIGHT(DW$4,1)&amp;"-"&amp;$A17,CC1_InputUser!$L:$N,2,FALSE),0)</f>
        <v>0</v>
      </c>
      <c r="DX17" s="23">
        <f>IFERROR(VLOOKUP($DS$2&amp;"-"&amp; RIGHT(DX$4,1)&amp;"-"&amp;$A17,CC1_InputUser!$L:$N,3,FALSE),0)</f>
        <v>0</v>
      </c>
      <c r="DY17" s="23">
        <f>IFERROR(VLOOKUP($DS$2&amp;"-"&amp; RIGHT(DY$4,1)&amp;"-"&amp;$A17,CC1_InputUser!$L:$N,3,FALSE),0)</f>
        <v>0</v>
      </c>
      <c r="DZ17" s="23">
        <f>IFERROR(VLOOKUP($DS$2&amp;"-"&amp; RIGHT(DZ$4,1)&amp;"-"&amp;$A17,CC1_InputUser!$L:$N,3,FALSE),0)</f>
        <v>0</v>
      </c>
      <c r="EA17" s="23">
        <f>IFERROR(VLOOKUP($DS$2&amp;"-"&amp; RIGHT(EA$4,1)&amp;"-"&amp;$A17,CC1_InputUser!$L:$N,3,FALSE),0)</f>
        <v>0</v>
      </c>
      <c r="EB17" s="23">
        <f>IFERROR(VLOOKUP($DS$2&amp;"-"&amp; RIGHT(EB$4,1)&amp;"-"&amp;$A17,CC1_InputUser!$L:$N,3,FALSE),0)</f>
        <v>0</v>
      </c>
      <c r="EC17" s="24"/>
    </row>
    <row r="18" spans="1:133" x14ac:dyDescent="0.3">
      <c r="A18" s="74" t="s">
        <v>71</v>
      </c>
      <c r="B18" s="23">
        <f>IFERROR(VLOOKUP($B$2&amp;"-"&amp; RIGHT(B$4,1)&amp;"-"&amp;$A18,CC1_InputUser!$L:$N,2,FALSE),0)</f>
        <v>0</v>
      </c>
      <c r="C18" s="23">
        <f>IFERROR(VLOOKUP($B$2&amp;"-"&amp; RIGHT(C$4,1)&amp;"-"&amp;$A18,CC1_InputUser!$L:$N,2,FALSE),0)</f>
        <v>0</v>
      </c>
      <c r="D18" s="23">
        <f>IFERROR(VLOOKUP($B$2&amp;"-"&amp; RIGHT(D$4,1)&amp;"-"&amp;$A18,CC1_InputUser!$L:$N,2,FALSE),0)</f>
        <v>0</v>
      </c>
      <c r="E18" s="23">
        <f>IFERROR(VLOOKUP($B$2&amp;"-"&amp; RIGHT(E$4,1)&amp;"-"&amp;$A18,CC1_InputUser!$L:$N,2,FALSE),0)</f>
        <v>0</v>
      </c>
      <c r="F18" s="23">
        <f>IFERROR(VLOOKUP($B$2&amp;"-"&amp; RIGHT(F$4,1)&amp;"-"&amp;$A18,CC1_InputUser!$L:$N,2,FALSE),0)</f>
        <v>0</v>
      </c>
      <c r="G18" s="23">
        <f>IFERROR(VLOOKUP($B$2&amp;"-"&amp; RIGHT(G$4,1)&amp;"-"&amp;$A18,CC1_InputUser!$L:$N,3,FALSE),0)</f>
        <v>0</v>
      </c>
      <c r="H18" s="23">
        <f>IFERROR(VLOOKUP($B$2&amp;"-"&amp; RIGHT(H$4,1)&amp;"-"&amp;$A18,CC1_InputUser!$L:$N,3,FALSE),0)</f>
        <v>0</v>
      </c>
      <c r="I18" s="23">
        <f>IFERROR(VLOOKUP($B$2&amp;"-"&amp; RIGHT(I$4,1)&amp;"-"&amp;$A18,CC1_InputUser!$L:$N,3,FALSE),0)</f>
        <v>0</v>
      </c>
      <c r="J18" s="23">
        <f>IFERROR(VLOOKUP($B$2&amp;"-"&amp; RIGHT(J$4,1)&amp;"-"&amp;$A18,CC1_InputUser!$L:$N,3,FALSE),0)</f>
        <v>0</v>
      </c>
      <c r="K18" s="23">
        <f>IFERROR(VLOOKUP($B$2&amp;"-"&amp; RIGHT(K$4,1)&amp;"-"&amp;$A18,CC1_InputUser!$L:$N,3,FALSE),0)</f>
        <v>0</v>
      </c>
      <c r="L18" s="26"/>
      <c r="M18" s="23">
        <f>IFERROR(VLOOKUP($M$2&amp;"-"&amp; RIGHT(M$4,1)&amp;"-"&amp;$A18,CC1_InputUser!$L:$N,2,FALSE),0)</f>
        <v>0</v>
      </c>
      <c r="N18" s="23">
        <f>IFERROR(VLOOKUP($M$2&amp;"-"&amp; RIGHT(N$4,1)&amp;"-"&amp;$A18,CC1_InputUser!$L:$N,2,FALSE),0)</f>
        <v>0</v>
      </c>
      <c r="O18" s="23">
        <f>IFERROR(VLOOKUP($M$2&amp;"-"&amp; RIGHT(O$4,1)&amp;"-"&amp;$A18,CC1_InputUser!$L:$N,2,FALSE),0)</f>
        <v>0</v>
      </c>
      <c r="P18" s="23">
        <f>IFERROR(VLOOKUP($M$2&amp;"-"&amp; RIGHT(P$4,1)&amp;"-"&amp;$A18,CC1_InputUser!$L:$N,2,FALSE),0)</f>
        <v>0</v>
      </c>
      <c r="Q18" s="23">
        <f>IFERROR(VLOOKUP($M$2&amp;"-"&amp; RIGHT(Q$4,1)&amp;"-"&amp;$A18,CC1_InputUser!$L:$N,2,FALSE),0)</f>
        <v>0</v>
      </c>
      <c r="R18" s="23">
        <f>IFERROR(VLOOKUP($M$2&amp;"-"&amp; RIGHT(R$4,1)&amp;"-"&amp;$A18,CC1_InputUser!$L:$N,3,FALSE),0)</f>
        <v>0</v>
      </c>
      <c r="S18" s="23">
        <f>IFERROR(VLOOKUP($M$2&amp;"-"&amp; RIGHT(S$4,1)&amp;"-"&amp;$A18,CC1_InputUser!$L:$N,3,FALSE),0)</f>
        <v>0</v>
      </c>
      <c r="T18" s="23">
        <f>IFERROR(VLOOKUP($M$2&amp;"-"&amp; RIGHT(T$4,1)&amp;"-"&amp;$A18,CC1_InputUser!$L:$N,3,FALSE),0)</f>
        <v>0</v>
      </c>
      <c r="U18" s="23">
        <f>IFERROR(VLOOKUP($M$2&amp;"-"&amp; RIGHT(U$4,1)&amp;"-"&amp;$A18,CC1_InputUser!$L:$N,3,FALSE),0)</f>
        <v>0</v>
      </c>
      <c r="V18" s="23">
        <f>IFERROR(VLOOKUP($M$2&amp;"-"&amp; RIGHT(V$4,1)&amp;"-"&amp;$A18,CC1_InputUser!$L:$N,3,FALSE),0)</f>
        <v>0</v>
      </c>
      <c r="W18" s="26"/>
      <c r="X18" s="23">
        <f>IFERROR(VLOOKUP($X$2&amp;"-"&amp; RIGHT(X$4,1)&amp;"-"&amp;$A18,CC1_InputUser!$L:$N,2,FALSE),0)</f>
        <v>0</v>
      </c>
      <c r="Y18" s="23">
        <f>IFERROR(VLOOKUP($X$2&amp;"-"&amp; RIGHT(Y$4,1)&amp;"-"&amp;$A18,CC1_InputUser!$L:$N,2,FALSE),0)</f>
        <v>0</v>
      </c>
      <c r="Z18" s="23">
        <f>IFERROR(VLOOKUP($X$2&amp;"-"&amp; RIGHT(Z$4,1)&amp;"-"&amp;$A18,CC1_InputUser!$L:$N,2,FALSE),0)</f>
        <v>0</v>
      </c>
      <c r="AA18" s="23">
        <f>IFERROR(VLOOKUP($X$2&amp;"-"&amp; RIGHT(AA$4,1)&amp;"-"&amp;$A18,CC1_InputUser!$L:$N,2,FALSE),0)</f>
        <v>0</v>
      </c>
      <c r="AB18" s="23">
        <f>IFERROR(VLOOKUP($X$2&amp;"-"&amp; RIGHT(AB$4,1)&amp;"-"&amp;$A18,CC1_InputUser!$L:$N,2,FALSE),0)</f>
        <v>0</v>
      </c>
      <c r="AC18" s="23">
        <f>IFERROR(VLOOKUP($X$2&amp;"-"&amp; RIGHT(AC$4,1)&amp;"-"&amp;$A18,CC1_InputUser!$L:$N,3,FALSE),0)</f>
        <v>0</v>
      </c>
      <c r="AD18" s="23">
        <f>IFERROR(VLOOKUP($X$2&amp;"-"&amp; RIGHT(AD$4,1)&amp;"-"&amp;$A18,CC1_InputUser!$L:$N,3,FALSE),0)</f>
        <v>0</v>
      </c>
      <c r="AE18" s="23">
        <f>IFERROR(VLOOKUP($X$2&amp;"-"&amp; RIGHT(AE$4,1)&amp;"-"&amp;$A18,CC1_InputUser!$L:$N,3,FALSE),0)</f>
        <v>0</v>
      </c>
      <c r="AF18" s="23">
        <f>IFERROR(VLOOKUP($X$2&amp;"-"&amp; RIGHT(AF$4,1)&amp;"-"&amp;$A18,CC1_InputUser!$L:$N,3,FALSE),0)</f>
        <v>0</v>
      </c>
      <c r="AG18" s="23">
        <f>IFERROR(VLOOKUP($X$2&amp;"-"&amp; RIGHT(AG$4,1)&amp;"-"&amp;$A18,CC1_InputUser!$L:$N,3,FALSE),0)</f>
        <v>0</v>
      </c>
      <c r="AH18" s="26"/>
      <c r="AI18" s="23">
        <f>IFERROR(VLOOKUP($AI$2&amp;"-"&amp; RIGHT(AI$4,1)&amp;"-"&amp;$A18,CC1_InputUser!$L:$N,2,FALSE),0)</f>
        <v>0</v>
      </c>
      <c r="AJ18" s="23">
        <f>IFERROR(VLOOKUP($AI$2&amp;"-"&amp; RIGHT(AJ$4,1)&amp;"-"&amp;$A18,CC1_InputUser!$L:$N,2,FALSE),0)</f>
        <v>0</v>
      </c>
      <c r="AK18" s="23">
        <f>IFERROR(VLOOKUP($AI$2&amp;"-"&amp; RIGHT(AK$4,1)&amp;"-"&amp;$A18,CC1_InputUser!$L:$N,2,FALSE),0)</f>
        <v>0</v>
      </c>
      <c r="AL18" s="23">
        <f>IFERROR(VLOOKUP($AI$2&amp;"-"&amp; RIGHT(AL$4,1)&amp;"-"&amp;$A18,CC1_InputUser!$L:$N,2,FALSE),0)</f>
        <v>0</v>
      </c>
      <c r="AM18" s="23">
        <f>IFERROR(VLOOKUP($AI$2&amp;"-"&amp; RIGHT(AM$4,1)&amp;"-"&amp;$A18,CC1_InputUser!$L:$N,2,FALSE),0)</f>
        <v>0</v>
      </c>
      <c r="AN18" s="23">
        <f>IFERROR(VLOOKUP($AI$2&amp;"-"&amp; RIGHT(AN$4,1)&amp;"-"&amp;$A18,CC1_InputUser!$L:$N,3,FALSE),0)</f>
        <v>0</v>
      </c>
      <c r="AO18" s="23">
        <f>IFERROR(VLOOKUP($AI$2&amp;"-"&amp; RIGHT(AO$4,1)&amp;"-"&amp;$A18,CC1_InputUser!$L:$N,3,FALSE),0)</f>
        <v>0</v>
      </c>
      <c r="AP18" s="23">
        <f>IFERROR(VLOOKUP($AI$2&amp;"-"&amp; RIGHT(AP$4,1)&amp;"-"&amp;$A18,CC1_InputUser!$L:$N,3,FALSE),0)</f>
        <v>0</v>
      </c>
      <c r="AQ18" s="23">
        <f>IFERROR(VLOOKUP($AI$2&amp;"-"&amp; RIGHT(AQ$4,1)&amp;"-"&amp;$A18,CC1_InputUser!$L:$N,3,FALSE),0)</f>
        <v>0</v>
      </c>
      <c r="AR18" s="23">
        <f>IFERROR(VLOOKUP($AI$2&amp;"-"&amp; RIGHT(AR$4,1)&amp;"-"&amp;$A18,CC1_InputUser!$L:$N,3,FALSE),0)</f>
        <v>0</v>
      </c>
      <c r="AS18" s="26"/>
      <c r="AT18" s="23">
        <f>IFERROR(VLOOKUP($AT$2&amp;"-"&amp; RIGHT(AT$4,1)&amp;"-"&amp;$A18,CC1_InputUser!$L:$N,2,FALSE),0)</f>
        <v>0</v>
      </c>
      <c r="AU18" s="23">
        <f>IFERROR(VLOOKUP($AT$2&amp;"-"&amp; RIGHT(AU$4,1)&amp;"-"&amp;$A18,CC1_InputUser!$L:$N,2,FALSE),0)</f>
        <v>0</v>
      </c>
      <c r="AV18" s="23">
        <f>IFERROR(VLOOKUP($AT$2&amp;"-"&amp; RIGHT(AV$4,1)&amp;"-"&amp;$A18,CC1_InputUser!$L:$N,2,FALSE),0)</f>
        <v>0</v>
      </c>
      <c r="AW18" s="23">
        <f>IFERROR(VLOOKUP($AT$2&amp;"-"&amp; RIGHT(AW$4,1)&amp;"-"&amp;$A18,CC1_InputUser!$L:$N,2,FALSE),0)</f>
        <v>-2.2499999999999964E-2</v>
      </c>
      <c r="AX18" s="23">
        <f>IFERROR(VLOOKUP($AT$2&amp;"-"&amp; RIGHT(AX$4,1)&amp;"-"&amp;$A18,CC1_InputUser!$L:$N,2,FALSE),0)</f>
        <v>0</v>
      </c>
      <c r="AY18" s="23">
        <f>IFERROR(VLOOKUP($AT$2&amp;"-"&amp; RIGHT(AY$4,1)&amp;"-"&amp;$A18,CC1_InputUser!$L:$N,3,FALSE),0)</f>
        <v>0</v>
      </c>
      <c r="AZ18" s="23">
        <f>IFERROR(VLOOKUP($AT$2&amp;"-"&amp; RIGHT(AZ$4,1)&amp;"-"&amp;$A18,CC1_InputUser!$L:$N,3,FALSE),0)</f>
        <v>0</v>
      </c>
      <c r="BA18" s="23">
        <f>IFERROR(VLOOKUP($AT$2&amp;"-"&amp; RIGHT(BA$4,1)&amp;"-"&amp;$A18,CC1_InputUser!$L:$N,3,FALSE),0)</f>
        <v>0</v>
      </c>
      <c r="BB18" s="23">
        <f>IFERROR(VLOOKUP($AT$2&amp;"-"&amp; RIGHT(BB$4,1)&amp;"-"&amp;$A18,CC1_InputUser!$L:$N,3,FALSE),0)</f>
        <v>-2.2499999999999964E-2</v>
      </c>
      <c r="BC18" s="23">
        <f>IFERROR(VLOOKUP($AT$2&amp;"-"&amp; RIGHT(BC$4,1)&amp;"-"&amp;$A18,CC1_InputUser!$L:$N,3,FALSE),0)</f>
        <v>0</v>
      </c>
      <c r="BD18" s="26"/>
      <c r="BE18" s="23">
        <f>IFERROR(VLOOKUP($AT$2&amp;"-"&amp; RIGHT(BE$4,1)&amp;"-"&amp;$A18,CC1_InputUser!$L:$N,2,FALSE),0)</f>
        <v>0</v>
      </c>
      <c r="BF18" s="23">
        <f>IFERROR(VLOOKUP($AT$2&amp;"-"&amp; RIGHT(BF$4,1)&amp;"-"&amp;$A18,CC1_InputUser!$L:$N,2,FALSE),0)</f>
        <v>0</v>
      </c>
      <c r="BG18" s="23">
        <f>IFERROR(VLOOKUP($AT$2&amp;"-"&amp; RIGHT(BG$4,1)&amp;"-"&amp;$A18,CC1_InputUser!$L:$N,2,FALSE),0)</f>
        <v>0</v>
      </c>
      <c r="BH18" s="23">
        <f>IFERROR(VLOOKUP($AT$2&amp;"-"&amp; RIGHT(BH$4,1)&amp;"-"&amp;$A18,CC1_InputUser!$L:$N,2,FALSE),0)</f>
        <v>-2.2499999999999964E-2</v>
      </c>
      <c r="BI18" s="23">
        <f>IFERROR(VLOOKUP($AT$2&amp;"-"&amp; RIGHT(BI$4,1)&amp;"-"&amp;$A18,CC1_InputUser!$L:$N,2,FALSE),0)</f>
        <v>0</v>
      </c>
      <c r="BJ18" s="23">
        <f>IFERROR(VLOOKUP($AT$2&amp;"-"&amp; RIGHT(BJ$4,1)&amp;"-"&amp;$A18,CC1_InputUser!$L:$N,3,FALSE),0)</f>
        <v>0</v>
      </c>
      <c r="BK18" s="23">
        <f>IFERROR(VLOOKUP($AT$2&amp;"-"&amp; RIGHT(BK$4,1)&amp;"-"&amp;$A18,CC1_InputUser!$L:$N,3,FALSE),0)</f>
        <v>0</v>
      </c>
      <c r="BL18" s="23">
        <f>IFERROR(VLOOKUP($AT$2&amp;"-"&amp; RIGHT(BL$4,1)&amp;"-"&amp;$A18,CC1_InputUser!$L:$N,3,FALSE),0)</f>
        <v>0</v>
      </c>
      <c r="BM18" s="23">
        <f>IFERROR(VLOOKUP($AT$2&amp;"-"&amp; RIGHT(BM$4,1)&amp;"-"&amp;$A18,CC1_InputUser!$L:$N,3,FALSE),0)</f>
        <v>-2.2499999999999964E-2</v>
      </c>
      <c r="BN18" s="23">
        <f>IFERROR(VLOOKUP($AT$2&amp;"-"&amp; RIGHT(BN$4,1)&amp;"-"&amp;$A18,CC1_InputUser!$L:$N,3,FALSE),0)</f>
        <v>0</v>
      </c>
      <c r="BO18" s="26"/>
      <c r="BP18" s="23">
        <f>IFERROR(VLOOKUP($BP$2&amp;"-"&amp; RIGHT(BP$4,1)&amp;"-"&amp;$A18,CC1_InputUser!$L:$N,2,FALSE),0)</f>
        <v>0</v>
      </c>
      <c r="BQ18" s="23">
        <f>IFERROR(VLOOKUP($BP$2&amp;"-"&amp; RIGHT(BQ$4,1)&amp;"-"&amp;$A18,CC1_InputUser!$L:$N,2,FALSE),0)</f>
        <v>0</v>
      </c>
      <c r="BR18" s="23">
        <f>IFERROR(VLOOKUP($BP$2&amp;"-"&amp; RIGHT(BR$4,1)&amp;"-"&amp;$A18,CC1_InputUser!$L:$N,2,FALSE),0)</f>
        <v>0</v>
      </c>
      <c r="BS18" s="23">
        <f>IFERROR(VLOOKUP($BP$2&amp;"-"&amp; RIGHT(BS$4,1)&amp;"-"&amp;$A18,CC1_InputUser!$L:$N,2,FALSE),0)</f>
        <v>0</v>
      </c>
      <c r="BT18" s="23">
        <f>IFERROR(VLOOKUP($BP$2&amp;"-"&amp; RIGHT(BT$4,1)&amp;"-"&amp;$A18,CC1_InputUser!$L:$N,2,FALSE),0)</f>
        <v>0</v>
      </c>
      <c r="BU18" s="23">
        <f>IFERROR(VLOOKUP($BP$2&amp;"-"&amp; RIGHT(BU$4,1)&amp;"-"&amp;$A18,CC1_InputUser!$L:$N,3,FALSE),0)</f>
        <v>0</v>
      </c>
      <c r="BV18" s="23">
        <f>IFERROR(VLOOKUP($BP$2&amp;"-"&amp; RIGHT(BV$4,1)&amp;"-"&amp;$A18,CC1_InputUser!$L:$N,3,FALSE),0)</f>
        <v>0</v>
      </c>
      <c r="BW18" s="23">
        <f>IFERROR(VLOOKUP($BP$2&amp;"-"&amp; RIGHT(BW$4,1)&amp;"-"&amp;$A18,CC1_InputUser!$L:$N,3,FALSE),0)</f>
        <v>0</v>
      </c>
      <c r="BX18" s="23">
        <f>IFERROR(VLOOKUP($BP$2&amp;"-"&amp; RIGHT(BX$4,1)&amp;"-"&amp;$A18,CC1_InputUser!$L:$N,3,FALSE),0)</f>
        <v>0</v>
      </c>
      <c r="BY18" s="23">
        <f>IFERROR(VLOOKUP($BP$2&amp;"-"&amp; RIGHT(BY$4,1)&amp;"-"&amp;$A18,CC1_InputUser!$L:$N,3,FALSE),0)</f>
        <v>0</v>
      </c>
      <c r="BZ18" s="26"/>
      <c r="CA18" s="23">
        <f>IFERROR(VLOOKUP($CA$2&amp;"-"&amp; RIGHT(CA$4,1)&amp;"-"&amp;$A18,CC1_InputUser!$L:$N,2,FALSE),0)</f>
        <v>0</v>
      </c>
      <c r="CB18" s="23">
        <f>IFERROR(VLOOKUP($CA$2&amp;"-"&amp; RIGHT(CB$4,1)&amp;"-"&amp;$A18,CC1_InputUser!$L:$N,2,FALSE),0)</f>
        <v>0</v>
      </c>
      <c r="CC18" s="23">
        <f>IFERROR(VLOOKUP($CA$2&amp;"-"&amp; RIGHT(CC$4,1)&amp;"-"&amp;$A18,CC1_InputUser!$L:$N,2,FALSE),0)</f>
        <v>0</v>
      </c>
      <c r="CD18" s="23">
        <f>IFERROR(VLOOKUP($CA$2&amp;"-"&amp; RIGHT(CD$4,1)&amp;"-"&amp;$A18,CC1_InputUser!$L:$N,2,FALSE),0)</f>
        <v>0</v>
      </c>
      <c r="CE18" s="23">
        <f>IFERROR(VLOOKUP($CA$2&amp;"-"&amp; RIGHT(CE$4,1)&amp;"-"&amp;$A18,CC1_InputUser!$L:$N,2,FALSE),0)</f>
        <v>0</v>
      </c>
      <c r="CF18" s="23">
        <f>IFERROR(VLOOKUP($CA$2&amp;"-"&amp; RIGHT(CF$4,1)&amp;"-"&amp;$A18,CC1_InputUser!$L:$N,3,FALSE),0)</f>
        <v>0</v>
      </c>
      <c r="CG18" s="23">
        <f>IFERROR(VLOOKUP($CA$2&amp;"-"&amp; RIGHT(CG$4,1)&amp;"-"&amp;$A18,CC1_InputUser!$L:$N,3,FALSE),0)</f>
        <v>0</v>
      </c>
      <c r="CH18" s="23">
        <f>IFERROR(VLOOKUP($CA$2&amp;"-"&amp; RIGHT(CH$4,1)&amp;"-"&amp;$A18,CC1_InputUser!$L:$N,3,FALSE),0)</f>
        <v>0</v>
      </c>
      <c r="CI18" s="23">
        <f>IFERROR(VLOOKUP($CA$2&amp;"-"&amp; RIGHT(CI$4,1)&amp;"-"&amp;$A18,CC1_InputUser!$L:$N,3,FALSE),0)</f>
        <v>0</v>
      </c>
      <c r="CJ18" s="23">
        <f>IFERROR(VLOOKUP($CA$2&amp;"-"&amp; RIGHT(CJ$4,1)&amp;"-"&amp;$A18,CC1_InputUser!$L:$N,3,FALSE),0)</f>
        <v>0</v>
      </c>
      <c r="CK18" s="26"/>
      <c r="CL18" s="23">
        <f>IFERROR(VLOOKUP($CL$2&amp;"-"&amp; RIGHT(CL$4,1)&amp;"-"&amp;$A18,CC1_InputUser!$L:$N,2,FALSE),0)</f>
        <v>0</v>
      </c>
      <c r="CM18" s="23">
        <f>IFERROR(VLOOKUP($CL$2&amp;"-"&amp; RIGHT(CM$4,1)&amp;"-"&amp;$A18,CC1_InputUser!$L:$N,2,FALSE),0)</f>
        <v>0</v>
      </c>
      <c r="CN18" s="23">
        <f>IFERROR(VLOOKUP($CL$2&amp;"-"&amp; RIGHT(CN$4,1)&amp;"-"&amp;$A18,CC1_InputUser!$L:$N,2,FALSE),0)</f>
        <v>0</v>
      </c>
      <c r="CO18" s="23">
        <f>IFERROR(VLOOKUP($CL$2&amp;"-"&amp; RIGHT(CO$4,1)&amp;"-"&amp;$A18,CC1_InputUser!$L:$N,2,FALSE),0)</f>
        <v>0</v>
      </c>
      <c r="CP18" s="23">
        <f>IFERROR(VLOOKUP($CL$2&amp;"-"&amp; RIGHT(CP$4,1)&amp;"-"&amp;$A18,CC1_InputUser!$L:$N,2,FALSE),0)</f>
        <v>0</v>
      </c>
      <c r="CQ18" s="23">
        <f>IFERROR(VLOOKUP($CL$2&amp;"-"&amp; RIGHT(CQ$4,1)&amp;"-"&amp;$A18,CC1_InputUser!$L:$N,3,FALSE),0)</f>
        <v>0</v>
      </c>
      <c r="CR18" s="23">
        <f>IFERROR(VLOOKUP($CL$2&amp;"-"&amp; RIGHT(CR$4,1)&amp;"-"&amp;$A18,CC1_InputUser!$L:$N,3,FALSE),0)</f>
        <v>0</v>
      </c>
      <c r="CS18" s="23">
        <f>IFERROR(VLOOKUP($CL$2&amp;"-"&amp; RIGHT(CS$4,1)&amp;"-"&amp;$A18,CC1_InputUser!$L:$N,3,FALSE),0)</f>
        <v>0</v>
      </c>
      <c r="CT18" s="23">
        <f>IFERROR(VLOOKUP($CL$2&amp;"-"&amp; RIGHT(CT$4,1)&amp;"-"&amp;$A18,CC1_InputUser!$L:$N,3,FALSE),0)</f>
        <v>0</v>
      </c>
      <c r="CU18" s="23">
        <f>IFERROR(VLOOKUP($CL$2&amp;"-"&amp; RIGHT(CU$4,1)&amp;"-"&amp;$A18,CC1_InputUser!$L:$N,3,FALSE),0)</f>
        <v>0</v>
      </c>
      <c r="CV18" s="26"/>
      <c r="CW18" s="23">
        <f>IFERROR(VLOOKUP($CW$2&amp;"-"&amp; RIGHT(CW$4,1)&amp;"-"&amp;$A18,CC1_InputUser!$L:$N,2,FALSE),0)</f>
        <v>0</v>
      </c>
      <c r="CX18" s="23">
        <f>IFERROR(VLOOKUP($CW$2&amp;"-"&amp; RIGHT(CX$4,1)&amp;"-"&amp;$A18,CC1_InputUser!$L:$N,2,FALSE),0)</f>
        <v>0</v>
      </c>
      <c r="CY18" s="23">
        <f>IFERROR(VLOOKUP($CW$2&amp;"-"&amp; RIGHT(CY$4,1)&amp;"-"&amp;$A18,CC1_InputUser!$L:$N,2,FALSE),0)</f>
        <v>0</v>
      </c>
      <c r="CZ18" s="23">
        <f>IFERROR(VLOOKUP($CW$2&amp;"-"&amp; RIGHT(CZ$4,1)&amp;"-"&amp;$A18,CC1_InputUser!$L:$N,2,FALSE),0)</f>
        <v>0</v>
      </c>
      <c r="DA18" s="23">
        <f>IFERROR(VLOOKUP($CW$2&amp;"-"&amp; RIGHT(DA$4,1)&amp;"-"&amp;$A18,CC1_InputUser!$L:$N,2,FALSE),0)</f>
        <v>0</v>
      </c>
      <c r="DB18" s="23">
        <f>IFERROR(VLOOKUP($CW$2&amp;"-"&amp; RIGHT(DB$4,1)&amp;"-"&amp;$A18,CC1_InputUser!$L:$N,3,FALSE),0)</f>
        <v>0</v>
      </c>
      <c r="DC18" s="23">
        <f>IFERROR(VLOOKUP($CW$2&amp;"-"&amp; RIGHT(DC$4,1)&amp;"-"&amp;$A18,CC1_InputUser!$L:$N,3,FALSE),0)</f>
        <v>0</v>
      </c>
      <c r="DD18" s="23">
        <f>IFERROR(VLOOKUP($CW$2&amp;"-"&amp; RIGHT(DD$4,1)&amp;"-"&amp;$A18,CC1_InputUser!$L:$N,3,FALSE),0)</f>
        <v>0</v>
      </c>
      <c r="DE18" s="23">
        <f>IFERROR(VLOOKUP($CW$2&amp;"-"&amp; RIGHT(DE$4,1)&amp;"-"&amp;$A18,CC1_InputUser!$L:$N,3,FALSE),0)</f>
        <v>0</v>
      </c>
      <c r="DF18" s="23">
        <f>IFERROR(VLOOKUP($CW$2&amp;"-"&amp; RIGHT(DF$4,1)&amp;"-"&amp;$A18,CC1_InputUser!$L:$N,3,FALSE),0)</f>
        <v>0</v>
      </c>
      <c r="DG18" s="26"/>
      <c r="DH18" s="23">
        <f>IFERROR(VLOOKUP($DH$2&amp;"-"&amp; RIGHT(DH$4,1)&amp;"-"&amp;$A18,CC1_InputUser!$L:$N,2,FALSE),0)</f>
        <v>0</v>
      </c>
      <c r="DI18" s="23">
        <f>IFERROR(VLOOKUP($DH$2&amp;"-"&amp; RIGHT(DI$4,1)&amp;"-"&amp;$A18,CC1_InputUser!$L:$N,2,FALSE),0)</f>
        <v>0</v>
      </c>
      <c r="DJ18" s="23">
        <f>IFERROR(VLOOKUP($DH$2&amp;"-"&amp; RIGHT(DJ$4,1)&amp;"-"&amp;$A18,CC1_InputUser!$L:$N,2,FALSE),0)</f>
        <v>0</v>
      </c>
      <c r="DK18" s="23">
        <f>IFERROR(VLOOKUP($DH$2&amp;"-"&amp; RIGHT(DK$4,1)&amp;"-"&amp;$A18,CC1_InputUser!$L:$N,2,FALSE),0)</f>
        <v>0</v>
      </c>
      <c r="DL18" s="23">
        <f>IFERROR(VLOOKUP($DH$2&amp;"-"&amp; RIGHT(DL$4,1)&amp;"-"&amp;$A18,CC1_InputUser!$L:$N,2,FALSE),0)</f>
        <v>0</v>
      </c>
      <c r="DM18" s="23">
        <f>IFERROR(VLOOKUP($DH$2&amp;"-"&amp; RIGHT(DM$4,1)&amp;"-"&amp;$A18,CC1_InputUser!$L:$N,3,FALSE),0)</f>
        <v>0</v>
      </c>
      <c r="DN18" s="23">
        <f>IFERROR(VLOOKUP($DH$2&amp;"-"&amp; RIGHT(DN$4,1)&amp;"-"&amp;$A18,CC1_InputUser!$L:$N,3,FALSE),0)</f>
        <v>0</v>
      </c>
      <c r="DO18" s="23">
        <f>IFERROR(VLOOKUP($DH$2&amp;"-"&amp; RIGHT(DO$4,1)&amp;"-"&amp;$A18,CC1_InputUser!$L:$N,3,FALSE),0)</f>
        <v>0</v>
      </c>
      <c r="DP18" s="23">
        <f>IFERROR(VLOOKUP($DH$2&amp;"-"&amp; RIGHT(DP$4,1)&amp;"-"&amp;$A18,CC1_InputUser!$L:$N,3,FALSE),0)</f>
        <v>0</v>
      </c>
      <c r="DQ18" s="23">
        <f>IFERROR(VLOOKUP($DH$2&amp;"-"&amp; RIGHT(DQ$4,1)&amp;"-"&amp;$A18,CC1_InputUser!$L:$N,3,FALSE),0)</f>
        <v>0</v>
      </c>
      <c r="DR18" s="26"/>
      <c r="DS18" s="23">
        <f>IFERROR(VLOOKUP($DS$2&amp;"-"&amp; RIGHT(DS$4,1)&amp;"-"&amp;$A18,CC1_InputUser!$L:$N,2,FALSE),0)</f>
        <v>0</v>
      </c>
      <c r="DT18" s="23">
        <f>IFERROR(VLOOKUP($DS$2&amp;"-"&amp; RIGHT(DT$4,1)&amp;"-"&amp;$A18,CC1_InputUser!$L:$N,2,FALSE),0)</f>
        <v>0</v>
      </c>
      <c r="DU18" s="23">
        <f>IFERROR(VLOOKUP($DS$2&amp;"-"&amp; RIGHT(DU$4,1)&amp;"-"&amp;$A18,CC1_InputUser!$L:$N,2,FALSE),0)</f>
        <v>0</v>
      </c>
      <c r="DV18" s="23">
        <f>IFERROR(VLOOKUP($DS$2&amp;"-"&amp; RIGHT(DV$4,1)&amp;"-"&amp;$A18,CC1_InputUser!$L:$N,2,FALSE),0)</f>
        <v>0</v>
      </c>
      <c r="DW18" s="23">
        <f>IFERROR(VLOOKUP($DS$2&amp;"-"&amp; RIGHT(DW$4,1)&amp;"-"&amp;$A18,CC1_InputUser!$L:$N,2,FALSE),0)</f>
        <v>0</v>
      </c>
      <c r="DX18" s="23">
        <f>IFERROR(VLOOKUP($DS$2&amp;"-"&amp; RIGHT(DX$4,1)&amp;"-"&amp;$A18,CC1_InputUser!$L:$N,3,FALSE),0)</f>
        <v>0</v>
      </c>
      <c r="DY18" s="23">
        <f>IFERROR(VLOOKUP($DS$2&amp;"-"&amp; RIGHT(DY$4,1)&amp;"-"&amp;$A18,CC1_InputUser!$L:$N,3,FALSE),0)</f>
        <v>0</v>
      </c>
      <c r="DZ18" s="23">
        <f>IFERROR(VLOOKUP($DS$2&amp;"-"&amp; RIGHT(DZ$4,1)&amp;"-"&amp;$A18,CC1_InputUser!$L:$N,3,FALSE),0)</f>
        <v>0</v>
      </c>
      <c r="EA18" s="23">
        <f>IFERROR(VLOOKUP($DS$2&amp;"-"&amp; RIGHT(EA$4,1)&amp;"-"&amp;$A18,CC1_InputUser!$L:$N,3,FALSE),0)</f>
        <v>0</v>
      </c>
      <c r="EB18" s="23">
        <f>IFERROR(VLOOKUP($DS$2&amp;"-"&amp; RIGHT(EB$4,1)&amp;"-"&amp;$A18,CC1_InputUser!$L:$N,3,FALSE),0)</f>
        <v>0</v>
      </c>
      <c r="EC18" s="26"/>
    </row>
    <row r="19" spans="1:133" ht="2.1" customHeight="1" x14ac:dyDescent="0.3">
      <c r="A19" s="20"/>
      <c r="B19" s="20"/>
      <c r="C19" s="20"/>
      <c r="D19" s="20"/>
      <c r="E19" s="20"/>
      <c r="F19" s="29"/>
      <c r="G19" s="20"/>
      <c r="H19" s="20"/>
      <c r="I19" s="20"/>
      <c r="J19" s="20"/>
      <c r="K19" s="20"/>
      <c r="L19" s="18"/>
      <c r="M19" s="20"/>
      <c r="N19" s="20"/>
      <c r="O19" s="20"/>
      <c r="P19" s="20"/>
      <c r="Q19" s="29"/>
      <c r="R19" s="20"/>
      <c r="S19" s="20"/>
      <c r="T19" s="20"/>
      <c r="U19" s="20"/>
      <c r="V19" s="20"/>
      <c r="W19" s="18"/>
      <c r="X19" s="20"/>
      <c r="Y19" s="20"/>
      <c r="Z19" s="20"/>
      <c r="AA19" s="20"/>
      <c r="AB19" s="29"/>
      <c r="AC19" s="20"/>
      <c r="AD19" s="20"/>
      <c r="AE19" s="20"/>
      <c r="AF19" s="20"/>
      <c r="AG19" s="20"/>
      <c r="AH19" s="18"/>
      <c r="AI19" s="20"/>
      <c r="AJ19" s="20"/>
      <c r="AK19" s="20"/>
      <c r="AL19" s="20"/>
      <c r="AM19" s="29"/>
      <c r="AN19" s="20"/>
      <c r="AO19" s="20"/>
      <c r="AP19" s="20"/>
      <c r="AQ19" s="20"/>
      <c r="AR19" s="20"/>
      <c r="AS19" s="18"/>
      <c r="AT19" s="20"/>
      <c r="AU19" s="20"/>
      <c r="AV19" s="20"/>
      <c r="AW19" s="20"/>
      <c r="AX19" s="29"/>
      <c r="AY19" s="20"/>
      <c r="AZ19" s="20"/>
      <c r="BA19" s="20"/>
      <c r="BB19" s="20"/>
      <c r="BC19" s="20"/>
      <c r="BD19" s="18"/>
      <c r="BE19" s="20"/>
      <c r="BF19" s="20"/>
      <c r="BG19" s="20"/>
      <c r="BH19" s="20"/>
      <c r="BI19" s="29"/>
      <c r="BJ19" s="20"/>
      <c r="BK19" s="20"/>
      <c r="BL19" s="20"/>
      <c r="BM19" s="20"/>
      <c r="BN19" s="20"/>
      <c r="BO19" s="18"/>
      <c r="BP19" s="20"/>
      <c r="BQ19" s="20"/>
      <c r="BR19" s="20"/>
      <c r="BS19" s="20"/>
      <c r="BT19" s="29"/>
      <c r="BU19" s="20"/>
      <c r="BV19" s="20"/>
      <c r="BW19" s="20"/>
      <c r="BX19" s="20"/>
      <c r="BY19" s="20"/>
      <c r="BZ19" s="18"/>
      <c r="CA19" s="20"/>
      <c r="CB19" s="20"/>
      <c r="CC19" s="20"/>
      <c r="CD19" s="20"/>
      <c r="CE19" s="29"/>
      <c r="CF19" s="20"/>
      <c r="CG19" s="20"/>
      <c r="CH19" s="20"/>
      <c r="CI19" s="20"/>
      <c r="CJ19" s="20"/>
      <c r="CK19" s="18"/>
      <c r="CL19" s="20"/>
      <c r="CM19" s="20"/>
      <c r="CN19" s="20"/>
      <c r="CO19" s="20"/>
      <c r="CP19" s="29"/>
      <c r="CQ19" s="20"/>
      <c r="CR19" s="20"/>
      <c r="CS19" s="20"/>
      <c r="CT19" s="20"/>
      <c r="CU19" s="20"/>
      <c r="CV19" s="18"/>
      <c r="CW19" s="20"/>
      <c r="CX19" s="20"/>
      <c r="CY19" s="20"/>
      <c r="CZ19" s="20"/>
      <c r="DA19" s="29"/>
      <c r="DB19" s="20"/>
      <c r="DC19" s="20"/>
      <c r="DD19" s="20"/>
      <c r="DE19" s="20"/>
      <c r="DF19" s="20"/>
      <c r="DG19" s="18"/>
      <c r="DH19" s="20"/>
      <c r="DI19" s="20"/>
      <c r="DJ19" s="20"/>
      <c r="DK19" s="20"/>
      <c r="DL19" s="29"/>
      <c r="DM19" s="20"/>
      <c r="DN19" s="20"/>
      <c r="DO19" s="20"/>
      <c r="DP19" s="20"/>
      <c r="DQ19" s="20"/>
      <c r="DR19" s="18"/>
      <c r="DS19" s="20"/>
      <c r="DT19" s="20"/>
      <c r="DU19" s="20"/>
      <c r="DV19" s="20"/>
      <c r="DW19" s="29"/>
      <c r="DX19" s="20"/>
      <c r="DY19" s="20"/>
      <c r="DZ19" s="20"/>
      <c r="EA19" s="20"/>
      <c r="EB19" s="20"/>
      <c r="EC19" s="18"/>
    </row>
    <row r="20" spans="1:133" s="57" customFormat="1" ht="24.95" customHeight="1" x14ac:dyDescent="0.25">
      <c r="A20" s="43" t="s">
        <v>48</v>
      </c>
      <c r="B20" s="76">
        <f t="shared" ref="B20:K20" si="0">SUM(B6:B18)</f>
        <v>0</v>
      </c>
      <c r="C20" s="76">
        <f t="shared" si="0"/>
        <v>0</v>
      </c>
      <c r="D20" s="76">
        <f t="shared" si="0"/>
        <v>0.21093554509494794</v>
      </c>
      <c r="E20" s="76">
        <f t="shared" si="0"/>
        <v>0.31567265792289212</v>
      </c>
      <c r="F20" s="76">
        <f t="shared" si="0"/>
        <v>0</v>
      </c>
      <c r="G20" s="58">
        <f t="shared" si="0"/>
        <v>-0.17594727200666294</v>
      </c>
      <c r="H20" s="58">
        <f t="shared" si="0"/>
        <v>-6.5803300226026873E-2</v>
      </c>
      <c r="I20" s="58">
        <f t="shared" si="0"/>
        <v>-0.40503937809605528</v>
      </c>
      <c r="J20" s="58">
        <f t="shared" si="0"/>
        <v>-0.40025852649533455</v>
      </c>
      <c r="K20" s="58">
        <f t="shared" si="0"/>
        <v>0</v>
      </c>
      <c r="L20" s="63"/>
      <c r="M20" s="61">
        <f t="shared" ref="M20:V20" si="1">SUM(M6:M18)</f>
        <v>-6.330072629357375E-2</v>
      </c>
      <c r="N20" s="61">
        <f t="shared" si="1"/>
        <v>0.46798426574676588</v>
      </c>
      <c r="O20" s="61">
        <f t="shared" si="1"/>
        <v>-0.34640346176915449</v>
      </c>
      <c r="P20" s="61">
        <f t="shared" si="1"/>
        <v>0.53886248581157026</v>
      </c>
      <c r="Q20" s="61">
        <f t="shared" si="1"/>
        <v>0.25508538806779146</v>
      </c>
      <c r="R20" s="58">
        <f t="shared" si="1"/>
        <v>-5.8030853607497934E-2</v>
      </c>
      <c r="S20" s="58">
        <f t="shared" si="1"/>
        <v>-1.1779266314242012</v>
      </c>
      <c r="T20" s="58">
        <f t="shared" si="1"/>
        <v>-0.71584445810165676</v>
      </c>
      <c r="U20" s="58">
        <f t="shared" si="1"/>
        <v>-0.34939470834798603</v>
      </c>
      <c r="V20" s="58">
        <f t="shared" si="1"/>
        <v>-0.33002390227280798</v>
      </c>
      <c r="W20" s="63"/>
      <c r="X20" s="61">
        <f t="shared" ref="X20:AG20" si="2">SUM(X6:X18)</f>
        <v>0</v>
      </c>
      <c r="Y20" s="61">
        <f t="shared" si="2"/>
        <v>5.3111244371408795E-2</v>
      </c>
      <c r="Z20" s="61">
        <f t="shared" si="2"/>
        <v>0.43404818351220664</v>
      </c>
      <c r="AA20" s="61">
        <f t="shared" si="2"/>
        <v>3.8020544270544354E-2</v>
      </c>
      <c r="AB20" s="61">
        <f t="shared" si="2"/>
        <v>0</v>
      </c>
      <c r="AC20" s="58">
        <f t="shared" si="2"/>
        <v>-0.13232650125854006</v>
      </c>
      <c r="AD20" s="58">
        <f t="shared" si="2"/>
        <v>-0.337513158457313</v>
      </c>
      <c r="AE20" s="58">
        <f t="shared" si="2"/>
        <v>-1.1426158636237478</v>
      </c>
      <c r="AF20" s="58">
        <f t="shared" si="2"/>
        <v>-2.0428856122061356E-2</v>
      </c>
      <c r="AG20" s="58">
        <f t="shared" si="2"/>
        <v>0</v>
      </c>
      <c r="AH20" s="63"/>
      <c r="AI20" s="61">
        <f t="shared" ref="AI20:AR20" si="3">SUM(AI6:AI18)</f>
        <v>0.18858331383688332</v>
      </c>
      <c r="AJ20" s="61">
        <f t="shared" si="3"/>
        <v>0</v>
      </c>
      <c r="AK20" s="61">
        <f t="shared" si="3"/>
        <v>-2.270833333333333E-2</v>
      </c>
      <c r="AL20" s="61">
        <f t="shared" si="3"/>
        <v>0.27917882785643122</v>
      </c>
      <c r="AM20" s="61">
        <f t="shared" si="3"/>
        <v>0</v>
      </c>
      <c r="AN20" s="58">
        <f t="shared" si="3"/>
        <v>-0.39181004015928489</v>
      </c>
      <c r="AO20" s="58">
        <f t="shared" si="3"/>
        <v>0</v>
      </c>
      <c r="AP20" s="58">
        <f t="shared" si="3"/>
        <v>-0.27889037622573043</v>
      </c>
      <c r="AQ20" s="58">
        <f t="shared" si="3"/>
        <v>-0.76288822124621614</v>
      </c>
      <c r="AR20" s="58">
        <f t="shared" si="3"/>
        <v>0</v>
      </c>
      <c r="AS20" s="63"/>
      <c r="AT20" s="61">
        <f t="shared" ref="AT20:BC20" si="4">SUM(AT6:AT18)</f>
        <v>1.8277495117223652E-2</v>
      </c>
      <c r="AU20" s="61">
        <f t="shared" si="4"/>
        <v>-0.13831921364113797</v>
      </c>
      <c r="AV20" s="61">
        <f t="shared" si="4"/>
        <v>0.16362391085520167</v>
      </c>
      <c r="AW20" s="61">
        <f t="shared" si="4"/>
        <v>-0.23127019649975422</v>
      </c>
      <c r="AX20" s="61">
        <f t="shared" si="4"/>
        <v>0.57813943746047924</v>
      </c>
      <c r="AY20" s="58">
        <f t="shared" si="4"/>
        <v>-0.85637355074949695</v>
      </c>
      <c r="AZ20" s="58">
        <f t="shared" si="4"/>
        <v>-0.36579132512399759</v>
      </c>
      <c r="BA20" s="58">
        <f t="shared" si="4"/>
        <v>-0.30063797828720684</v>
      </c>
      <c r="BB20" s="58">
        <f t="shared" si="4"/>
        <v>-0.40105518317522793</v>
      </c>
      <c r="BC20" s="58">
        <f t="shared" si="4"/>
        <v>-0.49274454950494639</v>
      </c>
      <c r="BD20" s="63"/>
      <c r="BE20" s="61">
        <f t="shared" ref="BE20:BN20" si="5">SUM(BE6:BE18)</f>
        <v>1.8277495117223652E-2</v>
      </c>
      <c r="BF20" s="61">
        <f t="shared" si="5"/>
        <v>-0.13831921364113797</v>
      </c>
      <c r="BG20" s="61">
        <f t="shared" si="5"/>
        <v>0.16362391085520167</v>
      </c>
      <c r="BH20" s="61">
        <f t="shared" si="5"/>
        <v>-0.23127019649975422</v>
      </c>
      <c r="BI20" s="61">
        <f t="shared" si="5"/>
        <v>0.57813943746047924</v>
      </c>
      <c r="BJ20" s="58">
        <f t="shared" si="5"/>
        <v>-0.85637355074949695</v>
      </c>
      <c r="BK20" s="58">
        <f t="shared" si="5"/>
        <v>-0.36579132512399759</v>
      </c>
      <c r="BL20" s="58">
        <f t="shared" si="5"/>
        <v>-0.30063797828720684</v>
      </c>
      <c r="BM20" s="58">
        <f t="shared" si="5"/>
        <v>-0.40105518317522793</v>
      </c>
      <c r="BN20" s="58">
        <f t="shared" si="5"/>
        <v>-0.49274454950494639</v>
      </c>
      <c r="BO20" s="63"/>
      <c r="BP20" s="61">
        <f t="shared" ref="BP20:BY20" si="6">SUM(BP6:BP18)</f>
        <v>-0.60012187273827811</v>
      </c>
      <c r="BQ20" s="61">
        <f t="shared" si="6"/>
        <v>-1.023284625722483</v>
      </c>
      <c r="BR20" s="61">
        <f t="shared" si="6"/>
        <v>-3.8000276969948787E-2</v>
      </c>
      <c r="BS20" s="61">
        <f t="shared" si="6"/>
        <v>0</v>
      </c>
      <c r="BT20" s="61">
        <f t="shared" si="6"/>
        <v>0</v>
      </c>
      <c r="BU20" s="58">
        <f t="shared" si="6"/>
        <v>-1.1017063338460871</v>
      </c>
      <c r="BV20" s="58">
        <f t="shared" si="6"/>
        <v>-0.97525597007919529</v>
      </c>
      <c r="BW20" s="58">
        <f t="shared" si="6"/>
        <v>-6.0271136987614438E-2</v>
      </c>
      <c r="BX20" s="58">
        <f t="shared" si="6"/>
        <v>0</v>
      </c>
      <c r="BY20" s="58">
        <f t="shared" si="6"/>
        <v>0</v>
      </c>
      <c r="BZ20" s="63"/>
      <c r="CA20" s="61">
        <f t="shared" ref="CA20:CJ20" si="7">SUM(CA6:CA18)</f>
        <v>9.5078191940034862E-2</v>
      </c>
      <c r="CB20" s="61">
        <f t="shared" si="7"/>
        <v>0.45858755649474159</v>
      </c>
      <c r="CC20" s="61">
        <f t="shared" si="7"/>
        <v>7.4626865671634235E-4</v>
      </c>
      <c r="CD20" s="61">
        <f t="shared" si="7"/>
        <v>-0.23038249306467817</v>
      </c>
      <c r="CE20" s="61">
        <f t="shared" si="7"/>
        <v>0.53968787414668506</v>
      </c>
      <c r="CF20" s="58">
        <f t="shared" si="7"/>
        <v>-1.0864254742214334</v>
      </c>
      <c r="CG20" s="58">
        <f t="shared" si="7"/>
        <v>-0.15220339083821588</v>
      </c>
      <c r="CH20" s="58">
        <f t="shared" si="7"/>
        <v>-2.3135068768223355E-2</v>
      </c>
      <c r="CI20" s="58">
        <f t="shared" si="7"/>
        <v>-0.46666522999984206</v>
      </c>
      <c r="CJ20" s="58">
        <f t="shared" si="7"/>
        <v>-0.27492027222338855</v>
      </c>
      <c r="CK20" s="63"/>
      <c r="CL20" s="61">
        <f t="shared" ref="CL20:CU20" si="8">SUM(CL6:CL18)</f>
        <v>2.8765662123893421E-2</v>
      </c>
      <c r="CM20" s="61">
        <f t="shared" si="8"/>
        <v>-0.18629671158568473</v>
      </c>
      <c r="CN20" s="61">
        <f t="shared" si="8"/>
        <v>6.3974413889878456E-2</v>
      </c>
      <c r="CO20" s="61">
        <f t="shared" si="8"/>
        <v>0.10463817849800128</v>
      </c>
      <c r="CP20" s="61">
        <f t="shared" si="8"/>
        <v>0</v>
      </c>
      <c r="CQ20" s="58">
        <f t="shared" si="8"/>
        <v>-0.17858139143926999</v>
      </c>
      <c r="CR20" s="58">
        <f t="shared" si="8"/>
        <v>-0.53855284063276421</v>
      </c>
      <c r="CS20" s="58">
        <f t="shared" si="8"/>
        <v>-0.47664632491162484</v>
      </c>
      <c r="CT20" s="58">
        <f t="shared" si="8"/>
        <v>0.29847472235387684</v>
      </c>
      <c r="CU20" s="58">
        <f t="shared" si="8"/>
        <v>0</v>
      </c>
      <c r="CV20" s="63"/>
      <c r="CW20" s="61">
        <f t="shared" ref="CW20:DF20" si="9">SUM(CW6:CW18)</f>
        <v>0</v>
      </c>
      <c r="CX20" s="61">
        <f t="shared" si="9"/>
        <v>0</v>
      </c>
      <c r="CY20" s="61">
        <f t="shared" si="9"/>
        <v>0</v>
      </c>
      <c r="CZ20" s="61">
        <f t="shared" si="9"/>
        <v>0</v>
      </c>
      <c r="DA20" s="61">
        <f t="shared" si="9"/>
        <v>0</v>
      </c>
      <c r="DB20" s="58">
        <f t="shared" si="9"/>
        <v>0</v>
      </c>
      <c r="DC20" s="58">
        <f t="shared" si="9"/>
        <v>0</v>
      </c>
      <c r="DD20" s="58">
        <f t="shared" si="9"/>
        <v>0</v>
      </c>
      <c r="DE20" s="58">
        <f t="shared" si="9"/>
        <v>0</v>
      </c>
      <c r="DF20" s="58">
        <f t="shared" si="9"/>
        <v>0</v>
      </c>
      <c r="DG20" s="63"/>
      <c r="DH20" s="61">
        <f t="shared" ref="DH20:DQ20" si="10">SUM(DH6:DH18)</f>
        <v>0</v>
      </c>
      <c r="DI20" s="61">
        <f t="shared" si="10"/>
        <v>0</v>
      </c>
      <c r="DJ20" s="61">
        <f t="shared" si="10"/>
        <v>0</v>
      </c>
      <c r="DK20" s="61">
        <f t="shared" si="10"/>
        <v>0</v>
      </c>
      <c r="DL20" s="61">
        <f t="shared" si="10"/>
        <v>0</v>
      </c>
      <c r="DM20" s="58">
        <f t="shared" si="10"/>
        <v>0</v>
      </c>
      <c r="DN20" s="58">
        <f t="shared" si="10"/>
        <v>0</v>
      </c>
      <c r="DO20" s="58">
        <f t="shared" si="10"/>
        <v>0</v>
      </c>
      <c r="DP20" s="58">
        <f t="shared" si="10"/>
        <v>0</v>
      </c>
      <c r="DQ20" s="58">
        <f t="shared" si="10"/>
        <v>0</v>
      </c>
      <c r="DR20" s="63"/>
      <c r="DS20" s="61">
        <f t="shared" ref="DS20:EB20" si="11">SUM(DS6:DS18)</f>
        <v>0</v>
      </c>
      <c r="DT20" s="61">
        <f t="shared" si="11"/>
        <v>0</v>
      </c>
      <c r="DU20" s="61">
        <f t="shared" si="11"/>
        <v>0</v>
      </c>
      <c r="DV20" s="61">
        <f t="shared" si="11"/>
        <v>0</v>
      </c>
      <c r="DW20" s="61">
        <f t="shared" si="11"/>
        <v>0</v>
      </c>
      <c r="DX20" s="58">
        <f t="shared" si="11"/>
        <v>0</v>
      </c>
      <c r="DY20" s="58">
        <f t="shared" si="11"/>
        <v>0</v>
      </c>
      <c r="DZ20" s="58">
        <f t="shared" si="11"/>
        <v>0</v>
      </c>
      <c r="EA20" s="58">
        <f t="shared" si="11"/>
        <v>0</v>
      </c>
      <c r="EB20" s="58">
        <f t="shared" si="11"/>
        <v>0</v>
      </c>
      <c r="EC20" s="62"/>
    </row>
    <row r="21" spans="1:133" s="57" customFormat="1" ht="24.95" customHeight="1" x14ac:dyDescent="0.25">
      <c r="A21" s="43" t="s">
        <v>49</v>
      </c>
      <c r="B21" s="84">
        <f>IFERROR(VLOOKUP(B2,CC1_InputUser!$A:$S,18,FALSE),0)</f>
        <v>5.224088957189732E-3</v>
      </c>
      <c r="C21" s="84"/>
      <c r="D21" s="84"/>
      <c r="E21" s="84"/>
      <c r="F21" s="84"/>
      <c r="G21" s="84">
        <f>IFERROR(VLOOKUP(B2,CC1_InputUser!$A:$S,19,FALSE),0)</f>
        <v>-9.3833673475188784E-3</v>
      </c>
      <c r="H21" s="84"/>
      <c r="I21" s="84"/>
      <c r="J21" s="84"/>
      <c r="K21" s="84"/>
      <c r="L21" s="64"/>
      <c r="M21" s="84">
        <f>IFERROR(VLOOKUP(M2,CC1_InputUser!$A:$S,18,FALSE),0)</f>
        <v>7.176418118578054E-3</v>
      </c>
      <c r="N21" s="84"/>
      <c r="O21" s="84"/>
      <c r="P21" s="84"/>
      <c r="Q21" s="84"/>
      <c r="R21" s="84">
        <f>IFERROR(VLOOKUP(M2,CC1_InputUser!$A:$S,19,FALSE),0)</f>
        <v>-1.1270529910001548E-2</v>
      </c>
      <c r="S21" s="84"/>
      <c r="T21" s="84"/>
      <c r="U21" s="84"/>
      <c r="V21" s="84"/>
      <c r="W21" s="64"/>
      <c r="X21" s="84">
        <f>IFERROR(VLOOKUP(X2,CC1_InputUser!$A:$S,18,FALSE),0)</f>
        <v>9.5495260447391317E-3</v>
      </c>
      <c r="Y21" s="84"/>
      <c r="Z21" s="84"/>
      <c r="AA21" s="84"/>
      <c r="AB21" s="84"/>
      <c r="AC21" s="84">
        <f>IFERROR(VLOOKUP(X2,CC1_InputUser!$A:$S,19,FALSE),0)</f>
        <v>-1.0776905499875533E-2</v>
      </c>
      <c r="AD21" s="84"/>
      <c r="AE21" s="84"/>
      <c r="AF21" s="84"/>
      <c r="AG21" s="84"/>
      <c r="AH21" s="64"/>
      <c r="AI21" s="84">
        <f>IFERROR(VLOOKUP(AI2,CC1_InputUser!$A:$S,18,FALSE),0)</f>
        <v>8.9026266635268136E-3</v>
      </c>
      <c r="AJ21" s="84"/>
      <c r="AK21" s="84"/>
      <c r="AL21" s="84"/>
      <c r="AM21" s="84"/>
      <c r="AN21" s="84">
        <f>IFERROR(VLOOKUP(AI2,CC1_InputUser!$A:$S,19,FALSE),0)</f>
        <v>-6.6662239774724075E-3</v>
      </c>
      <c r="AO21" s="84"/>
      <c r="AP21" s="84"/>
      <c r="AQ21" s="84"/>
      <c r="AR21" s="84"/>
      <c r="AS21" s="64"/>
      <c r="AT21" s="84">
        <f>IFERROR(VLOOKUP(AT2,CC1_InputUser!$A:$S,18,FALSE),0)</f>
        <v>3.3153865430988194E-3</v>
      </c>
      <c r="AU21" s="84"/>
      <c r="AV21" s="84"/>
      <c r="AW21" s="84"/>
      <c r="AX21" s="84"/>
      <c r="AY21" s="84">
        <f>IFERROR(VLOOKUP(AT2,CC1_InputUser!$A:$S,19,FALSE),0)</f>
        <v>-7.7471890375179209E-3</v>
      </c>
      <c r="AZ21" s="84"/>
      <c r="BA21" s="84"/>
      <c r="BB21" s="84"/>
      <c r="BC21" s="84"/>
      <c r="BD21" s="64"/>
      <c r="BE21" s="84">
        <f>IFERROR(VLOOKUP(BE2,CC1_InputUser!$A:$S,18,FALSE),0)</f>
        <v>-2.0960816085641154E-3</v>
      </c>
      <c r="BF21" s="84"/>
      <c r="BG21" s="84"/>
      <c r="BH21" s="84"/>
      <c r="BI21" s="84"/>
      <c r="BJ21" s="84">
        <f>IFERROR(VLOOKUP(BE2,CC1_InputUser!$A:$S,19,FALSE),0)</f>
        <v>-1.0462311934554047E-2</v>
      </c>
      <c r="BK21" s="84"/>
      <c r="BL21" s="84"/>
      <c r="BM21" s="84"/>
      <c r="BN21" s="84"/>
      <c r="BO21" s="64"/>
      <c r="BP21" s="84">
        <f>IFERROR(VLOOKUP(BP2,CC1_InputUser!$A:$S,18,FALSE),0)</f>
        <v>-8.679282568110791E-3</v>
      </c>
      <c r="BQ21" s="84"/>
      <c r="BR21" s="84"/>
      <c r="BS21" s="84"/>
      <c r="BT21" s="84"/>
      <c r="BU21" s="84">
        <f>IFERROR(VLOOKUP(BP2,CC1_InputUser!$A:$S,19,FALSE),0)</f>
        <v>-9.3901836983916187E-3</v>
      </c>
      <c r="BV21" s="84"/>
      <c r="BW21" s="84"/>
      <c r="BX21" s="84"/>
      <c r="BY21" s="84"/>
      <c r="BZ21" s="64"/>
      <c r="CA21" s="84">
        <f>IFERROR(VLOOKUP(CA2,CC1_InputUser!$A:$S,18,FALSE),0)</f>
        <v>7.3475885654907813E-3</v>
      </c>
      <c r="CB21" s="84"/>
      <c r="CC21" s="84"/>
      <c r="CD21" s="84"/>
      <c r="CE21" s="84"/>
      <c r="CF21" s="84">
        <f>IFERROR(VLOOKUP(CA2,CC1_InputUser!$A:$S,19,FALSE),0)</f>
        <v>-5.4420177320055885E-3</v>
      </c>
      <c r="CG21" s="84"/>
      <c r="CH21" s="84"/>
      <c r="CI21" s="84"/>
      <c r="CJ21" s="84"/>
      <c r="CK21" s="64"/>
      <c r="CL21" s="84">
        <f>IFERROR(VLOOKUP(CL2,CC1_InputUser!$A:$S,18,FALSE),0)</f>
        <v>1.8897271237978686E-3</v>
      </c>
      <c r="CM21" s="84"/>
      <c r="CN21" s="84"/>
      <c r="CO21" s="84"/>
      <c r="CP21" s="84"/>
      <c r="CQ21" s="84">
        <f>IFERROR(VLOOKUP(CL2,CC1_InputUser!$A:$S,19,FALSE),0)</f>
        <v>-4.8190622863065746E-3</v>
      </c>
      <c r="CR21" s="84"/>
      <c r="CS21" s="84"/>
      <c r="CT21" s="84"/>
      <c r="CU21" s="84"/>
      <c r="CV21" s="64"/>
      <c r="CW21" s="84">
        <f>IFERROR(VLOOKUP(CW2,CC1_InputUser!$A:$S,18,FALSE),0)</f>
        <v>0</v>
      </c>
      <c r="CX21" s="84"/>
      <c r="CY21" s="84"/>
      <c r="CZ21" s="84"/>
      <c r="DA21" s="84"/>
      <c r="DB21" s="84">
        <f>IFERROR(VLOOKUP(CW2,CC1_InputUser!$A:$S,19,FALSE),0)</f>
        <v>0</v>
      </c>
      <c r="DC21" s="84"/>
      <c r="DD21" s="84"/>
      <c r="DE21" s="84"/>
      <c r="DF21" s="84"/>
      <c r="DG21" s="64"/>
      <c r="DH21" s="84">
        <f>IFERROR(VLOOKUP(DH2,CC1_InputUser!$A:$S,18,FALSE),0)</f>
        <v>0</v>
      </c>
      <c r="DI21" s="84"/>
      <c r="DJ21" s="84"/>
      <c r="DK21" s="84"/>
      <c r="DL21" s="84"/>
      <c r="DM21" s="84">
        <f>IFERROR(VLOOKUP(DH2,CC1_InputUser!$A:$S,19,FALSE),0)</f>
        <v>0</v>
      </c>
      <c r="DN21" s="84"/>
      <c r="DO21" s="84"/>
      <c r="DP21" s="84"/>
      <c r="DQ21" s="84"/>
      <c r="DR21" s="64"/>
      <c r="DS21" s="84">
        <f>IFERROR(VLOOKUP(DS2,CC1_InputUser!$A:$S,18,FALSE),0)</f>
        <v>0</v>
      </c>
      <c r="DT21" s="84"/>
      <c r="DU21" s="84"/>
      <c r="DV21" s="84"/>
      <c r="DW21" s="84"/>
      <c r="DX21" s="84">
        <f>IFERROR(VLOOKUP(DS2,CC1_InputUser!$A:$S,19,FALSE),0)</f>
        <v>0</v>
      </c>
      <c r="DY21" s="84"/>
      <c r="DZ21" s="84"/>
      <c r="EA21" s="84"/>
      <c r="EB21" s="84"/>
      <c r="EC21" s="62"/>
    </row>
    <row r="22" spans="1:133" ht="4.5" customHeight="1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18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18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18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18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18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18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18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18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18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18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18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18"/>
    </row>
    <row r="23" spans="1:133" s="57" customFormat="1" ht="24.95" customHeight="1" x14ac:dyDescent="0.25">
      <c r="A23" s="43" t="s">
        <v>51</v>
      </c>
      <c r="B23" s="51" t="s">
        <v>62</v>
      </c>
      <c r="C23" s="41">
        <f>IFERROR(C20/B20-1,0)</f>
        <v>0</v>
      </c>
      <c r="D23" s="41">
        <f t="shared" ref="D23:F23" si="12">IFERROR(D20/C20-1,0)</f>
        <v>0</v>
      </c>
      <c r="E23" s="41">
        <f t="shared" si="12"/>
        <v>0.49653609959762401</v>
      </c>
      <c r="F23" s="41">
        <f t="shared" si="12"/>
        <v>-1</v>
      </c>
      <c r="G23" s="52" t="s">
        <v>62</v>
      </c>
      <c r="H23" s="42">
        <f>IFERROR(H20/G20-1,0)</f>
        <v>-0.62600556703411137</v>
      </c>
      <c r="I23" s="42">
        <f>IFERROR(I20/H20-1,0)</f>
        <v>5.1553049270293583</v>
      </c>
      <c r="J23" s="42">
        <f t="shared" ref="J23:K23" si="13">IFERROR(J20/I20-1,0)</f>
        <v>-1.1803424208267854E-2</v>
      </c>
      <c r="K23" s="42">
        <f t="shared" si="13"/>
        <v>-1</v>
      </c>
      <c r="L23" s="37"/>
      <c r="M23" s="41">
        <f>IFERROR(M20/F20-1,0)</f>
        <v>0</v>
      </c>
      <c r="N23" s="41">
        <f>IFERROR(N20/M20-1,0)</f>
        <v>-8.3930315361053829</v>
      </c>
      <c r="O23" s="41">
        <f>IFERROR(O20/N20-1,0)</f>
        <v>-1.7402032228933937</v>
      </c>
      <c r="P23" s="41">
        <f>IFERROR(P20/O20-1,0)</f>
        <v>-2.5555920921213877</v>
      </c>
      <c r="Q23" s="41">
        <f>IFERROR(Q20/P20-1,0)</f>
        <v>-0.52662247830517961</v>
      </c>
      <c r="R23" s="42">
        <f>IFERROR(R20/K20-1,0)</f>
        <v>0</v>
      </c>
      <c r="S23" s="42">
        <f>IFERROR(S20/R20-1,0)</f>
        <v>19.298282003420436</v>
      </c>
      <c r="T23" s="42">
        <f t="shared" ref="T23:V23" si="14">IFERROR(T20/S20-1,0)</f>
        <v>-0.39228434182174199</v>
      </c>
      <c r="U23" s="42">
        <f t="shared" si="14"/>
        <v>-0.51191253296205774</v>
      </c>
      <c r="V23" s="42">
        <f t="shared" si="14"/>
        <v>-5.5441040211419934E-2</v>
      </c>
      <c r="W23" s="37"/>
      <c r="X23" s="40">
        <f>IFERROR(X20/Q20-1,0)</f>
        <v>-1</v>
      </c>
      <c r="Y23" s="40">
        <f>IFERROR(Y20/X20-1,0)</f>
        <v>0</v>
      </c>
      <c r="Z23" s="40">
        <f>IFERROR(Z20/Y20-1,0)</f>
        <v>7.1724348327614482</v>
      </c>
      <c r="AA23" s="40">
        <f>IFERROR(AA20/Z20-1,0)</f>
        <v>-0.9124047842732762</v>
      </c>
      <c r="AB23" s="40">
        <f>IFERROR(AB20/AA20-1,0)</f>
        <v>-1</v>
      </c>
      <c r="AC23" s="38">
        <f>IFERROR(AC20/V20-1,0)</f>
        <v>-0.59903964425838807</v>
      </c>
      <c r="AD23" s="38">
        <f>IFERROR(AD20/AC20-1,0)</f>
        <v>1.5506089501896403</v>
      </c>
      <c r="AE23" s="38">
        <f t="shared" ref="AE23:AG23" si="15">IFERROR(AE20/AD20-1,0)</f>
        <v>2.3853964948992061</v>
      </c>
      <c r="AF23" s="38">
        <f t="shared" si="15"/>
        <v>-0.98212097628570261</v>
      </c>
      <c r="AG23" s="38">
        <f t="shared" si="15"/>
        <v>-1</v>
      </c>
      <c r="AH23" s="37"/>
      <c r="AI23" s="41">
        <f>IFERROR(AI20/AB20-1,0)</f>
        <v>0</v>
      </c>
      <c r="AJ23" s="41">
        <f>IFERROR(AJ20/AI20-1,0)</f>
        <v>-1</v>
      </c>
      <c r="AK23" s="41">
        <f>IFERROR(AK20/AJ20-1,0)</f>
        <v>0</v>
      </c>
      <c r="AL23" s="41">
        <f>IFERROR(AL20/AK20-1,0)</f>
        <v>-13.294113520283211</v>
      </c>
      <c r="AM23" s="41">
        <f>IFERROR(AM20/AL20-1,0)</f>
        <v>-1</v>
      </c>
      <c r="AN23" s="42">
        <f>IFERROR(AN20/AG20-1,0)</f>
        <v>0</v>
      </c>
      <c r="AO23" s="42">
        <f>IFERROR(AO20/AN20-1,0)</f>
        <v>-1</v>
      </c>
      <c r="AP23" s="42">
        <f t="shared" ref="AP23:AR23" si="16">IFERROR(AP20/AO20-1,0)</f>
        <v>0</v>
      </c>
      <c r="AQ23" s="42">
        <f t="shared" si="16"/>
        <v>1.7354411850652882</v>
      </c>
      <c r="AR23" s="42">
        <f t="shared" si="16"/>
        <v>-1</v>
      </c>
      <c r="AS23" s="37"/>
      <c r="AT23" s="41">
        <f>IFERROR(AT20/AM20-1,0)</f>
        <v>0</v>
      </c>
      <c r="AU23" s="41">
        <f>IFERROR(AU20/AT20-1,0)</f>
        <v>-8.5677335846088649</v>
      </c>
      <c r="AV23" s="41">
        <f>IFERROR(AV20/AU20-1,0)</f>
        <v>-2.1829441951550956</v>
      </c>
      <c r="AW23" s="41">
        <f>IFERROR(AW20/AV20-1,0)</f>
        <v>-2.4134254296391671</v>
      </c>
      <c r="AX23" s="41">
        <f>IFERROR(AX20/AW20-1,0)</f>
        <v>-3.499844105338898</v>
      </c>
      <c r="AY23" s="42">
        <f>IFERROR(AY20/AR20-1,0)</f>
        <v>0</v>
      </c>
      <c r="AZ23" s="42">
        <f>IFERROR(AZ20/AY20-1,0)</f>
        <v>-0.57286008564386703</v>
      </c>
      <c r="BA23" s="42">
        <f t="shared" ref="BA23:BC23" si="17">IFERROR(BA20/AZ20-1,0)</f>
        <v>-0.17811616176164036</v>
      </c>
      <c r="BB23" s="42">
        <f t="shared" si="17"/>
        <v>0.33401370465607005</v>
      </c>
      <c r="BC23" s="42">
        <f t="shared" si="17"/>
        <v>0.22862032502309737</v>
      </c>
      <c r="BD23" s="37"/>
      <c r="BE23" s="41">
        <f>IFERROR(BE20/AX20-1,0)</f>
        <v>-0.96838566281257521</v>
      </c>
      <c r="BF23" s="41">
        <f>IFERROR(BF20/BE20-1,0)</f>
        <v>-8.5677335846088649</v>
      </c>
      <c r="BG23" s="41">
        <f>IFERROR(BG20/BF20-1,0)</f>
        <v>-2.1829441951550956</v>
      </c>
      <c r="BH23" s="41">
        <f>IFERROR(BH20/BG20-1,0)</f>
        <v>-2.4134254296391671</v>
      </c>
      <c r="BI23" s="41">
        <f>IFERROR(BI20/BH20-1,0)</f>
        <v>-3.499844105338898</v>
      </c>
      <c r="BJ23" s="42">
        <f>IFERROR(BJ20/BC20-1,0)</f>
        <v>0.73796656220730106</v>
      </c>
      <c r="BK23" s="42">
        <f>IFERROR(BK20/BJ20-1,0)</f>
        <v>-0.57286008564386703</v>
      </c>
      <c r="BL23" s="42">
        <f t="shared" ref="BL23:BN23" si="18">IFERROR(BL20/BK20-1,0)</f>
        <v>-0.17811616176164036</v>
      </c>
      <c r="BM23" s="42">
        <f t="shared" si="18"/>
        <v>0.33401370465607005</v>
      </c>
      <c r="BN23" s="42">
        <f t="shared" si="18"/>
        <v>0.22862032502309737</v>
      </c>
      <c r="BO23" s="37"/>
      <c r="BP23" s="41">
        <f>IFERROR(BP20/BI20-1,0)</f>
        <v>-2.038022722294051</v>
      </c>
      <c r="BQ23" s="41">
        <f>IFERROR(BQ20/BP20-1,0)</f>
        <v>0.7051280285008914</v>
      </c>
      <c r="BR23" s="41">
        <f>IFERROR(BR20/BQ20-1,0)</f>
        <v>-0.96286441131359812</v>
      </c>
      <c r="BS23" s="41">
        <f>IFERROR(BS20/BR20-1,0)</f>
        <v>-1</v>
      </c>
      <c r="BT23" s="41">
        <f>IFERROR(BT20/BS20-1,0)</f>
        <v>0</v>
      </c>
      <c r="BU23" s="42">
        <f>IFERROR(BU20/BN20-1,0)</f>
        <v>1.2358569667649415</v>
      </c>
      <c r="BV23" s="42">
        <f>IFERROR(BV20/BU20-1,0)</f>
        <v>-0.11477683288381402</v>
      </c>
      <c r="BW23" s="42">
        <f t="shared" ref="BW23:BY23" si="19">IFERROR(BW20/BV20-1,0)</f>
        <v>-0.93819967389410586</v>
      </c>
      <c r="BX23" s="42">
        <f t="shared" si="19"/>
        <v>-1</v>
      </c>
      <c r="BY23" s="42">
        <f t="shared" si="19"/>
        <v>0</v>
      </c>
      <c r="BZ23" s="37"/>
      <c r="CA23" s="41">
        <f>IFERROR(CA20/BT20-1,0)</f>
        <v>0</v>
      </c>
      <c r="CB23" s="41">
        <f>IFERROR(CB20/CA20-1,0)</f>
        <v>3.8232675352510856</v>
      </c>
      <c r="CC23" s="41">
        <f>IFERROR(CC20/CB20-1,0)</f>
        <v>-0.9983726800996946</v>
      </c>
      <c r="CD23" s="41">
        <f>IFERROR(CD20/CC20-1,0)</f>
        <v>-309.7125407067</v>
      </c>
      <c r="CE23" s="41">
        <f>IFERROR(CE20/CD20-1,0)</f>
        <v>-3.3425732874379985</v>
      </c>
      <c r="CF23" s="42">
        <f>IFERROR(CF20/BY20-1,0)</f>
        <v>0</v>
      </c>
      <c r="CG23" s="42">
        <f>IFERROR(CG20/CF20-1,0)</f>
        <v>-0.85990443481888201</v>
      </c>
      <c r="CH23" s="42">
        <f t="shared" ref="CH23:CJ23" si="20">IFERROR(CH20/CG20-1,0)</f>
        <v>-0.84799899239554588</v>
      </c>
      <c r="CI23" s="42">
        <f t="shared" si="20"/>
        <v>19.171335329714662</v>
      </c>
      <c r="CJ23" s="42">
        <f t="shared" si="20"/>
        <v>-0.41088331731189487</v>
      </c>
      <c r="CK23" s="37"/>
      <c r="CL23" s="41">
        <f>IFERROR(CL20/CE20-1,0)</f>
        <v>-0.94669944702875608</v>
      </c>
      <c r="CM23" s="41">
        <f>IFERROR(CM20/CL20-1,0)</f>
        <v>-7.4763574981624492</v>
      </c>
      <c r="CN23" s="41">
        <f>IFERROR(CN20/CM20-1,0)</f>
        <v>-1.343400660942178</v>
      </c>
      <c r="CO23" s="41">
        <f>IFERROR(CO20/CN20-1,0)</f>
        <v>0.63562543422623419</v>
      </c>
      <c r="CP23" s="41">
        <f>IFERROR(CP20/CO20-1,0)</f>
        <v>-1</v>
      </c>
      <c r="CQ23" s="42">
        <f>IFERROR(CQ20/CJ20-1,0)</f>
        <v>-0.35042479772403856</v>
      </c>
      <c r="CR23" s="42">
        <f>IFERROR(CR20/CQ20-1,0)</f>
        <v>2.015727653885536</v>
      </c>
      <c r="CS23" s="42">
        <f t="shared" ref="CS23:CU23" si="21">IFERROR(CS20/CR20-1,0)</f>
        <v>-0.11494975246700634</v>
      </c>
      <c r="CT23" s="42">
        <f t="shared" si="21"/>
        <v>-1.6261974691805652</v>
      </c>
      <c r="CU23" s="42">
        <f t="shared" si="21"/>
        <v>-1</v>
      </c>
      <c r="CV23" s="37"/>
      <c r="CW23" s="41">
        <f>IFERROR(CW20/CP20-1,0)</f>
        <v>0</v>
      </c>
      <c r="CX23" s="41">
        <f>IFERROR(CX20/CW20-1,0)</f>
        <v>0</v>
      </c>
      <c r="CY23" s="41">
        <f>IFERROR(CY20/CX20-1,0)</f>
        <v>0</v>
      </c>
      <c r="CZ23" s="41">
        <f>IFERROR(CZ20/CY20-1,0)</f>
        <v>0</v>
      </c>
      <c r="DA23" s="41">
        <f>IFERROR(DA20/CZ20-1,0)</f>
        <v>0</v>
      </c>
      <c r="DB23" s="42">
        <f>IFERROR(DB20/CU20-1,0)</f>
        <v>0</v>
      </c>
      <c r="DC23" s="42">
        <f>IFERROR(DC20/DB20-1,0)</f>
        <v>0</v>
      </c>
      <c r="DD23" s="42">
        <f t="shared" ref="DD23:DF23" si="22">IFERROR(DD20/DC20-1,0)</f>
        <v>0</v>
      </c>
      <c r="DE23" s="42">
        <f t="shared" si="22"/>
        <v>0</v>
      </c>
      <c r="DF23" s="42">
        <f t="shared" si="22"/>
        <v>0</v>
      </c>
      <c r="DG23" s="37"/>
      <c r="DH23" s="41">
        <f>IFERROR(DH20/DA20-1,0)</f>
        <v>0</v>
      </c>
      <c r="DI23" s="41">
        <f>IFERROR(DI20/DH20-1,0)</f>
        <v>0</v>
      </c>
      <c r="DJ23" s="41">
        <f>IFERROR(DJ20/DI20-1,0)</f>
        <v>0</v>
      </c>
      <c r="DK23" s="41">
        <f>IFERROR(DK20/DJ20-1,0)</f>
        <v>0</v>
      </c>
      <c r="DL23" s="41">
        <f>IFERROR(DL20/DK20-1,0)</f>
        <v>0</v>
      </c>
      <c r="DM23" s="42">
        <f>IFERROR(DM20/DF20-1,0)</f>
        <v>0</v>
      </c>
      <c r="DN23" s="42">
        <v>0.01</v>
      </c>
      <c r="DO23" s="42">
        <v>0.01</v>
      </c>
      <c r="DP23" s="42">
        <f t="shared" ref="DP23:DQ23" si="23">IFERROR(DP20/DO20-1,0)</f>
        <v>0</v>
      </c>
      <c r="DQ23" s="42">
        <f t="shared" si="23"/>
        <v>0</v>
      </c>
      <c r="DR23" s="37"/>
      <c r="DS23" s="41">
        <f>IFERROR(DS20/DL20-1,0)</f>
        <v>0</v>
      </c>
      <c r="DT23" s="41">
        <f>IFERROR(DT20/DS20-1,0)</f>
        <v>0</v>
      </c>
      <c r="DU23" s="41">
        <f>IFERROR(DU20/DT20-1,0)</f>
        <v>0</v>
      </c>
      <c r="DV23" s="41">
        <f>IFERROR(DV20/DU20-1,0)</f>
        <v>0</v>
      </c>
      <c r="DW23" s="41">
        <f>IFERROR(DW20/DV20-1,0)</f>
        <v>0</v>
      </c>
      <c r="DX23" s="42">
        <f>IFERROR(DX20/DQ20-1,0)</f>
        <v>0</v>
      </c>
      <c r="DY23" s="42">
        <f>IFERROR(DY20/DX20-1,0)</f>
        <v>0</v>
      </c>
      <c r="DZ23" s="42">
        <f t="shared" ref="DZ23:EB23" si="24">IFERROR(DZ20/DY20-1,0)</f>
        <v>0</v>
      </c>
      <c r="EA23" s="42">
        <f t="shared" si="24"/>
        <v>0</v>
      </c>
      <c r="EB23" s="42">
        <f t="shared" si="24"/>
        <v>0</v>
      </c>
      <c r="EC23" s="39"/>
    </row>
    <row r="24" spans="1:133" s="57" customFormat="1" ht="24.95" customHeight="1" x14ac:dyDescent="0.25">
      <c r="A24" s="43" t="s">
        <v>52</v>
      </c>
      <c r="B24" s="88" t="s">
        <v>62</v>
      </c>
      <c r="C24" s="88"/>
      <c r="D24" s="88"/>
      <c r="E24" s="88"/>
      <c r="F24" s="88"/>
      <c r="G24" s="89" t="s">
        <v>62</v>
      </c>
      <c r="H24" s="89"/>
      <c r="I24" s="89"/>
      <c r="J24" s="89"/>
      <c r="K24" s="89"/>
      <c r="L24" s="37"/>
      <c r="M24" s="87">
        <f>IFERROR(M21/B21-1,0)</f>
        <v>0.37371667622569849</v>
      </c>
      <c r="N24" s="87"/>
      <c r="O24" s="87"/>
      <c r="P24" s="87"/>
      <c r="Q24" s="87"/>
      <c r="R24" s="86">
        <f>IFERROR(R21/G21-1,0)</f>
        <v>0.20111783889412238</v>
      </c>
      <c r="S24" s="86"/>
      <c r="T24" s="86"/>
      <c r="U24" s="86"/>
      <c r="V24" s="86"/>
      <c r="W24" s="37"/>
      <c r="X24" s="90">
        <f>IFERROR(X21/M21-1,0)</f>
        <v>0.33068139104348737</v>
      </c>
      <c r="Y24" s="90"/>
      <c r="Z24" s="90"/>
      <c r="AA24" s="90"/>
      <c r="AB24" s="90"/>
      <c r="AC24" s="85">
        <f>IFERROR(AC21/R21-1,0)</f>
        <v>-4.3797799577104946E-2</v>
      </c>
      <c r="AD24" s="85"/>
      <c r="AE24" s="85"/>
      <c r="AF24" s="85"/>
      <c r="AG24" s="85"/>
      <c r="AH24" s="37"/>
      <c r="AI24" s="87">
        <f>IFERROR(AI21/X21-1,0)</f>
        <v>-6.7741517032533505E-2</v>
      </c>
      <c r="AJ24" s="87"/>
      <c r="AK24" s="87"/>
      <c r="AL24" s="87"/>
      <c r="AM24" s="87"/>
      <c r="AN24" s="86">
        <f>IFERROR(AN21/AC21-1,0)</f>
        <v>-0.38143431084652279</v>
      </c>
      <c r="AO24" s="86"/>
      <c r="AP24" s="86"/>
      <c r="AQ24" s="86"/>
      <c r="AR24" s="86"/>
      <c r="AS24" s="37"/>
      <c r="AT24" s="87">
        <f>IFERROR(AT21/AI21-1,0)</f>
        <v>-0.62759456636751576</v>
      </c>
      <c r="AU24" s="87"/>
      <c r="AV24" s="87"/>
      <c r="AW24" s="87"/>
      <c r="AX24" s="87"/>
      <c r="AY24" s="86">
        <f>IFERROR(AY21/AN21-1,0)</f>
        <v>0.16215552668174471</v>
      </c>
      <c r="AZ24" s="86"/>
      <c r="BA24" s="86"/>
      <c r="BB24" s="86"/>
      <c r="BC24" s="86"/>
      <c r="BD24" s="37"/>
      <c r="BE24" s="87">
        <f>IFERROR(BE21/AT21-1,0)</f>
        <v>-1.6322284238401215</v>
      </c>
      <c r="BF24" s="87"/>
      <c r="BG24" s="87"/>
      <c r="BH24" s="87"/>
      <c r="BI24" s="87"/>
      <c r="BJ24" s="86">
        <f>IFERROR(BJ21/AY21-1,0)</f>
        <v>0.35046555387862455</v>
      </c>
      <c r="BK24" s="86"/>
      <c r="BL24" s="86"/>
      <c r="BM24" s="86"/>
      <c r="BN24" s="86"/>
      <c r="BO24" s="37"/>
      <c r="BP24" s="87">
        <f>IFERROR(BP21/BE21-1,0)</f>
        <v>3.1407178674003937</v>
      </c>
      <c r="BQ24" s="87"/>
      <c r="BR24" s="87"/>
      <c r="BS24" s="87"/>
      <c r="BT24" s="87"/>
      <c r="BU24" s="86">
        <f>IFERROR(BU21/BJ21-1,0)</f>
        <v>-0.10247526960283926</v>
      </c>
      <c r="BV24" s="86"/>
      <c r="BW24" s="86"/>
      <c r="BX24" s="86"/>
      <c r="BY24" s="86"/>
      <c r="BZ24" s="37"/>
      <c r="CA24" s="87">
        <f>IFERROR(CA21/BP21-1,0)</f>
        <v>-1.8465663501367167</v>
      </c>
      <c r="CB24" s="87"/>
      <c r="CC24" s="87"/>
      <c r="CD24" s="87"/>
      <c r="CE24" s="87"/>
      <c r="CF24" s="86">
        <f>IFERROR(CF21/BU21-1,0)</f>
        <v>-0.42045673366989456</v>
      </c>
      <c r="CG24" s="86"/>
      <c r="CH24" s="86"/>
      <c r="CI24" s="86"/>
      <c r="CJ24" s="86"/>
      <c r="CK24" s="37"/>
      <c r="CL24" s="87">
        <f>IFERROR(CL21/CA21-1,0)</f>
        <v>-0.74280988831175199</v>
      </c>
      <c r="CM24" s="87"/>
      <c r="CN24" s="87"/>
      <c r="CO24" s="87"/>
      <c r="CP24" s="87"/>
      <c r="CQ24" s="86">
        <f>IFERROR(CQ21/CF21-1,0)</f>
        <v>-0.11447141049087162</v>
      </c>
      <c r="CR24" s="86"/>
      <c r="CS24" s="86"/>
      <c r="CT24" s="86"/>
      <c r="CU24" s="86"/>
      <c r="CV24" s="37"/>
      <c r="CW24" s="87">
        <f>IFERROR(CW21/CL21-1,0)</f>
        <v>-1</v>
      </c>
      <c r="CX24" s="87"/>
      <c r="CY24" s="87"/>
      <c r="CZ24" s="87"/>
      <c r="DA24" s="87"/>
      <c r="DB24" s="86">
        <f>IFERROR(DB21/CQ21-1,0)</f>
        <v>-1</v>
      </c>
      <c r="DC24" s="86"/>
      <c r="DD24" s="86"/>
      <c r="DE24" s="86"/>
      <c r="DF24" s="86"/>
      <c r="DG24" s="37"/>
      <c r="DH24" s="87">
        <f>IFERROR(DH21/CW21-1,0)</f>
        <v>0</v>
      </c>
      <c r="DI24" s="87"/>
      <c r="DJ24" s="87"/>
      <c r="DK24" s="87"/>
      <c r="DL24" s="87"/>
      <c r="DM24" s="86">
        <f>IFERROR(DM21/DB21-1,0)</f>
        <v>0</v>
      </c>
      <c r="DN24" s="86"/>
      <c r="DO24" s="86"/>
      <c r="DP24" s="86"/>
      <c r="DQ24" s="86"/>
      <c r="DR24" s="37"/>
      <c r="DS24" s="87">
        <f>IFERROR(DS21/DH21-1,0)</f>
        <v>0</v>
      </c>
      <c r="DT24" s="87"/>
      <c r="DU24" s="87"/>
      <c r="DV24" s="87"/>
      <c r="DW24" s="87"/>
      <c r="DX24" s="86">
        <f>IFERROR(DX21/DM21-1,0)</f>
        <v>0</v>
      </c>
      <c r="DY24" s="86"/>
      <c r="DZ24" s="86"/>
      <c r="EA24" s="86"/>
      <c r="EB24" s="86"/>
      <c r="EC24" s="39"/>
    </row>
    <row r="25" spans="1:133" x14ac:dyDescent="0.3">
      <c r="D25" s="30"/>
      <c r="L25" s="18"/>
      <c r="O25" s="30"/>
      <c r="W25" s="18"/>
      <c r="Z25" s="30"/>
      <c r="AH25" s="18"/>
      <c r="AK25" s="30"/>
      <c r="AS25" s="18"/>
      <c r="AV25" s="30"/>
      <c r="BD25" s="18"/>
      <c r="BG25" s="30"/>
      <c r="BO25" s="18"/>
      <c r="BR25" s="30"/>
      <c r="BZ25" s="18"/>
      <c r="CC25" s="30"/>
      <c r="CK25" s="18"/>
      <c r="CN25" s="30"/>
      <c r="CV25" s="18"/>
      <c r="CY25" s="30"/>
      <c r="DG25" s="18"/>
      <c r="DJ25" s="30"/>
      <c r="DR25" s="18"/>
      <c r="DU25" s="30"/>
      <c r="EC25" s="18"/>
    </row>
    <row r="26" spans="1:133" x14ac:dyDescent="0.3">
      <c r="D26" s="30"/>
      <c r="L26" s="18"/>
      <c r="O26" s="30"/>
      <c r="W26" s="18"/>
      <c r="Z26" s="30"/>
      <c r="AH26" s="18"/>
      <c r="AK26" s="30"/>
      <c r="AS26" s="18"/>
      <c r="AV26" s="30"/>
      <c r="BD26" s="18"/>
      <c r="BG26" s="30"/>
      <c r="BO26" s="18"/>
      <c r="BR26" s="30"/>
      <c r="BZ26" s="18"/>
      <c r="CC26" s="30"/>
      <c r="CK26" s="18"/>
      <c r="CN26" s="30"/>
      <c r="CV26" s="18"/>
      <c r="CY26" s="30"/>
      <c r="DG26" s="18"/>
      <c r="DJ26" s="30"/>
      <c r="DR26" s="18"/>
      <c r="DU26" s="30"/>
      <c r="EC26" s="18"/>
    </row>
    <row r="27" spans="1:133" x14ac:dyDescent="0.3">
      <c r="A27" s="60" t="s">
        <v>63</v>
      </c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t="s">
        <v>65</v>
      </c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C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A30" s="50" t="s">
        <v>64</v>
      </c>
      <c r="D30" s="53"/>
      <c r="E30" s="53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 t="s">
        <v>66</v>
      </c>
      <c r="D31" s="53"/>
      <c r="E31" s="53"/>
      <c r="L31" s="18"/>
      <c r="W31" s="18"/>
      <c r="AH31" s="18"/>
      <c r="AS31" s="18"/>
      <c r="BD31" s="18"/>
      <c r="BO31" s="18"/>
      <c r="BZ31" s="18"/>
      <c r="CK31" s="18"/>
      <c r="CV31" s="18"/>
      <c r="DG31" s="18"/>
      <c r="DR31" s="18"/>
      <c r="EC31" s="18"/>
    </row>
    <row r="32" spans="1:133" x14ac:dyDescent="0.3">
      <c r="D32" s="53"/>
      <c r="E32" s="53"/>
      <c r="L32" s="18"/>
      <c r="W32" s="18"/>
      <c r="AH32" s="18"/>
      <c r="AS32" s="18"/>
      <c r="BD32" s="18"/>
      <c r="BO32" s="18"/>
      <c r="BZ32" s="18"/>
      <c r="CK32" s="18"/>
      <c r="CV32" s="18"/>
      <c r="DG32" s="18"/>
      <c r="DR32" s="18"/>
      <c r="EC32" s="18"/>
    </row>
    <row r="33" spans="1:5" x14ac:dyDescent="0.3">
      <c r="A33"/>
    </row>
    <row r="34" spans="1:5" x14ac:dyDescent="0.3">
      <c r="A34"/>
    </row>
    <row r="35" spans="1:5" x14ac:dyDescent="0.3">
      <c r="B35" s="17"/>
      <c r="C35" s="17"/>
      <c r="D35" s="17"/>
      <c r="E35" s="17"/>
    </row>
  </sheetData>
  <mergeCells count="85">
    <mergeCell ref="CW24:DA24"/>
    <mergeCell ref="DB24:DF24"/>
    <mergeCell ref="DH24:DL24"/>
    <mergeCell ref="DM24:DQ24"/>
    <mergeCell ref="DS24:DW24"/>
    <mergeCell ref="DX24:EB24"/>
    <mergeCell ref="BP24:BT24"/>
    <mergeCell ref="BU24:BY24"/>
    <mergeCell ref="CA24:CE24"/>
    <mergeCell ref="CF24:CJ24"/>
    <mergeCell ref="CL24:CP24"/>
    <mergeCell ref="CQ24:CU24"/>
    <mergeCell ref="AI24:AM24"/>
    <mergeCell ref="AN24:AR24"/>
    <mergeCell ref="AT24:AX24"/>
    <mergeCell ref="AY24:BC24"/>
    <mergeCell ref="BE24:BI24"/>
    <mergeCell ref="BJ24:BN24"/>
    <mergeCell ref="DH21:DL21"/>
    <mergeCell ref="DM21:DQ21"/>
    <mergeCell ref="DS21:DW21"/>
    <mergeCell ref="DX21:EB21"/>
    <mergeCell ref="B24:F24"/>
    <mergeCell ref="G24:K24"/>
    <mergeCell ref="M24:Q24"/>
    <mergeCell ref="R24:V24"/>
    <mergeCell ref="X24:AB24"/>
    <mergeCell ref="AC24:AG24"/>
    <mergeCell ref="CA21:CE21"/>
    <mergeCell ref="CF21:CJ21"/>
    <mergeCell ref="CL21:CP21"/>
    <mergeCell ref="CQ21:CU21"/>
    <mergeCell ref="CW21:DA21"/>
    <mergeCell ref="DB21:DF21"/>
    <mergeCell ref="AT21:AX21"/>
    <mergeCell ref="AY21:BC21"/>
    <mergeCell ref="BE21:BI21"/>
    <mergeCell ref="BJ21:BN21"/>
    <mergeCell ref="BP21:BT21"/>
    <mergeCell ref="BU21:BY21"/>
    <mergeCell ref="DS3:DW3"/>
    <mergeCell ref="DX3:EB3"/>
    <mergeCell ref="B21:F21"/>
    <mergeCell ref="G21:K21"/>
    <mergeCell ref="M21:Q21"/>
    <mergeCell ref="R21:V21"/>
    <mergeCell ref="X21:AB21"/>
    <mergeCell ref="AC21:AG21"/>
    <mergeCell ref="AI21:AM21"/>
    <mergeCell ref="AN21:AR21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21:EB21">
    <cfRule type="cellIs" dxfId="1" priority="23" operator="between">
      <formula>-0.00251</formula>
      <formula>-0.009</formula>
    </cfRule>
    <cfRule type="cellIs" dxfId="0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4" id="{C6D83058-0364-4AE6-BB88-D69595AD1C39}">
            <x14:iconSet iconSet="3Triangles">
              <x14:cfvo type="percent">
                <xm:f>0</xm:f>
              </x14:cfvo>
              <x14:cfvo type="formula">
                <xm:f>$N$23</xm:f>
              </x14:cfvo>
              <x14:cfvo type="formula" gte="0">
                <xm:f>$N$23</xm:f>
              </x14:cfvo>
            </x14:iconSet>
          </x14:cfRule>
          <xm:sqref>O23</xm:sqref>
        </x14:conditionalFormatting>
        <x14:conditionalFormatting xmlns:xm="http://schemas.microsoft.com/office/excel/2006/main">
          <x14:cfRule type="iconSet" priority="153" id="{EF589937-88EB-4525-81B3-726B950CA5BD}">
            <x14:iconSet iconSet="3Triangles">
              <x14:cfvo type="percent">
                <xm:f>0</xm:f>
              </x14:cfvo>
              <x14:cfvo type="formula">
                <xm:f>$O$23</xm:f>
              </x14:cfvo>
              <x14:cfvo type="formula" gte="0">
                <xm:f>$O$23</xm:f>
              </x14:cfvo>
            </x14:iconSet>
          </x14:cfRule>
          <xm:sqref>P23</xm:sqref>
        </x14:conditionalFormatting>
        <x14:conditionalFormatting xmlns:xm="http://schemas.microsoft.com/office/excel/2006/main">
          <x14:cfRule type="iconSet" priority="152" id="{F7C1F54F-BE7D-4783-A393-FB9BBD338210}">
            <x14:iconSet iconSet="3Triangles">
              <x14:cfvo type="percent">
                <xm:f>0</xm:f>
              </x14:cfvo>
              <x14:cfvo type="formula">
                <xm:f>$P$23</xm:f>
              </x14:cfvo>
              <x14:cfvo type="formula" gte="0">
                <xm:f>$P$23</xm:f>
              </x14:cfvo>
            </x14:iconSet>
          </x14:cfRule>
          <xm:sqref>Q23</xm:sqref>
        </x14:conditionalFormatting>
        <x14:conditionalFormatting xmlns:xm="http://schemas.microsoft.com/office/excel/2006/main">
          <x14:cfRule type="iconSet" priority="151" id="{E2E44600-8393-4BFC-95D1-452AA17E84A7}">
            <x14:iconSet iconSet="3Triangles">
              <x14:cfvo type="percent">
                <xm:f>0</xm:f>
              </x14:cfvo>
              <x14:cfvo type="formula">
                <xm:f>$K$23</xm:f>
              </x14:cfvo>
              <x14:cfvo type="formula" gte="0">
                <xm:f>$K$23</xm:f>
              </x14:cfvo>
            </x14:iconSet>
          </x14:cfRule>
          <xm:sqref>R23</xm:sqref>
        </x14:conditionalFormatting>
        <x14:conditionalFormatting xmlns:xm="http://schemas.microsoft.com/office/excel/2006/main">
          <x14:cfRule type="iconSet" priority="150" id="{A5304FB7-5E41-4A60-AB19-2CB66E16233F}">
            <x14:iconSet iconSet="3Triangles">
              <x14:cfvo type="percent">
                <xm:f>0</xm:f>
              </x14:cfvo>
              <x14:cfvo type="formula">
                <xm:f>$R$23</xm:f>
              </x14:cfvo>
              <x14:cfvo type="formula" gte="0">
                <xm:f>$R$23</xm:f>
              </x14:cfvo>
            </x14:iconSet>
          </x14:cfRule>
          <xm:sqref>S23</xm:sqref>
        </x14:conditionalFormatting>
        <x14:conditionalFormatting xmlns:xm="http://schemas.microsoft.com/office/excel/2006/main">
          <x14:cfRule type="iconSet" priority="149" id="{3450C83E-9A64-4495-AE42-625ED80CDD20}">
            <x14:iconSet iconSet="3Triangles">
              <x14:cfvo type="percent">
                <xm:f>0</xm:f>
              </x14:cfvo>
              <x14:cfvo type="formula">
                <xm:f>$S$23</xm:f>
              </x14:cfvo>
              <x14:cfvo type="formula" gte="0">
                <xm:f>$S$23</xm:f>
              </x14:cfvo>
            </x14:iconSet>
          </x14:cfRule>
          <xm:sqref>T23</xm:sqref>
        </x14:conditionalFormatting>
        <x14:conditionalFormatting xmlns:xm="http://schemas.microsoft.com/office/excel/2006/main">
          <x14:cfRule type="iconSet" priority="148" id="{CC128135-5C01-4BED-B279-E77684E2B3F1}">
            <x14:iconSet iconSet="3Triangles">
              <x14:cfvo type="percent">
                <xm:f>0</xm:f>
              </x14:cfvo>
              <x14:cfvo type="formula">
                <xm:f>$T$23</xm:f>
              </x14:cfvo>
              <x14:cfvo type="formula" gte="0">
                <xm:f>$T$23</xm:f>
              </x14:cfvo>
            </x14:iconSet>
          </x14:cfRule>
          <xm:sqref>U23</xm:sqref>
        </x14:conditionalFormatting>
        <x14:conditionalFormatting xmlns:xm="http://schemas.microsoft.com/office/excel/2006/main">
          <x14:cfRule type="iconSet" priority="147" id="{257D7C6A-A975-4944-B0B2-91F9B9488FE8}">
            <x14:iconSet iconSet="3Triangles">
              <x14:cfvo type="percent">
                <xm:f>0</xm:f>
              </x14:cfvo>
              <x14:cfvo type="formula">
                <xm:f>$U$23</xm:f>
              </x14:cfvo>
              <x14:cfvo type="formula" gte="0">
                <xm:f>$U$23</xm:f>
              </x14:cfvo>
            </x14:iconSet>
          </x14:cfRule>
          <xm:sqref>V23</xm:sqref>
        </x14:conditionalFormatting>
        <x14:conditionalFormatting xmlns:xm="http://schemas.microsoft.com/office/excel/2006/main">
          <x14:cfRule type="iconSet" priority="146" id="{1BAFEEFD-57E0-449D-9EE0-F4DF0B03DB52}">
            <x14:iconSet iconSet="3Triangles">
              <x14:cfvo type="percent">
                <xm:f>0</xm:f>
              </x14:cfvo>
              <x14:cfvo type="formula">
                <xm:f>$Q$23</xm:f>
              </x14:cfvo>
              <x14:cfvo type="formula" gte="0">
                <xm:f>$Q$23</xm:f>
              </x14:cfvo>
            </x14:iconSet>
          </x14:cfRule>
          <xm:sqref>X23</xm:sqref>
        </x14:conditionalFormatting>
        <x14:conditionalFormatting xmlns:xm="http://schemas.microsoft.com/office/excel/2006/main">
          <x14:cfRule type="iconSet" priority="145" id="{9B1DEF09-AB26-4FDA-9FB1-BB5F52DE9887}">
            <x14:iconSet iconSet="3Triangles">
              <x14:cfvo type="percent">
                <xm:f>0</xm:f>
              </x14:cfvo>
              <x14:cfvo type="formula">
                <xm:f>$X$23</xm:f>
              </x14:cfvo>
              <x14:cfvo type="formula" gte="0">
                <xm:f>$X$23</xm:f>
              </x14:cfvo>
            </x14:iconSet>
          </x14:cfRule>
          <xm:sqref>Y23</xm:sqref>
        </x14:conditionalFormatting>
        <x14:conditionalFormatting xmlns:xm="http://schemas.microsoft.com/office/excel/2006/main">
          <x14:cfRule type="iconSet" priority="144" id="{A9F80FA4-0B4E-49EB-8506-9537A325C563}">
            <x14:iconSet iconSet="3Triangles">
              <x14:cfvo type="percent">
                <xm:f>0</xm:f>
              </x14:cfvo>
              <x14:cfvo type="formula">
                <xm:f>$M$24</xm:f>
              </x14:cfvo>
              <x14:cfvo type="formula" gte="0">
                <xm:f>$M$24</xm:f>
              </x14:cfvo>
            </x14:iconSet>
          </x14:cfRule>
          <xm:sqref>X24:AB24</xm:sqref>
        </x14:conditionalFormatting>
        <x14:conditionalFormatting xmlns:xm="http://schemas.microsoft.com/office/excel/2006/main">
          <x14:cfRule type="iconSet" priority="143" id="{90616DFD-0B5A-454B-8905-B0D7A46CF3BB}">
            <x14:iconSet iconSet="3Triangles">
              <x14:cfvo type="percent">
                <xm:f>0</xm:f>
              </x14:cfvo>
              <x14:cfvo type="formula">
                <xm:f>$R$24</xm:f>
              </x14:cfvo>
              <x14:cfvo type="formula" gte="0">
                <xm:f>$R$24</xm:f>
              </x14:cfvo>
            </x14:iconSet>
          </x14:cfRule>
          <xm:sqref>AC24:AG24</xm:sqref>
        </x14:conditionalFormatting>
        <x14:conditionalFormatting xmlns:xm="http://schemas.microsoft.com/office/excel/2006/main">
          <x14:cfRule type="iconSet" priority="142" id="{4DE2ED0E-C3DB-440E-8DC6-0519C551702B}">
            <x14:iconSet iconSet="3Triangles">
              <x14:cfvo type="percent">
                <xm:f>0</xm:f>
              </x14:cfvo>
              <x14:cfvo type="formula">
                <xm:f>$Y$23</xm:f>
              </x14:cfvo>
              <x14:cfvo type="formula" gte="0">
                <xm:f>$Y$23</xm:f>
              </x14:cfvo>
            </x14:iconSet>
          </x14:cfRule>
          <xm:sqref>Z23</xm:sqref>
        </x14:conditionalFormatting>
        <x14:conditionalFormatting xmlns:xm="http://schemas.microsoft.com/office/excel/2006/main">
          <x14:cfRule type="iconSet" priority="141" id="{A8889CCA-6642-4833-91B8-F37BD8554A2C}">
            <x14:iconSet iconSet="3Triangles">
              <x14:cfvo type="percent">
                <xm:f>0</xm:f>
              </x14:cfvo>
              <x14:cfvo type="formula">
                <xm:f>$Z$23</xm:f>
              </x14:cfvo>
              <x14:cfvo type="formula" gte="0">
                <xm:f>$Z$23</xm:f>
              </x14:cfvo>
            </x14:iconSet>
          </x14:cfRule>
          <xm:sqref>AA23</xm:sqref>
        </x14:conditionalFormatting>
        <x14:conditionalFormatting xmlns:xm="http://schemas.microsoft.com/office/excel/2006/main">
          <x14:cfRule type="iconSet" priority="140" id="{A910C4EF-4601-4563-8A60-E01C2624F242}">
            <x14:iconSet iconSet="3Triangles">
              <x14:cfvo type="percent">
                <xm:f>0</xm:f>
              </x14:cfvo>
              <x14:cfvo type="formula">
                <xm:f>$AA$23</xm:f>
              </x14:cfvo>
              <x14:cfvo type="formula" gte="0">
                <xm:f>$AA$23</xm:f>
              </x14:cfvo>
            </x14:iconSet>
          </x14:cfRule>
          <xm:sqref>AB23</xm:sqref>
        </x14:conditionalFormatting>
        <x14:conditionalFormatting xmlns:xm="http://schemas.microsoft.com/office/excel/2006/main">
          <x14:cfRule type="iconSet" priority="139" id="{E1837DE1-C88E-4725-8B78-D1BF88EC0EF7}">
            <x14:iconSet iconSet="3Triangles">
              <x14:cfvo type="percent">
                <xm:f>0</xm:f>
              </x14:cfvo>
              <x14:cfvo type="formula">
                <xm:f>$V$23</xm:f>
              </x14:cfvo>
              <x14:cfvo type="formula" gte="0">
                <xm:f>$V$23</xm:f>
              </x14:cfvo>
            </x14:iconSet>
          </x14:cfRule>
          <xm:sqref>AC23</xm:sqref>
        </x14:conditionalFormatting>
        <x14:conditionalFormatting xmlns:xm="http://schemas.microsoft.com/office/excel/2006/main">
          <x14:cfRule type="iconSet" priority="138" id="{E96969A3-5CAF-4F04-B1BB-47ABCB7137AB}">
            <x14:iconSet iconSet="3Triangles">
              <x14:cfvo type="percent">
                <xm:f>0</xm:f>
              </x14:cfvo>
              <x14:cfvo type="formula">
                <xm:f>$AC$23</xm:f>
              </x14:cfvo>
              <x14:cfvo type="formula" gte="0">
                <xm:f>$AC$23</xm:f>
              </x14:cfvo>
            </x14:iconSet>
          </x14:cfRule>
          <xm:sqref>AD23</xm:sqref>
        </x14:conditionalFormatting>
        <x14:conditionalFormatting xmlns:xm="http://schemas.microsoft.com/office/excel/2006/main">
          <x14:cfRule type="iconSet" priority="137" id="{87AC9E86-9836-435C-B667-6295EB31EE5F}">
            <x14:iconSet iconSet="3Triangles">
              <x14:cfvo type="percent">
                <xm:f>0</xm:f>
              </x14:cfvo>
              <x14:cfvo type="formula">
                <xm:f>$AD$23</xm:f>
              </x14:cfvo>
              <x14:cfvo type="formula" gte="0">
                <xm:f>$AD$23</xm:f>
              </x14:cfvo>
            </x14:iconSet>
          </x14:cfRule>
          <xm:sqref>AE23</xm:sqref>
        </x14:conditionalFormatting>
        <x14:conditionalFormatting xmlns:xm="http://schemas.microsoft.com/office/excel/2006/main">
          <x14:cfRule type="iconSet" priority="136" id="{941D18ED-1C1B-4075-A078-9CDF3C7A3F56}">
            <x14:iconSet iconSet="3Triangles">
              <x14:cfvo type="percent">
                <xm:f>0</xm:f>
              </x14:cfvo>
              <x14:cfvo type="formula">
                <xm:f>$AE$23</xm:f>
              </x14:cfvo>
              <x14:cfvo type="formula" gte="0">
                <xm:f>$AE$23</xm:f>
              </x14:cfvo>
            </x14:iconSet>
          </x14:cfRule>
          <xm:sqref>AF23</xm:sqref>
        </x14:conditionalFormatting>
        <x14:conditionalFormatting xmlns:xm="http://schemas.microsoft.com/office/excel/2006/main">
          <x14:cfRule type="iconSet" priority="135" id="{36FF8AD6-A19F-4BA2-945F-AFB643F783FF}">
            <x14:iconSet iconSet="3Triangles">
              <x14:cfvo type="percent">
                <xm:f>0</xm:f>
              </x14:cfvo>
              <x14:cfvo type="formula">
                <xm:f>$AF$23</xm:f>
              </x14:cfvo>
              <x14:cfvo type="formula" gte="0">
                <xm:f>$AF$23</xm:f>
              </x14:cfvo>
            </x14:iconSet>
          </x14:cfRule>
          <xm:sqref>AG23</xm:sqref>
        </x14:conditionalFormatting>
        <x14:conditionalFormatting xmlns:xm="http://schemas.microsoft.com/office/excel/2006/main">
          <x14:cfRule type="iconSet" priority="134" id="{0BD56F29-E123-4443-9EFF-2D6E9BE3930A}">
            <x14:iconSet iconSet="3Triangles">
              <x14:cfvo type="percent">
                <xm:f>0</xm:f>
              </x14:cfvo>
              <x14:cfvo type="formula">
                <xm:f>$X$24</xm:f>
              </x14:cfvo>
              <x14:cfvo type="formula" gte="0">
                <xm:f>$X$24</xm:f>
              </x14:cfvo>
            </x14:iconSet>
          </x14:cfRule>
          <xm:sqref>AI24:AM24</xm:sqref>
        </x14:conditionalFormatting>
        <x14:conditionalFormatting xmlns:xm="http://schemas.microsoft.com/office/excel/2006/main">
          <x14:cfRule type="iconSet" priority="133" id="{0EE3208A-8727-4D19-860E-D92C72A23E33}">
            <x14:iconSet iconSet="3Triangles">
              <x14:cfvo type="percent">
                <xm:f>0</xm:f>
              </x14:cfvo>
              <x14:cfvo type="formula">
                <xm:f>$AC$24</xm:f>
              </x14:cfvo>
              <x14:cfvo type="formula" gte="0">
                <xm:f>$AC$24</xm:f>
              </x14:cfvo>
            </x14:iconSet>
          </x14:cfRule>
          <xm:sqref>AN24:AR24</xm:sqref>
        </x14:conditionalFormatting>
        <x14:conditionalFormatting xmlns:xm="http://schemas.microsoft.com/office/excel/2006/main">
          <x14:cfRule type="iconSet" priority="132" id="{DF10E4DE-8E41-4878-ABBE-B055F05D0B33}">
            <x14:iconSet iconSet="3Triangles">
              <x14:cfvo type="percent">
                <xm:f>0</xm:f>
              </x14:cfvo>
              <x14:cfvo type="formula">
                <xm:f>$AB$23</xm:f>
              </x14:cfvo>
              <x14:cfvo type="formula" gte="0">
                <xm:f>$AB$23</xm:f>
              </x14:cfvo>
            </x14:iconSet>
          </x14:cfRule>
          <xm:sqref>AI23</xm:sqref>
        </x14:conditionalFormatting>
        <x14:conditionalFormatting xmlns:xm="http://schemas.microsoft.com/office/excel/2006/main">
          <x14:cfRule type="iconSet" priority="131" id="{A3B2E293-7951-4D0C-9692-6D444F8947FF}">
            <x14:iconSet iconSet="3Triangles">
              <x14:cfvo type="percent">
                <xm:f>0</xm:f>
              </x14:cfvo>
              <x14:cfvo type="formula">
                <xm:f>$AI$23</xm:f>
              </x14:cfvo>
              <x14:cfvo type="formula" gte="0">
                <xm:f>$AI$23</xm:f>
              </x14:cfvo>
            </x14:iconSet>
          </x14:cfRule>
          <xm:sqref>AJ23</xm:sqref>
        </x14:conditionalFormatting>
        <x14:conditionalFormatting xmlns:xm="http://schemas.microsoft.com/office/excel/2006/main">
          <x14:cfRule type="iconSet" priority="130" id="{AB83FCFE-EBE5-425C-BFF0-F3FBE5FC5E66}">
            <x14:iconSet iconSet="3Triangles">
              <x14:cfvo type="percent">
                <xm:f>0</xm:f>
              </x14:cfvo>
              <x14:cfvo type="formula">
                <xm:f>$AJ$23</xm:f>
              </x14:cfvo>
              <x14:cfvo type="formula" gte="0">
                <xm:f>$AJ$23</xm:f>
              </x14:cfvo>
            </x14:iconSet>
          </x14:cfRule>
          <xm:sqref>AK23</xm:sqref>
        </x14:conditionalFormatting>
        <x14:conditionalFormatting xmlns:xm="http://schemas.microsoft.com/office/excel/2006/main">
          <x14:cfRule type="iconSet" priority="129" id="{7D46D4CF-93F3-44A2-89C0-9B07EE24DF71}">
            <x14:iconSet iconSet="3Triangles">
              <x14:cfvo type="percent">
                <xm:f>0</xm:f>
              </x14:cfvo>
              <x14:cfvo type="formula">
                <xm:f>$AK$23</xm:f>
              </x14:cfvo>
              <x14:cfvo type="formula" gte="0">
                <xm:f>$AK$23</xm:f>
              </x14:cfvo>
            </x14:iconSet>
          </x14:cfRule>
          <xm:sqref>AL23</xm:sqref>
        </x14:conditionalFormatting>
        <x14:conditionalFormatting xmlns:xm="http://schemas.microsoft.com/office/excel/2006/main">
          <x14:cfRule type="iconSet" priority="128" id="{58257710-40C5-4D8E-A7C3-58FBD1439521}">
            <x14:iconSet iconSet="3Triangles">
              <x14:cfvo type="percent">
                <xm:f>0</xm:f>
              </x14:cfvo>
              <x14:cfvo type="formula">
                <xm:f>$AL$23</xm:f>
              </x14:cfvo>
              <x14:cfvo type="formula" gte="0">
                <xm:f>$AL$23</xm:f>
              </x14:cfvo>
            </x14:iconSet>
          </x14:cfRule>
          <xm:sqref>AM23</xm:sqref>
        </x14:conditionalFormatting>
        <x14:conditionalFormatting xmlns:xm="http://schemas.microsoft.com/office/excel/2006/main">
          <x14:cfRule type="iconSet" priority="127" id="{D63A49F5-6AA8-459E-BF0A-658918D656F7}">
            <x14:iconSet iconSet="3Triangles">
              <x14:cfvo type="percent">
                <xm:f>0</xm:f>
              </x14:cfvo>
              <x14:cfvo type="formula">
                <xm:f>$AG$23</xm:f>
              </x14:cfvo>
              <x14:cfvo type="formula" gte="0">
                <xm:f>$AG$23</xm:f>
              </x14:cfvo>
            </x14:iconSet>
          </x14:cfRule>
          <xm:sqref>AN23</xm:sqref>
        </x14:conditionalFormatting>
        <x14:conditionalFormatting xmlns:xm="http://schemas.microsoft.com/office/excel/2006/main">
          <x14:cfRule type="iconSet" priority="126" id="{1799B4BA-A57A-490A-880F-7251A454200E}">
            <x14:iconSet iconSet="3Triangles">
              <x14:cfvo type="percent">
                <xm:f>0</xm:f>
              </x14:cfvo>
              <x14:cfvo type="formula">
                <xm:f>$AN$23</xm:f>
              </x14:cfvo>
              <x14:cfvo type="formula" gte="0">
                <xm:f>$AN$23</xm:f>
              </x14:cfvo>
            </x14:iconSet>
          </x14:cfRule>
          <xm:sqref>AO23</xm:sqref>
        </x14:conditionalFormatting>
        <x14:conditionalFormatting xmlns:xm="http://schemas.microsoft.com/office/excel/2006/main">
          <x14:cfRule type="iconSet" priority="125" id="{F9A6EC5C-C3E9-46DB-99DC-EEF37E675761}">
            <x14:iconSet iconSet="3Triangles">
              <x14:cfvo type="percent">
                <xm:f>0</xm:f>
              </x14:cfvo>
              <x14:cfvo type="formula">
                <xm:f>$AO$23</xm:f>
              </x14:cfvo>
              <x14:cfvo type="formula" gte="0">
                <xm:f>$AO$23</xm:f>
              </x14:cfvo>
            </x14:iconSet>
          </x14:cfRule>
          <xm:sqref>AP23</xm:sqref>
        </x14:conditionalFormatting>
        <x14:conditionalFormatting xmlns:xm="http://schemas.microsoft.com/office/excel/2006/main">
          <x14:cfRule type="iconSet" priority="124" id="{83334E7E-9D4A-4294-B3F7-EC9957D6EC6D}">
            <x14:iconSet iconSet="3Triangles">
              <x14:cfvo type="percent">
                <xm:f>0</xm:f>
              </x14:cfvo>
              <x14:cfvo type="formula">
                <xm:f>$AP$23</xm:f>
              </x14:cfvo>
              <x14:cfvo type="formula" gte="0">
                <xm:f>$AP$23</xm:f>
              </x14:cfvo>
            </x14:iconSet>
          </x14:cfRule>
          <xm:sqref>AQ23</xm:sqref>
        </x14:conditionalFormatting>
        <x14:conditionalFormatting xmlns:xm="http://schemas.microsoft.com/office/excel/2006/main">
          <x14:cfRule type="iconSet" priority="123" id="{7612C028-4660-4B4C-B5BB-D52D6FD6611A}">
            <x14:iconSet iconSet="3Triangles">
              <x14:cfvo type="percent">
                <xm:f>0</xm:f>
              </x14:cfvo>
              <x14:cfvo type="formula">
                <xm:f>$AQ$23</xm:f>
              </x14:cfvo>
              <x14:cfvo type="formula" gte="0">
                <xm:f>$AQ$23</xm:f>
              </x14:cfvo>
            </x14:iconSet>
          </x14:cfRule>
          <xm:sqref>AR23</xm:sqref>
        </x14:conditionalFormatting>
        <x14:conditionalFormatting xmlns:xm="http://schemas.microsoft.com/office/excel/2006/main">
          <x14:cfRule type="iconSet" priority="122" id="{2C94AF29-80BF-4A66-AAEF-62A8BEDDCAD6}">
            <x14:iconSet iconSet="3Triangles">
              <x14:cfvo type="percent">
                <xm:f>0</xm:f>
              </x14:cfvo>
              <x14:cfvo type="formula">
                <xm:f>$AM$23</xm:f>
              </x14:cfvo>
              <x14:cfvo type="formula" gte="0">
                <xm:f>$AM$23</xm:f>
              </x14:cfvo>
            </x14:iconSet>
          </x14:cfRule>
          <xm:sqref>AT23</xm:sqref>
        </x14:conditionalFormatting>
        <x14:conditionalFormatting xmlns:xm="http://schemas.microsoft.com/office/excel/2006/main">
          <x14:cfRule type="iconSet" priority="121" id="{D1EBDA5C-7263-4059-9F9F-4E739DE89C49}">
            <x14:iconSet iconSet="3Triangles">
              <x14:cfvo type="percent">
                <xm:f>0</xm:f>
              </x14:cfvo>
              <x14:cfvo type="formula">
                <xm:f>$AI$24</xm:f>
              </x14:cfvo>
              <x14:cfvo type="formula" gte="0">
                <xm:f>$AI$24</xm:f>
              </x14:cfvo>
            </x14:iconSet>
          </x14:cfRule>
          <xm:sqref>AT24:AX24</xm:sqref>
        </x14:conditionalFormatting>
        <x14:conditionalFormatting xmlns:xm="http://schemas.microsoft.com/office/excel/2006/main">
          <x14:cfRule type="iconSet" priority="120" id="{BE69EEC8-D139-4E4A-9063-EEA6644D32F4}">
            <x14:iconSet iconSet="3Triangles">
              <x14:cfvo type="percent">
                <xm:f>0</xm:f>
              </x14:cfvo>
              <x14:cfvo type="formula">
                <xm:f>$AN$24</xm:f>
              </x14:cfvo>
              <x14:cfvo type="formula" gte="0">
                <xm:f>$AN$24</xm:f>
              </x14:cfvo>
            </x14:iconSet>
          </x14:cfRule>
          <xm:sqref>AY24:BC24</xm:sqref>
        </x14:conditionalFormatting>
        <x14:conditionalFormatting xmlns:xm="http://schemas.microsoft.com/office/excel/2006/main">
          <x14:cfRule type="iconSet" priority="119" id="{1293ECD1-5C9E-46DE-965B-D71A9B1F0DFA}">
            <x14:iconSet iconSet="3Triangles">
              <x14:cfvo type="percent">
                <xm:f>0</xm:f>
              </x14:cfvo>
              <x14:cfvo type="formula">
                <xm:f>$AT$23</xm:f>
              </x14:cfvo>
              <x14:cfvo type="formula" gte="0">
                <xm:f>$AT$23</xm:f>
              </x14:cfvo>
            </x14:iconSet>
          </x14:cfRule>
          <xm:sqref>AU23</xm:sqref>
        </x14:conditionalFormatting>
        <x14:conditionalFormatting xmlns:xm="http://schemas.microsoft.com/office/excel/2006/main">
          <x14:cfRule type="iconSet" priority="118" id="{8AF1886B-7676-41E9-996B-3AD97248FE00}">
            <x14:iconSet iconSet="3Triangles">
              <x14:cfvo type="percent">
                <xm:f>0</xm:f>
              </x14:cfvo>
              <x14:cfvo type="formula">
                <xm:f>$AU$23</xm:f>
              </x14:cfvo>
              <x14:cfvo type="formula" gte="0">
                <xm:f>$AU$23</xm:f>
              </x14:cfvo>
            </x14:iconSet>
          </x14:cfRule>
          <xm:sqref>AV23</xm:sqref>
        </x14:conditionalFormatting>
        <x14:conditionalFormatting xmlns:xm="http://schemas.microsoft.com/office/excel/2006/main">
          <x14:cfRule type="iconSet" priority="117" id="{9283B04D-6DEE-4FDD-93C5-111CD87E96ED}">
            <x14:iconSet iconSet="3Triangles">
              <x14:cfvo type="percent">
                <xm:f>0</xm:f>
              </x14:cfvo>
              <x14:cfvo type="formula">
                <xm:f>$AV$23</xm:f>
              </x14:cfvo>
              <x14:cfvo type="formula" gte="0">
                <xm:f>$AV$23</xm:f>
              </x14:cfvo>
            </x14:iconSet>
          </x14:cfRule>
          <xm:sqref>AW23</xm:sqref>
        </x14:conditionalFormatting>
        <x14:conditionalFormatting xmlns:xm="http://schemas.microsoft.com/office/excel/2006/main">
          <x14:cfRule type="iconSet" priority="116" id="{D5AB73D7-DDA7-4E35-9E13-CE6B0A0C8D76}">
            <x14:iconSet iconSet="3Triangles">
              <x14:cfvo type="percent">
                <xm:f>0</xm:f>
              </x14:cfvo>
              <x14:cfvo type="formula">
                <xm:f>$AW$23</xm:f>
              </x14:cfvo>
              <x14:cfvo type="formula" gte="0">
                <xm:f>$AW$23</xm:f>
              </x14:cfvo>
            </x14:iconSet>
          </x14:cfRule>
          <xm:sqref>AX23</xm:sqref>
        </x14:conditionalFormatting>
        <x14:conditionalFormatting xmlns:xm="http://schemas.microsoft.com/office/excel/2006/main">
          <x14:cfRule type="iconSet" priority="115" id="{DF09BD4A-91B3-4824-BD9F-19DB98DC1B8A}">
            <x14:iconSet iconSet="3Triangles">
              <x14:cfvo type="percent">
                <xm:f>0</xm:f>
              </x14:cfvo>
              <x14:cfvo type="formula">
                <xm:f>$AR$23</xm:f>
              </x14:cfvo>
              <x14:cfvo type="formula" gte="0">
                <xm:f>$AR$23</xm:f>
              </x14:cfvo>
            </x14:iconSet>
          </x14:cfRule>
          <xm:sqref>AY23</xm:sqref>
        </x14:conditionalFormatting>
        <x14:conditionalFormatting xmlns:xm="http://schemas.microsoft.com/office/excel/2006/main">
          <x14:cfRule type="iconSet" priority="114" id="{CDBF21F7-4444-48FC-A07A-B5ED2270F811}">
            <x14:iconSet iconSet="3Triangles">
              <x14:cfvo type="percent">
                <xm:f>0</xm:f>
              </x14:cfvo>
              <x14:cfvo type="formula">
                <xm:f>$AY$23</xm:f>
              </x14:cfvo>
              <x14:cfvo type="formula" gte="0">
                <xm:f>$AY$23</xm:f>
              </x14:cfvo>
            </x14:iconSet>
          </x14:cfRule>
          <xm:sqref>AZ23</xm:sqref>
        </x14:conditionalFormatting>
        <x14:conditionalFormatting xmlns:xm="http://schemas.microsoft.com/office/excel/2006/main">
          <x14:cfRule type="iconSet" priority="113" id="{B5115732-92EF-4DFF-A3B8-0AD434B46489}">
            <x14:iconSet iconSet="3Triangles">
              <x14:cfvo type="percent">
                <xm:f>0</xm:f>
              </x14:cfvo>
              <x14:cfvo type="formula">
                <xm:f>$AZ$23</xm:f>
              </x14:cfvo>
              <x14:cfvo type="formula" gte="0">
                <xm:f>$AZ$23</xm:f>
              </x14:cfvo>
            </x14:iconSet>
          </x14:cfRule>
          <xm:sqref>BA23</xm:sqref>
        </x14:conditionalFormatting>
        <x14:conditionalFormatting xmlns:xm="http://schemas.microsoft.com/office/excel/2006/main">
          <x14:cfRule type="iconSet" priority="112" id="{B48C35B5-CDB6-463C-83A0-6CAA42B930FA}">
            <x14:iconSet iconSet="3Triangles">
              <x14:cfvo type="percent">
                <xm:f>0</xm:f>
              </x14:cfvo>
              <x14:cfvo type="formula">
                <xm:f>$BA$23</xm:f>
              </x14:cfvo>
              <x14:cfvo type="formula" gte="0">
                <xm:f>$BA$23</xm:f>
              </x14:cfvo>
            </x14:iconSet>
          </x14:cfRule>
          <xm:sqref>BB23</xm:sqref>
        </x14:conditionalFormatting>
        <x14:conditionalFormatting xmlns:xm="http://schemas.microsoft.com/office/excel/2006/main">
          <x14:cfRule type="iconSet" priority="111" id="{4EBDBE2C-338F-4AB7-9039-88DF27946BE4}">
            <x14:iconSet iconSet="3Triangles">
              <x14:cfvo type="percent">
                <xm:f>0</xm:f>
              </x14:cfvo>
              <x14:cfvo type="formula">
                <xm:f>$BB$23</xm:f>
              </x14:cfvo>
              <x14:cfvo type="formula" gte="0">
                <xm:f>$BB$23</xm:f>
              </x14:cfvo>
            </x14:iconSet>
          </x14:cfRule>
          <xm:sqref>BC23</xm:sqref>
        </x14:conditionalFormatting>
        <x14:conditionalFormatting xmlns:xm="http://schemas.microsoft.com/office/excel/2006/main">
          <x14:cfRule type="iconSet" priority="110" id="{527D2341-2E1F-40B9-AA85-411C66E77A8A}">
            <x14:iconSet iconSet="3Triangles">
              <x14:cfvo type="percent">
                <xm:f>0</xm:f>
              </x14:cfvo>
              <x14:cfvo type="formula">
                <xm:f>$AT$24</xm:f>
              </x14:cfvo>
              <x14:cfvo type="formula" gte="0">
                <xm:f>$AT$24</xm:f>
              </x14:cfvo>
            </x14:iconSet>
          </x14:cfRule>
          <xm:sqref>BE24:BI24</xm:sqref>
        </x14:conditionalFormatting>
        <x14:conditionalFormatting xmlns:xm="http://schemas.microsoft.com/office/excel/2006/main">
          <x14:cfRule type="iconSet" priority="109" id="{592CC323-6B70-4B8C-88CA-CD683E7BF9AA}">
            <x14:iconSet iconSet="3Triangles">
              <x14:cfvo type="percent">
                <xm:f>0</xm:f>
              </x14:cfvo>
              <x14:cfvo type="formula">
                <xm:f>$AY$24</xm:f>
              </x14:cfvo>
              <x14:cfvo type="formula" gte="0">
                <xm:f>$AY$24</xm:f>
              </x14:cfvo>
            </x14:iconSet>
          </x14:cfRule>
          <xm:sqref>BJ24:BN24</xm:sqref>
        </x14:conditionalFormatting>
        <x14:conditionalFormatting xmlns:xm="http://schemas.microsoft.com/office/excel/2006/main">
          <x14:cfRule type="iconSet" priority="108" id="{1E1DFC5E-A094-4AE9-BF07-7934C8C9D4E8}">
            <x14:iconSet iconSet="3Triangles">
              <x14:cfvo type="percent">
                <xm:f>0</xm:f>
              </x14:cfvo>
              <x14:cfvo type="formula">
                <xm:f>$AX$23</xm:f>
              </x14:cfvo>
              <x14:cfvo type="formula" gte="0">
                <xm:f>$AX$23</xm:f>
              </x14:cfvo>
            </x14:iconSet>
          </x14:cfRule>
          <xm:sqref>BE23</xm:sqref>
        </x14:conditionalFormatting>
        <x14:conditionalFormatting xmlns:xm="http://schemas.microsoft.com/office/excel/2006/main">
          <x14:cfRule type="iconSet" priority="107" id="{035745C0-E8BB-4404-8F11-13C97A354FAD}">
            <x14:iconSet iconSet="3Triangles">
              <x14:cfvo type="percent">
                <xm:f>0</xm:f>
              </x14:cfvo>
              <x14:cfvo type="formula">
                <xm:f>$BE$23</xm:f>
              </x14:cfvo>
              <x14:cfvo type="formula" gte="0">
                <xm:f>$BE$23</xm:f>
              </x14:cfvo>
            </x14:iconSet>
          </x14:cfRule>
          <xm:sqref>BF23</xm:sqref>
        </x14:conditionalFormatting>
        <x14:conditionalFormatting xmlns:xm="http://schemas.microsoft.com/office/excel/2006/main">
          <x14:cfRule type="iconSet" priority="106" id="{59A30044-6045-424D-A5E7-994ADA529988}">
            <x14:iconSet iconSet="3Triangles">
              <x14:cfvo type="percent">
                <xm:f>0</xm:f>
              </x14:cfvo>
              <x14:cfvo type="formula">
                <xm:f>$BF$23</xm:f>
              </x14:cfvo>
              <x14:cfvo type="formula" gte="0">
                <xm:f>$BF$23</xm:f>
              </x14:cfvo>
            </x14:iconSet>
          </x14:cfRule>
          <xm:sqref>BG23</xm:sqref>
        </x14:conditionalFormatting>
        <x14:conditionalFormatting xmlns:xm="http://schemas.microsoft.com/office/excel/2006/main">
          <x14:cfRule type="iconSet" priority="105" id="{739E9BD0-8C67-4A54-B203-078F0505C8E1}">
            <x14:iconSet iconSet="3Triangles">
              <x14:cfvo type="percent">
                <xm:f>0</xm:f>
              </x14:cfvo>
              <x14:cfvo type="formula">
                <xm:f>$BG$23</xm:f>
              </x14:cfvo>
              <x14:cfvo type="formula" gte="0">
                <xm:f>$BG$23</xm:f>
              </x14:cfvo>
            </x14:iconSet>
          </x14:cfRule>
          <xm:sqref>BH23</xm:sqref>
        </x14:conditionalFormatting>
        <x14:conditionalFormatting xmlns:xm="http://schemas.microsoft.com/office/excel/2006/main">
          <x14:cfRule type="iconSet" priority="104" id="{1A75397E-EAD5-4BC8-85CE-F3ECB76BD2E8}">
            <x14:iconSet iconSet="3Triangles">
              <x14:cfvo type="percent">
                <xm:f>0</xm:f>
              </x14:cfvo>
              <x14:cfvo type="formula">
                <xm:f>$BH$23</xm:f>
              </x14:cfvo>
              <x14:cfvo type="formula" gte="0">
                <xm:f>$BH$23</xm:f>
              </x14:cfvo>
            </x14:iconSet>
          </x14:cfRule>
          <xm:sqref>BI23</xm:sqref>
        </x14:conditionalFormatting>
        <x14:conditionalFormatting xmlns:xm="http://schemas.microsoft.com/office/excel/2006/main">
          <x14:cfRule type="iconSet" priority="103" id="{84706DE2-8EFA-4398-9C00-EFC39DBE8F3A}">
            <x14:iconSet iconSet="3Triangles">
              <x14:cfvo type="percent">
                <xm:f>0</xm:f>
              </x14:cfvo>
              <x14:cfvo type="formula">
                <xm:f>$BC$23</xm:f>
              </x14:cfvo>
              <x14:cfvo type="formula" gte="0">
                <xm:f>$BC$23</xm:f>
              </x14:cfvo>
            </x14:iconSet>
          </x14:cfRule>
          <xm:sqref>BJ23</xm:sqref>
        </x14:conditionalFormatting>
        <x14:conditionalFormatting xmlns:xm="http://schemas.microsoft.com/office/excel/2006/main">
          <x14:cfRule type="iconSet" priority="102" id="{2C7BC82B-A85C-4481-84F6-67EE665FCB77}">
            <x14:iconSet iconSet="3Triangles">
              <x14:cfvo type="percent">
                <xm:f>0</xm:f>
              </x14:cfvo>
              <x14:cfvo type="formula">
                <xm:f>$BJ$23</xm:f>
              </x14:cfvo>
              <x14:cfvo type="formula" gte="0">
                <xm:f>$BJ$23</xm:f>
              </x14:cfvo>
            </x14:iconSet>
          </x14:cfRule>
          <xm:sqref>BK23</xm:sqref>
        </x14:conditionalFormatting>
        <x14:conditionalFormatting xmlns:xm="http://schemas.microsoft.com/office/excel/2006/main">
          <x14:cfRule type="iconSet" priority="101" id="{3E9098E4-2A31-426B-87AE-FEA1A6FB8610}">
            <x14:iconSet iconSet="3Triangles">
              <x14:cfvo type="percent">
                <xm:f>0</xm:f>
              </x14:cfvo>
              <x14:cfvo type="formula">
                <xm:f>$BK$23</xm:f>
              </x14:cfvo>
              <x14:cfvo type="formula" gte="0">
                <xm:f>$BK$23</xm:f>
              </x14:cfvo>
            </x14:iconSet>
          </x14:cfRule>
          <xm:sqref>BL23</xm:sqref>
        </x14:conditionalFormatting>
        <x14:conditionalFormatting xmlns:xm="http://schemas.microsoft.com/office/excel/2006/main">
          <x14:cfRule type="iconSet" priority="100" id="{3D575F64-2FD9-4C79-BA96-86A0AC7CEB6F}">
            <x14:iconSet iconSet="3Triangles">
              <x14:cfvo type="percent">
                <xm:f>0</xm:f>
              </x14:cfvo>
              <x14:cfvo type="formula">
                <xm:f>$BL$23</xm:f>
              </x14:cfvo>
              <x14:cfvo type="formula" gte="0">
                <xm:f>$BL$23</xm:f>
              </x14:cfvo>
            </x14:iconSet>
          </x14:cfRule>
          <xm:sqref>BM23</xm:sqref>
        </x14:conditionalFormatting>
        <x14:conditionalFormatting xmlns:xm="http://schemas.microsoft.com/office/excel/2006/main">
          <x14:cfRule type="iconSet" priority="99" id="{84A5CB95-81B7-4397-B216-B3A4199CFDF5}">
            <x14:iconSet iconSet="3Triangles">
              <x14:cfvo type="percent">
                <xm:f>0</xm:f>
              </x14:cfvo>
              <x14:cfvo type="formula">
                <xm:f>$BM$23</xm:f>
              </x14:cfvo>
              <x14:cfvo type="formula" gte="0">
                <xm:f>$BM$23</xm:f>
              </x14:cfvo>
            </x14:iconSet>
          </x14:cfRule>
          <xm:sqref>BN23</xm:sqref>
        </x14:conditionalFormatting>
        <x14:conditionalFormatting xmlns:xm="http://schemas.microsoft.com/office/excel/2006/main">
          <x14:cfRule type="iconSet" priority="98" id="{59B9801A-01CD-4882-B272-D3E7ACDE2B52}">
            <x14:iconSet iconSet="3Triangles">
              <x14:cfvo type="percent">
                <xm:f>0</xm:f>
              </x14:cfvo>
              <x14:cfvo type="formula">
                <xm:f>$BE$24</xm:f>
              </x14:cfvo>
              <x14:cfvo type="formula" gte="0">
                <xm:f>$BE$24</xm:f>
              </x14:cfvo>
            </x14:iconSet>
          </x14:cfRule>
          <xm:sqref>BP24:BT24</xm:sqref>
        </x14:conditionalFormatting>
        <x14:conditionalFormatting xmlns:xm="http://schemas.microsoft.com/office/excel/2006/main">
          <x14:cfRule type="iconSet" priority="97" id="{BF9966BB-77CD-47F0-B108-D2C4A9377816}">
            <x14:iconSet iconSet="3Triangles">
              <x14:cfvo type="percent">
                <xm:f>0</xm:f>
              </x14:cfvo>
              <x14:cfvo type="formula">
                <xm:f>$BJ$24</xm:f>
              </x14:cfvo>
              <x14:cfvo type="formula" gte="0">
                <xm:f>$BJ$24</xm:f>
              </x14:cfvo>
            </x14:iconSet>
          </x14:cfRule>
          <xm:sqref>BU24:BY24</xm:sqref>
        </x14:conditionalFormatting>
        <x14:conditionalFormatting xmlns:xm="http://schemas.microsoft.com/office/excel/2006/main">
          <x14:cfRule type="iconSet" priority="96" id="{D9CA669E-7FFA-4DC7-8DF1-93E214F0C343}">
            <x14:iconSet iconSet="3Triangles">
              <x14:cfvo type="percent">
                <xm:f>0</xm:f>
              </x14:cfvo>
              <x14:cfvo type="formula">
                <xm:f>$BI$23</xm:f>
              </x14:cfvo>
              <x14:cfvo type="formula" gte="0">
                <xm:f>$BI$23</xm:f>
              </x14:cfvo>
            </x14:iconSet>
          </x14:cfRule>
          <xm:sqref>BP23</xm:sqref>
        </x14:conditionalFormatting>
        <x14:conditionalFormatting xmlns:xm="http://schemas.microsoft.com/office/excel/2006/main">
          <x14:cfRule type="iconSet" priority="95" id="{4BBB1416-CEC6-4F9A-83ED-787272DEECC4}">
            <x14:iconSet iconSet="3Triangles">
              <x14:cfvo type="percent">
                <xm:f>0</xm:f>
              </x14:cfvo>
              <x14:cfvo type="formula">
                <xm:f>$BP$23</xm:f>
              </x14:cfvo>
              <x14:cfvo type="formula" gte="0">
                <xm:f>$BP$23</xm:f>
              </x14:cfvo>
            </x14:iconSet>
          </x14:cfRule>
          <xm:sqref>BQ23</xm:sqref>
        </x14:conditionalFormatting>
        <x14:conditionalFormatting xmlns:xm="http://schemas.microsoft.com/office/excel/2006/main">
          <x14:cfRule type="iconSet" priority="94" id="{7800A193-CCC8-4576-89A4-698D41FCA6BC}">
            <x14:iconSet iconSet="3Triangles">
              <x14:cfvo type="percent">
                <xm:f>0</xm:f>
              </x14:cfvo>
              <x14:cfvo type="formula">
                <xm:f>$BQ$23</xm:f>
              </x14:cfvo>
              <x14:cfvo type="formula" gte="0">
                <xm:f>$BQ$23</xm:f>
              </x14:cfvo>
            </x14:iconSet>
          </x14:cfRule>
          <xm:sqref>BR23</xm:sqref>
        </x14:conditionalFormatting>
        <x14:conditionalFormatting xmlns:xm="http://schemas.microsoft.com/office/excel/2006/main">
          <x14:cfRule type="iconSet" priority="93" id="{DBE9801D-7A4E-43B2-AD03-764177135715}">
            <x14:iconSet iconSet="3Triangles">
              <x14:cfvo type="percent">
                <xm:f>0</xm:f>
              </x14:cfvo>
              <x14:cfvo type="formula">
                <xm:f>$BR$23</xm:f>
              </x14:cfvo>
              <x14:cfvo type="formula" gte="0">
                <xm:f>$BR$23</xm:f>
              </x14:cfvo>
            </x14:iconSet>
          </x14:cfRule>
          <xm:sqref>BS23</xm:sqref>
        </x14:conditionalFormatting>
        <x14:conditionalFormatting xmlns:xm="http://schemas.microsoft.com/office/excel/2006/main">
          <x14:cfRule type="iconSet" priority="92" id="{6EF1033C-7595-471F-8702-3703562C58D9}">
            <x14:iconSet iconSet="3Triangles">
              <x14:cfvo type="percent">
                <xm:f>0</xm:f>
              </x14:cfvo>
              <x14:cfvo type="formula">
                <xm:f>$BS$23</xm:f>
              </x14:cfvo>
              <x14:cfvo type="formula" gte="0">
                <xm:f>$BS$23</xm:f>
              </x14:cfvo>
            </x14:iconSet>
          </x14:cfRule>
          <xm:sqref>BT23</xm:sqref>
        </x14:conditionalFormatting>
        <x14:conditionalFormatting xmlns:xm="http://schemas.microsoft.com/office/excel/2006/main">
          <x14:cfRule type="iconSet" priority="91" id="{3D714F39-777F-4D87-86F9-9E82EE15B1F2}">
            <x14:iconSet iconSet="3Triangles">
              <x14:cfvo type="percent">
                <xm:f>0</xm:f>
              </x14:cfvo>
              <x14:cfvo type="formula">
                <xm:f>$BN$23</xm:f>
              </x14:cfvo>
              <x14:cfvo type="formula" gte="0">
                <xm:f>$BN$23</xm:f>
              </x14:cfvo>
            </x14:iconSet>
          </x14:cfRule>
          <xm:sqref>BU23</xm:sqref>
        </x14:conditionalFormatting>
        <x14:conditionalFormatting xmlns:xm="http://schemas.microsoft.com/office/excel/2006/main">
          <x14:cfRule type="iconSet" priority="90" id="{59ABE360-89DA-46B5-8574-F04C2D4B234D}">
            <x14:iconSet iconSet="3Triangles">
              <x14:cfvo type="percent">
                <xm:f>0</xm:f>
              </x14:cfvo>
              <x14:cfvo type="formula">
                <xm:f>$BU$23</xm:f>
              </x14:cfvo>
              <x14:cfvo type="formula" gte="0">
                <xm:f>$BU$23</xm:f>
              </x14:cfvo>
            </x14:iconSet>
          </x14:cfRule>
          <xm:sqref>BV23</xm:sqref>
        </x14:conditionalFormatting>
        <x14:conditionalFormatting xmlns:xm="http://schemas.microsoft.com/office/excel/2006/main">
          <x14:cfRule type="iconSet" priority="89" id="{A9F354BD-D7A1-4136-BC5B-E325066347AA}">
            <x14:iconSet iconSet="3Triangles">
              <x14:cfvo type="percent">
                <xm:f>0</xm:f>
              </x14:cfvo>
              <x14:cfvo type="formula">
                <xm:f>$BV$23</xm:f>
              </x14:cfvo>
              <x14:cfvo type="formula" gte="0">
                <xm:f>$BV$23</xm:f>
              </x14:cfvo>
            </x14:iconSet>
          </x14:cfRule>
          <xm:sqref>BW23</xm:sqref>
        </x14:conditionalFormatting>
        <x14:conditionalFormatting xmlns:xm="http://schemas.microsoft.com/office/excel/2006/main">
          <x14:cfRule type="iconSet" priority="88" id="{F0A459D0-32B7-4789-9CED-3FDBB264AB59}">
            <x14:iconSet iconSet="3Triangles">
              <x14:cfvo type="percent">
                <xm:f>0</xm:f>
              </x14:cfvo>
              <x14:cfvo type="formula">
                <xm:f>$BW$23</xm:f>
              </x14:cfvo>
              <x14:cfvo type="formula" gte="0">
                <xm:f>$BW$23</xm:f>
              </x14:cfvo>
            </x14:iconSet>
          </x14:cfRule>
          <xm:sqref>BX23</xm:sqref>
        </x14:conditionalFormatting>
        <x14:conditionalFormatting xmlns:xm="http://schemas.microsoft.com/office/excel/2006/main">
          <x14:cfRule type="iconSet" priority="87" id="{AE1C7C8A-CEE1-4971-9D3B-68B8E02DFAA3}">
            <x14:iconSet iconSet="3Triangles">
              <x14:cfvo type="percent">
                <xm:f>0</xm:f>
              </x14:cfvo>
              <x14:cfvo type="formula">
                <xm:f>$BX$23</xm:f>
              </x14:cfvo>
              <x14:cfvo type="formula" gte="0">
                <xm:f>$BX$23</xm:f>
              </x14:cfvo>
            </x14:iconSet>
          </x14:cfRule>
          <xm:sqref>BY23</xm:sqref>
        </x14:conditionalFormatting>
        <x14:conditionalFormatting xmlns:xm="http://schemas.microsoft.com/office/excel/2006/main">
          <x14:cfRule type="iconSet" priority="86" id="{DBE5FAB1-1756-486F-84C9-BF0EA4CF6D44}">
            <x14:iconSet iconSet="3Triangles">
              <x14:cfvo type="percent">
                <xm:f>0</xm:f>
              </x14:cfvo>
              <x14:cfvo type="formula">
                <xm:f>$BP$24</xm:f>
              </x14:cfvo>
              <x14:cfvo type="formula" gte="0">
                <xm:f>$BP$24</xm:f>
              </x14:cfvo>
            </x14:iconSet>
          </x14:cfRule>
          <xm:sqref>CA24:CE24</xm:sqref>
        </x14:conditionalFormatting>
        <x14:conditionalFormatting xmlns:xm="http://schemas.microsoft.com/office/excel/2006/main">
          <x14:cfRule type="iconSet" priority="85" id="{BF894A15-BC36-4556-B889-CD3D80CA7E6F}">
            <x14:iconSet iconSet="3Triangles">
              <x14:cfvo type="percent">
                <xm:f>0</xm:f>
              </x14:cfvo>
              <x14:cfvo type="formula">
                <xm:f>$BU$24</xm:f>
              </x14:cfvo>
              <x14:cfvo type="formula" gte="0">
                <xm:f>$BU$24</xm:f>
              </x14:cfvo>
            </x14:iconSet>
          </x14:cfRule>
          <xm:sqref>CF24:CJ24</xm:sqref>
        </x14:conditionalFormatting>
        <x14:conditionalFormatting xmlns:xm="http://schemas.microsoft.com/office/excel/2006/main">
          <x14:cfRule type="iconSet" priority="84" id="{ED8A4B41-B807-404F-859B-A48BDA3088E7}">
            <x14:iconSet iconSet="3Triangles">
              <x14:cfvo type="percent">
                <xm:f>0</xm:f>
              </x14:cfvo>
              <x14:cfvo type="formula">
                <xm:f>$BT$23</xm:f>
              </x14:cfvo>
              <x14:cfvo type="formula" gte="0">
                <xm:f>$BT$23</xm:f>
              </x14:cfvo>
            </x14:iconSet>
          </x14:cfRule>
          <xm:sqref>CA23</xm:sqref>
        </x14:conditionalFormatting>
        <x14:conditionalFormatting xmlns:xm="http://schemas.microsoft.com/office/excel/2006/main">
          <x14:cfRule type="iconSet" priority="83" id="{5D95D9FC-E20C-445C-AA24-D1EDC0085BE5}">
            <x14:iconSet iconSet="3Triangles">
              <x14:cfvo type="percent">
                <xm:f>0</xm:f>
              </x14:cfvo>
              <x14:cfvo type="formula">
                <xm:f>$CA$23</xm:f>
              </x14:cfvo>
              <x14:cfvo type="formula" gte="0">
                <xm:f>$CA$23</xm:f>
              </x14:cfvo>
            </x14:iconSet>
          </x14:cfRule>
          <xm:sqref>CB23</xm:sqref>
        </x14:conditionalFormatting>
        <x14:conditionalFormatting xmlns:xm="http://schemas.microsoft.com/office/excel/2006/main">
          <x14:cfRule type="iconSet" priority="82" id="{34E8C13E-DA20-48B3-99AE-318E0AA55E45}">
            <x14:iconSet iconSet="3Triangles">
              <x14:cfvo type="percent">
                <xm:f>0</xm:f>
              </x14:cfvo>
              <x14:cfvo type="formula">
                <xm:f>$CB$23</xm:f>
              </x14:cfvo>
              <x14:cfvo type="formula" gte="0">
                <xm:f>$CB$23</xm:f>
              </x14:cfvo>
            </x14:iconSet>
          </x14:cfRule>
          <xm:sqref>CC23</xm:sqref>
        </x14:conditionalFormatting>
        <x14:conditionalFormatting xmlns:xm="http://schemas.microsoft.com/office/excel/2006/main">
          <x14:cfRule type="iconSet" priority="81" id="{90700550-4E71-43CF-ADAF-8F39BE43B4EA}">
            <x14:iconSet iconSet="3Triangles">
              <x14:cfvo type="percent">
                <xm:f>0</xm:f>
              </x14:cfvo>
              <x14:cfvo type="formula">
                <xm:f>$CC$23</xm:f>
              </x14:cfvo>
              <x14:cfvo type="formula" gte="0">
                <xm:f>$CC$23</xm:f>
              </x14:cfvo>
            </x14:iconSet>
          </x14:cfRule>
          <xm:sqref>CD23</xm:sqref>
        </x14:conditionalFormatting>
        <x14:conditionalFormatting xmlns:xm="http://schemas.microsoft.com/office/excel/2006/main">
          <x14:cfRule type="iconSet" priority="80" id="{B4D03447-940E-4059-9F45-E5A178DCE18C}">
            <x14:iconSet iconSet="3Triangles">
              <x14:cfvo type="percent">
                <xm:f>0</xm:f>
              </x14:cfvo>
              <x14:cfvo type="formula">
                <xm:f>$CD$23</xm:f>
              </x14:cfvo>
              <x14:cfvo type="formula" gte="0">
                <xm:f>$CD$23</xm:f>
              </x14:cfvo>
            </x14:iconSet>
          </x14:cfRule>
          <xm:sqref>CE23</xm:sqref>
        </x14:conditionalFormatting>
        <x14:conditionalFormatting xmlns:xm="http://schemas.microsoft.com/office/excel/2006/main">
          <x14:cfRule type="iconSet" priority="79" id="{EC204A21-F5C4-41F2-8A85-60368F41E205}">
            <x14:iconSet iconSet="3Triangles">
              <x14:cfvo type="percent">
                <xm:f>0</xm:f>
              </x14:cfvo>
              <x14:cfvo type="formula">
                <xm:f>$BY$23</xm:f>
              </x14:cfvo>
              <x14:cfvo type="formula" gte="0">
                <xm:f>$BY$23</xm:f>
              </x14:cfvo>
            </x14:iconSet>
          </x14:cfRule>
          <xm:sqref>CF23</xm:sqref>
        </x14:conditionalFormatting>
        <x14:conditionalFormatting xmlns:xm="http://schemas.microsoft.com/office/excel/2006/main">
          <x14:cfRule type="iconSet" priority="78" id="{D3248C38-F380-41BC-9074-CAB7B3332764}">
            <x14:iconSet iconSet="3Triangles">
              <x14:cfvo type="percent">
                <xm:f>0</xm:f>
              </x14:cfvo>
              <x14:cfvo type="formula">
                <xm:f>$CF$23</xm:f>
              </x14:cfvo>
              <x14:cfvo type="formula" gte="0">
                <xm:f>$CF$23</xm:f>
              </x14:cfvo>
            </x14:iconSet>
          </x14:cfRule>
          <xm:sqref>CG23</xm:sqref>
        </x14:conditionalFormatting>
        <x14:conditionalFormatting xmlns:xm="http://schemas.microsoft.com/office/excel/2006/main">
          <x14:cfRule type="iconSet" priority="77" id="{CC9964F6-EDE4-42A1-9903-2142FC23E794}">
            <x14:iconSet iconSet="3Triangles">
              <x14:cfvo type="percent">
                <xm:f>0</xm:f>
              </x14:cfvo>
              <x14:cfvo type="formula">
                <xm:f>$CG$23</xm:f>
              </x14:cfvo>
              <x14:cfvo type="formula" gte="0">
                <xm:f>$CG$23</xm:f>
              </x14:cfvo>
            </x14:iconSet>
          </x14:cfRule>
          <xm:sqref>CH23</xm:sqref>
        </x14:conditionalFormatting>
        <x14:conditionalFormatting xmlns:xm="http://schemas.microsoft.com/office/excel/2006/main">
          <x14:cfRule type="iconSet" priority="76" id="{1927A46C-BEED-4358-97FF-346F9C0127A6}">
            <x14:iconSet iconSet="3Triangles">
              <x14:cfvo type="percent">
                <xm:f>0</xm:f>
              </x14:cfvo>
              <x14:cfvo type="formula">
                <xm:f>$CH$23</xm:f>
              </x14:cfvo>
              <x14:cfvo type="formula" gte="0">
                <xm:f>$CH$23</xm:f>
              </x14:cfvo>
            </x14:iconSet>
          </x14:cfRule>
          <xm:sqref>CI23</xm:sqref>
        </x14:conditionalFormatting>
        <x14:conditionalFormatting xmlns:xm="http://schemas.microsoft.com/office/excel/2006/main">
          <x14:cfRule type="iconSet" priority="75" id="{FE91DF8A-4C1D-41E5-9E8E-F8CEB5F691EB}">
            <x14:iconSet iconSet="3Triangles">
              <x14:cfvo type="percent">
                <xm:f>0</xm:f>
              </x14:cfvo>
              <x14:cfvo type="formula">
                <xm:f>$CI$23</xm:f>
              </x14:cfvo>
              <x14:cfvo type="formula" gte="0">
                <xm:f>$CI$23</xm:f>
              </x14:cfvo>
            </x14:iconSet>
          </x14:cfRule>
          <xm:sqref>CJ23</xm:sqref>
        </x14:conditionalFormatting>
        <x14:conditionalFormatting xmlns:xm="http://schemas.microsoft.com/office/excel/2006/main">
          <x14:cfRule type="iconSet" priority="74" id="{8010657F-E561-453D-967C-3BDA0FF13CAA}">
            <x14:iconSet iconSet="3Triangles">
              <x14:cfvo type="percent">
                <xm:f>0</xm:f>
              </x14:cfvo>
              <x14:cfvo type="formula">
                <xm:f>$CE$23</xm:f>
              </x14:cfvo>
              <x14:cfvo type="formula" gte="0">
                <xm:f>$CE$23</xm:f>
              </x14:cfvo>
            </x14:iconSet>
          </x14:cfRule>
          <xm:sqref>CL23</xm:sqref>
        </x14:conditionalFormatting>
        <x14:conditionalFormatting xmlns:xm="http://schemas.microsoft.com/office/excel/2006/main">
          <x14:cfRule type="iconSet" priority="73" id="{B6B59D1A-0214-4DAC-BFE2-0E8836FF6149}">
            <x14:iconSet iconSet="3Triangles">
              <x14:cfvo type="percent">
                <xm:f>0</xm:f>
              </x14:cfvo>
              <x14:cfvo type="formula">
                <xm:f>$CA$24</xm:f>
              </x14:cfvo>
              <x14:cfvo type="formula" gte="0">
                <xm:f>$CA$24</xm:f>
              </x14:cfvo>
            </x14:iconSet>
          </x14:cfRule>
          <xm:sqref>CL24:CP24</xm:sqref>
        </x14:conditionalFormatting>
        <x14:conditionalFormatting xmlns:xm="http://schemas.microsoft.com/office/excel/2006/main">
          <x14:cfRule type="iconSet" priority="72" id="{F05A05DE-10BF-4980-AFE1-03CC43B66274}">
            <x14:iconSet iconSet="3Triangles">
              <x14:cfvo type="percent">
                <xm:f>0</xm:f>
              </x14:cfvo>
              <x14:cfvo type="formula">
                <xm:f>$CF$24</xm:f>
              </x14:cfvo>
              <x14:cfvo type="formula" gte="0">
                <xm:f>$CF$24</xm:f>
              </x14:cfvo>
            </x14:iconSet>
          </x14:cfRule>
          <xm:sqref>CQ24:CU24</xm:sqref>
        </x14:conditionalFormatting>
        <x14:conditionalFormatting xmlns:xm="http://schemas.microsoft.com/office/excel/2006/main">
          <x14:cfRule type="iconSet" priority="71" id="{3DD3A23F-31F6-46DB-BFF6-45636AAD3377}">
            <x14:iconSet iconSet="3Triangles">
              <x14:cfvo type="percent">
                <xm:f>0</xm:f>
              </x14:cfvo>
              <x14:cfvo type="formula">
                <xm:f>$CL$23</xm:f>
              </x14:cfvo>
              <x14:cfvo type="formula" gte="0">
                <xm:f>$CL$23</xm:f>
              </x14:cfvo>
            </x14:iconSet>
          </x14:cfRule>
          <xm:sqref>CM23</xm:sqref>
        </x14:conditionalFormatting>
        <x14:conditionalFormatting xmlns:xm="http://schemas.microsoft.com/office/excel/2006/main">
          <x14:cfRule type="iconSet" priority="70" id="{2E39C09C-4235-4AA7-BEF4-0EDC5B94ADF1}">
            <x14:iconSet iconSet="3Triangles">
              <x14:cfvo type="percent">
                <xm:f>0</xm:f>
              </x14:cfvo>
              <x14:cfvo type="formula">
                <xm:f>$CM$23</xm:f>
              </x14:cfvo>
              <x14:cfvo type="formula" gte="0">
                <xm:f>$CM$23</xm:f>
              </x14:cfvo>
            </x14:iconSet>
          </x14:cfRule>
          <xm:sqref>CN23</xm:sqref>
        </x14:conditionalFormatting>
        <x14:conditionalFormatting xmlns:xm="http://schemas.microsoft.com/office/excel/2006/main">
          <x14:cfRule type="iconSet" priority="69" id="{71764D92-6CF2-497E-B4A0-26310E129AAF}">
            <x14:iconSet iconSet="3Triangles">
              <x14:cfvo type="percent">
                <xm:f>0</xm:f>
              </x14:cfvo>
              <x14:cfvo type="formula">
                <xm:f>$CN$23</xm:f>
              </x14:cfvo>
              <x14:cfvo type="formula" gte="0">
                <xm:f>$CN$23</xm:f>
              </x14:cfvo>
            </x14:iconSet>
          </x14:cfRule>
          <xm:sqref>CO23</xm:sqref>
        </x14:conditionalFormatting>
        <x14:conditionalFormatting xmlns:xm="http://schemas.microsoft.com/office/excel/2006/main">
          <x14:cfRule type="iconSet" priority="68" id="{B79C8AA2-12E0-4313-B620-1541CB837360}">
            <x14:iconSet iconSet="3Triangles">
              <x14:cfvo type="percent">
                <xm:f>0</xm:f>
              </x14:cfvo>
              <x14:cfvo type="formula">
                <xm:f>$CO$23</xm:f>
              </x14:cfvo>
              <x14:cfvo type="formula" gte="0">
                <xm:f>$CO$23</xm:f>
              </x14:cfvo>
            </x14:iconSet>
          </x14:cfRule>
          <xm:sqref>CP23</xm:sqref>
        </x14:conditionalFormatting>
        <x14:conditionalFormatting xmlns:xm="http://schemas.microsoft.com/office/excel/2006/main">
          <x14:cfRule type="iconSet" priority="67" id="{38C48C49-4594-4E11-82E7-FCBFF3567605}">
            <x14:iconSet iconSet="3Triangles">
              <x14:cfvo type="percent">
                <xm:f>0</xm:f>
              </x14:cfvo>
              <x14:cfvo type="formula">
                <xm:f>$CJ$23</xm:f>
              </x14:cfvo>
              <x14:cfvo type="formula" gte="0">
                <xm:f>$CJ$23</xm:f>
              </x14:cfvo>
            </x14:iconSet>
          </x14:cfRule>
          <xm:sqref>CQ23</xm:sqref>
        </x14:conditionalFormatting>
        <x14:conditionalFormatting xmlns:xm="http://schemas.microsoft.com/office/excel/2006/main">
          <x14:cfRule type="iconSet" priority="66" id="{0006B684-3302-46BE-A5CC-67B81A0A9B37}">
            <x14:iconSet iconSet="3Triangles">
              <x14:cfvo type="percent">
                <xm:f>0</xm:f>
              </x14:cfvo>
              <x14:cfvo type="formula">
                <xm:f>$CL$24</xm:f>
              </x14:cfvo>
              <x14:cfvo type="formula" gte="0">
                <xm:f>$CL$24</xm:f>
              </x14:cfvo>
            </x14:iconSet>
          </x14:cfRule>
          <xm:sqref>CW24:DA24</xm:sqref>
        </x14:conditionalFormatting>
        <x14:conditionalFormatting xmlns:xm="http://schemas.microsoft.com/office/excel/2006/main">
          <x14:cfRule type="iconSet" priority="65" id="{9F47D085-33F4-49E1-9417-6CF7C124A723}">
            <x14:iconSet iconSet="3Triangles">
              <x14:cfvo type="percent">
                <xm:f>0</xm:f>
              </x14:cfvo>
              <x14:cfvo type="formula">
                <xm:f>$CQ$24</xm:f>
              </x14:cfvo>
              <x14:cfvo type="formula" gte="0">
                <xm:f>$CQ$24</xm:f>
              </x14:cfvo>
            </x14:iconSet>
          </x14:cfRule>
          <xm:sqref>DB24:DF24</xm:sqref>
        </x14:conditionalFormatting>
        <x14:conditionalFormatting xmlns:xm="http://schemas.microsoft.com/office/excel/2006/main">
          <x14:cfRule type="iconSet" priority="64" id="{17C9854F-9FDB-4937-A283-37D1000ED35F}">
            <x14:iconSet iconSet="3Triangles">
              <x14:cfvo type="percent">
                <xm:f>0</xm:f>
              </x14:cfvo>
              <x14:cfvo type="formula">
                <xm:f>$CQ$23</xm:f>
              </x14:cfvo>
              <x14:cfvo type="formula" gte="0">
                <xm:f>$CQ$23</xm:f>
              </x14:cfvo>
            </x14:iconSet>
          </x14:cfRule>
          <xm:sqref>CR23</xm:sqref>
        </x14:conditionalFormatting>
        <x14:conditionalFormatting xmlns:xm="http://schemas.microsoft.com/office/excel/2006/main">
          <x14:cfRule type="iconSet" priority="63" id="{18835DCA-A2B0-4C6F-8518-6F79700CE377}">
            <x14:iconSet iconSet="3Triangles">
              <x14:cfvo type="percent">
                <xm:f>0</xm:f>
              </x14:cfvo>
              <x14:cfvo type="formula">
                <xm:f>$CR$23</xm:f>
              </x14:cfvo>
              <x14:cfvo type="formula" gte="0">
                <xm:f>$CR$23</xm:f>
              </x14:cfvo>
            </x14:iconSet>
          </x14:cfRule>
          <xm:sqref>CS23</xm:sqref>
        </x14:conditionalFormatting>
        <x14:conditionalFormatting xmlns:xm="http://schemas.microsoft.com/office/excel/2006/main">
          <x14:cfRule type="iconSet" priority="62" id="{24C0263B-4BAC-42A7-8D83-C7F226EF96E6}">
            <x14:iconSet iconSet="3Triangles">
              <x14:cfvo type="percent">
                <xm:f>0</xm:f>
              </x14:cfvo>
              <x14:cfvo type="formula">
                <xm:f>$CS$23</xm:f>
              </x14:cfvo>
              <x14:cfvo type="formula" gte="0">
                <xm:f>$CS$23</xm:f>
              </x14:cfvo>
            </x14:iconSet>
          </x14:cfRule>
          <xm:sqref>CT23</xm:sqref>
        </x14:conditionalFormatting>
        <x14:conditionalFormatting xmlns:xm="http://schemas.microsoft.com/office/excel/2006/main">
          <x14:cfRule type="iconSet" priority="61" id="{688FF7D2-3023-4FB9-A8B3-4AC5BD7D1F16}">
            <x14:iconSet iconSet="3Triangles">
              <x14:cfvo type="percent">
                <xm:f>0</xm:f>
              </x14:cfvo>
              <x14:cfvo type="formula">
                <xm:f>$CT$23</xm:f>
              </x14:cfvo>
              <x14:cfvo type="formula" gte="0">
                <xm:f>$CT$23</xm:f>
              </x14:cfvo>
            </x14:iconSet>
          </x14:cfRule>
          <xm:sqref>CU23</xm:sqref>
        </x14:conditionalFormatting>
        <x14:conditionalFormatting xmlns:xm="http://schemas.microsoft.com/office/excel/2006/main">
          <x14:cfRule type="iconSet" priority="60" id="{CA650E40-BB22-4E40-9B93-21E530472828}">
            <x14:iconSet iconSet="3Triangles">
              <x14:cfvo type="percent">
                <xm:f>0</xm:f>
              </x14:cfvo>
              <x14:cfvo type="formula">
                <xm:f>$CP$23</xm:f>
              </x14:cfvo>
              <x14:cfvo type="formula" gte="0">
                <xm:f>$CP$23</xm:f>
              </x14:cfvo>
            </x14:iconSet>
          </x14:cfRule>
          <xm:sqref>CW23</xm:sqref>
        </x14:conditionalFormatting>
        <x14:conditionalFormatting xmlns:xm="http://schemas.microsoft.com/office/excel/2006/main">
          <x14:cfRule type="iconSet" priority="59" id="{E6E5E6CA-10AE-46B2-B114-91EADB42D92E}">
            <x14:iconSet iconSet="3Triangles">
              <x14:cfvo type="percent">
                <xm:f>0</xm:f>
              </x14:cfvo>
              <x14:cfvo type="formula">
                <xm:f>$CU$23</xm:f>
              </x14:cfvo>
              <x14:cfvo type="formula" gte="0">
                <xm:f>$CU$23</xm:f>
              </x14:cfvo>
            </x14:iconSet>
          </x14:cfRule>
          <xm:sqref>DB23</xm:sqref>
        </x14:conditionalFormatting>
        <x14:conditionalFormatting xmlns:xm="http://schemas.microsoft.com/office/excel/2006/main">
          <x14:cfRule type="iconSet" priority="58" id="{3C49B7B1-51A4-4D7E-A8B0-279DDD10E7E9}">
            <x14:iconSet iconSet="3Triangles">
              <x14:cfvo type="percent">
                <xm:f>0</xm:f>
              </x14:cfvo>
              <x14:cfvo type="formula">
                <xm:f>$DA$23</xm:f>
              </x14:cfvo>
              <x14:cfvo type="formula" gte="0">
                <xm:f>$DA$23</xm:f>
              </x14:cfvo>
            </x14:iconSet>
          </x14:cfRule>
          <xm:sqref>DH23</xm:sqref>
        </x14:conditionalFormatting>
        <x14:conditionalFormatting xmlns:xm="http://schemas.microsoft.com/office/excel/2006/main">
          <x14:cfRule type="iconSet" priority="57" id="{18ABA067-3AF5-4656-8309-B672191462C8}">
            <x14:iconSet iconSet="3Triangles">
              <x14:cfvo type="percent">
                <xm:f>0</xm:f>
              </x14:cfvo>
              <x14:cfvo type="formula">
                <xm:f>$DF$23</xm:f>
              </x14:cfvo>
              <x14:cfvo type="formula" gte="0">
                <xm:f>$DF$23</xm:f>
              </x14:cfvo>
            </x14:iconSet>
          </x14:cfRule>
          <xm:sqref>DM23</xm:sqref>
        </x14:conditionalFormatting>
        <x14:conditionalFormatting xmlns:xm="http://schemas.microsoft.com/office/excel/2006/main">
          <x14:cfRule type="iconSet" priority="56" id="{D591F9D3-18BD-427F-8CA8-C0143A937B5E}">
            <x14:iconSet iconSet="3Triangles">
              <x14:cfvo type="percent">
                <xm:f>0</xm:f>
              </x14:cfvo>
              <x14:cfvo type="formula">
                <xm:f>$DL$23</xm:f>
              </x14:cfvo>
              <x14:cfvo type="formula" gte="0">
                <xm:f>$DL$23</xm:f>
              </x14:cfvo>
            </x14:iconSet>
          </x14:cfRule>
          <xm:sqref>DS23</xm:sqref>
        </x14:conditionalFormatting>
        <x14:conditionalFormatting xmlns:xm="http://schemas.microsoft.com/office/excel/2006/main">
          <x14:cfRule type="iconSet" priority="55" id="{B83B4301-695E-4E06-81EF-773C637D7AF7}">
            <x14:iconSet iconSet="3Triangles">
              <x14:cfvo type="percent">
                <xm:f>0</xm:f>
              </x14:cfvo>
              <x14:cfvo type="formula">
                <xm:f>$DQ$23</xm:f>
              </x14:cfvo>
              <x14:cfvo type="formula" gte="0">
                <xm:f>$DQ$23</xm:f>
              </x14:cfvo>
            </x14:iconSet>
          </x14:cfRule>
          <xm:sqref>DX23</xm:sqref>
        </x14:conditionalFormatting>
        <x14:conditionalFormatting xmlns:xm="http://schemas.microsoft.com/office/excel/2006/main">
          <x14:cfRule type="iconSet" priority="54" id="{56F50F37-83A8-4759-879C-599C52F94CD9}">
            <x14:iconSet iconSet="3Triangles">
              <x14:cfvo type="percent">
                <xm:f>0</xm:f>
              </x14:cfvo>
              <x14:cfvo type="formula">
                <xm:f>$CW$24</xm:f>
              </x14:cfvo>
              <x14:cfvo type="formula" gte="0">
                <xm:f>$CW$24</xm:f>
              </x14:cfvo>
            </x14:iconSet>
          </x14:cfRule>
          <xm:sqref>DH24:DL24</xm:sqref>
        </x14:conditionalFormatting>
        <x14:conditionalFormatting xmlns:xm="http://schemas.microsoft.com/office/excel/2006/main">
          <x14:cfRule type="iconSet" priority="53" id="{18DF029B-9037-4770-B754-B626D88604A7}">
            <x14:iconSet iconSet="3Triangles">
              <x14:cfvo type="percent">
                <xm:f>0</xm:f>
              </x14:cfvo>
              <x14:cfvo type="formula">
                <xm:f>$DB$24</xm:f>
              </x14:cfvo>
              <x14:cfvo type="formula" gte="0">
                <xm:f>$DB$24</xm:f>
              </x14:cfvo>
            </x14:iconSet>
          </x14:cfRule>
          <xm:sqref>DM24:DQ24</xm:sqref>
        </x14:conditionalFormatting>
        <x14:conditionalFormatting xmlns:xm="http://schemas.microsoft.com/office/excel/2006/main">
          <x14:cfRule type="iconSet" priority="52" id="{9682DD80-5986-4925-982B-E8F1359FBE1A}">
            <x14:iconSet iconSet="3Triangles">
              <x14:cfvo type="percent">
                <xm:f>0</xm:f>
              </x14:cfvo>
              <x14:cfvo type="formula">
                <xm:f>$DH$24</xm:f>
              </x14:cfvo>
              <x14:cfvo type="formula" gte="0">
                <xm:f>$DH$24</xm:f>
              </x14:cfvo>
            </x14:iconSet>
          </x14:cfRule>
          <xm:sqref>DS24:DW24</xm:sqref>
        </x14:conditionalFormatting>
        <x14:conditionalFormatting xmlns:xm="http://schemas.microsoft.com/office/excel/2006/main">
          <x14:cfRule type="iconSet" priority="51" id="{C123E9F4-3D48-4283-807C-ECFDB4F4611B}">
            <x14:iconSet iconSet="3Triangles">
              <x14:cfvo type="percent">
                <xm:f>0</xm:f>
              </x14:cfvo>
              <x14:cfvo type="formula">
                <xm:f>$DM$24</xm:f>
              </x14:cfvo>
              <x14:cfvo type="formula" gte="0">
                <xm:f>$DM$24</xm:f>
              </x14:cfvo>
            </x14:iconSet>
          </x14:cfRule>
          <xm:sqref>DX24:EB24</xm:sqref>
        </x14:conditionalFormatting>
        <x14:conditionalFormatting xmlns:xm="http://schemas.microsoft.com/office/excel/2006/main">
          <x14:cfRule type="iconSet" priority="50" id="{1B319355-8FF5-48CB-90D6-CD7241428E3D}">
            <x14:iconSet iconSet="3Triangles">
              <x14:cfvo type="percent">
                <xm:f>0</xm:f>
              </x14:cfvo>
              <x14:cfvo type="formula">
                <xm:f>$CW$23</xm:f>
              </x14:cfvo>
              <x14:cfvo type="formula" gte="0">
                <xm:f>$CW$23</xm:f>
              </x14:cfvo>
            </x14:iconSet>
          </x14:cfRule>
          <xm:sqref>CX23</xm:sqref>
        </x14:conditionalFormatting>
        <x14:conditionalFormatting xmlns:xm="http://schemas.microsoft.com/office/excel/2006/main">
          <x14:cfRule type="iconSet" priority="49" id="{D2850AB7-8B7D-455E-A87E-4496930B2DE9}">
            <x14:iconSet iconSet="3Triangles">
              <x14:cfvo type="percent">
                <xm:f>0</xm:f>
              </x14:cfvo>
              <x14:cfvo type="formula">
                <xm:f>$CX$23</xm:f>
              </x14:cfvo>
              <x14:cfvo type="formula" gte="0">
                <xm:f>$CX$23</xm:f>
              </x14:cfvo>
            </x14:iconSet>
          </x14:cfRule>
          <xm:sqref>CY23</xm:sqref>
        </x14:conditionalFormatting>
        <x14:conditionalFormatting xmlns:xm="http://schemas.microsoft.com/office/excel/2006/main">
          <x14:cfRule type="iconSet" priority="48" id="{5BC01B7E-9DBC-4FB1-8CFC-BB4F02BD1146}">
            <x14:iconSet iconSet="3Triangles">
              <x14:cfvo type="percent">
                <xm:f>0</xm:f>
              </x14:cfvo>
              <x14:cfvo type="formula">
                <xm:f>$CY$23</xm:f>
              </x14:cfvo>
              <x14:cfvo type="formula" gte="0">
                <xm:f>$CY$23</xm:f>
              </x14:cfvo>
            </x14:iconSet>
          </x14:cfRule>
          <xm:sqref>CZ23</xm:sqref>
        </x14:conditionalFormatting>
        <x14:conditionalFormatting xmlns:xm="http://schemas.microsoft.com/office/excel/2006/main">
          <x14:cfRule type="iconSet" priority="47" id="{CF9F5339-45F2-486F-BA14-94CB331AE9FE}">
            <x14:iconSet iconSet="3Triangles">
              <x14:cfvo type="percent">
                <xm:f>0</xm:f>
              </x14:cfvo>
              <x14:cfvo type="formula">
                <xm:f>$CZ$23</xm:f>
              </x14:cfvo>
              <x14:cfvo type="formula" gte="0">
                <xm:f>$CZ$23</xm:f>
              </x14:cfvo>
            </x14:iconSet>
          </x14:cfRule>
          <xm:sqref>DA23</xm:sqref>
        </x14:conditionalFormatting>
        <x14:conditionalFormatting xmlns:xm="http://schemas.microsoft.com/office/excel/2006/main">
          <x14:cfRule type="iconSet" priority="46" id="{0D09912A-57A7-42AB-94E9-B286F90EA8BD}">
            <x14:iconSet iconSet="3Triangles">
              <x14:cfvo type="percent">
                <xm:f>0</xm:f>
              </x14:cfvo>
              <x14:cfvo type="formula">
                <xm:f>$DB$23</xm:f>
              </x14:cfvo>
              <x14:cfvo type="formula" gte="0">
                <xm:f>$DB$23</xm:f>
              </x14:cfvo>
            </x14:iconSet>
          </x14:cfRule>
          <xm:sqref>DC23</xm:sqref>
        </x14:conditionalFormatting>
        <x14:conditionalFormatting xmlns:xm="http://schemas.microsoft.com/office/excel/2006/main">
          <x14:cfRule type="iconSet" priority="45" id="{E39FE44C-B580-45E6-B08D-629C88EFA69D}">
            <x14:iconSet iconSet="3Triangles">
              <x14:cfvo type="percent">
                <xm:f>0</xm:f>
              </x14:cfvo>
              <x14:cfvo type="formula">
                <xm:f>$DC$23</xm:f>
              </x14:cfvo>
              <x14:cfvo type="formula" gte="0">
                <xm:f>$DC$23</xm:f>
              </x14:cfvo>
            </x14:iconSet>
          </x14:cfRule>
          <xm:sqref>DD23</xm:sqref>
        </x14:conditionalFormatting>
        <x14:conditionalFormatting xmlns:xm="http://schemas.microsoft.com/office/excel/2006/main">
          <x14:cfRule type="iconSet" priority="44" id="{AF2901E4-7547-450C-BFC1-72487C0F19D0}">
            <x14:iconSet iconSet="3Triangles">
              <x14:cfvo type="percent">
                <xm:f>0</xm:f>
              </x14:cfvo>
              <x14:cfvo type="formula">
                <xm:f>$DD$23</xm:f>
              </x14:cfvo>
              <x14:cfvo type="formula" gte="0">
                <xm:f>$DD$23</xm:f>
              </x14:cfvo>
            </x14:iconSet>
          </x14:cfRule>
          <xm:sqref>DE23</xm:sqref>
        </x14:conditionalFormatting>
        <x14:conditionalFormatting xmlns:xm="http://schemas.microsoft.com/office/excel/2006/main">
          <x14:cfRule type="iconSet" priority="43" id="{32F031A4-7707-429A-9606-39BDBE1DD7D9}">
            <x14:iconSet iconSet="3Triangles">
              <x14:cfvo type="percent">
                <xm:f>0</xm:f>
              </x14:cfvo>
              <x14:cfvo type="formula">
                <xm:f>$DE$23</xm:f>
              </x14:cfvo>
              <x14:cfvo type="formula" gte="0">
                <xm:f>$DE$23</xm:f>
              </x14:cfvo>
            </x14:iconSet>
          </x14:cfRule>
          <xm:sqref>DF23</xm:sqref>
        </x14:conditionalFormatting>
        <x14:conditionalFormatting xmlns:xm="http://schemas.microsoft.com/office/excel/2006/main">
          <x14:cfRule type="iconSet" priority="42" id="{B8D73AC7-9A27-4455-BCC1-16BAACB8B7A3}">
            <x14:iconSet iconSet="3Triangles">
              <x14:cfvo type="percent">
                <xm:f>0</xm:f>
              </x14:cfvo>
              <x14:cfvo type="formula">
                <xm:f>$DH$23</xm:f>
              </x14:cfvo>
              <x14:cfvo type="formula" gte="0">
                <xm:f>$DH$23</xm:f>
              </x14:cfvo>
            </x14:iconSet>
          </x14:cfRule>
          <xm:sqref>DI23</xm:sqref>
        </x14:conditionalFormatting>
        <x14:conditionalFormatting xmlns:xm="http://schemas.microsoft.com/office/excel/2006/main">
          <x14:cfRule type="iconSet" priority="41" id="{A3C30CA3-910A-4715-8EEE-19C80C0ACEC9}">
            <x14:iconSet iconSet="3Triangles">
              <x14:cfvo type="percent">
                <xm:f>0</xm:f>
              </x14:cfvo>
              <x14:cfvo type="formula">
                <xm:f>$DI$23</xm:f>
              </x14:cfvo>
              <x14:cfvo type="formula" gte="0">
                <xm:f>$DI$23</xm:f>
              </x14:cfvo>
            </x14:iconSet>
          </x14:cfRule>
          <xm:sqref>DJ23</xm:sqref>
        </x14:conditionalFormatting>
        <x14:conditionalFormatting xmlns:xm="http://schemas.microsoft.com/office/excel/2006/main">
          <x14:cfRule type="iconSet" priority="40" id="{26E90CC2-98A8-4E62-A347-DFB74216CE12}">
            <x14:iconSet iconSet="3Triangles">
              <x14:cfvo type="percent">
                <xm:f>0</xm:f>
              </x14:cfvo>
              <x14:cfvo type="formula">
                <xm:f>$DJ$23</xm:f>
              </x14:cfvo>
              <x14:cfvo type="formula" gte="0">
                <xm:f>$DJ$23</xm:f>
              </x14:cfvo>
            </x14:iconSet>
          </x14:cfRule>
          <xm:sqref>DK23</xm:sqref>
        </x14:conditionalFormatting>
        <x14:conditionalFormatting xmlns:xm="http://schemas.microsoft.com/office/excel/2006/main">
          <x14:cfRule type="iconSet" priority="39" id="{9E6FBBA9-D210-4A49-B8E0-34DD8D7F13F3}">
            <x14:iconSet iconSet="3Triangles">
              <x14:cfvo type="percent">
                <xm:f>0</xm:f>
              </x14:cfvo>
              <x14:cfvo type="formula">
                <xm:f>$DK$23</xm:f>
              </x14:cfvo>
              <x14:cfvo type="formula" gte="0">
                <xm:f>$DK$23</xm:f>
              </x14:cfvo>
            </x14:iconSet>
          </x14:cfRule>
          <xm:sqref>DL23</xm:sqref>
        </x14:conditionalFormatting>
        <x14:conditionalFormatting xmlns:xm="http://schemas.microsoft.com/office/excel/2006/main">
          <x14:cfRule type="iconSet" priority="38" id="{70BE1A86-63D0-4D0A-8FBC-A9D58297E552}">
            <x14:iconSet iconSet="3Triangles">
              <x14:cfvo type="percent">
                <xm:f>0</xm:f>
              </x14:cfvo>
              <x14:cfvo type="formula">
                <xm:f>$DM$23</xm:f>
              </x14:cfvo>
              <x14:cfvo type="formula" gte="0">
                <xm:f>$DM$23</xm:f>
              </x14:cfvo>
            </x14:iconSet>
          </x14:cfRule>
          <xm:sqref>DN23</xm:sqref>
        </x14:conditionalFormatting>
        <x14:conditionalFormatting xmlns:xm="http://schemas.microsoft.com/office/excel/2006/main">
          <x14:cfRule type="iconSet" priority="37" id="{0900E44B-3C93-4BC3-8EE5-E1A3EDE878CC}">
            <x14:iconSet iconSet="3Triangles">
              <x14:cfvo type="percent">
                <xm:f>0</xm:f>
              </x14:cfvo>
              <x14:cfvo type="formula">
                <xm:f>$DN$23</xm:f>
              </x14:cfvo>
              <x14:cfvo type="formula" gte="0">
                <xm:f>$DN$23</xm:f>
              </x14:cfvo>
            </x14:iconSet>
          </x14:cfRule>
          <xm:sqref>DO23</xm:sqref>
        </x14:conditionalFormatting>
        <x14:conditionalFormatting xmlns:xm="http://schemas.microsoft.com/office/excel/2006/main">
          <x14:cfRule type="iconSet" priority="36" id="{09D42B18-49C6-4161-B795-FC58377DF722}">
            <x14:iconSet iconSet="3Triangles">
              <x14:cfvo type="percent">
                <xm:f>0</xm:f>
              </x14:cfvo>
              <x14:cfvo type="formula">
                <xm:f>$M$23</xm:f>
              </x14:cfvo>
              <x14:cfvo type="formula" gte="0">
                <xm:f>$M$23</xm:f>
              </x14:cfvo>
            </x14:iconSet>
          </x14:cfRule>
          <xm:sqref>N23</xm:sqref>
        </x14:conditionalFormatting>
        <x14:conditionalFormatting xmlns:xm="http://schemas.microsoft.com/office/excel/2006/main">
          <x14:cfRule type="iconSet" priority="35" id="{25439CAD-A136-4317-BE81-3B9D89B87F2D}">
            <x14:iconSet iconSet="3Triangles">
              <x14:cfvo type="percent">
                <xm:f>0</xm:f>
              </x14:cfvo>
              <x14:cfvo type="formula">
                <xm:f>$F$23</xm:f>
              </x14:cfvo>
              <x14:cfvo type="formula" gte="0">
                <xm:f>$F$23</xm:f>
              </x14:cfvo>
            </x14:iconSet>
          </x14:cfRule>
          <xm:sqref>M23</xm:sqref>
        </x14:conditionalFormatting>
        <x14:conditionalFormatting xmlns:xm="http://schemas.microsoft.com/office/excel/2006/main">
          <x14:cfRule type="iconSet" priority="34" id="{6116998A-922A-4D9E-9217-DEA38509FCF7}">
            <x14:iconSet iconSet="3Triangles">
              <x14:cfvo type="percent">
                <xm:f>0</xm:f>
              </x14:cfvo>
              <x14:cfvo type="formula">
                <xm:f>$DO$23</xm:f>
              </x14:cfvo>
              <x14:cfvo type="formula" gte="0">
                <xm:f>$DO$23</xm:f>
              </x14:cfvo>
            </x14:iconSet>
          </x14:cfRule>
          <xm:sqref>DP23</xm:sqref>
        </x14:conditionalFormatting>
        <x14:conditionalFormatting xmlns:xm="http://schemas.microsoft.com/office/excel/2006/main">
          <x14:cfRule type="iconSet" priority="33" id="{B88EEBEF-6B8C-47D1-9988-40DA404F10F4}">
            <x14:iconSet iconSet="3Triangles">
              <x14:cfvo type="percent">
                <xm:f>0</xm:f>
              </x14:cfvo>
              <x14:cfvo type="formula">
                <xm:f>$DP$23</xm:f>
              </x14:cfvo>
              <x14:cfvo type="formula" gte="0">
                <xm:f>$DP$23</xm:f>
              </x14:cfvo>
            </x14:iconSet>
          </x14:cfRule>
          <xm:sqref>DQ23</xm:sqref>
        </x14:conditionalFormatting>
        <x14:conditionalFormatting xmlns:xm="http://schemas.microsoft.com/office/excel/2006/main">
          <x14:cfRule type="iconSet" priority="32" id="{4E4F850D-1129-4DEA-9AE3-4A0C1C65EAA4}">
            <x14:iconSet iconSet="3Triangles">
              <x14:cfvo type="percent">
                <xm:f>0</xm:f>
              </x14:cfvo>
              <x14:cfvo type="formula">
                <xm:f>$DS$23</xm:f>
              </x14:cfvo>
              <x14:cfvo type="formula" gte="0">
                <xm:f>$DS$23</xm:f>
              </x14:cfvo>
            </x14:iconSet>
          </x14:cfRule>
          <xm:sqref>DT23</xm:sqref>
        </x14:conditionalFormatting>
        <x14:conditionalFormatting xmlns:xm="http://schemas.microsoft.com/office/excel/2006/main">
          <x14:cfRule type="iconSet" priority="31" id="{ADEF644E-D0C1-4F0D-827F-A4A93F6B7E8E}">
            <x14:iconSet iconSet="3Triangles">
              <x14:cfvo type="percent">
                <xm:f>0</xm:f>
              </x14:cfvo>
              <x14:cfvo type="formula">
                <xm:f>$DT$23</xm:f>
              </x14:cfvo>
              <x14:cfvo type="formula" gte="0">
                <xm:f>$DT$23</xm:f>
              </x14:cfvo>
            </x14:iconSet>
          </x14:cfRule>
          <xm:sqref>DU23</xm:sqref>
        </x14:conditionalFormatting>
        <x14:conditionalFormatting xmlns:xm="http://schemas.microsoft.com/office/excel/2006/main">
          <x14:cfRule type="iconSet" priority="30" id="{70A38B4F-F9B3-4F71-86D1-E01D1EE7285F}">
            <x14:iconSet iconSet="3Triangles">
              <x14:cfvo type="percent">
                <xm:f>0</xm:f>
              </x14:cfvo>
              <x14:cfvo type="formula">
                <xm:f>$DU$23</xm:f>
              </x14:cfvo>
              <x14:cfvo type="formula" gte="0">
                <xm:f>$DU$23</xm:f>
              </x14:cfvo>
            </x14:iconSet>
          </x14:cfRule>
          <xm:sqref>DV23</xm:sqref>
        </x14:conditionalFormatting>
        <x14:conditionalFormatting xmlns:xm="http://schemas.microsoft.com/office/excel/2006/main">
          <x14:cfRule type="iconSet" priority="29" id="{A3E51ACE-AE32-44D4-A117-0B2599D66517}">
            <x14:iconSet iconSet="3Triangles">
              <x14:cfvo type="percent">
                <xm:f>0</xm:f>
              </x14:cfvo>
              <x14:cfvo type="formula">
                <xm:f>$DV$23</xm:f>
              </x14:cfvo>
              <x14:cfvo type="formula" gte="0">
                <xm:f>$DV$23</xm:f>
              </x14:cfvo>
            </x14:iconSet>
          </x14:cfRule>
          <xm:sqref>DW23</xm:sqref>
        </x14:conditionalFormatting>
        <x14:conditionalFormatting xmlns:xm="http://schemas.microsoft.com/office/excel/2006/main">
          <x14:cfRule type="iconSet" priority="28" id="{E898DC5B-2F1C-4D8D-BB07-2469BE7249B9}">
            <x14:iconSet iconSet="3Triangles">
              <x14:cfvo type="percent">
                <xm:f>0</xm:f>
              </x14:cfvo>
              <x14:cfvo type="formula">
                <xm:f>$DX$23</xm:f>
              </x14:cfvo>
              <x14:cfvo type="formula" gte="0">
                <xm:f>$DX$23</xm:f>
              </x14:cfvo>
            </x14:iconSet>
          </x14:cfRule>
          <xm:sqref>DY23</xm:sqref>
        </x14:conditionalFormatting>
        <x14:conditionalFormatting xmlns:xm="http://schemas.microsoft.com/office/excel/2006/main">
          <x14:cfRule type="iconSet" priority="27" id="{4FEA3AD7-6928-407A-A640-084FD1A14FC0}">
            <x14:iconSet iconSet="3Triangles">
              <x14:cfvo type="percent">
                <xm:f>0</xm:f>
              </x14:cfvo>
              <x14:cfvo type="formula">
                <xm:f>$DY$23</xm:f>
              </x14:cfvo>
              <x14:cfvo type="formula" gte="0">
                <xm:f>$DY$23</xm:f>
              </x14:cfvo>
            </x14:iconSet>
          </x14:cfRule>
          <xm:sqref>DZ23</xm:sqref>
        </x14:conditionalFormatting>
        <x14:conditionalFormatting xmlns:xm="http://schemas.microsoft.com/office/excel/2006/main">
          <x14:cfRule type="iconSet" priority="26" id="{10529467-9DD5-43EB-892D-427CE6C5981E}">
            <x14:iconSet iconSet="3Triangles">
              <x14:cfvo type="percent">
                <xm:f>0</xm:f>
              </x14:cfvo>
              <x14:cfvo type="formula">
                <xm:f>$DZ$23</xm:f>
              </x14:cfvo>
              <x14:cfvo type="formula" gte="0">
                <xm:f>$DZ$23</xm:f>
              </x14:cfvo>
            </x14:iconSet>
          </x14:cfRule>
          <xm:sqref>EA23</xm:sqref>
        </x14:conditionalFormatting>
        <x14:conditionalFormatting xmlns:xm="http://schemas.microsoft.com/office/excel/2006/main">
          <x14:cfRule type="iconSet" priority="25" id="{C70349D9-87C0-4B2B-8180-F5D18EF355B9}">
            <x14:iconSet iconSet="3Triangles">
              <x14:cfvo type="percent">
                <xm:f>0</xm:f>
              </x14:cfvo>
              <x14:cfvo type="formula">
                <xm:f>$EA$23</xm:f>
              </x14:cfvo>
              <x14:cfvo type="formula" gte="0">
                <xm:f>$EA$23</xm:f>
              </x14:cfvo>
            </x14:iconSet>
          </x14:cfRule>
          <xm:sqref>EB23</xm:sqref>
        </x14:conditionalFormatting>
        <x14:conditionalFormatting xmlns:xm="http://schemas.microsoft.com/office/excel/2006/main">
          <x14:cfRule type="iconSet" priority="22" id="{F8CB92C2-E18C-4E6E-B9A5-E0BD6B182921}">
            <x14:iconSet iconSet="3Triangles">
              <x14:cfvo type="percent">
                <xm:f>0</xm:f>
              </x14:cfvo>
              <x14:cfvo type="formula">
                <xm:f>$B$21</xm:f>
              </x14:cfvo>
              <x14:cfvo type="formula" gte="0">
                <xm:f>$B$21</xm:f>
              </x14:cfvo>
            </x14:iconSet>
          </x14:cfRule>
          <xm:sqref>M21:Q21</xm:sqref>
        </x14:conditionalFormatting>
        <x14:conditionalFormatting xmlns:xm="http://schemas.microsoft.com/office/excel/2006/main">
          <x14:cfRule type="iconSet" priority="21" id="{22261DB3-BF29-40DF-87D4-7A743F5D5198}">
            <x14:iconSet iconSet="3Triangles">
              <x14:cfvo type="percent">
                <xm:f>0</xm:f>
              </x14:cfvo>
              <x14:cfvo type="formula">
                <xm:f>$G$21</xm:f>
              </x14:cfvo>
              <x14:cfvo type="formula" gte="0">
                <xm:f>$G$21</xm:f>
              </x14:cfvo>
            </x14:iconSet>
          </x14:cfRule>
          <xm:sqref>R21:V21</xm:sqref>
        </x14:conditionalFormatting>
        <x14:conditionalFormatting xmlns:xm="http://schemas.microsoft.com/office/excel/2006/main">
          <x14:cfRule type="iconSet" priority="20" id="{A2A7211F-2302-489C-8802-21EF92AE030D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X21:AB21</xm:sqref>
        </x14:conditionalFormatting>
        <x14:conditionalFormatting xmlns:xm="http://schemas.microsoft.com/office/excel/2006/main">
          <x14:cfRule type="iconSet" priority="19" id="{497A4BA6-B17E-4325-954F-8E396836C6A7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AC21:AG21</xm:sqref>
        </x14:conditionalFormatting>
        <x14:conditionalFormatting xmlns:xm="http://schemas.microsoft.com/office/excel/2006/main">
          <x14:cfRule type="iconSet" priority="18" id="{1A1E66B3-B1D7-4B97-B951-267B4E915E6C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AI21:AM21</xm:sqref>
        </x14:conditionalFormatting>
        <x14:conditionalFormatting xmlns:xm="http://schemas.microsoft.com/office/excel/2006/main">
          <x14:cfRule type="iconSet" priority="17" id="{4949C27F-03CB-4FFF-83A0-B5F503DE07B5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AN21:AR21</xm:sqref>
        </x14:conditionalFormatting>
        <x14:conditionalFormatting xmlns:xm="http://schemas.microsoft.com/office/excel/2006/main">
          <x14:cfRule type="iconSet" priority="16" id="{3B3F9E63-2149-40DE-A52A-4B7CA23958EE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AT21:AX21</xm:sqref>
        </x14:conditionalFormatting>
        <x14:conditionalFormatting xmlns:xm="http://schemas.microsoft.com/office/excel/2006/main">
          <x14:cfRule type="iconSet" priority="15" id="{8C15A8CE-3C56-4151-ADE7-48C78F047AC5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AY21:BC21</xm:sqref>
        </x14:conditionalFormatting>
        <x14:conditionalFormatting xmlns:xm="http://schemas.microsoft.com/office/excel/2006/main">
          <x14:cfRule type="iconSet" priority="14" id="{A0481A19-5B6C-4727-B008-D8A3720049FB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BE21:BI21</xm:sqref>
        </x14:conditionalFormatting>
        <x14:conditionalFormatting xmlns:xm="http://schemas.microsoft.com/office/excel/2006/main">
          <x14:cfRule type="iconSet" priority="13" id="{22344030-74A2-4995-82F4-97C5F291379A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BJ21:BN21</xm:sqref>
        </x14:conditionalFormatting>
        <x14:conditionalFormatting xmlns:xm="http://schemas.microsoft.com/office/excel/2006/main">
          <x14:cfRule type="iconSet" priority="12" id="{D4FFC8D0-67F8-4622-A911-6D324BB149DD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BP21:BT21</xm:sqref>
        </x14:conditionalFormatting>
        <x14:conditionalFormatting xmlns:xm="http://schemas.microsoft.com/office/excel/2006/main">
          <x14:cfRule type="iconSet" priority="11" id="{A20F3261-B59C-498B-A079-668A4E85622E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BU21:BY21</xm:sqref>
        </x14:conditionalFormatting>
        <x14:conditionalFormatting xmlns:xm="http://schemas.microsoft.com/office/excel/2006/main">
          <x14:cfRule type="iconSet" priority="10" id="{9A723F27-120E-4A0B-9D56-287151B5C30B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CA21:CE21</xm:sqref>
        </x14:conditionalFormatting>
        <x14:conditionalFormatting xmlns:xm="http://schemas.microsoft.com/office/excel/2006/main">
          <x14:cfRule type="iconSet" priority="9" id="{EFC7A3F1-4B7A-4F25-A3DC-165E73D2C986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CF21:CJ21</xm:sqref>
        </x14:conditionalFormatting>
        <x14:conditionalFormatting xmlns:xm="http://schemas.microsoft.com/office/excel/2006/main">
          <x14:cfRule type="iconSet" priority="8" id="{7444E2CC-DEB0-4448-9C44-EB950F12AA58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CL21:CP21</xm:sqref>
        </x14:conditionalFormatting>
        <x14:conditionalFormatting xmlns:xm="http://schemas.microsoft.com/office/excel/2006/main">
          <x14:cfRule type="iconSet" priority="7" id="{7DFB5CAF-6049-4A40-9145-508B919DB567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CQ21:CU21</xm:sqref>
        </x14:conditionalFormatting>
        <x14:conditionalFormatting xmlns:xm="http://schemas.microsoft.com/office/excel/2006/main">
          <x14:cfRule type="iconSet" priority="6" id="{492BF4EA-6562-4589-8C08-EA433A335321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CW21:DA21</xm:sqref>
        </x14:conditionalFormatting>
        <x14:conditionalFormatting xmlns:xm="http://schemas.microsoft.com/office/excel/2006/main">
          <x14:cfRule type="iconSet" priority="5" id="{519F449E-5CC2-4AC2-8E7F-FB3DB6DCE691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DB21:DF21</xm:sqref>
        </x14:conditionalFormatting>
        <x14:conditionalFormatting xmlns:xm="http://schemas.microsoft.com/office/excel/2006/main">
          <x14:cfRule type="iconSet" priority="4" id="{E042D36E-0E8A-4E77-A2A3-5976365D6229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DH21:DL21</xm:sqref>
        </x14:conditionalFormatting>
        <x14:conditionalFormatting xmlns:xm="http://schemas.microsoft.com/office/excel/2006/main">
          <x14:cfRule type="iconSet" priority="3" id="{5F3805B4-1DB3-40FB-A51A-984EC2ACEF82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DM21:DQ21</xm:sqref>
        </x14:conditionalFormatting>
        <x14:conditionalFormatting xmlns:xm="http://schemas.microsoft.com/office/excel/2006/main">
          <x14:cfRule type="iconSet" priority="2" id="{050D07AA-26A7-4717-98F6-F48314F1DADA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DS21:DW21</xm:sqref>
        </x14:conditionalFormatting>
        <x14:conditionalFormatting xmlns:xm="http://schemas.microsoft.com/office/excel/2006/main">
          <x14:cfRule type="iconSet" priority="1" id="{3FBE29BE-2D1F-4810-AA94-DB07602715C1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DX21:EB21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A19CF-E141-4B5A-AB87-66AF49429615}">
  <sheetPr codeName="Sheet3"/>
  <dimension ref="A1:B2"/>
  <sheetViews>
    <sheetView workbookViewId="0"/>
  </sheetViews>
  <sheetFormatPr defaultRowHeight="15" x14ac:dyDescent="0.25"/>
  <cols>
    <col min="1" max="1" width="10.5703125" bestFit="1" customWidth="1"/>
    <col min="2" max="2" width="137" bestFit="1" customWidth="1"/>
  </cols>
  <sheetData>
    <row r="1" spans="1:2" x14ac:dyDescent="0.25">
      <c r="A1" t="s">
        <v>78</v>
      </c>
      <c r="B1" t="s">
        <v>82</v>
      </c>
    </row>
    <row r="2" spans="1:2" x14ac:dyDescent="0.25">
      <c r="A2" t="s">
        <v>79</v>
      </c>
      <c r="B2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Temp_REPORT1</vt:lpstr>
      <vt:lpstr>CC1_InputUser</vt:lpstr>
      <vt:lpstr>Ref_WA</vt:lpstr>
      <vt:lpstr>HOME</vt:lpstr>
      <vt:lpstr>REPORT1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2024-10-07T08:38:17Z</dcterms:modified>
</cp:coreProperties>
</file>