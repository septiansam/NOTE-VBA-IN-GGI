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"/>
    </mc:Choice>
  </mc:AlternateContent>
  <xr:revisionPtr revIDLastSave="0" documentId="13_ncr:1_{75A879F0-9122-433A-BBCE-1294F9773013}" xr6:coauthVersionLast="47" xr6:coauthVersionMax="47" xr10:uidLastSave="{00000000-0000-0000-0000-000000000000}"/>
  <bookViews>
    <workbookView xWindow="-120" yWindow="-120" windowWidth="20730" windowHeight="11160" tabRatio="929" firstSheet="3" activeTab="3" xr2:uid="{2CCE3C95-2940-4053-8BE7-2A6EFE1350AC}"/>
  </bookViews>
  <sheets>
    <sheet name="Temp_REPORT1" sheetId="14" state="hidden" r:id="rId1"/>
    <sheet name="Temp_EXP_FROM_CUTTING" sheetId="118" state="hidden" r:id="rId2"/>
    <sheet name="Temp_EXP_FROM_ORDER" sheetId="158" state="hidden" r:id="rId3"/>
    <sheet name="HOME" sheetId="3" r:id="rId4"/>
    <sheet name="CC1_InputUser" sheetId="38" state="hidden" r:id="rId5"/>
    <sheet name="Ref_WA" sheetId="49" state="hidden" r:id="rId6"/>
    <sheet name="REPORT1" sheetId="199" r:id="rId7"/>
    <sheet name="Ref_Factory" sheetId="79" state="hidden" r:id="rId8"/>
    <sheet name="EXP FROM CUTTING" sheetId="202" r:id="rId9"/>
    <sheet name="EXP FROM ORDER" sheetId="203" r:id="rId10"/>
    <sheet name="RPA1_WA" sheetId="201" r:id="rId11"/>
  </sheets>
  <functionGroups builtInGroupCount="19"/>
  <definedNames>
    <definedName name="_xlnm._FilterDatabase" localSheetId="4" hidden="1">CC1_InputUser!$A$1:$Y$1420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9" i="203" l="1"/>
  <c r="U9" i="203"/>
  <c r="S9" i="203"/>
  <c r="Q9" i="203"/>
  <c r="O9" i="203"/>
  <c r="M9" i="203"/>
  <c r="K9" i="203"/>
  <c r="I9" i="203"/>
  <c r="G9" i="203"/>
  <c r="E9" i="203"/>
  <c r="C9" i="203"/>
  <c r="W9" i="202"/>
  <c r="U9" i="202"/>
  <c r="S9" i="202"/>
  <c r="Q9" i="202"/>
  <c r="O9" i="202"/>
  <c r="M9" i="202"/>
  <c r="K9" i="202"/>
  <c r="I9" i="202"/>
  <c r="G9" i="202"/>
  <c r="E9" i="202"/>
  <c r="C9" i="202"/>
  <c r="DM16" i="199"/>
  <c r="DH16" i="199"/>
  <c r="DB16" i="199"/>
  <c r="CW16" i="199"/>
  <c r="CQ16" i="199"/>
  <c r="CL16" i="199"/>
  <c r="CF16" i="199"/>
  <c r="CA16" i="199"/>
  <c r="BU16" i="199"/>
  <c r="BP16" i="199"/>
  <c r="BJ16" i="199"/>
  <c r="BE16" i="199"/>
  <c r="AY16" i="199"/>
  <c r="AT16" i="199"/>
  <c r="AN16" i="199"/>
  <c r="AI16" i="199"/>
  <c r="AC16" i="199"/>
  <c r="X16" i="199"/>
  <c r="R16" i="199"/>
  <c r="M16" i="199"/>
  <c r="G16" i="199"/>
  <c r="B16" i="199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K2" i="38"/>
  <c r="L2" i="38" s="1"/>
  <c r="K3" i="38"/>
  <c r="L3" i="38" s="1"/>
  <c r="K4" i="38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K29" i="38"/>
  <c r="L29" i="38" s="1"/>
  <c r="K30" i="38"/>
  <c r="L30" i="38" s="1"/>
  <c r="K31" i="38"/>
  <c r="L31" i="38" s="1"/>
  <c r="K32" i="38"/>
  <c r="L32" i="38" s="1"/>
  <c r="K33" i="38"/>
  <c r="L33" i="38" s="1"/>
  <c r="K34" i="38"/>
  <c r="L34" i="38" s="1"/>
  <c r="K35" i="38"/>
  <c r="L35" i="38" s="1"/>
  <c r="K36" i="38"/>
  <c r="L36" i="38" s="1"/>
  <c r="K37" i="38"/>
  <c r="L37" i="38" s="1"/>
  <c r="K38" i="38"/>
  <c r="L38" i="38" s="1"/>
  <c r="K39" i="38"/>
  <c r="L39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DZ6" i="199" l="1"/>
  <c r="DY8" i="199"/>
  <c r="EB6" i="199"/>
  <c r="EB7" i="199"/>
  <c r="EA6" i="199"/>
  <c r="EB8" i="199"/>
  <c r="EA7" i="199"/>
  <c r="DT6" i="199"/>
  <c r="EA8" i="199"/>
  <c r="DZ7" i="199"/>
  <c r="DY6" i="199"/>
  <c r="DZ8" i="199"/>
  <c r="DY7" i="199"/>
  <c r="DT8" i="199"/>
  <c r="DW6" i="199"/>
  <c r="DW7" i="199"/>
  <c r="DV6" i="199"/>
  <c r="DW8" i="199"/>
  <c r="DV7" i="199"/>
  <c r="DU6" i="199"/>
  <c r="DV8" i="199"/>
  <c r="DU7" i="199"/>
  <c r="DJ6" i="199"/>
  <c r="DU8" i="199"/>
  <c r="DT7" i="199"/>
  <c r="DN8" i="199"/>
  <c r="DM7" i="199"/>
  <c r="DM8" i="199"/>
  <c r="DQ6" i="199"/>
  <c r="DQ7" i="199"/>
  <c r="DP6" i="199"/>
  <c r="DQ8" i="199"/>
  <c r="DP7" i="199"/>
  <c r="DO6" i="199"/>
  <c r="DP8" i="199"/>
  <c r="DO7" i="199"/>
  <c r="DN6" i="199"/>
  <c r="DO8" i="199"/>
  <c r="DN7" i="199"/>
  <c r="DM6" i="199"/>
  <c r="DI8" i="199"/>
  <c r="DH7" i="199"/>
  <c r="DH8" i="199"/>
  <c r="DL6" i="199"/>
  <c r="DL7" i="199"/>
  <c r="DK6" i="199"/>
  <c r="DL8" i="199"/>
  <c r="DK7" i="199"/>
  <c r="DD6" i="199"/>
  <c r="DK8" i="199"/>
  <c r="DJ7" i="199"/>
  <c r="DI6" i="199"/>
  <c r="DJ8" i="199"/>
  <c r="DI7" i="199"/>
  <c r="DH6" i="199"/>
  <c r="DC8" i="199"/>
  <c r="DB7" i="199"/>
  <c r="DB8" i="199"/>
  <c r="DF6" i="199"/>
  <c r="DF7" i="199"/>
  <c r="DE6" i="199"/>
  <c r="DF8" i="199"/>
  <c r="DE7" i="199"/>
  <c r="CY6" i="199"/>
  <c r="DE8" i="199"/>
  <c r="DD7" i="199"/>
  <c r="DC6" i="199"/>
  <c r="DD8" i="199"/>
  <c r="DC7" i="199"/>
  <c r="DB6" i="199"/>
  <c r="CX8" i="199"/>
  <c r="CW7" i="199"/>
  <c r="CW8" i="199"/>
  <c r="DA6" i="199"/>
  <c r="DA7" i="199"/>
  <c r="CZ6" i="199"/>
  <c r="DA8" i="199"/>
  <c r="CZ7" i="199"/>
  <c r="CS6" i="199"/>
  <c r="CZ8" i="199"/>
  <c r="CY7" i="199"/>
  <c r="CX6" i="199"/>
  <c r="CY8" i="199"/>
  <c r="CX7" i="199"/>
  <c r="CW6" i="199"/>
  <c r="CR8" i="199"/>
  <c r="CQ7" i="199"/>
  <c r="CP6" i="199"/>
  <c r="CQ8" i="199"/>
  <c r="CU6" i="199"/>
  <c r="CU7" i="199"/>
  <c r="CT6" i="199"/>
  <c r="CU8" i="199"/>
  <c r="CT7" i="199"/>
  <c r="CN6" i="199"/>
  <c r="CT8" i="199"/>
  <c r="CS7" i="199"/>
  <c r="CR6" i="199"/>
  <c r="CS8" i="199"/>
  <c r="CR7" i="199"/>
  <c r="CQ6" i="199"/>
  <c r="CM8" i="199"/>
  <c r="CL7" i="199"/>
  <c r="CP7" i="199"/>
  <c r="CO6" i="199"/>
  <c r="CP8" i="199"/>
  <c r="CO7" i="199"/>
  <c r="CL8" i="199"/>
  <c r="CH6" i="199"/>
  <c r="CO8" i="199"/>
  <c r="CN7" i="199"/>
  <c r="CM6" i="199"/>
  <c r="CN8" i="199"/>
  <c r="CM7" i="199"/>
  <c r="CL6" i="199"/>
  <c r="CG8" i="199"/>
  <c r="CF7" i="199"/>
  <c r="CF8" i="199"/>
  <c r="CJ6" i="199"/>
  <c r="CJ7" i="199"/>
  <c r="CI6" i="199"/>
  <c r="CJ8" i="199"/>
  <c r="CI7" i="199"/>
  <c r="CC6" i="199"/>
  <c r="CI8" i="199"/>
  <c r="CH7" i="199"/>
  <c r="CG6" i="199"/>
  <c r="CH8" i="199"/>
  <c r="CG7" i="199"/>
  <c r="CF6" i="199"/>
  <c r="CB8" i="199"/>
  <c r="CA7" i="199"/>
  <c r="CA8" i="199"/>
  <c r="CE6" i="199"/>
  <c r="CE7" i="199"/>
  <c r="CD6" i="199"/>
  <c r="CE8" i="199"/>
  <c r="CD7" i="199"/>
  <c r="BW6" i="199"/>
  <c r="CD8" i="199"/>
  <c r="CC7" i="199"/>
  <c r="CB6" i="199"/>
  <c r="CC8" i="199"/>
  <c r="CB7" i="199"/>
  <c r="CA6" i="199"/>
  <c r="BV8" i="199"/>
  <c r="BU7" i="199"/>
  <c r="BU8" i="199"/>
  <c r="BY6" i="199"/>
  <c r="BY7" i="199"/>
  <c r="BX6" i="199"/>
  <c r="BY8" i="199"/>
  <c r="BX7" i="199"/>
  <c r="BR6" i="199"/>
  <c r="BX8" i="199"/>
  <c r="BW7" i="199"/>
  <c r="BV6" i="199"/>
  <c r="BW8" i="199"/>
  <c r="BV7" i="199"/>
  <c r="BU6" i="199"/>
  <c r="BQ8" i="199"/>
  <c r="BP7" i="199"/>
  <c r="BP8" i="199"/>
  <c r="BT6" i="199"/>
  <c r="BT7" i="199"/>
  <c r="BS6" i="199"/>
  <c r="BT8" i="199"/>
  <c r="BS7" i="199"/>
  <c r="BL6" i="199"/>
  <c r="BS8" i="199"/>
  <c r="BR7" i="199"/>
  <c r="BQ6" i="199"/>
  <c r="BR8" i="199"/>
  <c r="BQ7" i="199"/>
  <c r="BP6" i="199"/>
  <c r="BK8" i="199"/>
  <c r="BJ7" i="199"/>
  <c r="BJ8" i="199"/>
  <c r="BN6" i="199"/>
  <c r="BN7" i="199"/>
  <c r="BM6" i="199"/>
  <c r="BN8" i="199"/>
  <c r="BM7" i="199"/>
  <c r="BG6" i="199"/>
  <c r="BM8" i="199"/>
  <c r="BL7" i="199"/>
  <c r="BK6" i="199"/>
  <c r="BL8" i="199"/>
  <c r="BK7" i="199"/>
  <c r="BJ6" i="199"/>
  <c r="BF8" i="199"/>
  <c r="BE7" i="199"/>
  <c r="BE8" i="199"/>
  <c r="BI7" i="199"/>
  <c r="BH6" i="199"/>
  <c r="BI6" i="199"/>
  <c r="BI8" i="199"/>
  <c r="BH7" i="199"/>
  <c r="AY8" i="199"/>
  <c r="BA6" i="199"/>
  <c r="BH8" i="199"/>
  <c r="BG7" i="199"/>
  <c r="BF6" i="199"/>
  <c r="BG8" i="199"/>
  <c r="BF7" i="199"/>
  <c r="BE6" i="199"/>
  <c r="AU8" i="199"/>
  <c r="AZ8" i="199"/>
  <c r="AY7" i="199"/>
  <c r="BC6" i="199"/>
  <c r="BC7" i="199"/>
  <c r="BB6" i="199"/>
  <c r="BC8" i="199"/>
  <c r="BB7" i="199"/>
  <c r="AV6" i="199"/>
  <c r="BB8" i="199"/>
  <c r="BA7" i="199"/>
  <c r="AZ6" i="199"/>
  <c r="BA8" i="199"/>
  <c r="AZ7" i="199"/>
  <c r="AY6" i="199"/>
  <c r="AT7" i="199"/>
  <c r="AI8" i="199"/>
  <c r="AT8" i="199"/>
  <c r="AX6" i="199"/>
  <c r="AX7" i="199"/>
  <c r="AW6" i="199"/>
  <c r="AX8" i="199"/>
  <c r="AW7" i="199"/>
  <c r="AP6" i="199"/>
  <c r="AW8" i="199"/>
  <c r="AV7" i="199"/>
  <c r="AU6" i="199"/>
  <c r="AV8" i="199"/>
  <c r="AU7" i="199"/>
  <c r="AT6" i="199"/>
  <c r="AN8" i="199"/>
  <c r="AO8" i="199"/>
  <c r="AN7" i="199"/>
  <c r="AR7" i="199"/>
  <c r="AQ6" i="199"/>
  <c r="AR8" i="199"/>
  <c r="AQ7" i="199"/>
  <c r="AR6" i="199"/>
  <c r="AK6" i="199"/>
  <c r="AQ8" i="199"/>
  <c r="AP7" i="199"/>
  <c r="AO6" i="199"/>
  <c r="AI19" i="199"/>
  <c r="BP19" i="199"/>
  <c r="CW19" i="199"/>
  <c r="AP8" i="199"/>
  <c r="AO7" i="199"/>
  <c r="AN6" i="199"/>
  <c r="AJ8" i="199"/>
  <c r="AI7" i="199"/>
  <c r="AM6" i="199"/>
  <c r="AM7" i="199"/>
  <c r="AL6" i="199"/>
  <c r="AM8" i="199"/>
  <c r="AL7" i="199"/>
  <c r="AE6" i="199"/>
  <c r="AL8" i="199"/>
  <c r="AK7" i="199"/>
  <c r="AJ6" i="199"/>
  <c r="AK8" i="199"/>
  <c r="AJ7" i="199"/>
  <c r="AI6" i="199"/>
  <c r="AD8" i="199"/>
  <c r="AC7" i="199"/>
  <c r="AB6" i="199"/>
  <c r="AC8" i="199"/>
  <c r="AG6" i="199"/>
  <c r="AG7" i="199"/>
  <c r="AF6" i="199"/>
  <c r="AG8" i="199"/>
  <c r="AF7" i="199"/>
  <c r="Z6" i="199"/>
  <c r="AF8" i="199"/>
  <c r="AE7" i="199"/>
  <c r="AD6" i="199"/>
  <c r="AE8" i="199"/>
  <c r="AD7" i="199"/>
  <c r="AC6" i="199"/>
  <c r="Y8" i="199"/>
  <c r="X7" i="199"/>
  <c r="X8" i="199"/>
  <c r="AB7" i="199"/>
  <c r="AA6" i="199"/>
  <c r="AB8" i="199"/>
  <c r="AA7" i="199"/>
  <c r="T6" i="199"/>
  <c r="AA8" i="199"/>
  <c r="Z7" i="199"/>
  <c r="Y6" i="199"/>
  <c r="Z8" i="199"/>
  <c r="Y7" i="199"/>
  <c r="X6" i="199"/>
  <c r="S8" i="199"/>
  <c r="R7" i="199"/>
  <c r="Q6" i="199"/>
  <c r="R8" i="199"/>
  <c r="V6" i="199"/>
  <c r="V7" i="199"/>
  <c r="U6" i="199"/>
  <c r="V8" i="199"/>
  <c r="U7" i="199"/>
  <c r="O6" i="199"/>
  <c r="U8" i="199"/>
  <c r="T7" i="199"/>
  <c r="S6" i="199"/>
  <c r="T8" i="199"/>
  <c r="S7" i="199"/>
  <c r="R6" i="199"/>
  <c r="N8" i="199"/>
  <c r="M7" i="199"/>
  <c r="M8" i="199"/>
  <c r="Q7" i="199"/>
  <c r="P6" i="199"/>
  <c r="Q8" i="199"/>
  <c r="P7" i="199"/>
  <c r="I6" i="199"/>
  <c r="P8" i="199"/>
  <c r="O7" i="199"/>
  <c r="N6" i="199"/>
  <c r="F6" i="199"/>
  <c r="O8" i="199"/>
  <c r="N7" i="199"/>
  <c r="M6" i="199"/>
  <c r="H8" i="199"/>
  <c r="G7" i="199"/>
  <c r="K7" i="199"/>
  <c r="J6" i="199"/>
  <c r="K6" i="199"/>
  <c r="K8" i="199"/>
  <c r="J7" i="199"/>
  <c r="G8" i="199"/>
  <c r="B6" i="199"/>
  <c r="J8" i="199"/>
  <c r="I7" i="199"/>
  <c r="H6" i="199"/>
  <c r="I8" i="199"/>
  <c r="H7" i="199"/>
  <c r="G6" i="199"/>
  <c r="C8" i="199"/>
  <c r="B7" i="199"/>
  <c r="F7" i="199"/>
  <c r="E6" i="199"/>
  <c r="B8" i="199"/>
  <c r="F8" i="199"/>
  <c r="E7" i="199"/>
  <c r="D6" i="199"/>
  <c r="E8" i="199"/>
  <c r="D7" i="199"/>
  <c r="C6" i="199"/>
  <c r="D8" i="199"/>
  <c r="C7" i="199"/>
  <c r="DH19" i="199"/>
  <c r="DM19" i="199"/>
  <c r="CA19" i="199"/>
  <c r="AN19" i="199"/>
  <c r="BU19" i="199"/>
  <c r="DB19" i="199"/>
  <c r="M19" i="199"/>
  <c r="CF19" i="199"/>
  <c r="AT19" i="199"/>
  <c r="X19" i="199"/>
  <c r="BE19" i="199"/>
  <c r="CL19" i="199"/>
  <c r="EB15" i="199"/>
  <c r="AC19" i="199"/>
  <c r="BJ19" i="199"/>
  <c r="CQ19" i="199"/>
  <c r="R19" i="199"/>
  <c r="AY19" i="199"/>
  <c r="CW15" i="199"/>
  <c r="DC15" i="199"/>
  <c r="CY15" i="199"/>
  <c r="AS6" i="199"/>
  <c r="CZ15" i="199"/>
  <c r="DT15" i="199"/>
  <c r="DD15" i="199"/>
  <c r="DA15" i="199"/>
  <c r="DH15" i="199"/>
  <c r="DU15" i="199"/>
  <c r="DB15" i="199"/>
  <c r="DI15" i="199"/>
  <c r="DO15" i="199"/>
  <c r="T36" i="38"/>
  <c r="T30" i="38"/>
  <c r="T24" i="38"/>
  <c r="T18" i="38"/>
  <c r="T12" i="38"/>
  <c r="T6" i="38"/>
  <c r="T37" i="38"/>
  <c r="T31" i="38"/>
  <c r="T25" i="38"/>
  <c r="T19" i="38"/>
  <c r="T13" i="38"/>
  <c r="T7" i="38"/>
  <c r="T35" i="38"/>
  <c r="T29" i="38"/>
  <c r="T23" i="38"/>
  <c r="T17" i="38"/>
  <c r="T11" i="38"/>
  <c r="T5" i="38"/>
  <c r="T34" i="38"/>
  <c r="T28" i="38"/>
  <c r="T22" i="38"/>
  <c r="T16" i="38"/>
  <c r="T10" i="38"/>
  <c r="T4" i="38"/>
  <c r="T39" i="38"/>
  <c r="T33" i="38"/>
  <c r="T27" i="38"/>
  <c r="T21" i="38"/>
  <c r="T15" i="38"/>
  <c r="T9" i="38"/>
  <c r="T3" i="38"/>
  <c r="T38" i="38"/>
  <c r="T32" i="38"/>
  <c r="T26" i="38"/>
  <c r="T20" i="38"/>
  <c r="T14" i="38"/>
  <c r="T8" i="38"/>
  <c r="T2" i="38"/>
  <c r="S37" i="38"/>
  <c r="S31" i="38"/>
  <c r="S25" i="38"/>
  <c r="S19" i="38"/>
  <c r="S13" i="38"/>
  <c r="S7" i="38"/>
  <c r="S36" i="38"/>
  <c r="S30" i="38"/>
  <c r="S24" i="38"/>
  <c r="S18" i="38"/>
  <c r="S12" i="38"/>
  <c r="S6" i="38"/>
  <c r="S35" i="38"/>
  <c r="S29" i="38"/>
  <c r="S23" i="38"/>
  <c r="S17" i="38"/>
  <c r="S11" i="38"/>
  <c r="S5" i="38"/>
  <c r="S34" i="38"/>
  <c r="S28" i="38"/>
  <c r="S22" i="38"/>
  <c r="S16" i="38"/>
  <c r="S10" i="38"/>
  <c r="S4" i="38"/>
  <c r="S39" i="38"/>
  <c r="S33" i="38"/>
  <c r="S27" i="38"/>
  <c r="S21" i="38"/>
  <c r="S15" i="38"/>
  <c r="S9" i="38"/>
  <c r="S3" i="38"/>
  <c r="S38" i="38"/>
  <c r="S32" i="38"/>
  <c r="S26" i="38"/>
  <c r="S20" i="38"/>
  <c r="S14" i="38"/>
  <c r="S8" i="38"/>
  <c r="S2" i="38"/>
  <c r="R37" i="38"/>
  <c r="R31" i="38"/>
  <c r="R25" i="38"/>
  <c r="R19" i="38"/>
  <c r="R13" i="38"/>
  <c r="R7" i="38"/>
  <c r="R35" i="38"/>
  <c r="R29" i="38"/>
  <c r="R23" i="38"/>
  <c r="R17" i="38"/>
  <c r="R11" i="38"/>
  <c r="R5" i="38"/>
  <c r="R36" i="38"/>
  <c r="R30" i="38"/>
  <c r="R24" i="38"/>
  <c r="R18" i="38"/>
  <c r="R12" i="38"/>
  <c r="R6" i="38"/>
  <c r="R34" i="38"/>
  <c r="R28" i="38"/>
  <c r="R22" i="38"/>
  <c r="R16" i="38"/>
  <c r="R10" i="38"/>
  <c r="R4" i="38"/>
  <c r="R39" i="38"/>
  <c r="R33" i="38"/>
  <c r="R27" i="38"/>
  <c r="R21" i="38"/>
  <c r="R15" i="38"/>
  <c r="R9" i="38"/>
  <c r="R3" i="38"/>
  <c r="R38" i="38"/>
  <c r="R32" i="38"/>
  <c r="R26" i="38"/>
  <c r="R20" i="38"/>
  <c r="R14" i="38"/>
  <c r="R8" i="38"/>
  <c r="R2" i="38"/>
  <c r="N37" i="38"/>
  <c r="N31" i="38"/>
  <c r="N25" i="38"/>
  <c r="N19" i="38"/>
  <c r="N13" i="38"/>
  <c r="N7" i="38"/>
  <c r="N36" i="38"/>
  <c r="N30" i="38"/>
  <c r="N24" i="38"/>
  <c r="N18" i="38"/>
  <c r="N12" i="38"/>
  <c r="N6" i="38"/>
  <c r="N35" i="38"/>
  <c r="N29" i="38"/>
  <c r="N23" i="38"/>
  <c r="N17" i="38"/>
  <c r="N11" i="38"/>
  <c r="N5" i="38"/>
  <c r="N34" i="38"/>
  <c r="N28" i="38"/>
  <c r="DX7" i="199" s="1"/>
  <c r="N22" i="38"/>
  <c r="DX8" i="199" s="1"/>
  <c r="N16" i="38"/>
  <c r="N10" i="38"/>
  <c r="N4" i="38"/>
  <c r="N39" i="38"/>
  <c r="N33" i="38"/>
  <c r="N27" i="38"/>
  <c r="N21" i="38"/>
  <c r="N15" i="38"/>
  <c r="N9" i="38"/>
  <c r="N3" i="38"/>
  <c r="DX6" i="199" s="1"/>
  <c r="N38" i="38"/>
  <c r="N32" i="38"/>
  <c r="N26" i="38"/>
  <c r="N20" i="38"/>
  <c r="N14" i="38"/>
  <c r="N8" i="38"/>
  <c r="N2" i="38"/>
  <c r="M36" i="38"/>
  <c r="M37" i="38"/>
  <c r="M34" i="38"/>
  <c r="M39" i="38"/>
  <c r="M33" i="38"/>
  <c r="M35" i="38"/>
  <c r="M38" i="38"/>
  <c r="M2" i="38"/>
  <c r="M31" i="38"/>
  <c r="M25" i="38"/>
  <c r="M19" i="38"/>
  <c r="M13" i="38"/>
  <c r="M7" i="38"/>
  <c r="M30" i="38"/>
  <c r="M24" i="38"/>
  <c r="M18" i="38"/>
  <c r="M12" i="38"/>
  <c r="M6" i="38"/>
  <c r="M29" i="38"/>
  <c r="M23" i="38"/>
  <c r="M17" i="38"/>
  <c r="M11" i="38"/>
  <c r="M5" i="38"/>
  <c r="M28" i="38"/>
  <c r="DS7" i="199" s="1"/>
  <c r="M22" i="38"/>
  <c r="DS8" i="199" s="1"/>
  <c r="M16" i="38"/>
  <c r="M10" i="38"/>
  <c r="M4" i="38"/>
  <c r="M27" i="38"/>
  <c r="M21" i="38"/>
  <c r="M15" i="38"/>
  <c r="M9" i="38"/>
  <c r="M3" i="38"/>
  <c r="M32" i="38"/>
  <c r="M26" i="38"/>
  <c r="M20" i="38"/>
  <c r="M14" i="38"/>
  <c r="M8" i="38"/>
  <c r="DN15" i="199" l="1"/>
  <c r="DZ15" i="199"/>
  <c r="CX15" i="199"/>
  <c r="CX18" i="199" s="1"/>
  <c r="DE15" i="199"/>
  <c r="DF15" i="199"/>
  <c r="DP15" i="199"/>
  <c r="DP18" i="199" s="1"/>
  <c r="DQ15" i="199"/>
  <c r="DV15" i="199"/>
  <c r="DV18" i="199" s="1"/>
  <c r="DY15" i="199"/>
  <c r="EA15" i="199"/>
  <c r="EA18" i="199" s="1"/>
  <c r="DJ15" i="199"/>
  <c r="DK15" i="199"/>
  <c r="DM15" i="199"/>
  <c r="DW15" i="199"/>
  <c r="DL15" i="199"/>
  <c r="DS16" i="199"/>
  <c r="DS19" i="199" s="1"/>
  <c r="Y9" i="203"/>
  <c r="W5" i="203"/>
  <c r="W6" i="203"/>
  <c r="W7" i="203"/>
  <c r="U5" i="203"/>
  <c r="U6" i="203"/>
  <c r="U7" i="203"/>
  <c r="S5" i="203"/>
  <c r="S6" i="203"/>
  <c r="S7" i="203"/>
  <c r="Q5" i="203"/>
  <c r="Q6" i="203"/>
  <c r="Q7" i="203"/>
  <c r="O5" i="203"/>
  <c r="O6" i="203"/>
  <c r="O7" i="203"/>
  <c r="M5" i="203"/>
  <c r="M6" i="203"/>
  <c r="M7" i="203"/>
  <c r="K5" i="203"/>
  <c r="K6" i="203"/>
  <c r="K7" i="203"/>
  <c r="I5" i="203"/>
  <c r="I6" i="203"/>
  <c r="I7" i="203"/>
  <c r="G5" i="203"/>
  <c r="G6" i="203"/>
  <c r="G7" i="203"/>
  <c r="E5" i="203"/>
  <c r="E6" i="203"/>
  <c r="E7" i="203"/>
  <c r="C5" i="203"/>
  <c r="C6" i="203"/>
  <c r="C7" i="203"/>
  <c r="W5" i="202"/>
  <c r="W6" i="202"/>
  <c r="W7" i="202"/>
  <c r="U5" i="202"/>
  <c r="U6" i="202"/>
  <c r="U7" i="202"/>
  <c r="S5" i="202"/>
  <c r="S6" i="202"/>
  <c r="S7" i="202"/>
  <c r="Q5" i="202"/>
  <c r="Q6" i="202"/>
  <c r="Q7" i="202"/>
  <c r="O5" i="202"/>
  <c r="O6" i="202"/>
  <c r="O7" i="202"/>
  <c r="M5" i="202"/>
  <c r="M6" i="202"/>
  <c r="M7" i="202"/>
  <c r="K5" i="202"/>
  <c r="K6" i="202"/>
  <c r="K7" i="202"/>
  <c r="I5" i="202"/>
  <c r="I6" i="202"/>
  <c r="I7" i="202"/>
  <c r="G5" i="202"/>
  <c r="G6" i="202"/>
  <c r="G7" i="202"/>
  <c r="E5" i="202"/>
  <c r="E6" i="202"/>
  <c r="E7" i="202"/>
  <c r="C5" i="202"/>
  <c r="C6" i="202"/>
  <c r="C7" i="202"/>
  <c r="CM15" i="199"/>
  <c r="CL15" i="199"/>
  <c r="CS15" i="199"/>
  <c r="DX16" i="199"/>
  <c r="DX19" i="199" s="1"/>
  <c r="Y9" i="202"/>
  <c r="CR15" i="199"/>
  <c r="CT15" i="199"/>
  <c r="CU15" i="199"/>
  <c r="CD15" i="199"/>
  <c r="CQ15" i="199"/>
  <c r="CH15" i="199"/>
  <c r="CP15" i="199"/>
  <c r="BP15" i="199"/>
  <c r="CA15" i="199"/>
  <c r="DX15" i="199"/>
  <c r="DY18" i="199" s="1"/>
  <c r="CO15" i="199"/>
  <c r="CC15" i="199"/>
  <c r="CI15" i="199"/>
  <c r="CF15" i="199"/>
  <c r="CN15" i="199"/>
  <c r="DS6" i="199"/>
  <c r="DS15" i="199" s="1"/>
  <c r="CG15" i="199"/>
  <c r="CJ15" i="199"/>
  <c r="CE15" i="199"/>
  <c r="BT15" i="199"/>
  <c r="BC15" i="199"/>
  <c r="BM15" i="199"/>
  <c r="BX15" i="199"/>
  <c r="CB15" i="199"/>
  <c r="BJ15" i="199"/>
  <c r="BW15" i="199"/>
  <c r="BK15" i="199"/>
  <c r="BY15" i="199"/>
  <c r="BU15" i="199"/>
  <c r="BQ15" i="199"/>
  <c r="BS15" i="199"/>
  <c r="BR15" i="199"/>
  <c r="BV15" i="199"/>
  <c r="AZ15" i="199"/>
  <c r="BF15" i="199"/>
  <c r="BN15" i="199"/>
  <c r="AY15" i="199"/>
  <c r="BI15" i="199"/>
  <c r="AV15" i="199"/>
  <c r="BH15" i="199"/>
  <c r="BB15" i="199"/>
  <c r="BE15" i="199"/>
  <c r="BL15" i="199"/>
  <c r="AW15" i="199"/>
  <c r="BA15" i="199"/>
  <c r="BG15" i="199"/>
  <c r="AK15" i="199"/>
  <c r="AR15" i="199"/>
  <c r="AX15" i="199"/>
  <c r="AU15" i="199"/>
  <c r="AI15" i="199"/>
  <c r="AG15" i="199"/>
  <c r="AJ15" i="199"/>
  <c r="AL15" i="199"/>
  <c r="AC15" i="199"/>
  <c r="Z15" i="199"/>
  <c r="AT15" i="199"/>
  <c r="AP15" i="199"/>
  <c r="AQ15" i="199"/>
  <c r="AN15" i="199"/>
  <c r="AO15" i="199"/>
  <c r="AM15" i="199"/>
  <c r="N15" i="199"/>
  <c r="S15" i="199"/>
  <c r="U15" i="199"/>
  <c r="Y15" i="199"/>
  <c r="AA15" i="199"/>
  <c r="AD15" i="199"/>
  <c r="AF15" i="199"/>
  <c r="AB15" i="199"/>
  <c r="AE15" i="199"/>
  <c r="X15" i="199"/>
  <c r="P15" i="199"/>
  <c r="V15" i="199"/>
  <c r="G15" i="199"/>
  <c r="R15" i="199"/>
  <c r="O15" i="199"/>
  <c r="Q15" i="199"/>
  <c r="T15" i="199"/>
  <c r="M15" i="199"/>
  <c r="F15" i="199"/>
  <c r="J15" i="199"/>
  <c r="H15" i="199"/>
  <c r="E15" i="199"/>
  <c r="B15" i="199"/>
  <c r="DD18" i="199"/>
  <c r="D15" i="199"/>
  <c r="I15" i="199"/>
  <c r="K15" i="199"/>
  <c r="C15" i="199"/>
  <c r="DA18" i="199"/>
  <c r="DU18" i="199"/>
  <c r="CY18" i="199"/>
  <c r="CZ18" i="199"/>
  <c r="DZ18" i="199"/>
  <c r="DH18" i="199"/>
  <c r="DW18" i="199"/>
  <c r="DC18" i="199"/>
  <c r="DE18" i="199"/>
  <c r="DI18" i="199"/>
  <c r="W14" i="38"/>
  <c r="W9" i="38"/>
  <c r="W4" i="38"/>
  <c r="W5" i="38"/>
  <c r="W7" i="38"/>
  <c r="W6" i="38"/>
  <c r="W20" i="38"/>
  <c r="W15" i="38"/>
  <c r="W10" i="38"/>
  <c r="W11" i="38"/>
  <c r="W13" i="38"/>
  <c r="W12" i="38"/>
  <c r="W26" i="38"/>
  <c r="W21" i="38"/>
  <c r="W16" i="38"/>
  <c r="W17" i="38"/>
  <c r="W19" i="38"/>
  <c r="W18" i="38"/>
  <c r="W32" i="38"/>
  <c r="W27" i="38"/>
  <c r="W22" i="38"/>
  <c r="W23" i="38"/>
  <c r="W25" i="38"/>
  <c r="W24" i="38"/>
  <c r="V2" i="38"/>
  <c r="W2" i="38"/>
  <c r="W38" i="38"/>
  <c r="W33" i="38"/>
  <c r="W28" i="38"/>
  <c r="W29" i="38"/>
  <c r="W31" i="38"/>
  <c r="W30" i="38"/>
  <c r="V8" i="38"/>
  <c r="W8" i="38"/>
  <c r="W3" i="38"/>
  <c r="W39" i="38"/>
  <c r="W34" i="38"/>
  <c r="W35" i="38"/>
  <c r="W37" i="38"/>
  <c r="W36" i="38"/>
  <c r="U14" i="38"/>
  <c r="V14" i="38"/>
  <c r="V9" i="38"/>
  <c r="V4" i="38"/>
  <c r="V5" i="38"/>
  <c r="V7" i="38"/>
  <c r="V6" i="38"/>
  <c r="V20" i="38"/>
  <c r="V15" i="38"/>
  <c r="V10" i="38"/>
  <c r="V11" i="38"/>
  <c r="V13" i="38"/>
  <c r="V12" i="38"/>
  <c r="V26" i="38"/>
  <c r="V21" i="38"/>
  <c r="V16" i="38"/>
  <c r="V17" i="38"/>
  <c r="V19" i="38"/>
  <c r="V18" i="38"/>
  <c r="V32" i="38"/>
  <c r="V27" i="38"/>
  <c r="V22" i="38"/>
  <c r="V23" i="38"/>
  <c r="V25" i="38"/>
  <c r="V24" i="38"/>
  <c r="V38" i="38"/>
  <c r="V33" i="38"/>
  <c r="V28" i="38"/>
  <c r="V29" i="38"/>
  <c r="V31" i="38"/>
  <c r="V30" i="38"/>
  <c r="V3" i="38"/>
  <c r="V39" i="38"/>
  <c r="V34" i="38"/>
  <c r="V35" i="38"/>
  <c r="V37" i="38"/>
  <c r="V36" i="38"/>
  <c r="U9" i="38"/>
  <c r="U4" i="38"/>
  <c r="U20" i="38"/>
  <c r="U15" i="38"/>
  <c r="U10" i="38"/>
  <c r="U11" i="38"/>
  <c r="U13" i="38"/>
  <c r="U12" i="38"/>
  <c r="U7" i="38"/>
  <c r="U26" i="38"/>
  <c r="U21" i="38"/>
  <c r="U16" i="38"/>
  <c r="U17" i="38"/>
  <c r="U19" i="38"/>
  <c r="U18" i="38"/>
  <c r="U6" i="38"/>
  <c r="U32" i="38"/>
  <c r="U27" i="38"/>
  <c r="U22" i="38"/>
  <c r="U23" i="38"/>
  <c r="U25" i="38"/>
  <c r="U24" i="38"/>
  <c r="U2" i="38"/>
  <c r="U38" i="38"/>
  <c r="U33" i="38"/>
  <c r="U28" i="38"/>
  <c r="U29" i="38"/>
  <c r="U31" i="38"/>
  <c r="U30" i="38"/>
  <c r="U5" i="38"/>
  <c r="U8" i="38"/>
  <c r="U3" i="38"/>
  <c r="U39" i="38"/>
  <c r="U34" i="38"/>
  <c r="U35" i="38"/>
  <c r="U37" i="38"/>
  <c r="U36" i="38"/>
  <c r="K56" i="158"/>
  <c r="E56" i="158"/>
  <c r="Y56" i="158"/>
  <c r="W56" i="158"/>
  <c r="X54" i="158"/>
  <c r="V54" i="158"/>
  <c r="T54" i="158"/>
  <c r="R54" i="158"/>
  <c r="P54" i="158"/>
  <c r="N54" i="158"/>
  <c r="L54" i="158"/>
  <c r="J54" i="158"/>
  <c r="H54" i="158"/>
  <c r="F54" i="158"/>
  <c r="D54" i="158"/>
  <c r="X53" i="158"/>
  <c r="V53" i="158"/>
  <c r="T53" i="158"/>
  <c r="R53" i="158"/>
  <c r="P53" i="158"/>
  <c r="N53" i="158"/>
  <c r="L53" i="158"/>
  <c r="J53" i="158"/>
  <c r="H53" i="158"/>
  <c r="F53" i="158"/>
  <c r="D53" i="158"/>
  <c r="X52" i="158"/>
  <c r="V52" i="158"/>
  <c r="T52" i="158"/>
  <c r="R52" i="158"/>
  <c r="P52" i="158"/>
  <c r="N52" i="158"/>
  <c r="L52" i="158"/>
  <c r="J52" i="158"/>
  <c r="H52" i="158"/>
  <c r="F52" i="158"/>
  <c r="D52" i="158"/>
  <c r="X51" i="158"/>
  <c r="V51" i="158"/>
  <c r="T51" i="158"/>
  <c r="R51" i="158"/>
  <c r="P51" i="158"/>
  <c r="N51" i="158"/>
  <c r="L51" i="158"/>
  <c r="J51" i="158"/>
  <c r="H51" i="158"/>
  <c r="F51" i="158"/>
  <c r="D51" i="158"/>
  <c r="X50" i="158"/>
  <c r="V50" i="158"/>
  <c r="T50" i="158"/>
  <c r="R50" i="158"/>
  <c r="P50" i="158"/>
  <c r="N50" i="158"/>
  <c r="L50" i="158"/>
  <c r="J50" i="158"/>
  <c r="H50" i="158"/>
  <c r="F50" i="158"/>
  <c r="D50" i="158"/>
  <c r="X49" i="158"/>
  <c r="V49" i="158"/>
  <c r="T49" i="158"/>
  <c r="R49" i="158"/>
  <c r="P49" i="158"/>
  <c r="N49" i="158"/>
  <c r="L49" i="158"/>
  <c r="J49" i="158"/>
  <c r="H49" i="158"/>
  <c r="F49" i="158"/>
  <c r="D49" i="158"/>
  <c r="X48" i="158"/>
  <c r="V48" i="158"/>
  <c r="T48" i="158"/>
  <c r="R48" i="158"/>
  <c r="P48" i="158"/>
  <c r="N48" i="158"/>
  <c r="L48" i="158"/>
  <c r="J48" i="158"/>
  <c r="H48" i="158"/>
  <c r="F48" i="158"/>
  <c r="D48" i="158"/>
  <c r="X47" i="158"/>
  <c r="V47" i="158"/>
  <c r="T47" i="158"/>
  <c r="R47" i="158"/>
  <c r="P47" i="158"/>
  <c r="N47" i="158"/>
  <c r="L47" i="158"/>
  <c r="J47" i="158"/>
  <c r="H47" i="158"/>
  <c r="F47" i="158"/>
  <c r="D47" i="158"/>
  <c r="X46" i="158"/>
  <c r="V46" i="158"/>
  <c r="T46" i="158"/>
  <c r="R46" i="158"/>
  <c r="P46" i="158"/>
  <c r="N46" i="158"/>
  <c r="L46" i="158"/>
  <c r="J46" i="158"/>
  <c r="H46" i="158"/>
  <c r="F46" i="158"/>
  <c r="D46" i="158"/>
  <c r="X45" i="158"/>
  <c r="V45" i="158"/>
  <c r="T45" i="158"/>
  <c r="R45" i="158"/>
  <c r="P45" i="158"/>
  <c r="N45" i="158"/>
  <c r="L45" i="158"/>
  <c r="J45" i="158"/>
  <c r="H45" i="158"/>
  <c r="F45" i="158"/>
  <c r="D45" i="158"/>
  <c r="X44" i="158"/>
  <c r="V44" i="158"/>
  <c r="T44" i="158"/>
  <c r="R44" i="158"/>
  <c r="P44" i="158"/>
  <c r="N44" i="158"/>
  <c r="L44" i="158"/>
  <c r="J44" i="158"/>
  <c r="H44" i="158"/>
  <c r="F44" i="158"/>
  <c r="D44" i="158"/>
  <c r="X43" i="158"/>
  <c r="V43" i="158"/>
  <c r="T43" i="158"/>
  <c r="R43" i="158"/>
  <c r="P43" i="158"/>
  <c r="N43" i="158"/>
  <c r="L43" i="158"/>
  <c r="J43" i="158"/>
  <c r="H43" i="158"/>
  <c r="F43" i="158"/>
  <c r="D43" i="158"/>
  <c r="X42" i="158"/>
  <c r="V42" i="158"/>
  <c r="T42" i="158"/>
  <c r="R42" i="158"/>
  <c r="P42" i="158"/>
  <c r="N42" i="158"/>
  <c r="L42" i="158"/>
  <c r="J42" i="158"/>
  <c r="H42" i="158"/>
  <c r="F42" i="158"/>
  <c r="D42" i="158"/>
  <c r="X41" i="158"/>
  <c r="V41" i="158"/>
  <c r="T41" i="158"/>
  <c r="R41" i="158"/>
  <c r="P41" i="158"/>
  <c r="N41" i="158"/>
  <c r="L41" i="158"/>
  <c r="J41" i="158"/>
  <c r="H41" i="158"/>
  <c r="F41" i="158"/>
  <c r="D41" i="158"/>
  <c r="X40" i="158"/>
  <c r="V40" i="158"/>
  <c r="T40" i="158"/>
  <c r="R40" i="158"/>
  <c r="P40" i="158"/>
  <c r="N40" i="158"/>
  <c r="L40" i="158"/>
  <c r="J40" i="158"/>
  <c r="H40" i="158"/>
  <c r="F40" i="158"/>
  <c r="D40" i="158"/>
  <c r="X39" i="158"/>
  <c r="V39" i="158"/>
  <c r="T39" i="158"/>
  <c r="R39" i="158"/>
  <c r="P39" i="158"/>
  <c r="N39" i="158"/>
  <c r="L39" i="158"/>
  <c r="J39" i="158"/>
  <c r="H39" i="158"/>
  <c r="F39" i="158"/>
  <c r="D39" i="158"/>
  <c r="X38" i="158"/>
  <c r="V38" i="158"/>
  <c r="T38" i="158"/>
  <c r="R38" i="158"/>
  <c r="P38" i="158"/>
  <c r="N38" i="158"/>
  <c r="L38" i="158"/>
  <c r="J38" i="158"/>
  <c r="H38" i="158"/>
  <c r="F38" i="158"/>
  <c r="D38" i="158"/>
  <c r="X37" i="158"/>
  <c r="V37" i="158"/>
  <c r="T37" i="158"/>
  <c r="R37" i="158"/>
  <c r="P37" i="158"/>
  <c r="N37" i="158"/>
  <c r="L37" i="158"/>
  <c r="J37" i="158"/>
  <c r="H37" i="158"/>
  <c r="F37" i="158"/>
  <c r="D37" i="158"/>
  <c r="X36" i="158"/>
  <c r="V36" i="158"/>
  <c r="T36" i="158"/>
  <c r="R36" i="158"/>
  <c r="P36" i="158"/>
  <c r="N36" i="158"/>
  <c r="L36" i="158"/>
  <c r="J36" i="158"/>
  <c r="H36" i="158"/>
  <c r="F36" i="158"/>
  <c r="D36" i="158"/>
  <c r="X35" i="158"/>
  <c r="V35" i="158"/>
  <c r="T35" i="158"/>
  <c r="R35" i="158"/>
  <c r="P35" i="158"/>
  <c r="N35" i="158"/>
  <c r="L35" i="158"/>
  <c r="J35" i="158"/>
  <c r="H35" i="158"/>
  <c r="F35" i="158"/>
  <c r="D35" i="158"/>
  <c r="X34" i="158"/>
  <c r="V34" i="158"/>
  <c r="T34" i="158"/>
  <c r="R34" i="158"/>
  <c r="P34" i="158"/>
  <c r="N34" i="158"/>
  <c r="L34" i="158"/>
  <c r="J34" i="158"/>
  <c r="H34" i="158"/>
  <c r="F34" i="158"/>
  <c r="D34" i="158"/>
  <c r="X33" i="158"/>
  <c r="V33" i="158"/>
  <c r="T33" i="158"/>
  <c r="R33" i="158"/>
  <c r="P33" i="158"/>
  <c r="N33" i="158"/>
  <c r="L33" i="158"/>
  <c r="J33" i="158"/>
  <c r="H33" i="158"/>
  <c r="F33" i="158"/>
  <c r="D33" i="158"/>
  <c r="X32" i="158"/>
  <c r="V32" i="158"/>
  <c r="T32" i="158"/>
  <c r="R32" i="158"/>
  <c r="P32" i="158"/>
  <c r="N32" i="158"/>
  <c r="L32" i="158"/>
  <c r="J32" i="158"/>
  <c r="H32" i="158"/>
  <c r="F32" i="158"/>
  <c r="D32" i="158"/>
  <c r="X31" i="158"/>
  <c r="V31" i="158"/>
  <c r="T31" i="158"/>
  <c r="R31" i="158"/>
  <c r="P31" i="158"/>
  <c r="N31" i="158"/>
  <c r="L31" i="158"/>
  <c r="J31" i="158"/>
  <c r="H31" i="158"/>
  <c r="F31" i="158"/>
  <c r="D31" i="158"/>
  <c r="X30" i="158"/>
  <c r="V30" i="158"/>
  <c r="T30" i="158"/>
  <c r="R30" i="158"/>
  <c r="P30" i="158"/>
  <c r="N30" i="158"/>
  <c r="L30" i="158"/>
  <c r="J30" i="158"/>
  <c r="H30" i="158"/>
  <c r="F30" i="158"/>
  <c r="D30" i="158"/>
  <c r="X29" i="158"/>
  <c r="V29" i="158"/>
  <c r="T29" i="158"/>
  <c r="R29" i="158"/>
  <c r="P29" i="158"/>
  <c r="N29" i="158"/>
  <c r="L29" i="158"/>
  <c r="J29" i="158"/>
  <c r="H29" i="158"/>
  <c r="F29" i="158"/>
  <c r="D29" i="158"/>
  <c r="X28" i="158"/>
  <c r="V28" i="158"/>
  <c r="T28" i="158"/>
  <c r="R28" i="158"/>
  <c r="P28" i="158"/>
  <c r="N28" i="158"/>
  <c r="L28" i="158"/>
  <c r="J28" i="158"/>
  <c r="H28" i="158"/>
  <c r="F28" i="158"/>
  <c r="D28" i="158"/>
  <c r="X27" i="158"/>
  <c r="V27" i="158"/>
  <c r="T27" i="158"/>
  <c r="R27" i="158"/>
  <c r="P27" i="158"/>
  <c r="N27" i="158"/>
  <c r="L27" i="158"/>
  <c r="J27" i="158"/>
  <c r="H27" i="158"/>
  <c r="F27" i="158"/>
  <c r="D27" i="158"/>
  <c r="X26" i="158"/>
  <c r="V26" i="158"/>
  <c r="T26" i="158"/>
  <c r="R26" i="158"/>
  <c r="P26" i="158"/>
  <c r="N26" i="158"/>
  <c r="L26" i="158"/>
  <c r="J26" i="158"/>
  <c r="H26" i="158"/>
  <c r="F26" i="158"/>
  <c r="D26" i="158"/>
  <c r="X25" i="158"/>
  <c r="V25" i="158"/>
  <c r="T25" i="158"/>
  <c r="R25" i="158"/>
  <c r="P25" i="158"/>
  <c r="N25" i="158"/>
  <c r="L25" i="158"/>
  <c r="J25" i="158"/>
  <c r="H25" i="158"/>
  <c r="F25" i="158"/>
  <c r="D25" i="158"/>
  <c r="X24" i="158"/>
  <c r="V24" i="158"/>
  <c r="T24" i="158"/>
  <c r="R24" i="158"/>
  <c r="P24" i="158"/>
  <c r="N24" i="158"/>
  <c r="L24" i="158"/>
  <c r="J24" i="158"/>
  <c r="H24" i="158"/>
  <c r="F24" i="158"/>
  <c r="D24" i="158"/>
  <c r="X23" i="158"/>
  <c r="V23" i="158"/>
  <c r="T23" i="158"/>
  <c r="R23" i="158"/>
  <c r="P23" i="158"/>
  <c r="N23" i="158"/>
  <c r="L23" i="158"/>
  <c r="J23" i="158"/>
  <c r="H23" i="158"/>
  <c r="F23" i="158"/>
  <c r="D23" i="158"/>
  <c r="X22" i="158"/>
  <c r="V22" i="158"/>
  <c r="T22" i="158"/>
  <c r="R22" i="158"/>
  <c r="P22" i="158"/>
  <c r="N22" i="158"/>
  <c r="L22" i="158"/>
  <c r="J22" i="158"/>
  <c r="H22" i="158"/>
  <c r="F22" i="158"/>
  <c r="D22" i="158"/>
  <c r="X21" i="158"/>
  <c r="V21" i="158"/>
  <c r="T21" i="158"/>
  <c r="R21" i="158"/>
  <c r="P21" i="158"/>
  <c r="N21" i="158"/>
  <c r="L21" i="158"/>
  <c r="J21" i="158"/>
  <c r="H21" i="158"/>
  <c r="F21" i="158"/>
  <c r="D21" i="158"/>
  <c r="X20" i="158"/>
  <c r="V20" i="158"/>
  <c r="T20" i="158"/>
  <c r="R20" i="158"/>
  <c r="P20" i="158"/>
  <c r="N20" i="158"/>
  <c r="L20" i="158"/>
  <c r="J20" i="158"/>
  <c r="H20" i="158"/>
  <c r="F20" i="158"/>
  <c r="D20" i="158"/>
  <c r="X19" i="158"/>
  <c r="V19" i="158"/>
  <c r="T19" i="158"/>
  <c r="R19" i="158"/>
  <c r="P19" i="158"/>
  <c r="N19" i="158"/>
  <c r="L19" i="158"/>
  <c r="J19" i="158"/>
  <c r="H19" i="158"/>
  <c r="F19" i="158"/>
  <c r="D19" i="158"/>
  <c r="X18" i="158"/>
  <c r="V18" i="158"/>
  <c r="T18" i="158"/>
  <c r="R18" i="158"/>
  <c r="P18" i="158"/>
  <c r="N18" i="158"/>
  <c r="L18" i="158"/>
  <c r="J18" i="158"/>
  <c r="H18" i="158"/>
  <c r="F18" i="158"/>
  <c r="D18" i="158"/>
  <c r="X17" i="158"/>
  <c r="V17" i="158"/>
  <c r="T17" i="158"/>
  <c r="R17" i="158"/>
  <c r="P17" i="158"/>
  <c r="N17" i="158"/>
  <c r="L17" i="158"/>
  <c r="J17" i="158"/>
  <c r="H17" i="158"/>
  <c r="F17" i="158"/>
  <c r="D17" i="158"/>
  <c r="X16" i="158"/>
  <c r="V16" i="158"/>
  <c r="T16" i="158"/>
  <c r="R16" i="158"/>
  <c r="P16" i="158"/>
  <c r="N16" i="158"/>
  <c r="L16" i="158"/>
  <c r="J16" i="158"/>
  <c r="H16" i="158"/>
  <c r="F16" i="158"/>
  <c r="D16" i="158"/>
  <c r="X15" i="158"/>
  <c r="V15" i="158"/>
  <c r="T15" i="158"/>
  <c r="R15" i="158"/>
  <c r="P15" i="158"/>
  <c r="N15" i="158"/>
  <c r="L15" i="158"/>
  <c r="J15" i="158"/>
  <c r="H15" i="158"/>
  <c r="F15" i="158"/>
  <c r="D15" i="158"/>
  <c r="X14" i="158"/>
  <c r="V14" i="158"/>
  <c r="T14" i="158"/>
  <c r="R14" i="158"/>
  <c r="P14" i="158"/>
  <c r="N14" i="158"/>
  <c r="L14" i="158"/>
  <c r="J14" i="158"/>
  <c r="H14" i="158"/>
  <c r="F14" i="158"/>
  <c r="D14" i="158"/>
  <c r="X13" i="158"/>
  <c r="V13" i="158"/>
  <c r="T13" i="158"/>
  <c r="R13" i="158"/>
  <c r="P13" i="158"/>
  <c r="N13" i="158"/>
  <c r="L13" i="158"/>
  <c r="J13" i="158"/>
  <c r="H13" i="158"/>
  <c r="F13" i="158"/>
  <c r="D13" i="158"/>
  <c r="X12" i="158"/>
  <c r="V12" i="158"/>
  <c r="T12" i="158"/>
  <c r="R12" i="158"/>
  <c r="P12" i="158"/>
  <c r="N12" i="158"/>
  <c r="L12" i="158"/>
  <c r="J12" i="158"/>
  <c r="H12" i="158"/>
  <c r="F12" i="158"/>
  <c r="D12" i="158"/>
  <c r="X11" i="158"/>
  <c r="V11" i="158"/>
  <c r="T11" i="158"/>
  <c r="R11" i="158"/>
  <c r="P11" i="158"/>
  <c r="N11" i="158"/>
  <c r="L11" i="158"/>
  <c r="J11" i="158"/>
  <c r="H11" i="158"/>
  <c r="F11" i="158"/>
  <c r="D11" i="158"/>
  <c r="X10" i="158"/>
  <c r="V10" i="158"/>
  <c r="T10" i="158"/>
  <c r="R10" i="158"/>
  <c r="P10" i="158"/>
  <c r="N10" i="158"/>
  <c r="L10" i="158"/>
  <c r="J10" i="158"/>
  <c r="H10" i="158"/>
  <c r="F10" i="158"/>
  <c r="D10" i="158"/>
  <c r="X9" i="158"/>
  <c r="V9" i="158"/>
  <c r="T9" i="158"/>
  <c r="R9" i="158"/>
  <c r="P9" i="158"/>
  <c r="N9" i="158"/>
  <c r="L9" i="158"/>
  <c r="J9" i="158"/>
  <c r="H9" i="158"/>
  <c r="F9" i="158"/>
  <c r="D9" i="158"/>
  <c r="X8" i="158"/>
  <c r="V8" i="158"/>
  <c r="T8" i="158"/>
  <c r="R8" i="158"/>
  <c r="P8" i="158"/>
  <c r="N8" i="158"/>
  <c r="L8" i="158"/>
  <c r="J8" i="158"/>
  <c r="H8" i="158"/>
  <c r="F8" i="158"/>
  <c r="D8" i="158"/>
  <c r="X7" i="158"/>
  <c r="V7" i="158"/>
  <c r="T7" i="158"/>
  <c r="R7" i="158"/>
  <c r="P7" i="158"/>
  <c r="N7" i="158"/>
  <c r="L7" i="158"/>
  <c r="J7" i="158"/>
  <c r="H7" i="158"/>
  <c r="F7" i="158"/>
  <c r="D7" i="158"/>
  <c r="X6" i="158"/>
  <c r="V6" i="158"/>
  <c r="T6" i="158"/>
  <c r="R6" i="158"/>
  <c r="P6" i="158"/>
  <c r="N6" i="158"/>
  <c r="L6" i="158"/>
  <c r="J6" i="158"/>
  <c r="H6" i="158"/>
  <c r="F6" i="158"/>
  <c r="D6" i="158"/>
  <c r="EB18" i="199" l="1"/>
  <c r="DL18" i="199"/>
  <c r="DF18" i="199"/>
  <c r="DK18" i="199"/>
  <c r="DJ18" i="199"/>
  <c r="DM18" i="199"/>
  <c r="DQ18" i="199"/>
  <c r="DX18" i="199"/>
  <c r="T6" i="203"/>
  <c r="T7" i="203"/>
  <c r="V6" i="203"/>
  <c r="V7" i="203"/>
  <c r="R6" i="203"/>
  <c r="R7" i="203"/>
  <c r="P6" i="203"/>
  <c r="P7" i="203"/>
  <c r="N6" i="203"/>
  <c r="J7" i="203"/>
  <c r="N7" i="203"/>
  <c r="L7" i="203"/>
  <c r="H6" i="203"/>
  <c r="L6" i="203"/>
  <c r="F6" i="203"/>
  <c r="J6" i="203"/>
  <c r="D7" i="203"/>
  <c r="H7" i="203"/>
  <c r="F7" i="203"/>
  <c r="D6" i="203"/>
  <c r="D7" i="202"/>
  <c r="H7" i="202"/>
  <c r="L7" i="202"/>
  <c r="P7" i="202"/>
  <c r="T7" i="202"/>
  <c r="V5" i="203"/>
  <c r="CN18" i="199"/>
  <c r="CM18" i="199"/>
  <c r="N5" i="203"/>
  <c r="H5" i="203"/>
  <c r="P5" i="203"/>
  <c r="T5" i="203"/>
  <c r="L5" i="203"/>
  <c r="D5" i="203"/>
  <c r="V7" i="202"/>
  <c r="F5" i="203"/>
  <c r="R5" i="203"/>
  <c r="J5" i="203"/>
  <c r="R6" i="202"/>
  <c r="V6" i="202"/>
  <c r="P6" i="202"/>
  <c r="T6" i="202"/>
  <c r="N7" i="202"/>
  <c r="R7" i="202"/>
  <c r="CL18" i="199"/>
  <c r="N6" i="202"/>
  <c r="F7" i="202"/>
  <c r="J7" i="202"/>
  <c r="D6" i="202"/>
  <c r="H6" i="202"/>
  <c r="L6" i="202"/>
  <c r="J6" i="202"/>
  <c r="CU18" i="199"/>
  <c r="CT18" i="199"/>
  <c r="F6" i="202"/>
  <c r="T5" i="202"/>
  <c r="DB18" i="199"/>
  <c r="BL18" i="199"/>
  <c r="CS18" i="199"/>
  <c r="BP18" i="199"/>
  <c r="BN18" i="199"/>
  <c r="CB18" i="199"/>
  <c r="BB18" i="199"/>
  <c r="CO18" i="199"/>
  <c r="BT18" i="199"/>
  <c r="BJ18" i="199"/>
  <c r="AV18" i="199"/>
  <c r="BW18" i="199"/>
  <c r="CA18" i="199"/>
  <c r="N5" i="202"/>
  <c r="BU18" i="199"/>
  <c r="CH18" i="199"/>
  <c r="V5" i="202"/>
  <c r="CE18" i="199"/>
  <c r="BR18" i="199"/>
  <c r="CJ18" i="199"/>
  <c r="CD18" i="199"/>
  <c r="H5" i="202"/>
  <c r="BC18" i="199"/>
  <c r="X18" i="199"/>
  <c r="AY18" i="199"/>
  <c r="CI18" i="199"/>
  <c r="CP18" i="199"/>
  <c r="F5" i="202"/>
  <c r="L5" i="202"/>
  <c r="CR18" i="199"/>
  <c r="P5" i="202"/>
  <c r="BK18" i="199"/>
  <c r="CC18" i="199"/>
  <c r="CW18" i="199"/>
  <c r="AX18" i="199"/>
  <c r="BX18" i="199"/>
  <c r="CG18" i="199"/>
  <c r="BQ18" i="199"/>
  <c r="D5" i="202"/>
  <c r="R5" i="202"/>
  <c r="CQ18" i="199"/>
  <c r="AP18" i="199"/>
  <c r="AZ18" i="199"/>
  <c r="J5" i="202"/>
  <c r="BM18" i="199"/>
  <c r="BH18" i="199"/>
  <c r="CF18" i="199"/>
  <c r="DT18" i="199"/>
  <c r="DS18" i="199"/>
  <c r="BY18" i="199"/>
  <c r="BF18" i="199"/>
  <c r="BV18" i="199"/>
  <c r="AN18" i="199"/>
  <c r="BI18" i="199"/>
  <c r="AT18" i="199"/>
  <c r="AW18" i="199"/>
  <c r="BE18" i="199"/>
  <c r="BS18" i="199"/>
  <c r="BG18" i="199"/>
  <c r="AC18" i="199"/>
  <c r="AG18" i="199"/>
  <c r="BA18" i="199"/>
  <c r="Z18" i="199"/>
  <c r="AQ18" i="199"/>
  <c r="AL18" i="199"/>
  <c r="O18" i="199"/>
  <c r="AK18" i="199"/>
  <c r="AJ18" i="199"/>
  <c r="AR18" i="199"/>
  <c r="J18" i="199"/>
  <c r="U18" i="199"/>
  <c r="P18" i="199"/>
  <c r="AE18" i="199"/>
  <c r="AM18" i="199"/>
  <c r="V18" i="199"/>
  <c r="AU18" i="199"/>
  <c r="AA18" i="199"/>
  <c r="AO18" i="199"/>
  <c r="N18" i="199"/>
  <c r="AI18" i="199"/>
  <c r="I18" i="199"/>
  <c r="AB18" i="199"/>
  <c r="AF18" i="199"/>
  <c r="AD18" i="199"/>
  <c r="R18" i="199"/>
  <c r="Y18" i="199"/>
  <c r="H18" i="199"/>
  <c r="T18" i="199"/>
  <c r="S18" i="199"/>
  <c r="E18" i="199"/>
  <c r="M18" i="199"/>
  <c r="Q18" i="199"/>
  <c r="F18" i="199"/>
  <c r="C18" i="199"/>
  <c r="K18" i="199"/>
  <c r="D18" i="199"/>
  <c r="Y8" i="38"/>
  <c r="Y39" i="38"/>
  <c r="Y29" i="38"/>
  <c r="Y24" i="38"/>
  <c r="Y18" i="38"/>
  <c r="Y12" i="38"/>
  <c r="Y6" i="38"/>
  <c r="Y3" i="38"/>
  <c r="Y28" i="38"/>
  <c r="Y25" i="38"/>
  <c r="Y19" i="38"/>
  <c r="Y13" i="38"/>
  <c r="Y7" i="38"/>
  <c r="Y36" i="38"/>
  <c r="Y33" i="38"/>
  <c r="Y23" i="38"/>
  <c r="Y17" i="38"/>
  <c r="Y11" i="38"/>
  <c r="Y5" i="38"/>
  <c r="Y37" i="38"/>
  <c r="Y38" i="38"/>
  <c r="Y22" i="38"/>
  <c r="Y16" i="38"/>
  <c r="Y10" i="38"/>
  <c r="Y4" i="38"/>
  <c r="Y35" i="38"/>
  <c r="Y30" i="38"/>
  <c r="Y2" i="38"/>
  <c r="Y27" i="38"/>
  <c r="Y21" i="38"/>
  <c r="Y15" i="38"/>
  <c r="Y9" i="38"/>
  <c r="Y34" i="38"/>
  <c r="Y31" i="38"/>
  <c r="Y32" i="38"/>
  <c r="Y26" i="38"/>
  <c r="Y20" i="38"/>
  <c r="Y14" i="38"/>
  <c r="X3" i="38"/>
  <c r="X28" i="38"/>
  <c r="X25" i="38"/>
  <c r="X19" i="38"/>
  <c r="X13" i="38"/>
  <c r="X7" i="38"/>
  <c r="X39" i="38"/>
  <c r="X29" i="38"/>
  <c r="X24" i="38"/>
  <c r="X18" i="38"/>
  <c r="X12" i="38"/>
  <c r="X6" i="38"/>
  <c r="X36" i="38"/>
  <c r="X8" i="38"/>
  <c r="X33" i="38"/>
  <c r="X23" i="38"/>
  <c r="X17" i="38"/>
  <c r="X11" i="38"/>
  <c r="X5" i="38"/>
  <c r="X37" i="38"/>
  <c r="X38" i="38"/>
  <c r="X22" i="38"/>
  <c r="X16" i="38"/>
  <c r="X10" i="38"/>
  <c r="X4" i="38"/>
  <c r="X35" i="38"/>
  <c r="X30" i="38"/>
  <c r="X2" i="38"/>
  <c r="X27" i="38"/>
  <c r="X21" i="38"/>
  <c r="X15" i="38"/>
  <c r="X9" i="38"/>
  <c r="X34" i="38"/>
  <c r="X31" i="38"/>
  <c r="X32" i="38"/>
  <c r="X26" i="38"/>
  <c r="X20" i="38"/>
  <c r="X14" i="38"/>
  <c r="I56" i="158"/>
  <c r="O56" i="158"/>
  <c r="Q56" i="158"/>
  <c r="S56" i="158"/>
  <c r="M56" i="158"/>
  <c r="U56" i="158"/>
  <c r="G56" i="158"/>
  <c r="C5" i="118"/>
  <c r="C56" i="158"/>
  <c r="L6" i="118"/>
  <c r="L7" i="118"/>
  <c r="L8" i="118"/>
  <c r="L9" i="118"/>
  <c r="L10" i="118"/>
  <c r="L11" i="118"/>
  <c r="L12" i="118"/>
  <c r="L13" i="118"/>
  <c r="L14" i="118"/>
  <c r="L15" i="118"/>
  <c r="L16" i="118"/>
  <c r="L17" i="118"/>
  <c r="L18" i="118"/>
  <c r="L19" i="118"/>
  <c r="L20" i="118"/>
  <c r="L21" i="118"/>
  <c r="L22" i="118"/>
  <c r="L23" i="118"/>
  <c r="L24" i="118"/>
  <c r="L25" i="118"/>
  <c r="L26" i="118"/>
  <c r="L27" i="118"/>
  <c r="L28" i="118"/>
  <c r="L29" i="118"/>
  <c r="L30" i="118"/>
  <c r="L31" i="118"/>
  <c r="L32" i="118"/>
  <c r="L33" i="118"/>
  <c r="L34" i="118"/>
  <c r="L35" i="118"/>
  <c r="L36" i="118"/>
  <c r="L37" i="118"/>
  <c r="L38" i="118"/>
  <c r="L39" i="118"/>
  <c r="L40" i="118"/>
  <c r="L41" i="118"/>
  <c r="L42" i="118"/>
  <c r="L43" i="118"/>
  <c r="L44" i="118"/>
  <c r="L45" i="118"/>
  <c r="L46" i="118"/>
  <c r="L47" i="118"/>
  <c r="L48" i="118"/>
  <c r="L49" i="118"/>
  <c r="L50" i="118"/>
  <c r="L51" i="118"/>
  <c r="L52" i="118"/>
  <c r="L53" i="118"/>
  <c r="L54" i="118"/>
  <c r="X54" i="118"/>
  <c r="X53" i="118"/>
  <c r="X52" i="118"/>
  <c r="X51" i="118"/>
  <c r="X50" i="118"/>
  <c r="X49" i="118"/>
  <c r="X48" i="118"/>
  <c r="X47" i="118"/>
  <c r="X46" i="118"/>
  <c r="X45" i="118"/>
  <c r="X44" i="118"/>
  <c r="X43" i="118"/>
  <c r="X42" i="118"/>
  <c r="X41" i="118"/>
  <c r="X40" i="118"/>
  <c r="X39" i="118"/>
  <c r="X38" i="118"/>
  <c r="X37" i="118"/>
  <c r="X36" i="118"/>
  <c r="X35" i="118"/>
  <c r="X34" i="118"/>
  <c r="X33" i="118"/>
  <c r="X32" i="118"/>
  <c r="X31" i="118"/>
  <c r="X30" i="118"/>
  <c r="X29" i="118"/>
  <c r="X28" i="118"/>
  <c r="X27" i="118"/>
  <c r="X26" i="118"/>
  <c r="X25" i="118"/>
  <c r="X24" i="118"/>
  <c r="X23" i="118"/>
  <c r="X22" i="118"/>
  <c r="X21" i="118"/>
  <c r="X20" i="118"/>
  <c r="X19" i="118"/>
  <c r="X18" i="118"/>
  <c r="X17" i="118"/>
  <c r="X16" i="118"/>
  <c r="X15" i="118"/>
  <c r="X14" i="118"/>
  <c r="X13" i="118"/>
  <c r="X12" i="118"/>
  <c r="X11" i="118"/>
  <c r="X10" i="118"/>
  <c r="X9" i="118"/>
  <c r="X8" i="118"/>
  <c r="X7" i="118"/>
  <c r="X6" i="118"/>
  <c r="V54" i="118"/>
  <c r="V53" i="118"/>
  <c r="V52" i="118"/>
  <c r="V51" i="118"/>
  <c r="V50" i="118"/>
  <c r="V49" i="118"/>
  <c r="V48" i="118"/>
  <c r="V47" i="118"/>
  <c r="V46" i="118"/>
  <c r="V45" i="118"/>
  <c r="V44" i="118"/>
  <c r="V43" i="118"/>
  <c r="V42" i="118"/>
  <c r="V41" i="118"/>
  <c r="V40" i="118"/>
  <c r="V39" i="118"/>
  <c r="V38" i="118"/>
  <c r="V37" i="118"/>
  <c r="V36" i="118"/>
  <c r="V35" i="118"/>
  <c r="V34" i="118"/>
  <c r="V33" i="118"/>
  <c r="V32" i="118"/>
  <c r="V31" i="118"/>
  <c r="V30" i="118"/>
  <c r="V29" i="118"/>
  <c r="V28" i="118"/>
  <c r="V27" i="118"/>
  <c r="V26" i="118"/>
  <c r="V25" i="118"/>
  <c r="V24" i="118"/>
  <c r="V23" i="118"/>
  <c r="V22" i="118"/>
  <c r="V21" i="118"/>
  <c r="V20" i="118"/>
  <c r="V19" i="118"/>
  <c r="V18" i="118"/>
  <c r="V17" i="118"/>
  <c r="V16" i="118"/>
  <c r="V15" i="118"/>
  <c r="V14" i="118"/>
  <c r="V13" i="118"/>
  <c r="V12" i="118"/>
  <c r="V11" i="118"/>
  <c r="V10" i="118"/>
  <c r="V9" i="118"/>
  <c r="V8" i="118"/>
  <c r="V7" i="118"/>
  <c r="V6" i="118"/>
  <c r="T54" i="118"/>
  <c r="T53" i="118"/>
  <c r="T52" i="118"/>
  <c r="T51" i="118"/>
  <c r="T50" i="118"/>
  <c r="T49" i="118"/>
  <c r="T48" i="118"/>
  <c r="T47" i="118"/>
  <c r="T46" i="118"/>
  <c r="T45" i="118"/>
  <c r="T44" i="118"/>
  <c r="T43" i="118"/>
  <c r="T42" i="118"/>
  <c r="T41" i="118"/>
  <c r="T40" i="118"/>
  <c r="T39" i="118"/>
  <c r="T38" i="118"/>
  <c r="T37" i="118"/>
  <c r="T36" i="118"/>
  <c r="T35" i="118"/>
  <c r="T34" i="118"/>
  <c r="T33" i="118"/>
  <c r="T32" i="118"/>
  <c r="T31" i="118"/>
  <c r="T30" i="118"/>
  <c r="T29" i="118"/>
  <c r="T28" i="118"/>
  <c r="T27" i="118"/>
  <c r="T26" i="118"/>
  <c r="T25" i="118"/>
  <c r="T24" i="118"/>
  <c r="T23" i="118"/>
  <c r="T22" i="118"/>
  <c r="T21" i="118"/>
  <c r="T20" i="118"/>
  <c r="T19" i="118"/>
  <c r="T18" i="118"/>
  <c r="T17" i="118"/>
  <c r="T16" i="118"/>
  <c r="T15" i="118"/>
  <c r="T14" i="118"/>
  <c r="T13" i="118"/>
  <c r="T12" i="118"/>
  <c r="T11" i="118"/>
  <c r="T10" i="118"/>
  <c r="T9" i="118"/>
  <c r="T8" i="118"/>
  <c r="T7" i="118"/>
  <c r="T6" i="118"/>
  <c r="R54" i="118"/>
  <c r="R53" i="118"/>
  <c r="R52" i="118"/>
  <c r="R51" i="118"/>
  <c r="R50" i="118"/>
  <c r="R49" i="118"/>
  <c r="R48" i="118"/>
  <c r="R47" i="118"/>
  <c r="R46" i="118"/>
  <c r="R45" i="118"/>
  <c r="R44" i="118"/>
  <c r="R43" i="118"/>
  <c r="R42" i="118"/>
  <c r="R41" i="118"/>
  <c r="R40" i="118"/>
  <c r="R39" i="118"/>
  <c r="R38" i="118"/>
  <c r="R37" i="118"/>
  <c r="R36" i="118"/>
  <c r="R35" i="118"/>
  <c r="R34" i="118"/>
  <c r="R33" i="118"/>
  <c r="R32" i="118"/>
  <c r="R31" i="118"/>
  <c r="R30" i="118"/>
  <c r="R29" i="118"/>
  <c r="R28" i="118"/>
  <c r="R27" i="118"/>
  <c r="R26" i="118"/>
  <c r="R25" i="118"/>
  <c r="R24" i="118"/>
  <c r="R23" i="118"/>
  <c r="R22" i="118"/>
  <c r="R21" i="118"/>
  <c r="R20" i="118"/>
  <c r="R19" i="118"/>
  <c r="R18" i="118"/>
  <c r="R17" i="118"/>
  <c r="R16" i="118"/>
  <c r="R15" i="118"/>
  <c r="R14" i="118"/>
  <c r="R13" i="118"/>
  <c r="R12" i="118"/>
  <c r="R11" i="118"/>
  <c r="R10" i="118"/>
  <c r="R9" i="118"/>
  <c r="R8" i="118"/>
  <c r="R7" i="118"/>
  <c r="R6" i="118"/>
  <c r="P54" i="118"/>
  <c r="P53" i="118"/>
  <c r="P52" i="118"/>
  <c r="P51" i="118"/>
  <c r="P50" i="118"/>
  <c r="P49" i="118"/>
  <c r="P48" i="118"/>
  <c r="P47" i="118"/>
  <c r="P46" i="118"/>
  <c r="P45" i="118"/>
  <c r="P44" i="118"/>
  <c r="P43" i="118"/>
  <c r="P42" i="118"/>
  <c r="P41" i="118"/>
  <c r="P40" i="118"/>
  <c r="P39" i="118"/>
  <c r="P38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P24" i="118"/>
  <c r="P23" i="118"/>
  <c r="P22" i="118"/>
  <c r="P21" i="118"/>
  <c r="P20" i="118"/>
  <c r="P19" i="118"/>
  <c r="P18" i="118"/>
  <c r="P17" i="118"/>
  <c r="P16" i="118"/>
  <c r="P15" i="118"/>
  <c r="P14" i="118"/>
  <c r="P13" i="118"/>
  <c r="P12" i="118"/>
  <c r="P11" i="118"/>
  <c r="P10" i="118"/>
  <c r="P9" i="118"/>
  <c r="P8" i="118"/>
  <c r="P7" i="118"/>
  <c r="P6" i="118"/>
  <c r="N54" i="118"/>
  <c r="N53" i="118"/>
  <c r="N52" i="118"/>
  <c r="N51" i="118"/>
  <c r="N50" i="118"/>
  <c r="N49" i="118"/>
  <c r="N48" i="118"/>
  <c r="N47" i="118"/>
  <c r="N46" i="118"/>
  <c r="N45" i="118"/>
  <c r="N44" i="118"/>
  <c r="N43" i="118"/>
  <c r="N42" i="118"/>
  <c r="N41" i="118"/>
  <c r="N40" i="118"/>
  <c r="N39" i="118"/>
  <c r="N38" i="118"/>
  <c r="N37" i="118"/>
  <c r="N36" i="118"/>
  <c r="N35" i="118"/>
  <c r="N34" i="118"/>
  <c r="N33" i="118"/>
  <c r="N32" i="118"/>
  <c r="N31" i="118"/>
  <c r="N30" i="118"/>
  <c r="N29" i="118"/>
  <c r="N28" i="118"/>
  <c r="N27" i="118"/>
  <c r="N26" i="118"/>
  <c r="N25" i="118"/>
  <c r="N24" i="118"/>
  <c r="N23" i="118"/>
  <c r="N22" i="118"/>
  <c r="N21" i="118"/>
  <c r="N20" i="118"/>
  <c r="N19" i="118"/>
  <c r="N18" i="118"/>
  <c r="N17" i="118"/>
  <c r="N16" i="118"/>
  <c r="N15" i="118"/>
  <c r="N14" i="118"/>
  <c r="N13" i="118"/>
  <c r="N12" i="118"/>
  <c r="N11" i="118"/>
  <c r="N10" i="118"/>
  <c r="N9" i="118"/>
  <c r="N8" i="118"/>
  <c r="N7" i="118"/>
  <c r="N6" i="118"/>
  <c r="J54" i="118"/>
  <c r="J53" i="118"/>
  <c r="J52" i="118"/>
  <c r="J51" i="118"/>
  <c r="J50" i="118"/>
  <c r="J49" i="118"/>
  <c r="J48" i="118"/>
  <c r="J47" i="118"/>
  <c r="J46" i="118"/>
  <c r="J45" i="118"/>
  <c r="J44" i="118"/>
  <c r="J43" i="118"/>
  <c r="J42" i="118"/>
  <c r="J41" i="118"/>
  <c r="J40" i="118"/>
  <c r="J39" i="118"/>
  <c r="J38" i="118"/>
  <c r="J37" i="118"/>
  <c r="J34" i="118"/>
  <c r="J33" i="118"/>
  <c r="J32" i="118"/>
  <c r="J31" i="118"/>
  <c r="J30" i="118"/>
  <c r="J29" i="118"/>
  <c r="J28" i="118"/>
  <c r="J27" i="118"/>
  <c r="J26" i="118"/>
  <c r="J25" i="118"/>
  <c r="J24" i="118"/>
  <c r="J23" i="118"/>
  <c r="J22" i="118"/>
  <c r="J21" i="118"/>
  <c r="J20" i="118"/>
  <c r="J7" i="118"/>
  <c r="J6" i="118"/>
  <c r="F54" i="118"/>
  <c r="F53" i="118"/>
  <c r="F52" i="118"/>
  <c r="F51" i="118"/>
  <c r="F50" i="118"/>
  <c r="F49" i="118"/>
  <c r="F48" i="118"/>
  <c r="F47" i="118"/>
  <c r="F46" i="118"/>
  <c r="F45" i="118"/>
  <c r="F44" i="118"/>
  <c r="F43" i="118"/>
  <c r="F42" i="118"/>
  <c r="F41" i="118"/>
  <c r="F40" i="118"/>
  <c r="F39" i="118"/>
  <c r="F38" i="118"/>
  <c r="F37" i="118"/>
  <c r="F34" i="118"/>
  <c r="F33" i="118"/>
  <c r="F32" i="118"/>
  <c r="F31" i="118"/>
  <c r="F30" i="118"/>
  <c r="F29" i="118"/>
  <c r="F28" i="118"/>
  <c r="F27" i="118"/>
  <c r="F26" i="118"/>
  <c r="F25" i="118"/>
  <c r="F24" i="118"/>
  <c r="F23" i="118"/>
  <c r="F22" i="118"/>
  <c r="F21" i="118"/>
  <c r="F20" i="118"/>
  <c r="F19" i="118"/>
  <c r="F18" i="118"/>
  <c r="F17" i="118"/>
  <c r="F16" i="118"/>
  <c r="F15" i="118"/>
  <c r="F14" i="118"/>
  <c r="F13" i="118"/>
  <c r="F12" i="118"/>
  <c r="F11" i="118"/>
  <c r="F10" i="118"/>
  <c r="F9" i="118"/>
  <c r="F8" i="118"/>
  <c r="F7" i="118"/>
  <c r="F6" i="118"/>
  <c r="D54" i="118"/>
  <c r="D53" i="118"/>
  <c r="D52" i="118"/>
  <c r="D51" i="118"/>
  <c r="D50" i="118"/>
  <c r="D49" i="118"/>
  <c r="D48" i="118"/>
  <c r="D47" i="118"/>
  <c r="D46" i="118"/>
  <c r="D45" i="118"/>
  <c r="D44" i="118"/>
  <c r="D43" i="118"/>
  <c r="D42" i="118"/>
  <c r="D41" i="118"/>
  <c r="D40" i="118"/>
  <c r="D39" i="118"/>
  <c r="D38" i="118"/>
  <c r="D37" i="118"/>
  <c r="D34" i="118"/>
  <c r="D33" i="118"/>
  <c r="D32" i="118"/>
  <c r="D31" i="118"/>
  <c r="D30" i="118"/>
  <c r="D29" i="118"/>
  <c r="D28" i="118"/>
  <c r="D27" i="118"/>
  <c r="D26" i="118"/>
  <c r="D25" i="118"/>
  <c r="D24" i="118"/>
  <c r="D23" i="118"/>
  <c r="D22" i="118"/>
  <c r="D21" i="118"/>
  <c r="D20" i="118"/>
  <c r="D19" i="118"/>
  <c r="D18" i="118"/>
  <c r="D17" i="118"/>
  <c r="D16" i="118"/>
  <c r="D15" i="118"/>
  <c r="D14" i="118"/>
  <c r="D13" i="118"/>
  <c r="D12" i="118"/>
  <c r="D11" i="118"/>
  <c r="D10" i="118"/>
  <c r="D9" i="118"/>
  <c r="D8" i="118"/>
  <c r="D7" i="118"/>
  <c r="D6" i="118"/>
  <c r="H6" i="118"/>
  <c r="H7" i="118"/>
  <c r="H20" i="118"/>
  <c r="H21" i="118"/>
  <c r="H22" i="118"/>
  <c r="H23" i="118"/>
  <c r="H24" i="118"/>
  <c r="H25" i="118"/>
  <c r="H26" i="118"/>
  <c r="H27" i="118"/>
  <c r="H28" i="118"/>
  <c r="H29" i="118"/>
  <c r="H30" i="118"/>
  <c r="H31" i="118"/>
  <c r="H32" i="118"/>
  <c r="H33" i="118"/>
  <c r="H34" i="118"/>
  <c r="H37" i="118"/>
  <c r="H38" i="118"/>
  <c r="H39" i="118"/>
  <c r="H40" i="118"/>
  <c r="H41" i="118"/>
  <c r="H42" i="118"/>
  <c r="H43" i="118"/>
  <c r="H44" i="118"/>
  <c r="H45" i="118"/>
  <c r="H46" i="118"/>
  <c r="H47" i="118"/>
  <c r="H48" i="118"/>
  <c r="H49" i="118"/>
  <c r="H50" i="118"/>
  <c r="H51" i="118"/>
  <c r="H52" i="118"/>
  <c r="H53" i="118"/>
  <c r="H54" i="118"/>
  <c r="Y7" i="203" l="1"/>
  <c r="X7" i="203" s="1"/>
  <c r="Y6" i="203"/>
  <c r="X6" i="203" s="1"/>
  <c r="Y7" i="202"/>
  <c r="X7" i="202" s="1"/>
  <c r="Y6" i="202"/>
  <c r="X6" i="202" s="1"/>
  <c r="Y5" i="203"/>
  <c r="X5" i="203" s="1"/>
  <c r="Y5" i="202"/>
  <c r="X5" i="202" s="1"/>
  <c r="E5" i="158"/>
  <c r="I5" i="158"/>
  <c r="C5" i="158"/>
  <c r="M5" i="158"/>
  <c r="G5" i="158"/>
  <c r="O5" i="158"/>
  <c r="Q5" i="158"/>
  <c r="S5" i="158"/>
  <c r="U5" i="158"/>
  <c r="W5" i="158"/>
  <c r="Y5" i="158"/>
  <c r="K5" i="158"/>
  <c r="Y56" i="118"/>
  <c r="W56" i="118"/>
  <c r="D5" i="158" l="1"/>
  <c r="R5" i="158"/>
  <c r="H5" i="158"/>
  <c r="T5" i="158"/>
  <c r="F5" i="158"/>
  <c r="L5" i="158"/>
  <c r="P5" i="158"/>
  <c r="N5" i="158"/>
  <c r="V5" i="158"/>
  <c r="X5" i="158"/>
  <c r="J5" i="158"/>
  <c r="E5" i="118"/>
  <c r="K56" i="118"/>
  <c r="G56" i="118"/>
  <c r="Q56" i="118"/>
  <c r="J36" i="118"/>
  <c r="W5" i="118"/>
  <c r="U5" i="118"/>
  <c r="Y5" i="118"/>
  <c r="J35" i="118"/>
  <c r="C56" i="118"/>
  <c r="U56" i="118"/>
  <c r="O56" i="118"/>
  <c r="E56" i="118"/>
  <c r="M56" i="118"/>
  <c r="S56" i="118"/>
  <c r="I56" i="118"/>
  <c r="H16" i="118" l="1"/>
  <c r="J16" i="118"/>
  <c r="J17" i="118"/>
  <c r="H17" i="118"/>
  <c r="H18" i="118"/>
  <c r="J18" i="118"/>
  <c r="J15" i="118"/>
  <c r="H15" i="118"/>
  <c r="H19" i="118"/>
  <c r="J19" i="118"/>
  <c r="H14" i="118"/>
  <c r="J14" i="118"/>
  <c r="X5" i="118"/>
  <c r="V5" i="118"/>
  <c r="F36" i="118"/>
  <c r="D35" i="118"/>
  <c r="F35" i="118"/>
  <c r="D36" i="118"/>
  <c r="H35" i="118"/>
  <c r="H36" i="118"/>
  <c r="I5" i="118"/>
  <c r="K5" i="118"/>
  <c r="G5" i="118"/>
  <c r="M5" i="118"/>
  <c r="O5" i="118"/>
  <c r="S5" i="118"/>
  <c r="T5" i="118" s="1"/>
  <c r="Q5" i="118"/>
  <c r="DX16" i="14"/>
  <c r="DS16" i="14"/>
  <c r="DM16" i="14"/>
  <c r="DH16" i="14"/>
  <c r="DB16" i="14"/>
  <c r="CW16" i="14"/>
  <c r="H8" i="118" l="1"/>
  <c r="J8" i="118"/>
  <c r="H9" i="118"/>
  <c r="J9" i="118"/>
  <c r="J13" i="118"/>
  <c r="H13" i="118"/>
  <c r="H11" i="118"/>
  <c r="J11" i="118"/>
  <c r="J10" i="118"/>
  <c r="J12" i="118"/>
  <c r="H12" i="118"/>
  <c r="L5" i="118"/>
  <c r="D5" i="118"/>
  <c r="R5" i="118"/>
  <c r="P5" i="118"/>
  <c r="N5" i="118"/>
  <c r="J5" i="118"/>
  <c r="F5" i="118"/>
  <c r="H5" i="118"/>
  <c r="DZ6" i="14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H10" i="118" l="1"/>
  <c r="AI16" i="14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X19" i="14" l="1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A1" i="203" l="1"/>
  <c r="A1" i="199"/>
  <c r="A1" i="202"/>
  <c r="A1" i="158"/>
  <c r="A1" i="118"/>
  <c r="B4" i="49"/>
  <c r="B2" i="49"/>
  <c r="B3" i="49"/>
  <c r="G7" i="3"/>
  <c r="C3" i="49" s="1"/>
  <c r="G6" i="3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C2" i="49" l="1"/>
  <c r="C4" i="49"/>
  <c r="M18" i="14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<sst xmlns="http://schemas.openxmlformats.org/spreadsheetml/2006/main" count="603" uniqueCount="86">
  <si>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</si>
  <si>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</si>
  <si>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</si>
  <si>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</si>
  <si>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</si>
  <si>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</si>
  <si>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</si>
  <si>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</si>
  <si>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</si>
  <si>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</si>
  <si>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KALIBENDA</t>
  </si>
  <si>
    <t>ANUGERAH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</si>
  <si>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</si>
  <si>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</si>
  <si>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</si>
  <si>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</si>
  <si>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</si>
  <si>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</si>
  <si>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</si>
  <si>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</si>
  <si>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</si>
  <si>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</si>
  <si>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</si>
  <si>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</si>
  <si>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</si>
  <si>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</si>
  <si>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</si>
  <si>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</si>
  <si>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</si>
  <si>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</si>
  <si>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</si>
  <si>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</si>
  <si>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</si>
  <si>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</si>
  <si>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</si>
  <si>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</si>
  <si>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</si>
  <si>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</si>
  <si>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</si>
  <si>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</si>
  <si>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</si>
  <si>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</si>
  <si>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</si>
  <si>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</si>
  <si>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</si>
  <si>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</si>
  <si>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EXPORT BY PK2</t>
  </si>
  <si>
    <t>[SUMIF] % EXP FROM CUTTING</t>
  </si>
  <si>
    <t>FACTORY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</si>
  <si>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</si>
  <si>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</si>
  <si>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</si>
  <si>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</si>
  <si>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</si>
  <si>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</si>
  <si>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</si>
  <si>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</si>
  <si>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</si>
  <si>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</si>
  <si>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GM 1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</si>
  <si>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</si>
  <si>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</si>
  <si>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</si>
  <si>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</si>
  <si>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</si>
  <si>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</si>
  <si>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</si>
  <si>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</si>
  <si>
    <t>PK3_REPORT2</t>
  </si>
  <si>
    <t>[SUMIF] QTY ORDER BY PK3</t>
  </si>
  <si>
    <t>[SUMIF] QTY CUTT BY PK3</t>
  </si>
  <si>
    <t>[SUMIF] QTY EXP BY PK3</t>
  </si>
  <si>
    <t>[GET] % EXP FROM ORDER by PK2</t>
  </si>
  <si>
    <t>[GET] % EXP FROM CUTTING by PK2</t>
  </si>
  <si>
    <t>Message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</si>
  <si>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Resume</t>
    </r>
    <r>
      <rPr>
        <sz val="11"/>
        <color theme="4" tint="-0.499984740745262"/>
        <rFont val="Calibri"/>
        <family val="2"/>
        <scheme val="minor"/>
      </rPr>
      <t>)</t>
    </r>
  </si>
  <si>
    <t>RPA JALANYA HARI SELASA SETELAH RPA PERFORMANCE SHIPMENT WEEKLY DIJALANKAN (sebelum istirahat)</t>
  </si>
  <si>
    <t>DAN AKHIR BULAN'</t>
  </si>
  <si>
    <t>[SUMIF] QTY ORDER BY PK2</t>
  </si>
  <si>
    <t>[GET] MONTHLY PERFORMANCE ORDER</t>
  </si>
  <si>
    <t>FACTORY INPUT USER</t>
  </si>
  <si>
    <t>MEAN</t>
  </si>
  <si>
    <t>Berikut adalah Report WOW and MOM Performance Shipment 2025</t>
  </si>
  <si>
    <t>\\10.8.0.35\Bersama\IT\RPA 00\Monitoring Performance Shipment\Results\WOW and MOM\WOW and MOM Report Performance Shipment 2025.xlsx</t>
  </si>
  <si>
    <t>Berikut adalah Resume WOW and MOM Performance Shipment 2025</t>
  </si>
  <si>
    <t>\\10.8.0.35\Bersama\IT\RPA 00\Monitoring Performance Shipment\Results\WOW and MOM\Resume WOW and MOM Performance Shipment 2025.xlsx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</si>
</sst>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  <numFmt numFmtId="168" formatCode="_(* #,##0_);_(* \(#,##0\);_(* \-_);_(@_)"/>
    <numFmt numFmtId="169" formatCode="_-* #,##0_-;\-* #,##0_-;_-* \-_-;_-@_-"/>
  </numFmts>
  <fonts count="3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Trebuchet MS"/>
      <family val="2"/>
    </font>
  </fonts>
  <fills count="24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3C959E"/>
        <bgColor rgb="FFF7EFFF"/>
      </patternFill>
    </fill>
    <fill>
      <patternFill patternType="solid">
        <fgColor rgb="FFB4DEE2"/>
        <bgColor indexed="64"/>
      </patternFill>
    </fill>
    <fill>
      <patternFill patternType="solid">
        <fgColor rgb="FFB4DEE2"/>
        <bgColor rgb="FFF7EFFF"/>
      </patternFill>
    </fill>
    <fill>
      <patternFill patternType="solid">
        <fgColor rgb="FF93CFD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  <border>
      <left style="thin">
        <color rgb="FFD0ECF0"/>
      </left>
      <right/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124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/>
    <xf numFmtId="0" fontId="32" fillId="0" borderId="0" xfId="0" applyFont="1"/>
    <xf numFmtId="0" fontId="12" fillId="0" borderId="0" xfId="0" applyFont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4" borderId="17" xfId="2" applyNumberFormat="1" applyFont="1" applyFill="1" applyBorder="1" applyAlignment="1">
      <alignment horizontal="center" vertical="center"/>
    </xf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4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0" fontId="16" fillId="15" borderId="0" xfId="0" applyFont="1" applyFill="1"/>
    <xf numFmtId="0" fontId="16" fillId="16" borderId="0" xfId="0" applyFont="1" applyFill="1"/>
    <xf numFmtId="0" fontId="0" fillId="17" borderId="0" xfId="0" applyFill="1"/>
    <xf numFmtId="0" fontId="14" fillId="17" borderId="0" xfId="0" applyFont="1" applyFill="1"/>
    <xf numFmtId="10" fontId="0" fillId="17" borderId="0" xfId="2" applyNumberFormat="1" applyFont="1" applyFill="1"/>
    <xf numFmtId="168" fontId="0" fillId="0" borderId="0" xfId="0" applyNumberFormat="1"/>
    <xf numFmtId="10" fontId="0" fillId="15" borderId="0" xfId="2" applyNumberFormat="1" applyFont="1" applyFill="1" applyAlignment="1">
      <alignment horizontal="center"/>
    </xf>
    <xf numFmtId="0" fontId="15" fillId="15" borderId="0" xfId="0" applyFont="1" applyFill="1"/>
    <xf numFmtId="10" fontId="0" fillId="16" borderId="0" xfId="2" applyNumberFormat="1" applyFont="1" applyFill="1" applyAlignment="1">
      <alignment horizontal="center"/>
    </xf>
    <xf numFmtId="0" fontId="15" fillId="16" borderId="0" xfId="0" applyFont="1" applyFill="1"/>
    <xf numFmtId="10" fontId="0" fillId="0" borderId="0" xfId="2" applyNumberFormat="1" applyFont="1" applyFill="1" applyAlignment="1">
      <alignment horizontal="center"/>
    </xf>
    <xf numFmtId="0" fontId="21" fillId="7" borderId="9" xfId="0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10" fontId="0" fillId="0" borderId="0" xfId="2" applyNumberFormat="1" applyFont="1" applyBorder="1" applyAlignment="1">
      <alignment horizontal="center"/>
    </xf>
    <xf numFmtId="0" fontId="15" fillId="15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0" fillId="18" borderId="14" xfId="0" applyFill="1" applyBorder="1"/>
    <xf numFmtId="0" fontId="0" fillId="19" borderId="14" xfId="0" applyFill="1" applyBorder="1"/>
    <xf numFmtId="0" fontId="19" fillId="20" borderId="0" xfId="3" applyFont="1" applyFill="1" applyAlignment="1">
      <alignment horizontal="center" vertical="center"/>
    </xf>
    <xf numFmtId="10" fontId="33" fillId="12" borderId="17" xfId="2" applyNumberFormat="1" applyFont="1" applyFill="1" applyBorder="1" applyAlignment="1">
      <alignment horizontal="center" vertical="center"/>
    </xf>
    <xf numFmtId="0" fontId="34" fillId="20" borderId="0" xfId="3" applyFont="1" applyFill="1" applyAlignment="1">
      <alignment horizontal="center" vertical="center"/>
    </xf>
    <xf numFmtId="10" fontId="33" fillId="12" borderId="18" xfId="2" applyNumberFormat="1" applyFont="1" applyFill="1" applyBorder="1" applyAlignment="1">
      <alignment horizontal="center" vertical="center"/>
    </xf>
    <xf numFmtId="0" fontId="15" fillId="21" borderId="0" xfId="0" applyFont="1" applyFill="1" applyAlignment="1">
      <alignment horizontal="center"/>
    </xf>
    <xf numFmtId="0" fontId="22" fillId="21" borderId="0" xfId="3" applyFont="1" applyFill="1" applyAlignment="1">
      <alignment horizontal="center" vertical="center"/>
    </xf>
    <xf numFmtId="0" fontId="22" fillId="22" borderId="0" xfId="3" applyFont="1" applyFill="1" applyAlignment="1">
      <alignment horizontal="center" vertical="center"/>
    </xf>
    <xf numFmtId="0" fontId="15" fillId="21" borderId="0" xfId="0" applyFont="1" applyFill="1"/>
    <xf numFmtId="0" fontId="19" fillId="21" borderId="0" xfId="3" applyFont="1" applyFill="1" applyAlignment="1">
      <alignment horizontal="center" vertical="center"/>
    </xf>
    <xf numFmtId="0" fontId="16" fillId="23" borderId="0" xfId="0" applyFont="1" applyFill="1"/>
    <xf numFmtId="169" fontId="0" fillId="0" borderId="0" xfId="0" applyNumberFormat="1"/>
    <xf numFmtId="0" fontId="0" fillId="0" borderId="0" xfId="0" applyNumberFormat="1"/>
    <xf numFmtId="10" fontId="17" fillId="14" borderId="17" xfId="2" applyNumberFormat="1" applyFont="1" applyFill="1" applyBorder="1" applyAlignment="1">
      <alignment horizontal="center" vertical="center"/>
    </xf>
    <xf numFmtId="10" fontId="17" fillId="13" borderId="16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17" fillId="14" borderId="17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23" fillId="11" borderId="10" xfId="3" applyFont="1" applyFill="1" applyBorder="1" applyAlignment="1">
      <alignment horizontal="center" vertical="center"/>
    </xf>
    <xf numFmtId="0" fontId="23" fillId="11" borderId="12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25"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color rgb="FFFF0000"/>
      </font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93CFD5"/>
      <color rgb="FFB4DEE2"/>
      <color rgb="FF3C959E"/>
      <color rgb="FFD0ECF0"/>
      <color rgb="FF35838B"/>
      <color rgb="FF276167"/>
      <color rgb="FF1F4C51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7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8632868" y="688975"/>
          <a:ext cx="977857" cy="80010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3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24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D24" sqref="D24"/>
    </sheetView>
  </sheetViews>
  <sheetFormatPr defaultColWidth="9.140625" defaultRowHeight="16.5" x14ac:dyDescent="0.3"/>
  <cols>
    <col min="1" max="1" width="40.42578125" style="17" bestFit="1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2"/>
  </cols>
  <sheetData>
    <row r="1" spans="1:133" s="51" customFormat="1" ht="36.950000000000003" customHeight="1" x14ac:dyDescent="0.25">
      <c r="A1" s="31" t="str">
        <f ca="1">"► PERFORMANCE SHIPMENT " &amp; HOME!$F$5</f>
        <v>► PERFORMANCE SHIPMENT 2025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112" t="s">
        <v>48</v>
      </c>
      <c r="B2" s="109" t="s">
        <v>28</v>
      </c>
      <c r="C2" s="110"/>
      <c r="D2" s="110"/>
      <c r="E2" s="110"/>
      <c r="F2" s="110"/>
      <c r="G2" s="110"/>
      <c r="H2" s="110"/>
      <c r="I2" s="110"/>
      <c r="J2" s="110"/>
      <c r="K2" s="111"/>
      <c r="L2" s="21"/>
      <c r="M2" s="109" t="s">
        <v>26</v>
      </c>
      <c r="N2" s="110"/>
      <c r="O2" s="110"/>
      <c r="P2" s="110"/>
      <c r="Q2" s="110"/>
      <c r="R2" s="110"/>
      <c r="S2" s="110"/>
      <c r="T2" s="110"/>
      <c r="U2" s="110"/>
      <c r="V2" s="111"/>
      <c r="W2" s="21"/>
      <c r="X2" s="109" t="s">
        <v>29</v>
      </c>
      <c r="Y2" s="110"/>
      <c r="Z2" s="110"/>
      <c r="AA2" s="110"/>
      <c r="AB2" s="110"/>
      <c r="AC2" s="110"/>
      <c r="AD2" s="110"/>
      <c r="AE2" s="110"/>
      <c r="AF2" s="110"/>
      <c r="AG2" s="111"/>
      <c r="AH2" s="21"/>
      <c r="AI2" s="109" t="s">
        <v>30</v>
      </c>
      <c r="AJ2" s="110"/>
      <c r="AK2" s="110"/>
      <c r="AL2" s="110"/>
      <c r="AM2" s="110"/>
      <c r="AN2" s="110"/>
      <c r="AO2" s="110"/>
      <c r="AP2" s="110"/>
      <c r="AQ2" s="110"/>
      <c r="AR2" s="111"/>
      <c r="AS2" s="21"/>
      <c r="AT2" s="109" t="s">
        <v>31</v>
      </c>
      <c r="AU2" s="110"/>
      <c r="AV2" s="110"/>
      <c r="AW2" s="110"/>
      <c r="AX2" s="110"/>
      <c r="AY2" s="110"/>
      <c r="AZ2" s="110"/>
      <c r="BA2" s="110"/>
      <c r="BB2" s="110"/>
      <c r="BC2" s="111"/>
      <c r="BD2" s="21"/>
      <c r="BE2" s="109" t="s">
        <v>32</v>
      </c>
      <c r="BF2" s="110"/>
      <c r="BG2" s="110"/>
      <c r="BH2" s="110"/>
      <c r="BI2" s="110"/>
      <c r="BJ2" s="110"/>
      <c r="BK2" s="110"/>
      <c r="BL2" s="110"/>
      <c r="BM2" s="110"/>
      <c r="BN2" s="111"/>
      <c r="BO2" s="21"/>
      <c r="BP2" s="109" t="s">
        <v>33</v>
      </c>
      <c r="BQ2" s="110"/>
      <c r="BR2" s="110"/>
      <c r="BS2" s="110"/>
      <c r="BT2" s="110"/>
      <c r="BU2" s="110"/>
      <c r="BV2" s="110"/>
      <c r="BW2" s="110"/>
      <c r="BX2" s="110"/>
      <c r="BY2" s="111"/>
      <c r="BZ2" s="21"/>
      <c r="CA2" s="109" t="s">
        <v>34</v>
      </c>
      <c r="CB2" s="110"/>
      <c r="CC2" s="110"/>
      <c r="CD2" s="110"/>
      <c r="CE2" s="110"/>
      <c r="CF2" s="110"/>
      <c r="CG2" s="110"/>
      <c r="CH2" s="110"/>
      <c r="CI2" s="110"/>
      <c r="CJ2" s="111"/>
      <c r="CK2" s="21"/>
      <c r="CL2" s="109" t="s">
        <v>35</v>
      </c>
      <c r="CM2" s="110"/>
      <c r="CN2" s="110"/>
      <c r="CO2" s="110"/>
      <c r="CP2" s="110"/>
      <c r="CQ2" s="110"/>
      <c r="CR2" s="110"/>
      <c r="CS2" s="110"/>
      <c r="CT2" s="110"/>
      <c r="CU2" s="111"/>
      <c r="CV2" s="21"/>
      <c r="CW2" s="109" t="s">
        <v>36</v>
      </c>
      <c r="CX2" s="110"/>
      <c r="CY2" s="110"/>
      <c r="CZ2" s="110"/>
      <c r="DA2" s="110"/>
      <c r="DB2" s="110"/>
      <c r="DC2" s="110"/>
      <c r="DD2" s="110"/>
      <c r="DE2" s="110"/>
      <c r="DF2" s="111"/>
      <c r="DG2" s="21"/>
      <c r="DH2" s="109" t="s">
        <v>37</v>
      </c>
      <c r="DI2" s="110"/>
      <c r="DJ2" s="110"/>
      <c r="DK2" s="110"/>
      <c r="DL2" s="110"/>
      <c r="DM2" s="110"/>
      <c r="DN2" s="110"/>
      <c r="DO2" s="110"/>
      <c r="DP2" s="110"/>
      <c r="DQ2" s="111"/>
      <c r="DR2" s="21"/>
      <c r="DS2" s="109" t="s">
        <v>38</v>
      </c>
      <c r="DT2" s="110"/>
      <c r="DU2" s="110"/>
      <c r="DV2" s="110"/>
      <c r="DW2" s="110"/>
      <c r="DX2" s="110"/>
      <c r="DY2" s="110"/>
      <c r="DZ2" s="110"/>
      <c r="EA2" s="110"/>
      <c r="EB2" s="111"/>
      <c r="EC2" s="21"/>
    </row>
    <row r="3" spans="1:133" ht="15.75" x14ac:dyDescent="0.3">
      <c r="A3" s="112"/>
      <c r="B3" s="107" t="s">
        <v>17</v>
      </c>
      <c r="C3" s="107"/>
      <c r="D3" s="107"/>
      <c r="E3" s="107"/>
      <c r="F3" s="107"/>
      <c r="G3" s="108" t="s">
        <v>18</v>
      </c>
      <c r="H3" s="108"/>
      <c r="I3" s="108"/>
      <c r="J3" s="108"/>
      <c r="K3" s="108"/>
      <c r="L3" s="28"/>
      <c r="M3" s="107" t="s">
        <v>17</v>
      </c>
      <c r="N3" s="107"/>
      <c r="O3" s="107"/>
      <c r="P3" s="107"/>
      <c r="Q3" s="107"/>
      <c r="R3" s="108" t="s">
        <v>18</v>
      </c>
      <c r="S3" s="108"/>
      <c r="T3" s="108"/>
      <c r="U3" s="108"/>
      <c r="V3" s="108"/>
      <c r="W3" s="28"/>
      <c r="X3" s="107" t="s">
        <v>17</v>
      </c>
      <c r="Y3" s="107"/>
      <c r="Z3" s="107"/>
      <c r="AA3" s="107"/>
      <c r="AB3" s="107"/>
      <c r="AC3" s="108" t="s">
        <v>18</v>
      </c>
      <c r="AD3" s="108"/>
      <c r="AE3" s="108"/>
      <c r="AF3" s="108"/>
      <c r="AG3" s="108"/>
      <c r="AH3" s="28"/>
      <c r="AI3" s="107" t="s">
        <v>17</v>
      </c>
      <c r="AJ3" s="107"/>
      <c r="AK3" s="107"/>
      <c r="AL3" s="107"/>
      <c r="AM3" s="107"/>
      <c r="AN3" s="108" t="s">
        <v>18</v>
      </c>
      <c r="AO3" s="108"/>
      <c r="AP3" s="108"/>
      <c r="AQ3" s="108"/>
      <c r="AR3" s="108"/>
      <c r="AS3" s="28"/>
      <c r="AT3" s="107" t="s">
        <v>17</v>
      </c>
      <c r="AU3" s="107"/>
      <c r="AV3" s="107"/>
      <c r="AW3" s="107"/>
      <c r="AX3" s="107"/>
      <c r="AY3" s="108" t="s">
        <v>18</v>
      </c>
      <c r="AZ3" s="108"/>
      <c r="BA3" s="108"/>
      <c r="BB3" s="108"/>
      <c r="BC3" s="108"/>
      <c r="BD3" s="28"/>
      <c r="BE3" s="107" t="s">
        <v>17</v>
      </c>
      <c r="BF3" s="107"/>
      <c r="BG3" s="107"/>
      <c r="BH3" s="107"/>
      <c r="BI3" s="107"/>
      <c r="BJ3" s="108" t="s">
        <v>18</v>
      </c>
      <c r="BK3" s="108"/>
      <c r="BL3" s="108"/>
      <c r="BM3" s="108"/>
      <c r="BN3" s="108"/>
      <c r="BO3" s="28"/>
      <c r="BP3" s="107" t="s">
        <v>17</v>
      </c>
      <c r="BQ3" s="107"/>
      <c r="BR3" s="107"/>
      <c r="BS3" s="107"/>
      <c r="BT3" s="107"/>
      <c r="BU3" s="108" t="s">
        <v>18</v>
      </c>
      <c r="BV3" s="108"/>
      <c r="BW3" s="108"/>
      <c r="BX3" s="108"/>
      <c r="BY3" s="108"/>
      <c r="BZ3" s="28"/>
      <c r="CA3" s="107" t="s">
        <v>17</v>
      </c>
      <c r="CB3" s="107"/>
      <c r="CC3" s="107"/>
      <c r="CD3" s="107"/>
      <c r="CE3" s="107"/>
      <c r="CF3" s="108" t="s">
        <v>18</v>
      </c>
      <c r="CG3" s="108"/>
      <c r="CH3" s="108"/>
      <c r="CI3" s="108"/>
      <c r="CJ3" s="108"/>
      <c r="CK3" s="28"/>
      <c r="CL3" s="107" t="s">
        <v>17</v>
      </c>
      <c r="CM3" s="107"/>
      <c r="CN3" s="107"/>
      <c r="CO3" s="107"/>
      <c r="CP3" s="107"/>
      <c r="CQ3" s="108" t="s">
        <v>18</v>
      </c>
      <c r="CR3" s="108"/>
      <c r="CS3" s="108"/>
      <c r="CT3" s="108"/>
      <c r="CU3" s="108"/>
      <c r="CV3" s="28"/>
      <c r="CW3" s="107" t="s">
        <v>17</v>
      </c>
      <c r="CX3" s="107"/>
      <c r="CY3" s="107"/>
      <c r="CZ3" s="107"/>
      <c r="DA3" s="107"/>
      <c r="DB3" s="108" t="s">
        <v>18</v>
      </c>
      <c r="DC3" s="108"/>
      <c r="DD3" s="108"/>
      <c r="DE3" s="108"/>
      <c r="DF3" s="108"/>
      <c r="DG3" s="28"/>
      <c r="DH3" s="107" t="s">
        <v>17</v>
      </c>
      <c r="DI3" s="107"/>
      <c r="DJ3" s="107"/>
      <c r="DK3" s="107"/>
      <c r="DL3" s="107"/>
      <c r="DM3" s="108" t="s">
        <v>18</v>
      </c>
      <c r="DN3" s="108"/>
      <c r="DO3" s="108"/>
      <c r="DP3" s="108"/>
      <c r="DQ3" s="108"/>
      <c r="DR3" s="28"/>
      <c r="DS3" s="107" t="s">
        <v>17</v>
      </c>
      <c r="DT3" s="107"/>
      <c r="DU3" s="107"/>
      <c r="DV3" s="107"/>
      <c r="DW3" s="107"/>
      <c r="DX3" s="108" t="s">
        <v>18</v>
      </c>
      <c r="DY3" s="108"/>
      <c r="DZ3" s="108"/>
      <c r="EA3" s="108"/>
      <c r="EB3" s="108"/>
      <c r="EC3" s="28"/>
    </row>
    <row r="4" spans="1:133" s="53" customFormat="1" ht="15" x14ac:dyDescent="0.35">
      <c r="A4" s="113"/>
      <c r="B4" s="34" t="s">
        <v>21</v>
      </c>
      <c r="C4" s="34" t="s">
        <v>22</v>
      </c>
      <c r="D4" s="34" t="s">
        <v>23</v>
      </c>
      <c r="E4" s="34" t="s">
        <v>24</v>
      </c>
      <c r="F4" s="34" t="s">
        <v>25</v>
      </c>
      <c r="G4" s="34" t="s">
        <v>21</v>
      </c>
      <c r="H4" s="34" t="s">
        <v>22</v>
      </c>
      <c r="I4" s="34" t="s">
        <v>23</v>
      </c>
      <c r="J4" s="34" t="s">
        <v>24</v>
      </c>
      <c r="K4" s="34" t="s">
        <v>25</v>
      </c>
      <c r="L4" s="35"/>
      <c r="M4" s="34" t="s">
        <v>21</v>
      </c>
      <c r="N4" s="34" t="s">
        <v>22</v>
      </c>
      <c r="O4" s="34" t="s">
        <v>23</v>
      </c>
      <c r="P4" s="34" t="s">
        <v>24</v>
      </c>
      <c r="Q4" s="34" t="s">
        <v>25</v>
      </c>
      <c r="R4" s="34" t="s">
        <v>21</v>
      </c>
      <c r="S4" s="34" t="s">
        <v>22</v>
      </c>
      <c r="T4" s="34" t="s">
        <v>23</v>
      </c>
      <c r="U4" s="34" t="s">
        <v>24</v>
      </c>
      <c r="V4" s="34" t="s">
        <v>25</v>
      </c>
      <c r="W4" s="35"/>
      <c r="X4" s="34" t="s">
        <v>21</v>
      </c>
      <c r="Y4" s="34" t="s">
        <v>22</v>
      </c>
      <c r="Z4" s="34" t="s">
        <v>23</v>
      </c>
      <c r="AA4" s="34" t="s">
        <v>24</v>
      </c>
      <c r="AB4" s="34" t="s">
        <v>25</v>
      </c>
      <c r="AC4" s="34" t="s">
        <v>21</v>
      </c>
      <c r="AD4" s="34" t="s">
        <v>22</v>
      </c>
      <c r="AE4" s="34" t="s">
        <v>23</v>
      </c>
      <c r="AF4" s="34" t="s">
        <v>24</v>
      </c>
      <c r="AG4" s="34" t="s">
        <v>25</v>
      </c>
      <c r="AH4" s="35"/>
      <c r="AI4" s="34" t="s">
        <v>21</v>
      </c>
      <c r="AJ4" s="34" t="s">
        <v>22</v>
      </c>
      <c r="AK4" s="34" t="s">
        <v>23</v>
      </c>
      <c r="AL4" s="34" t="s">
        <v>24</v>
      </c>
      <c r="AM4" s="34" t="s">
        <v>25</v>
      </c>
      <c r="AN4" s="34" t="s">
        <v>21</v>
      </c>
      <c r="AO4" s="34" t="s">
        <v>22</v>
      </c>
      <c r="AP4" s="34" t="s">
        <v>23</v>
      </c>
      <c r="AQ4" s="34" t="s">
        <v>24</v>
      </c>
      <c r="AR4" s="34" t="s">
        <v>25</v>
      </c>
      <c r="AS4" s="35"/>
      <c r="AT4" s="34" t="s">
        <v>21</v>
      </c>
      <c r="AU4" s="34" t="s">
        <v>22</v>
      </c>
      <c r="AV4" s="34" t="s">
        <v>23</v>
      </c>
      <c r="AW4" s="34" t="s">
        <v>24</v>
      </c>
      <c r="AX4" s="34" t="s">
        <v>25</v>
      </c>
      <c r="AY4" s="34" t="s">
        <v>21</v>
      </c>
      <c r="AZ4" s="34" t="s">
        <v>22</v>
      </c>
      <c r="BA4" s="34" t="s">
        <v>23</v>
      </c>
      <c r="BB4" s="34" t="s">
        <v>24</v>
      </c>
      <c r="BC4" s="34" t="s">
        <v>25</v>
      </c>
      <c r="BD4" s="35"/>
      <c r="BE4" s="34" t="s">
        <v>21</v>
      </c>
      <c r="BF4" s="34" t="s">
        <v>22</v>
      </c>
      <c r="BG4" s="34" t="s">
        <v>23</v>
      </c>
      <c r="BH4" s="34" t="s">
        <v>24</v>
      </c>
      <c r="BI4" s="34" t="s">
        <v>25</v>
      </c>
      <c r="BJ4" s="34" t="s">
        <v>21</v>
      </c>
      <c r="BK4" s="34" t="s">
        <v>22</v>
      </c>
      <c r="BL4" s="34" t="s">
        <v>23</v>
      </c>
      <c r="BM4" s="34" t="s">
        <v>24</v>
      </c>
      <c r="BN4" s="34" t="s">
        <v>25</v>
      </c>
      <c r="BO4" s="35"/>
      <c r="BP4" s="34" t="s">
        <v>21</v>
      </c>
      <c r="BQ4" s="34" t="s">
        <v>22</v>
      </c>
      <c r="BR4" s="34" t="s">
        <v>23</v>
      </c>
      <c r="BS4" s="34" t="s">
        <v>24</v>
      </c>
      <c r="BT4" s="34" t="s">
        <v>25</v>
      </c>
      <c r="BU4" s="34" t="s">
        <v>21</v>
      </c>
      <c r="BV4" s="34" t="s">
        <v>22</v>
      </c>
      <c r="BW4" s="34" t="s">
        <v>23</v>
      </c>
      <c r="BX4" s="34" t="s">
        <v>24</v>
      </c>
      <c r="BY4" s="34" t="s">
        <v>25</v>
      </c>
      <c r="BZ4" s="35"/>
      <c r="CA4" s="34" t="s">
        <v>21</v>
      </c>
      <c r="CB4" s="34" t="s">
        <v>22</v>
      </c>
      <c r="CC4" s="34" t="s">
        <v>23</v>
      </c>
      <c r="CD4" s="34" t="s">
        <v>24</v>
      </c>
      <c r="CE4" s="34" t="s">
        <v>25</v>
      </c>
      <c r="CF4" s="34" t="s">
        <v>21</v>
      </c>
      <c r="CG4" s="34" t="s">
        <v>22</v>
      </c>
      <c r="CH4" s="34" t="s">
        <v>23</v>
      </c>
      <c r="CI4" s="34" t="s">
        <v>24</v>
      </c>
      <c r="CJ4" s="34" t="s">
        <v>25</v>
      </c>
      <c r="CK4" s="35"/>
      <c r="CL4" s="34" t="s">
        <v>21</v>
      </c>
      <c r="CM4" s="34" t="s">
        <v>22</v>
      </c>
      <c r="CN4" s="34" t="s">
        <v>23</v>
      </c>
      <c r="CO4" s="34" t="s">
        <v>24</v>
      </c>
      <c r="CP4" s="34" t="s">
        <v>25</v>
      </c>
      <c r="CQ4" s="34" t="s">
        <v>21</v>
      </c>
      <c r="CR4" s="34" t="s">
        <v>22</v>
      </c>
      <c r="CS4" s="34" t="s">
        <v>23</v>
      </c>
      <c r="CT4" s="34" t="s">
        <v>24</v>
      </c>
      <c r="CU4" s="34" t="s">
        <v>25</v>
      </c>
      <c r="CV4" s="35"/>
      <c r="CW4" s="34" t="s">
        <v>21</v>
      </c>
      <c r="CX4" s="34" t="s">
        <v>22</v>
      </c>
      <c r="CY4" s="34" t="s">
        <v>23</v>
      </c>
      <c r="CZ4" s="34" t="s">
        <v>24</v>
      </c>
      <c r="DA4" s="34" t="s">
        <v>25</v>
      </c>
      <c r="DB4" s="34" t="s">
        <v>21</v>
      </c>
      <c r="DC4" s="34" t="s">
        <v>22</v>
      </c>
      <c r="DD4" s="34" t="s">
        <v>23</v>
      </c>
      <c r="DE4" s="34" t="s">
        <v>24</v>
      </c>
      <c r="DF4" s="34" t="s">
        <v>25</v>
      </c>
      <c r="DG4" s="35"/>
      <c r="DH4" s="34" t="s">
        <v>21</v>
      </c>
      <c r="DI4" s="34" t="s">
        <v>22</v>
      </c>
      <c r="DJ4" s="34" t="s">
        <v>23</v>
      </c>
      <c r="DK4" s="34" t="s">
        <v>24</v>
      </c>
      <c r="DL4" s="34" t="s">
        <v>25</v>
      </c>
      <c r="DM4" s="34" t="s">
        <v>21</v>
      </c>
      <c r="DN4" s="34" t="s">
        <v>22</v>
      </c>
      <c r="DO4" s="34" t="s">
        <v>23</v>
      </c>
      <c r="DP4" s="34" t="s">
        <v>24</v>
      </c>
      <c r="DQ4" s="34" t="s">
        <v>25</v>
      </c>
      <c r="DR4" s="35"/>
      <c r="DS4" s="34" t="s">
        <v>21</v>
      </c>
      <c r="DT4" s="34" t="s">
        <v>22</v>
      </c>
      <c r="DU4" s="34" t="s">
        <v>23</v>
      </c>
      <c r="DV4" s="34" t="s">
        <v>24</v>
      </c>
      <c r="DW4" s="34" t="s">
        <v>25</v>
      </c>
      <c r="DX4" s="34" t="s">
        <v>21</v>
      </c>
      <c r="DY4" s="34" t="s">
        <v>22</v>
      </c>
      <c r="DZ4" s="34" t="s">
        <v>23</v>
      </c>
      <c r="EA4" s="34" t="s">
        <v>24</v>
      </c>
      <c r="EB4" s="34" t="s">
        <v>25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" customHeight="1" x14ac:dyDescent="0.3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4" customFormat="1" ht="24.95" customHeight="1" x14ac:dyDescent="0.25">
      <c r="A15" s="42" t="s">
        <v>40</v>
      </c>
      <c r="B15" s="56">
        <f t="shared" ref="B15:K15" si="0">SUM(B6:B13)</f>
        <v>0</v>
      </c>
      <c r="C15" s="56">
        <f t="shared" si="0"/>
        <v>0</v>
      </c>
      <c r="D15" s="56">
        <f t="shared" si="0"/>
        <v>0</v>
      </c>
      <c r="E15" s="56">
        <f t="shared" si="0"/>
        <v>0</v>
      </c>
      <c r="F15" s="56">
        <f t="shared" si="0"/>
        <v>0</v>
      </c>
      <c r="G15" s="55">
        <f t="shared" si="0"/>
        <v>0</v>
      </c>
      <c r="H15" s="55">
        <f t="shared" si="0"/>
        <v>0</v>
      </c>
      <c r="I15" s="55">
        <f t="shared" si="0"/>
        <v>0</v>
      </c>
      <c r="J15" s="55">
        <f t="shared" si="0"/>
        <v>0</v>
      </c>
      <c r="K15" s="55">
        <f t="shared" si="0"/>
        <v>0</v>
      </c>
      <c r="L15" s="59"/>
      <c r="M15" s="57">
        <f t="shared" ref="M15:V15" si="1">SUM(M6:M13)</f>
        <v>0</v>
      </c>
      <c r="N15" s="57">
        <f t="shared" si="1"/>
        <v>0</v>
      </c>
      <c r="O15" s="57">
        <f t="shared" si="1"/>
        <v>0</v>
      </c>
      <c r="P15" s="57">
        <f t="shared" si="1"/>
        <v>0</v>
      </c>
      <c r="Q15" s="57">
        <f t="shared" si="1"/>
        <v>0</v>
      </c>
      <c r="R15" s="55">
        <f t="shared" si="1"/>
        <v>0</v>
      </c>
      <c r="S15" s="55">
        <f t="shared" si="1"/>
        <v>0</v>
      </c>
      <c r="T15" s="55">
        <f t="shared" si="1"/>
        <v>0</v>
      </c>
      <c r="U15" s="55">
        <f t="shared" si="1"/>
        <v>0</v>
      </c>
      <c r="V15" s="55">
        <f t="shared" si="1"/>
        <v>0</v>
      </c>
      <c r="W15" s="59"/>
      <c r="X15" s="57">
        <f t="shared" ref="X15:AG15" si="2">SUM(X6:X13)</f>
        <v>0</v>
      </c>
      <c r="Y15" s="57">
        <f t="shared" si="2"/>
        <v>0</v>
      </c>
      <c r="Z15" s="57">
        <f t="shared" si="2"/>
        <v>0</v>
      </c>
      <c r="AA15" s="57">
        <f t="shared" si="2"/>
        <v>0</v>
      </c>
      <c r="AB15" s="57">
        <f t="shared" si="2"/>
        <v>0</v>
      </c>
      <c r="AC15" s="55">
        <f t="shared" si="2"/>
        <v>0</v>
      </c>
      <c r="AD15" s="55">
        <f t="shared" si="2"/>
        <v>0</v>
      </c>
      <c r="AE15" s="55">
        <f t="shared" si="2"/>
        <v>0</v>
      </c>
      <c r="AF15" s="55">
        <f t="shared" si="2"/>
        <v>0</v>
      </c>
      <c r="AG15" s="55">
        <f t="shared" si="2"/>
        <v>0</v>
      </c>
      <c r="AH15" s="59"/>
      <c r="AI15" s="57">
        <f t="shared" ref="AI15:AR15" si="3">SUM(AI6:AI13)</f>
        <v>0</v>
      </c>
      <c r="AJ15" s="57">
        <f t="shared" si="3"/>
        <v>0</v>
      </c>
      <c r="AK15" s="57">
        <f t="shared" si="3"/>
        <v>0</v>
      </c>
      <c r="AL15" s="57">
        <f t="shared" si="3"/>
        <v>0</v>
      </c>
      <c r="AM15" s="57">
        <f t="shared" si="3"/>
        <v>0</v>
      </c>
      <c r="AN15" s="55">
        <f t="shared" si="3"/>
        <v>0</v>
      </c>
      <c r="AO15" s="55">
        <f t="shared" si="3"/>
        <v>0</v>
      </c>
      <c r="AP15" s="55">
        <f t="shared" si="3"/>
        <v>0</v>
      </c>
      <c r="AQ15" s="55">
        <f t="shared" si="3"/>
        <v>0</v>
      </c>
      <c r="AR15" s="55">
        <f t="shared" si="3"/>
        <v>0</v>
      </c>
      <c r="AS15" s="59"/>
      <c r="AT15" s="57">
        <f t="shared" ref="AT15:BC15" si="4">SUM(AT6:AT13)</f>
        <v>0</v>
      </c>
      <c r="AU15" s="57">
        <f t="shared" si="4"/>
        <v>0</v>
      </c>
      <c r="AV15" s="57">
        <f t="shared" si="4"/>
        <v>0</v>
      </c>
      <c r="AW15" s="57">
        <f t="shared" si="4"/>
        <v>0</v>
      </c>
      <c r="AX15" s="57">
        <f t="shared" si="4"/>
        <v>0</v>
      </c>
      <c r="AY15" s="55">
        <f t="shared" si="4"/>
        <v>0</v>
      </c>
      <c r="AZ15" s="55">
        <f t="shared" si="4"/>
        <v>0</v>
      </c>
      <c r="BA15" s="55">
        <f t="shared" si="4"/>
        <v>0</v>
      </c>
      <c r="BB15" s="55">
        <f t="shared" si="4"/>
        <v>0</v>
      </c>
      <c r="BC15" s="55">
        <f t="shared" si="4"/>
        <v>0</v>
      </c>
      <c r="BD15" s="59"/>
      <c r="BE15" s="57">
        <f t="shared" ref="BE15:BN15" si="5">SUM(BE6:BE13)</f>
        <v>0</v>
      </c>
      <c r="BF15" s="57">
        <f t="shared" si="5"/>
        <v>0</v>
      </c>
      <c r="BG15" s="57">
        <f t="shared" si="5"/>
        <v>0</v>
      </c>
      <c r="BH15" s="57">
        <f t="shared" si="5"/>
        <v>0</v>
      </c>
      <c r="BI15" s="57">
        <f t="shared" si="5"/>
        <v>0</v>
      </c>
      <c r="BJ15" s="55">
        <f t="shared" si="5"/>
        <v>0</v>
      </c>
      <c r="BK15" s="55">
        <f t="shared" si="5"/>
        <v>0</v>
      </c>
      <c r="BL15" s="55">
        <f t="shared" si="5"/>
        <v>0</v>
      </c>
      <c r="BM15" s="55">
        <f t="shared" si="5"/>
        <v>0</v>
      </c>
      <c r="BN15" s="55">
        <f t="shared" si="5"/>
        <v>0</v>
      </c>
      <c r="BO15" s="59"/>
      <c r="BP15" s="57">
        <f t="shared" ref="BP15:BY15" si="6">SUM(BP6:BP13)</f>
        <v>0</v>
      </c>
      <c r="BQ15" s="57">
        <f t="shared" si="6"/>
        <v>0</v>
      </c>
      <c r="BR15" s="57">
        <f t="shared" si="6"/>
        <v>0</v>
      </c>
      <c r="BS15" s="57">
        <f t="shared" si="6"/>
        <v>0</v>
      </c>
      <c r="BT15" s="57">
        <f t="shared" si="6"/>
        <v>0</v>
      </c>
      <c r="BU15" s="55">
        <f t="shared" si="6"/>
        <v>0</v>
      </c>
      <c r="BV15" s="55">
        <f t="shared" si="6"/>
        <v>0</v>
      </c>
      <c r="BW15" s="55">
        <f t="shared" si="6"/>
        <v>0</v>
      </c>
      <c r="BX15" s="55">
        <f t="shared" si="6"/>
        <v>0</v>
      </c>
      <c r="BY15" s="55">
        <f t="shared" si="6"/>
        <v>0</v>
      </c>
      <c r="BZ15" s="59"/>
      <c r="CA15" s="57">
        <f t="shared" ref="CA15:CJ15" si="7">SUM(CA6:CA13)</f>
        <v>0</v>
      </c>
      <c r="CB15" s="57">
        <f t="shared" si="7"/>
        <v>0</v>
      </c>
      <c r="CC15" s="57">
        <f t="shared" si="7"/>
        <v>0</v>
      </c>
      <c r="CD15" s="57">
        <f t="shared" si="7"/>
        <v>0</v>
      </c>
      <c r="CE15" s="57">
        <f t="shared" si="7"/>
        <v>0</v>
      </c>
      <c r="CF15" s="55">
        <f t="shared" si="7"/>
        <v>0</v>
      </c>
      <c r="CG15" s="55">
        <f t="shared" si="7"/>
        <v>0</v>
      </c>
      <c r="CH15" s="55">
        <f t="shared" si="7"/>
        <v>0</v>
      </c>
      <c r="CI15" s="55">
        <f t="shared" si="7"/>
        <v>0</v>
      </c>
      <c r="CJ15" s="55">
        <f t="shared" si="7"/>
        <v>0</v>
      </c>
      <c r="CK15" s="59"/>
      <c r="CL15" s="57">
        <f t="shared" ref="CL15:CU15" si="8">SUM(CL6:CL13)</f>
        <v>0</v>
      </c>
      <c r="CM15" s="57">
        <f t="shared" si="8"/>
        <v>0</v>
      </c>
      <c r="CN15" s="57">
        <f t="shared" si="8"/>
        <v>0</v>
      </c>
      <c r="CO15" s="57">
        <f t="shared" si="8"/>
        <v>0</v>
      </c>
      <c r="CP15" s="57">
        <f t="shared" si="8"/>
        <v>0</v>
      </c>
      <c r="CQ15" s="55">
        <f t="shared" si="8"/>
        <v>0</v>
      </c>
      <c r="CR15" s="55">
        <f t="shared" si="8"/>
        <v>0</v>
      </c>
      <c r="CS15" s="55">
        <f t="shared" si="8"/>
        <v>0</v>
      </c>
      <c r="CT15" s="55">
        <f t="shared" si="8"/>
        <v>0</v>
      </c>
      <c r="CU15" s="55">
        <f t="shared" si="8"/>
        <v>0</v>
      </c>
      <c r="CV15" s="59"/>
      <c r="CW15" s="57">
        <f t="shared" ref="CW15:DF15" si="9">SUM(CW6:CW13)</f>
        <v>0</v>
      </c>
      <c r="CX15" s="57">
        <f t="shared" si="9"/>
        <v>0</v>
      </c>
      <c r="CY15" s="57">
        <f t="shared" si="9"/>
        <v>0</v>
      </c>
      <c r="CZ15" s="57">
        <f t="shared" si="9"/>
        <v>0</v>
      </c>
      <c r="DA15" s="57">
        <f t="shared" si="9"/>
        <v>0</v>
      </c>
      <c r="DB15" s="55">
        <f t="shared" si="9"/>
        <v>0</v>
      </c>
      <c r="DC15" s="55">
        <f t="shared" si="9"/>
        <v>0</v>
      </c>
      <c r="DD15" s="55">
        <f t="shared" si="9"/>
        <v>0</v>
      </c>
      <c r="DE15" s="55">
        <f t="shared" si="9"/>
        <v>0</v>
      </c>
      <c r="DF15" s="55">
        <f t="shared" si="9"/>
        <v>0</v>
      </c>
      <c r="DG15" s="59"/>
      <c r="DH15" s="57">
        <f t="shared" ref="DH15:DQ15" si="10">SUM(DH6:DH13)</f>
        <v>0</v>
      </c>
      <c r="DI15" s="57">
        <f t="shared" si="10"/>
        <v>0</v>
      </c>
      <c r="DJ15" s="57">
        <f t="shared" si="10"/>
        <v>0</v>
      </c>
      <c r="DK15" s="57">
        <f t="shared" si="10"/>
        <v>0</v>
      </c>
      <c r="DL15" s="57">
        <f t="shared" si="10"/>
        <v>0</v>
      </c>
      <c r="DM15" s="55">
        <f t="shared" si="10"/>
        <v>0</v>
      </c>
      <c r="DN15" s="55">
        <f t="shared" si="10"/>
        <v>0</v>
      </c>
      <c r="DO15" s="55">
        <f t="shared" si="10"/>
        <v>0</v>
      </c>
      <c r="DP15" s="55">
        <f t="shared" si="10"/>
        <v>0</v>
      </c>
      <c r="DQ15" s="55">
        <f t="shared" si="10"/>
        <v>0</v>
      </c>
      <c r="DR15" s="59"/>
      <c r="DS15" s="57">
        <f t="shared" ref="DS15:EB15" si="11">SUM(DS6:DS13)</f>
        <v>0</v>
      </c>
      <c r="DT15" s="57">
        <f t="shared" si="11"/>
        <v>0</v>
      </c>
      <c r="DU15" s="57">
        <f t="shared" si="11"/>
        <v>0</v>
      </c>
      <c r="DV15" s="57">
        <f t="shared" si="11"/>
        <v>0</v>
      </c>
      <c r="DW15" s="57">
        <f t="shared" si="11"/>
        <v>0</v>
      </c>
      <c r="DX15" s="55">
        <f t="shared" si="11"/>
        <v>0</v>
      </c>
      <c r="DY15" s="55">
        <f t="shared" si="11"/>
        <v>0</v>
      </c>
      <c r="DZ15" s="55">
        <f t="shared" si="11"/>
        <v>0</v>
      </c>
      <c r="EA15" s="55">
        <f t="shared" si="11"/>
        <v>0</v>
      </c>
      <c r="EB15" s="55">
        <f t="shared" si="11"/>
        <v>0</v>
      </c>
      <c r="EC15" s="58"/>
    </row>
    <row r="16" spans="1:133" s="54" customFormat="1" ht="24.95" customHeight="1" x14ac:dyDescent="0.25">
      <c r="A16" s="42" t="s">
        <v>41</v>
      </c>
      <c r="B16" s="102">
        <f>IFERROR(VLOOKUP(B2,CC1_InputUser!$A:$S,18,FALSE),0)</f>
        <v>0</v>
      </c>
      <c r="C16" s="102"/>
      <c r="D16" s="102"/>
      <c r="E16" s="102"/>
      <c r="F16" s="102"/>
      <c r="G16" s="102">
        <f>IFERROR(VLOOKUP(B2,CC1_InputUser!$A:$S,19,FALSE),0)</f>
        <v>0</v>
      </c>
      <c r="H16" s="102"/>
      <c r="I16" s="102"/>
      <c r="J16" s="102"/>
      <c r="K16" s="102"/>
      <c r="L16" s="60"/>
      <c r="M16" s="102">
        <f>IFERROR(VLOOKUP(M2,CC1_InputUser!$A:$S,18,FALSE),0)</f>
        <v>0</v>
      </c>
      <c r="N16" s="102"/>
      <c r="O16" s="102"/>
      <c r="P16" s="102"/>
      <c r="Q16" s="102"/>
      <c r="R16" s="102">
        <f>IFERROR(VLOOKUP(M2,CC1_InputUser!$A:$S,19,FALSE),0)</f>
        <v>0</v>
      </c>
      <c r="S16" s="102"/>
      <c r="T16" s="102"/>
      <c r="U16" s="102"/>
      <c r="V16" s="102"/>
      <c r="W16" s="60"/>
      <c r="X16" s="102">
        <f>IFERROR(VLOOKUP(X2,CC1_InputUser!$A:$S,18,FALSE),0)</f>
        <v>0</v>
      </c>
      <c r="Y16" s="102"/>
      <c r="Z16" s="102"/>
      <c r="AA16" s="102"/>
      <c r="AB16" s="102"/>
      <c r="AC16" s="102">
        <f>IFERROR(VLOOKUP(X2,CC1_InputUser!$A:$S,19,FALSE),0)</f>
        <v>0</v>
      </c>
      <c r="AD16" s="102"/>
      <c r="AE16" s="102"/>
      <c r="AF16" s="102"/>
      <c r="AG16" s="102"/>
      <c r="AH16" s="60"/>
      <c r="AI16" s="102">
        <f>IFERROR(VLOOKUP(AI2,CC1_InputUser!$A:$S,18,FALSE),0)</f>
        <v>0</v>
      </c>
      <c r="AJ16" s="102"/>
      <c r="AK16" s="102"/>
      <c r="AL16" s="102"/>
      <c r="AM16" s="102"/>
      <c r="AN16" s="102">
        <f>IFERROR(VLOOKUP(AI2,CC1_InputUser!$A:$S,19,FALSE),0)</f>
        <v>0</v>
      </c>
      <c r="AO16" s="102"/>
      <c r="AP16" s="102"/>
      <c r="AQ16" s="102"/>
      <c r="AR16" s="102"/>
      <c r="AS16" s="60"/>
      <c r="AT16" s="102">
        <f>IFERROR(VLOOKUP(AT2,CC1_InputUser!$A:$S,18,FALSE),0)</f>
        <v>0</v>
      </c>
      <c r="AU16" s="102"/>
      <c r="AV16" s="102"/>
      <c r="AW16" s="102"/>
      <c r="AX16" s="102"/>
      <c r="AY16" s="102">
        <f>IFERROR(VLOOKUP(AT2,CC1_InputUser!$A:$S,19,FALSE),0)</f>
        <v>0</v>
      </c>
      <c r="AZ16" s="102"/>
      <c r="BA16" s="102"/>
      <c r="BB16" s="102"/>
      <c r="BC16" s="102"/>
      <c r="BD16" s="60"/>
      <c r="BE16" s="102">
        <f>IFERROR(VLOOKUP(BE2,CC1_InputUser!$A:$S,18,FALSE),0)</f>
        <v>0</v>
      </c>
      <c r="BF16" s="102"/>
      <c r="BG16" s="102"/>
      <c r="BH16" s="102"/>
      <c r="BI16" s="102"/>
      <c r="BJ16" s="102">
        <f>IFERROR(VLOOKUP(BE2,CC1_InputUser!$A:$S,19,FALSE),0)</f>
        <v>0</v>
      </c>
      <c r="BK16" s="102"/>
      <c r="BL16" s="102"/>
      <c r="BM16" s="102"/>
      <c r="BN16" s="102"/>
      <c r="BO16" s="60"/>
      <c r="BP16" s="102">
        <f>IFERROR(VLOOKUP(BP2,CC1_InputUser!$A:$S,18,FALSE),0)</f>
        <v>0</v>
      </c>
      <c r="BQ16" s="102"/>
      <c r="BR16" s="102"/>
      <c r="BS16" s="102"/>
      <c r="BT16" s="102"/>
      <c r="BU16" s="102">
        <f>IFERROR(VLOOKUP(BP2,CC1_InputUser!$A:$S,19,FALSE),0)</f>
        <v>0</v>
      </c>
      <c r="BV16" s="102"/>
      <c r="BW16" s="102"/>
      <c r="BX16" s="102"/>
      <c r="BY16" s="102"/>
      <c r="BZ16" s="60"/>
      <c r="CA16" s="102">
        <f>IFERROR(VLOOKUP(CA2,CC1_InputUser!$A:$S,18,FALSE),0)</f>
        <v>0</v>
      </c>
      <c r="CB16" s="102"/>
      <c r="CC16" s="102"/>
      <c r="CD16" s="102"/>
      <c r="CE16" s="102"/>
      <c r="CF16" s="102">
        <f>IFERROR(VLOOKUP(CA2,CC1_InputUser!$A:$S,19,FALSE),0)</f>
        <v>0</v>
      </c>
      <c r="CG16" s="102"/>
      <c r="CH16" s="102"/>
      <c r="CI16" s="102"/>
      <c r="CJ16" s="102"/>
      <c r="CK16" s="60"/>
      <c r="CL16" s="102">
        <f>IFERROR(VLOOKUP(CL2,CC1_InputUser!$A:$S,18,FALSE),0)</f>
        <v>0</v>
      </c>
      <c r="CM16" s="102"/>
      <c r="CN16" s="102"/>
      <c r="CO16" s="102"/>
      <c r="CP16" s="102"/>
      <c r="CQ16" s="102">
        <f>IFERROR(VLOOKUP(CL2,CC1_InputUser!$A:$S,19,FALSE),0)</f>
        <v>0</v>
      </c>
      <c r="CR16" s="102"/>
      <c r="CS16" s="102"/>
      <c r="CT16" s="102"/>
      <c r="CU16" s="102"/>
      <c r="CV16" s="60"/>
      <c r="CW16" s="102">
        <f>IFERROR(VLOOKUP(CW2,CC1_InputUser!$A:$S,18,FALSE),0)</f>
        <v>0</v>
      </c>
      <c r="CX16" s="102"/>
      <c r="CY16" s="102"/>
      <c r="CZ16" s="102"/>
      <c r="DA16" s="102"/>
      <c r="DB16" s="102">
        <f>IFERROR(VLOOKUP(CW2,CC1_InputUser!$A:$S,19,FALSE),0)</f>
        <v>0</v>
      </c>
      <c r="DC16" s="102"/>
      <c r="DD16" s="102"/>
      <c r="DE16" s="102"/>
      <c r="DF16" s="102"/>
      <c r="DG16" s="60"/>
      <c r="DH16" s="102">
        <f>IFERROR(VLOOKUP(DH2,CC1_InputUser!$A:$S,18,FALSE),0)</f>
        <v>0</v>
      </c>
      <c r="DI16" s="102"/>
      <c r="DJ16" s="102"/>
      <c r="DK16" s="102"/>
      <c r="DL16" s="102"/>
      <c r="DM16" s="102">
        <f>IFERROR(VLOOKUP(DH2,CC1_InputUser!$A:$S,19,FALSE),0)</f>
        <v>0</v>
      </c>
      <c r="DN16" s="102"/>
      <c r="DO16" s="102"/>
      <c r="DP16" s="102"/>
      <c r="DQ16" s="102"/>
      <c r="DR16" s="60"/>
      <c r="DS16" s="102">
        <f>IFERROR(VLOOKUP(DS2,CC1_InputUser!$A:$S,18,FALSE),0)</f>
        <v>4.5055814039018927E-4</v>
      </c>
      <c r="DT16" s="102"/>
      <c r="DU16" s="102"/>
      <c r="DV16" s="102"/>
      <c r="DW16" s="102"/>
      <c r="DX16" s="102">
        <f>IFERROR(VLOOKUP(DS2,CC1_InputUser!$A:$S,19,FALSE),0)</f>
        <v>-1.0296993678082456E-2</v>
      </c>
      <c r="DY16" s="102"/>
      <c r="DZ16" s="102"/>
      <c r="EA16" s="102"/>
      <c r="EB16" s="102"/>
      <c r="EC16" s="58"/>
    </row>
    <row r="17" spans="1:133" ht="4.5" customHeight="1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4" customFormat="1" ht="24.95" customHeight="1" x14ac:dyDescent="0.25">
      <c r="A18" s="42" t="s">
        <v>43</v>
      </c>
      <c r="B18" s="49" t="s">
        <v>52</v>
      </c>
      <c r="C18" s="40">
        <f>IFERROR(C15/B15-1,0)</f>
        <v>0</v>
      </c>
      <c r="D18" s="40">
        <f t="shared" ref="D18:F18" si="12">IFERROR(D15/C15-1,0)</f>
        <v>0</v>
      </c>
      <c r="E18" s="40">
        <f t="shared" si="12"/>
        <v>0</v>
      </c>
      <c r="F18" s="40">
        <f t="shared" si="12"/>
        <v>0</v>
      </c>
      <c r="G18" s="50" t="s">
        <v>52</v>
      </c>
      <c r="H18" s="41">
        <f>IFERROR(H15/G15-1,0)</f>
        <v>0</v>
      </c>
      <c r="I18" s="41">
        <f>IFERROR(I15/H15-1,0)</f>
        <v>0</v>
      </c>
      <c r="J18" s="41">
        <f t="shared" ref="J18:K18" si="13">IFERROR(J15/I15-1,0)</f>
        <v>0</v>
      </c>
      <c r="K18" s="41">
        <f t="shared" si="13"/>
        <v>0</v>
      </c>
      <c r="L18" s="36"/>
      <c r="M18" s="40">
        <f>IFERROR(M15/F15-1,0)</f>
        <v>0</v>
      </c>
      <c r="N18" s="40">
        <f>IFERROR(N15/M15-1,0)</f>
        <v>0</v>
      </c>
      <c r="O18" s="40">
        <f>IFERROR(O15/N15-1,0)</f>
        <v>0</v>
      </c>
      <c r="P18" s="40">
        <f>IFERROR(P15/O15-1,0)</f>
        <v>0</v>
      </c>
      <c r="Q18" s="40">
        <f>IFERROR(Q15/P15-1,0)</f>
        <v>0</v>
      </c>
      <c r="R18" s="41">
        <f>IFERROR(R15/K15-1,0)</f>
        <v>0</v>
      </c>
      <c r="S18" s="41">
        <f>IFERROR(S15/R15-1,0)</f>
        <v>0</v>
      </c>
      <c r="T18" s="41">
        <f t="shared" ref="T18:V18" si="14">IFERROR(T15/S15-1,0)</f>
        <v>0</v>
      </c>
      <c r="U18" s="41">
        <f t="shared" si="14"/>
        <v>0</v>
      </c>
      <c r="V18" s="41">
        <f t="shared" si="14"/>
        <v>0</v>
      </c>
      <c r="W18" s="36"/>
      <c r="X18" s="39">
        <f>IFERROR(X15/Q15-1,0)</f>
        <v>0</v>
      </c>
      <c r="Y18" s="39">
        <f>IFERROR(Y15/X15-1,0)</f>
        <v>0</v>
      </c>
      <c r="Z18" s="39">
        <f>IFERROR(Z15/Y15-1,0)</f>
        <v>0</v>
      </c>
      <c r="AA18" s="39">
        <f>IFERROR(AA15/Z15-1,0)</f>
        <v>0</v>
      </c>
      <c r="AB18" s="39">
        <f>IFERROR(AB15/AA15-1,0)</f>
        <v>0</v>
      </c>
      <c r="AC18" s="37">
        <f>IFERROR(AC15/V15-1,0)</f>
        <v>0</v>
      </c>
      <c r="AD18" s="37">
        <f>IFERROR(AD15/AC15-1,0)</f>
        <v>0</v>
      </c>
      <c r="AE18" s="37">
        <f t="shared" ref="AE18:AG18" si="15">IFERROR(AE15/AD15-1,0)</f>
        <v>0</v>
      </c>
      <c r="AF18" s="37">
        <f t="shared" si="15"/>
        <v>0</v>
      </c>
      <c r="AG18" s="37">
        <f t="shared" si="15"/>
        <v>0</v>
      </c>
      <c r="AH18" s="36"/>
      <c r="AI18" s="40">
        <f>IFERROR(AI15/AB15-1,0)</f>
        <v>0</v>
      </c>
      <c r="AJ18" s="40">
        <f>IFERROR(AJ15/AI15-1,0)</f>
        <v>0</v>
      </c>
      <c r="AK18" s="40">
        <f>IFERROR(AK15/AJ15-1,0)</f>
        <v>0</v>
      </c>
      <c r="AL18" s="40">
        <f>IFERROR(AL15/AK15-1,0)</f>
        <v>0</v>
      </c>
      <c r="AM18" s="40">
        <f>IFERROR(AM15/AL15-1,0)</f>
        <v>0</v>
      </c>
      <c r="AN18" s="41">
        <f>IFERROR(AN15/AG15-1,0)</f>
        <v>0</v>
      </c>
      <c r="AO18" s="41">
        <f>IFERROR(AO15/AN15-1,0)</f>
        <v>0</v>
      </c>
      <c r="AP18" s="41">
        <f t="shared" ref="AP18:AR18" si="16">IFERROR(AP15/AO15-1,0)</f>
        <v>0</v>
      </c>
      <c r="AQ18" s="41">
        <f t="shared" si="16"/>
        <v>0</v>
      </c>
      <c r="AR18" s="41">
        <f t="shared" si="16"/>
        <v>0</v>
      </c>
      <c r="AS18" s="36"/>
      <c r="AT18" s="40">
        <f>IFERROR(AT15/AM15-1,0)</f>
        <v>0</v>
      </c>
      <c r="AU18" s="40">
        <f>IFERROR(AU15/AT15-1,0)</f>
        <v>0</v>
      </c>
      <c r="AV18" s="40">
        <f>IFERROR(AV15/AU15-1,0)</f>
        <v>0</v>
      </c>
      <c r="AW18" s="40">
        <f>IFERROR(AW15/AV15-1,0)</f>
        <v>0</v>
      </c>
      <c r="AX18" s="40">
        <f>IFERROR(AX15/AW15-1,0)</f>
        <v>0</v>
      </c>
      <c r="AY18" s="41">
        <f>IFERROR(AY15/AR15-1,0)</f>
        <v>0</v>
      </c>
      <c r="AZ18" s="41">
        <f>IFERROR(AZ15/AY15-1,0)</f>
        <v>0</v>
      </c>
      <c r="BA18" s="41">
        <f t="shared" ref="BA18:BC18" si="17">IFERROR(BA15/AZ15-1,0)</f>
        <v>0</v>
      </c>
      <c r="BB18" s="41">
        <f t="shared" si="17"/>
        <v>0</v>
      </c>
      <c r="BC18" s="41">
        <f t="shared" si="17"/>
        <v>0</v>
      </c>
      <c r="BD18" s="36"/>
      <c r="BE18" s="40">
        <f>IFERROR(BE15/AX15-1,0)</f>
        <v>0</v>
      </c>
      <c r="BF18" s="40">
        <f>IFERROR(BF15/BE15-1,0)</f>
        <v>0</v>
      </c>
      <c r="BG18" s="40">
        <f>IFERROR(BG15/BF15-1,0)</f>
        <v>0</v>
      </c>
      <c r="BH18" s="40">
        <f>IFERROR(BH15/BG15-1,0)</f>
        <v>0</v>
      </c>
      <c r="BI18" s="40">
        <f>IFERROR(BI15/BH15-1,0)</f>
        <v>0</v>
      </c>
      <c r="BJ18" s="41">
        <f>IFERROR(BJ15/BC15-1,0)</f>
        <v>0</v>
      </c>
      <c r="BK18" s="41">
        <f>IFERROR(BK15/BJ15-1,0)</f>
        <v>0</v>
      </c>
      <c r="BL18" s="41">
        <f t="shared" ref="BL18:BN18" si="18">IFERROR(BL15/BK15-1,0)</f>
        <v>0</v>
      </c>
      <c r="BM18" s="41">
        <f t="shared" si="18"/>
        <v>0</v>
      </c>
      <c r="BN18" s="41">
        <f t="shared" si="18"/>
        <v>0</v>
      </c>
      <c r="BO18" s="36"/>
      <c r="BP18" s="40">
        <f>IFERROR(BP15/BI15-1,0)</f>
        <v>0</v>
      </c>
      <c r="BQ18" s="40">
        <f>IFERROR(BQ15/BP15-1,0)</f>
        <v>0</v>
      </c>
      <c r="BR18" s="40">
        <f>IFERROR(BR15/BQ15-1,0)</f>
        <v>0</v>
      </c>
      <c r="BS18" s="40">
        <f>IFERROR(BS15/BR15-1,0)</f>
        <v>0</v>
      </c>
      <c r="BT18" s="40">
        <f>IFERROR(BT15/BS15-1,0)</f>
        <v>0</v>
      </c>
      <c r="BU18" s="41">
        <f>IFERROR(BU15/BN15-1,0)</f>
        <v>0</v>
      </c>
      <c r="BV18" s="41">
        <f>IFERROR(BV15/BU15-1,0)</f>
        <v>0</v>
      </c>
      <c r="BW18" s="41">
        <f t="shared" ref="BW18:BY18" si="19">IFERROR(BW15/BV15-1,0)</f>
        <v>0</v>
      </c>
      <c r="BX18" s="41">
        <f t="shared" si="19"/>
        <v>0</v>
      </c>
      <c r="BY18" s="41">
        <f t="shared" si="19"/>
        <v>0</v>
      </c>
      <c r="BZ18" s="36"/>
      <c r="CA18" s="40">
        <f>IFERROR(CA15/BT15-1,0)</f>
        <v>0</v>
      </c>
      <c r="CB18" s="40">
        <f>IFERROR(CB15/CA15-1,0)</f>
        <v>0</v>
      </c>
      <c r="CC18" s="40">
        <f>IFERROR(CC15/CB15-1,0)</f>
        <v>0</v>
      </c>
      <c r="CD18" s="40">
        <f>IFERROR(CD15/CC15-1,0)</f>
        <v>0</v>
      </c>
      <c r="CE18" s="40">
        <f>IFERROR(CE15/CD15-1,0)</f>
        <v>0</v>
      </c>
      <c r="CF18" s="41">
        <f>IFERROR(CF15/BY15-1,0)</f>
        <v>0</v>
      </c>
      <c r="CG18" s="41">
        <f>IFERROR(CG15/CF15-1,0)</f>
        <v>0</v>
      </c>
      <c r="CH18" s="41">
        <f t="shared" ref="CH18:CJ18" si="20">IFERROR(CH15/CG15-1,0)</f>
        <v>0</v>
      </c>
      <c r="CI18" s="41">
        <f t="shared" si="20"/>
        <v>0</v>
      </c>
      <c r="CJ18" s="41">
        <f t="shared" si="20"/>
        <v>0</v>
      </c>
      <c r="CK18" s="36"/>
      <c r="CL18" s="40">
        <f>IFERROR(CL15/CE15-1,0)</f>
        <v>0</v>
      </c>
      <c r="CM18" s="40">
        <f>IFERROR(CM15/CL15-1,0)</f>
        <v>0</v>
      </c>
      <c r="CN18" s="40">
        <f>IFERROR(CN15/CM15-1,0)</f>
        <v>0</v>
      </c>
      <c r="CO18" s="40">
        <f>IFERROR(CO15/CN15-1,0)</f>
        <v>0</v>
      </c>
      <c r="CP18" s="40">
        <f>IFERROR(CP15/CO15-1,0)</f>
        <v>0</v>
      </c>
      <c r="CQ18" s="41">
        <f>IFERROR(CQ15/CJ15-1,0)</f>
        <v>0</v>
      </c>
      <c r="CR18" s="41">
        <f>IFERROR(CR15/CQ15-1,0)</f>
        <v>0</v>
      </c>
      <c r="CS18" s="41">
        <f t="shared" ref="CS18:CU18" si="21">IFERROR(CS15/CR15-1,0)</f>
        <v>0</v>
      </c>
      <c r="CT18" s="41">
        <f t="shared" si="21"/>
        <v>0</v>
      </c>
      <c r="CU18" s="41">
        <f t="shared" si="21"/>
        <v>0</v>
      </c>
      <c r="CV18" s="36"/>
      <c r="CW18" s="40">
        <f>IFERROR(CW15/CP15-1,0)</f>
        <v>0</v>
      </c>
      <c r="CX18" s="40">
        <f>IFERROR(CX15/CW15-1,0)</f>
        <v>0</v>
      </c>
      <c r="CY18" s="40">
        <f>IFERROR(CY15/CX15-1,0)</f>
        <v>0</v>
      </c>
      <c r="CZ18" s="40">
        <f>IFERROR(CZ15/CY15-1,0)</f>
        <v>0</v>
      </c>
      <c r="DA18" s="40">
        <f>IFERROR(DA15/CZ15-1,0)</f>
        <v>0</v>
      </c>
      <c r="DB18" s="41">
        <f>IFERROR(DB15/CU15-1,0)</f>
        <v>0</v>
      </c>
      <c r="DC18" s="41">
        <f>IFERROR(DC15/DB15-1,0)</f>
        <v>0</v>
      </c>
      <c r="DD18" s="41">
        <f t="shared" ref="DD18:DF18" si="22">IFERROR(DD15/DC15-1,0)</f>
        <v>0</v>
      </c>
      <c r="DE18" s="41">
        <f t="shared" si="22"/>
        <v>0</v>
      </c>
      <c r="DF18" s="41">
        <f t="shared" si="22"/>
        <v>0</v>
      </c>
      <c r="DG18" s="36"/>
      <c r="DH18" s="40">
        <f>IFERROR(DH15/DA15-1,0)</f>
        <v>0</v>
      </c>
      <c r="DI18" s="40">
        <f>IFERROR(DI15/DH15-1,0)</f>
        <v>0</v>
      </c>
      <c r="DJ18" s="40">
        <f>IFERROR(DJ15/DI15-1,0)</f>
        <v>0</v>
      </c>
      <c r="DK18" s="40">
        <f>IFERROR(DK15/DJ15-1,0)</f>
        <v>0</v>
      </c>
      <c r="DL18" s="40">
        <f>IFERROR(DL15/DK15-1,0)</f>
        <v>0</v>
      </c>
      <c r="DM18" s="41">
        <f>IFERROR(DM15/DF15-1,0)</f>
        <v>0</v>
      </c>
      <c r="DN18" s="41">
        <v>0.01</v>
      </c>
      <c r="DO18" s="41">
        <v>0.01</v>
      </c>
      <c r="DP18" s="41">
        <f t="shared" ref="DP18:DQ18" si="23">IFERROR(DP15/DO15-1,0)</f>
        <v>0</v>
      </c>
      <c r="DQ18" s="41">
        <f t="shared" si="23"/>
        <v>0</v>
      </c>
      <c r="DR18" s="36"/>
      <c r="DS18" s="40">
        <f>IFERROR(DS15/DL15-1,0)</f>
        <v>0</v>
      </c>
      <c r="DT18" s="40">
        <f>IFERROR(DT15/DS15-1,0)</f>
        <v>0</v>
      </c>
      <c r="DU18" s="40">
        <f>IFERROR(DU15/DT15-1,0)</f>
        <v>0</v>
      </c>
      <c r="DV18" s="40">
        <f>IFERROR(DV15/DU15-1,0)</f>
        <v>0</v>
      </c>
      <c r="DW18" s="40">
        <f>IFERROR(DW15/DV15-1,0)</f>
        <v>0</v>
      </c>
      <c r="DX18" s="41">
        <f>IFERROR(DX15/DQ15-1,0)</f>
        <v>0</v>
      </c>
      <c r="DY18" s="41">
        <f>IFERROR(DY15/DX15-1,0)</f>
        <v>0</v>
      </c>
      <c r="DZ18" s="41">
        <f t="shared" ref="DZ18:EB18" si="24">IFERROR(DZ15/DY15-1,0)</f>
        <v>0</v>
      </c>
      <c r="EA18" s="41">
        <f t="shared" si="24"/>
        <v>0</v>
      </c>
      <c r="EB18" s="41">
        <f t="shared" si="24"/>
        <v>0</v>
      </c>
      <c r="EC18" s="38"/>
    </row>
    <row r="19" spans="1:133" s="54" customFormat="1" ht="24.95" customHeight="1" x14ac:dyDescent="0.25">
      <c r="A19" s="42" t="s">
        <v>44</v>
      </c>
      <c r="B19" s="103" t="s">
        <v>52</v>
      </c>
      <c r="C19" s="103"/>
      <c r="D19" s="103"/>
      <c r="E19" s="103"/>
      <c r="F19" s="103"/>
      <c r="G19" s="104" t="s">
        <v>52</v>
      </c>
      <c r="H19" s="104"/>
      <c r="I19" s="104"/>
      <c r="J19" s="104"/>
      <c r="K19" s="104"/>
      <c r="L19" s="36"/>
      <c r="M19" s="100">
        <f>IFERROR(M16/B16-1,0)</f>
        <v>0</v>
      </c>
      <c r="N19" s="100"/>
      <c r="O19" s="100"/>
      <c r="P19" s="100"/>
      <c r="Q19" s="100"/>
      <c r="R19" s="101">
        <f>IFERROR(R16/G16-1,0)</f>
        <v>0</v>
      </c>
      <c r="S19" s="101"/>
      <c r="T19" s="101"/>
      <c r="U19" s="101"/>
      <c r="V19" s="101"/>
      <c r="W19" s="36"/>
      <c r="X19" s="105">
        <f>IFERROR(X16/M16-1,0)</f>
        <v>0</v>
      </c>
      <c r="Y19" s="105"/>
      <c r="Z19" s="105"/>
      <c r="AA19" s="105"/>
      <c r="AB19" s="105"/>
      <c r="AC19" s="106">
        <f>IFERROR(AC16/R16-1,0)</f>
        <v>0</v>
      </c>
      <c r="AD19" s="106"/>
      <c r="AE19" s="106"/>
      <c r="AF19" s="106"/>
      <c r="AG19" s="106"/>
      <c r="AH19" s="36"/>
      <c r="AI19" s="100">
        <f>IFERROR(AI16/X16-1,0)</f>
        <v>0</v>
      </c>
      <c r="AJ19" s="100"/>
      <c r="AK19" s="100"/>
      <c r="AL19" s="100"/>
      <c r="AM19" s="100"/>
      <c r="AN19" s="101">
        <f>IFERROR(AN16/AC16-1,0)</f>
        <v>0</v>
      </c>
      <c r="AO19" s="101"/>
      <c r="AP19" s="101"/>
      <c r="AQ19" s="101"/>
      <c r="AR19" s="101"/>
      <c r="AS19" s="36"/>
      <c r="AT19" s="100">
        <f>IFERROR(AT16/AI16-1,0)</f>
        <v>0</v>
      </c>
      <c r="AU19" s="100"/>
      <c r="AV19" s="100"/>
      <c r="AW19" s="100"/>
      <c r="AX19" s="100"/>
      <c r="AY19" s="101">
        <f>IFERROR(AY16/AN16-1,0)</f>
        <v>0</v>
      </c>
      <c r="AZ19" s="101"/>
      <c r="BA19" s="101"/>
      <c r="BB19" s="101"/>
      <c r="BC19" s="101"/>
      <c r="BD19" s="36"/>
      <c r="BE19" s="100">
        <f>IFERROR(BE16/AT16-1,0)</f>
        <v>0</v>
      </c>
      <c r="BF19" s="100"/>
      <c r="BG19" s="100"/>
      <c r="BH19" s="100"/>
      <c r="BI19" s="100"/>
      <c r="BJ19" s="101">
        <f>IFERROR(BJ16/AY16-1,0)</f>
        <v>0</v>
      </c>
      <c r="BK19" s="101"/>
      <c r="BL19" s="101"/>
      <c r="BM19" s="101"/>
      <c r="BN19" s="101"/>
      <c r="BO19" s="36"/>
      <c r="BP19" s="100">
        <f>IFERROR(BP16/BE16-1,0)</f>
        <v>0</v>
      </c>
      <c r="BQ19" s="100"/>
      <c r="BR19" s="100"/>
      <c r="BS19" s="100"/>
      <c r="BT19" s="100"/>
      <c r="BU19" s="101">
        <f>IFERROR(BU16/BJ16-1,0)</f>
        <v>0</v>
      </c>
      <c r="BV19" s="101"/>
      <c r="BW19" s="101"/>
      <c r="BX19" s="101"/>
      <c r="BY19" s="101"/>
      <c r="BZ19" s="36"/>
      <c r="CA19" s="100">
        <f>IFERROR(CA16/BP16-1,0)</f>
        <v>0</v>
      </c>
      <c r="CB19" s="100"/>
      <c r="CC19" s="100"/>
      <c r="CD19" s="100"/>
      <c r="CE19" s="100"/>
      <c r="CF19" s="101">
        <f>IFERROR(CF16/BU16-1,0)</f>
        <v>0</v>
      </c>
      <c r="CG19" s="101"/>
      <c r="CH19" s="101"/>
      <c r="CI19" s="101"/>
      <c r="CJ19" s="101"/>
      <c r="CK19" s="36"/>
      <c r="CL19" s="100">
        <f>IFERROR(CL16/CA16-1,0)</f>
        <v>0</v>
      </c>
      <c r="CM19" s="100"/>
      <c r="CN19" s="100"/>
      <c r="CO19" s="100"/>
      <c r="CP19" s="100"/>
      <c r="CQ19" s="101">
        <f>IFERROR(CQ16/CF16-1,0)</f>
        <v>0</v>
      </c>
      <c r="CR19" s="101"/>
      <c r="CS19" s="101"/>
      <c r="CT19" s="101"/>
      <c r="CU19" s="101"/>
      <c r="CV19" s="36"/>
      <c r="CW19" s="100">
        <f>IFERROR(CW16/CL16-1,0)</f>
        <v>0</v>
      </c>
      <c r="CX19" s="100"/>
      <c r="CY19" s="100"/>
      <c r="CZ19" s="100"/>
      <c r="DA19" s="100"/>
      <c r="DB19" s="101">
        <f>IFERROR(DB16/CQ16-1,0)</f>
        <v>0</v>
      </c>
      <c r="DC19" s="101"/>
      <c r="DD19" s="101"/>
      <c r="DE19" s="101"/>
      <c r="DF19" s="101"/>
      <c r="DG19" s="36"/>
      <c r="DH19" s="100">
        <f>IFERROR(DH16/CW16-1,0)</f>
        <v>0</v>
      </c>
      <c r="DI19" s="100"/>
      <c r="DJ19" s="100"/>
      <c r="DK19" s="100"/>
      <c r="DL19" s="100"/>
      <c r="DM19" s="101">
        <f>IFERROR(DM16/DB16-1,0)</f>
        <v>0</v>
      </c>
      <c r="DN19" s="101"/>
      <c r="DO19" s="101"/>
      <c r="DP19" s="101"/>
      <c r="DQ19" s="101"/>
      <c r="DR19" s="36"/>
      <c r="DS19" s="100">
        <f>IFERROR(DS16/DH16-1,0)</f>
        <v>0</v>
      </c>
      <c r="DT19" s="100"/>
      <c r="DU19" s="100"/>
      <c r="DV19" s="100"/>
      <c r="DW19" s="100"/>
      <c r="DX19" s="101">
        <f>IFERROR(DX16/DM16-1,0)</f>
        <v>0</v>
      </c>
      <c r="DY19" s="101"/>
      <c r="DZ19" s="101"/>
      <c r="EA19" s="101"/>
      <c r="EB19" s="101"/>
      <c r="EC19" s="38"/>
    </row>
    <row r="20" spans="1:133" x14ac:dyDescent="0.3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">
      <c r="A22"/>
    </row>
    <row r="23" spans="1:133" x14ac:dyDescent="0.3">
      <c r="A23"/>
    </row>
    <row r="24" spans="1:133" x14ac:dyDescent="0.3">
      <c r="B24" s="17"/>
      <c r="C24" s="17"/>
      <c r="D24" s="17"/>
      <c r="E24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B19:F19"/>
    <mergeCell ref="G19:K19"/>
    <mergeCell ref="M19:Q19"/>
    <mergeCell ref="R19:V19"/>
    <mergeCell ref="X19:AB19"/>
    <mergeCell ref="DH16:DL16"/>
    <mergeCell ref="DM16:DQ16"/>
    <mergeCell ref="DS16:DW16"/>
    <mergeCell ref="DX16:EB16"/>
    <mergeCell ref="CW16:DA16"/>
    <mergeCell ref="DB16:DF16"/>
    <mergeCell ref="DB19:DF19"/>
    <mergeCell ref="DH19:DL19"/>
    <mergeCell ref="DM19:DQ19"/>
    <mergeCell ref="DS19:DW19"/>
    <mergeCell ref="DX19:EB19"/>
    <mergeCell ref="BE19:BI19"/>
    <mergeCell ref="CW19:DA19"/>
    <mergeCell ref="BP19:BT19"/>
    <mergeCell ref="BU19:BY19"/>
    <mergeCell ref="CA19:CE19"/>
    <mergeCell ref="CF19:CJ19"/>
    <mergeCell ref="CL19:CP19"/>
    <mergeCell ref="CQ19:CU19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3CCF2-F727-4A52-859E-328AB3FD0D41}">
  <sheetPr codeName="Sheet10"/>
  <dimension ref="A1:Z6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6" sqref="C6"/>
    </sheetView>
  </sheetViews>
  <sheetFormatPr defaultColWidth="9.140625" defaultRowHeight="16.5" x14ac:dyDescent="0.3"/>
  <cols>
    <col min="1" max="1" width="27.5703125" style="17" customWidth="1"/>
    <col min="2" max="2" width="3" style="18" customWidth="1"/>
    <col min="3" max="3" width="19.5703125" style="82" customWidth="1"/>
    <col min="4" max="4" width="2.7109375" style="81" customWidth="1"/>
    <col min="5" max="5" width="19.5703125" style="82" bestFit="1" customWidth="1"/>
    <col min="6" max="6" width="2.7109375" style="81" customWidth="1"/>
    <col min="7" max="7" width="19.5703125" style="82" bestFit="1" customWidth="1"/>
    <col min="8" max="8" width="2.42578125" style="81" customWidth="1"/>
    <col min="9" max="9" width="19.5703125" style="82" customWidth="1"/>
    <col min="10" max="10" width="2.42578125" style="81" customWidth="1"/>
    <col min="11" max="11" width="19.5703125" style="82" bestFit="1" customWidth="1"/>
    <col min="12" max="12" width="2.42578125" style="81" customWidth="1"/>
    <col min="13" max="13" width="20.7109375" style="82" bestFit="1" customWidth="1"/>
    <col min="14" max="14" width="2.42578125" style="81" customWidth="1"/>
    <col min="15" max="15" width="19.5703125" style="82" bestFit="1" customWidth="1"/>
    <col min="16" max="16" width="2.42578125" style="81" customWidth="1"/>
    <col min="17" max="17" width="19.5703125" style="82" bestFit="1" customWidth="1"/>
    <col min="18" max="18" width="2.42578125" style="81" customWidth="1"/>
    <col min="19" max="19" width="19.5703125" style="82" bestFit="1" customWidth="1"/>
    <col min="20" max="20" width="2.42578125" style="81" customWidth="1"/>
    <col min="21" max="21" width="19.5703125" style="82" bestFit="1" customWidth="1"/>
    <col min="22" max="22" width="2.42578125" style="81" customWidth="1"/>
    <col min="23" max="23" width="19.5703125" style="82" bestFit="1" customWidth="1"/>
    <col min="24" max="24" width="2.42578125" style="81" customWidth="1"/>
    <col min="25" max="25" width="19.5703125" style="82" bestFit="1" customWidth="1"/>
    <col min="26" max="26" width="0.28515625" style="18" customWidth="1"/>
    <col min="27" max="16384" width="9.140625" style="52"/>
  </cols>
  <sheetData>
    <row r="1" spans="1:26" s="51" customFormat="1" ht="36.950000000000003" customHeight="1" x14ac:dyDescent="0.25">
      <c r="A1" s="31" t="str">
        <f ca="1">"► PERFORMANCE SHIPMENT PerFACTORY " &amp; HOME!$F$5</f>
        <v>► PERFORMANCE SHIPMENT PerFACTORY 2025</v>
      </c>
      <c r="B1" s="31"/>
      <c r="C1" s="31"/>
      <c r="D1" s="80"/>
      <c r="E1" s="31"/>
      <c r="F1" s="80"/>
      <c r="G1" s="31"/>
      <c r="H1" s="80"/>
      <c r="I1" s="31"/>
      <c r="J1" s="80"/>
      <c r="K1" s="31"/>
      <c r="L1" s="80"/>
      <c r="M1" s="31"/>
      <c r="N1" s="80"/>
      <c r="O1" s="31"/>
      <c r="P1" s="80"/>
      <c r="Q1" s="31"/>
      <c r="R1" s="80"/>
      <c r="S1" s="31"/>
      <c r="T1" s="80"/>
      <c r="U1" s="31"/>
      <c r="V1" s="80"/>
      <c r="W1" s="31"/>
      <c r="X1" s="80"/>
      <c r="Y1" s="31"/>
      <c r="Z1" s="31"/>
    </row>
    <row r="2" spans="1:26" ht="18" x14ac:dyDescent="0.3">
      <c r="A2" s="112" t="s">
        <v>48</v>
      </c>
      <c r="B2" s="109" t="s">
        <v>28</v>
      </c>
      <c r="C2" s="111"/>
      <c r="D2" s="109" t="s">
        <v>26</v>
      </c>
      <c r="E2" s="111"/>
      <c r="F2" s="109" t="s">
        <v>29</v>
      </c>
      <c r="G2" s="111"/>
      <c r="H2" s="109" t="s">
        <v>30</v>
      </c>
      <c r="I2" s="111"/>
      <c r="J2" s="109" t="s">
        <v>31</v>
      </c>
      <c r="K2" s="111"/>
      <c r="L2" s="109" t="s">
        <v>32</v>
      </c>
      <c r="M2" s="111"/>
      <c r="N2" s="109" t="s">
        <v>33</v>
      </c>
      <c r="O2" s="111"/>
      <c r="P2" s="109" t="s">
        <v>34</v>
      </c>
      <c r="Q2" s="111"/>
      <c r="R2" s="109" t="s">
        <v>35</v>
      </c>
      <c r="S2" s="111"/>
      <c r="T2" s="109" t="s">
        <v>36</v>
      </c>
      <c r="U2" s="111"/>
      <c r="V2" s="109" t="s">
        <v>37</v>
      </c>
      <c r="W2" s="111"/>
      <c r="X2" s="109" t="s">
        <v>38</v>
      </c>
      <c r="Y2" s="111"/>
      <c r="Z2" s="21"/>
    </row>
    <row r="3" spans="1:26" ht="15.75" x14ac:dyDescent="0.3">
      <c r="A3" s="112"/>
      <c r="B3" s="114" t="s">
        <v>18</v>
      </c>
      <c r="C3" s="115"/>
      <c r="D3" s="114" t="s">
        <v>18</v>
      </c>
      <c r="E3" s="115"/>
      <c r="F3" s="114" t="s">
        <v>18</v>
      </c>
      <c r="G3" s="115"/>
      <c r="H3" s="114" t="s">
        <v>18</v>
      </c>
      <c r="I3" s="115"/>
      <c r="J3" s="114" t="s">
        <v>18</v>
      </c>
      <c r="K3" s="115"/>
      <c r="L3" s="114" t="s">
        <v>18</v>
      </c>
      <c r="M3" s="115"/>
      <c r="N3" s="114" t="s">
        <v>18</v>
      </c>
      <c r="O3" s="115"/>
      <c r="P3" s="114" t="s">
        <v>18</v>
      </c>
      <c r="Q3" s="115"/>
      <c r="R3" s="114" t="s">
        <v>18</v>
      </c>
      <c r="S3" s="115"/>
      <c r="T3" s="114" t="s">
        <v>18</v>
      </c>
      <c r="U3" s="115"/>
      <c r="V3" s="114" t="s">
        <v>18</v>
      </c>
      <c r="W3" s="115"/>
      <c r="X3" s="114" t="s">
        <v>18</v>
      </c>
      <c r="Y3" s="115"/>
      <c r="Z3" s="28"/>
    </row>
    <row r="4" spans="1:26" ht="2.1" customHeight="1" x14ac:dyDescent="0.3">
      <c r="A4" s="95"/>
      <c r="B4" s="94"/>
      <c r="C4" s="93"/>
      <c r="D4" s="91"/>
      <c r="E4" s="93"/>
      <c r="F4" s="91"/>
      <c r="G4" s="93"/>
      <c r="H4" s="91"/>
      <c r="I4" s="92"/>
      <c r="J4" s="91"/>
      <c r="K4" s="93"/>
      <c r="L4" s="91"/>
      <c r="M4" s="92"/>
      <c r="N4" s="91"/>
      <c r="O4" s="93"/>
      <c r="P4" s="91"/>
      <c r="Q4" s="93"/>
      <c r="R4" s="91"/>
      <c r="S4" s="93"/>
      <c r="T4" s="91"/>
      <c r="U4" s="93"/>
      <c r="V4" s="91"/>
      <c r="W4" s="93"/>
      <c r="X4" s="91"/>
      <c r="Y4" s="93"/>
      <c r="Z4" s="28"/>
    </row>
    <row r="5" spans="1:26" x14ac:dyDescent="0.3">
      <c r="A5" s="96"/>
      <c r="C5" s="79">
        <f>IFERROR(VLOOKUP($B$2&amp;"-"&amp;$A5,CC1_InputUser!$T:$Y,6,FALSE),0)</f>
        <v>0</v>
      </c>
      <c r="D5" s="84">
        <f>SIGN(C5-E5)</f>
        <v>0</v>
      </c>
      <c r="E5" s="79">
        <f>IFERROR(VLOOKUP($D$2&amp;"-"&amp;$A5,CC1_InputUser!$T:$Y,6,FALSE),0)</f>
        <v>0</v>
      </c>
      <c r="F5" s="84">
        <f>SIGN(E5-G5)</f>
        <v>0</v>
      </c>
      <c r="G5" s="79">
        <f>IFERROR(VLOOKUP($F$2&amp;"-"&amp;$A5,CC1_InputUser!$T:$Y,6,FALSE),0)</f>
        <v>0</v>
      </c>
      <c r="H5" s="84">
        <f>SIGN(G5-I5)</f>
        <v>0</v>
      </c>
      <c r="I5" s="79">
        <f>IFERROR(VLOOKUP($H$2&amp;"-"&amp;$A5,CC1_InputUser!$T:$Y,6,FALSE),0)</f>
        <v>0</v>
      </c>
      <c r="J5" s="84">
        <f>SIGN(I5-K5)</f>
        <v>0</v>
      </c>
      <c r="K5" s="79">
        <f>IFERROR(VLOOKUP($J$2&amp;"-"&amp;$A5,CC1_InputUser!$T:$Y,6,FALSE),0)</f>
        <v>0</v>
      </c>
      <c r="L5" s="84">
        <f>SIGN(K5-M5)</f>
        <v>0</v>
      </c>
      <c r="M5" s="79">
        <f>IFERROR(VLOOKUP($L$2&amp;"-"&amp;$A5,CC1_InputUser!$T:$Y,6,FALSE),0)</f>
        <v>0</v>
      </c>
      <c r="N5" s="84">
        <f>SIGN(M5-O5)</f>
        <v>0</v>
      </c>
      <c r="O5" s="79">
        <f>IFERROR(VLOOKUP($N$2&amp;"-"&amp;$A5,CC1_InputUser!$T:$Y,6,FALSE),0)</f>
        <v>0</v>
      </c>
      <c r="P5" s="84">
        <f>SIGN(O5-Q5)</f>
        <v>0</v>
      </c>
      <c r="Q5" s="79">
        <f>IFERROR(VLOOKUP($P$2&amp;"-"&amp;$A5,CC1_InputUser!$T:$Y,6,FALSE),0)</f>
        <v>0</v>
      </c>
      <c r="R5" s="84">
        <f>SIGN(Q5-S5)</f>
        <v>0</v>
      </c>
      <c r="S5" s="79">
        <f>IFERROR(VLOOKUP($R$2&amp;"-"&amp;$A5,CC1_InputUser!$T:$Y,6,FALSE),0)</f>
        <v>0</v>
      </c>
      <c r="T5" s="84">
        <f>SIGN(S5-U5)</f>
        <v>0</v>
      </c>
      <c r="U5" s="79">
        <f>IFERROR(VLOOKUP($T$2&amp;"-"&amp;$A5,CC1_InputUser!$T:$Y,6,FALSE),0)</f>
        <v>0</v>
      </c>
      <c r="V5" s="84">
        <f>SIGN(U5-W5)</f>
        <v>0</v>
      </c>
      <c r="W5" s="79">
        <f>IFERROR(VLOOKUP($V$2&amp;"-"&amp;$A5,CC1_InputUser!$T:$Y,6,FALSE),0)</f>
        <v>0</v>
      </c>
      <c r="X5" s="84">
        <f>SIGN(W5-Y5)</f>
        <v>0</v>
      </c>
      <c r="Y5" s="79">
        <f>IFERROR(VLOOKUP($X$2&amp;"-"&amp;$A5,CC1_InputUser!$T:$Y,6,FALSE),0)</f>
        <v>0</v>
      </c>
    </row>
    <row r="6" spans="1:26" x14ac:dyDescent="0.3">
      <c r="A6" s="96"/>
      <c r="C6" s="79"/>
      <c r="D6" s="84">
        <f t="shared" ref="D6:D54" si="0">SIGN(C6-E6)</f>
        <v>0</v>
      </c>
      <c r="E6" s="79"/>
      <c r="F6" s="84">
        <f t="shared" ref="F6:H54" si="1">SIGN(E6-G6)</f>
        <v>0</v>
      </c>
      <c r="G6" s="79"/>
      <c r="H6" s="84">
        <f t="shared" si="1"/>
        <v>0</v>
      </c>
      <c r="I6" s="79"/>
      <c r="J6" s="84">
        <f t="shared" ref="J6" si="2">SIGN(I6-K6)</f>
        <v>0</v>
      </c>
      <c r="K6" s="79"/>
      <c r="L6" s="84">
        <f t="shared" ref="L6" si="3">SIGN(K6-M6)</f>
        <v>0</v>
      </c>
      <c r="M6" s="79"/>
      <c r="N6" s="84">
        <f t="shared" ref="N6" si="4">SIGN(M6-O6)</f>
        <v>0</v>
      </c>
      <c r="O6" s="79"/>
      <c r="P6" s="84">
        <f t="shared" ref="P6" si="5">SIGN(O6-Q6)</f>
        <v>0</v>
      </c>
      <c r="Q6" s="79"/>
      <c r="R6" s="84">
        <f t="shared" ref="R6" si="6">SIGN(Q6-S6)</f>
        <v>0</v>
      </c>
      <c r="S6" s="79"/>
      <c r="T6" s="84">
        <f t="shared" ref="T6" si="7">SIGN(S6-U6)</f>
        <v>0</v>
      </c>
      <c r="U6" s="79"/>
      <c r="V6" s="84">
        <f t="shared" ref="V6" si="8">SIGN(U6-W6)</f>
        <v>0</v>
      </c>
      <c r="W6" s="79"/>
      <c r="X6" s="84">
        <f t="shared" ref="X6" si="9">SIGN(W6-Y6)</f>
        <v>0</v>
      </c>
      <c r="Y6" s="79"/>
    </row>
    <row r="7" spans="1:26" x14ac:dyDescent="0.3">
      <c r="A7" s="96"/>
      <c r="C7" s="79"/>
      <c r="D7" s="84">
        <f t="shared" si="0"/>
        <v>0</v>
      </c>
      <c r="E7" s="79"/>
      <c r="F7" s="84">
        <f t="shared" si="1"/>
        <v>0</v>
      </c>
      <c r="G7" s="79"/>
      <c r="H7" s="84">
        <f t="shared" si="1"/>
        <v>0</v>
      </c>
      <c r="I7" s="79"/>
      <c r="J7" s="84">
        <f t="shared" ref="J7" si="10">SIGN(I7-K7)</f>
        <v>0</v>
      </c>
      <c r="K7" s="79"/>
      <c r="L7" s="84">
        <f t="shared" ref="L7" si="11">SIGN(K7-M7)</f>
        <v>0</v>
      </c>
      <c r="M7" s="79"/>
      <c r="N7" s="84">
        <f t="shared" ref="N7" si="12">SIGN(M7-O7)</f>
        <v>0</v>
      </c>
      <c r="O7" s="79"/>
      <c r="P7" s="84">
        <f t="shared" ref="P7" si="13">SIGN(O7-Q7)</f>
        <v>0</v>
      </c>
      <c r="Q7" s="79"/>
      <c r="R7" s="84">
        <f t="shared" ref="R7" si="14">SIGN(Q7-S7)</f>
        <v>0</v>
      </c>
      <c r="S7" s="79"/>
      <c r="T7" s="84">
        <f t="shared" ref="T7" si="15">SIGN(S7-U7)</f>
        <v>0</v>
      </c>
      <c r="U7" s="79"/>
      <c r="V7" s="84">
        <f t="shared" ref="V7" si="16">SIGN(U7-W7)</f>
        <v>0</v>
      </c>
      <c r="W7" s="79"/>
      <c r="X7" s="84">
        <f t="shared" ref="X7" si="17">SIGN(W7-Y7)</f>
        <v>0</v>
      </c>
      <c r="Y7" s="79"/>
    </row>
    <row r="8" spans="1:26" x14ac:dyDescent="0.3">
      <c r="A8" s="96"/>
      <c r="C8" s="79"/>
      <c r="D8" s="84">
        <f t="shared" si="0"/>
        <v>0</v>
      </c>
      <c r="E8" s="79"/>
      <c r="F8" s="84">
        <f t="shared" si="1"/>
        <v>0</v>
      </c>
      <c r="G8" s="79"/>
      <c r="H8" s="84">
        <f t="shared" si="1"/>
        <v>0</v>
      </c>
      <c r="I8" s="79"/>
      <c r="J8" s="84">
        <f t="shared" ref="J8" si="18">SIGN(I8-K8)</f>
        <v>0</v>
      </c>
      <c r="K8" s="79"/>
      <c r="L8" s="84">
        <f t="shared" ref="L8" si="19">SIGN(K8-M8)</f>
        <v>0</v>
      </c>
      <c r="M8" s="79"/>
      <c r="N8" s="84">
        <f t="shared" ref="N8" si="20">SIGN(M8-O8)</f>
        <v>0</v>
      </c>
      <c r="O8" s="79"/>
      <c r="P8" s="84">
        <f t="shared" ref="P8" si="21">SIGN(O8-Q8)</f>
        <v>0</v>
      </c>
      <c r="Q8" s="79"/>
      <c r="R8" s="84">
        <f t="shared" ref="R8" si="22">SIGN(Q8-S8)</f>
        <v>0</v>
      </c>
      <c r="S8" s="79"/>
      <c r="T8" s="84">
        <f t="shared" ref="T8" si="23">SIGN(S8-U8)</f>
        <v>0</v>
      </c>
      <c r="U8" s="79"/>
      <c r="V8" s="84">
        <f t="shared" ref="V8" si="24">SIGN(U8-W8)</f>
        <v>0</v>
      </c>
      <c r="W8" s="79"/>
      <c r="X8" s="84">
        <f t="shared" ref="X8" si="25">SIGN(W8-Y8)</f>
        <v>0</v>
      </c>
      <c r="Y8" s="79"/>
    </row>
    <row r="9" spans="1:26" x14ac:dyDescent="0.3">
      <c r="A9" s="96"/>
      <c r="C9" s="79"/>
      <c r="D9" s="84">
        <f t="shared" si="0"/>
        <v>0</v>
      </c>
      <c r="E9" s="79"/>
      <c r="F9" s="84">
        <f t="shared" si="1"/>
        <v>0</v>
      </c>
      <c r="G9" s="79"/>
      <c r="H9" s="84">
        <f t="shared" si="1"/>
        <v>0</v>
      </c>
      <c r="I9" s="79"/>
      <c r="J9" s="84">
        <f t="shared" ref="J9" si="26">SIGN(I9-K9)</f>
        <v>0</v>
      </c>
      <c r="K9" s="79"/>
      <c r="L9" s="84">
        <f t="shared" ref="L9" si="27">SIGN(K9-M9)</f>
        <v>0</v>
      </c>
      <c r="M9" s="79"/>
      <c r="N9" s="84">
        <f t="shared" ref="N9" si="28">SIGN(M9-O9)</f>
        <v>0</v>
      </c>
      <c r="O9" s="79"/>
      <c r="P9" s="84">
        <f t="shared" ref="P9" si="29">SIGN(O9-Q9)</f>
        <v>0</v>
      </c>
      <c r="Q9" s="79"/>
      <c r="R9" s="84">
        <f t="shared" ref="R9" si="30">SIGN(Q9-S9)</f>
        <v>0</v>
      </c>
      <c r="S9" s="79"/>
      <c r="T9" s="84">
        <f t="shared" ref="T9" si="31">SIGN(S9-U9)</f>
        <v>0</v>
      </c>
      <c r="U9" s="79"/>
      <c r="V9" s="84">
        <f t="shared" ref="V9" si="32">SIGN(U9-W9)</f>
        <v>0</v>
      </c>
      <c r="W9" s="79"/>
      <c r="X9" s="84">
        <f t="shared" ref="X9" si="33">SIGN(W9-Y9)</f>
        <v>0</v>
      </c>
      <c r="Y9" s="79"/>
    </row>
    <row r="10" spans="1:26" x14ac:dyDescent="0.3">
      <c r="A10" s="96"/>
      <c r="C10" s="79"/>
      <c r="D10" s="84">
        <f t="shared" si="0"/>
        <v>0</v>
      </c>
      <c r="E10" s="79"/>
      <c r="F10" s="84">
        <f t="shared" si="1"/>
        <v>0</v>
      </c>
      <c r="G10" s="79"/>
      <c r="H10" s="84">
        <f t="shared" si="1"/>
        <v>0</v>
      </c>
      <c r="I10" s="79"/>
      <c r="J10" s="84">
        <f t="shared" ref="J10" si="34">SIGN(I10-K10)</f>
        <v>0</v>
      </c>
      <c r="K10" s="79"/>
      <c r="L10" s="84">
        <f t="shared" ref="L10" si="35">SIGN(K10-M10)</f>
        <v>0</v>
      </c>
      <c r="M10" s="79"/>
      <c r="N10" s="84">
        <f t="shared" ref="N10" si="36">SIGN(M10-O10)</f>
        <v>0</v>
      </c>
      <c r="O10" s="79"/>
      <c r="P10" s="84">
        <f t="shared" ref="P10" si="37">SIGN(O10-Q10)</f>
        <v>0</v>
      </c>
      <c r="Q10" s="79"/>
      <c r="R10" s="84">
        <f t="shared" ref="R10" si="38">SIGN(Q10-S10)</f>
        <v>0</v>
      </c>
      <c r="S10" s="79"/>
      <c r="T10" s="84">
        <f t="shared" ref="T10" si="39">SIGN(S10-U10)</f>
        <v>0</v>
      </c>
      <c r="U10" s="79"/>
      <c r="V10" s="84">
        <f t="shared" ref="V10" si="40">SIGN(U10-W10)</f>
        <v>0</v>
      </c>
      <c r="W10" s="79"/>
      <c r="X10" s="84">
        <f t="shared" ref="X10" si="41">SIGN(W10-Y10)</f>
        <v>0</v>
      </c>
      <c r="Y10" s="79"/>
    </row>
    <row r="11" spans="1:26" x14ac:dyDescent="0.3">
      <c r="A11" s="96"/>
      <c r="C11" s="79"/>
      <c r="D11" s="84">
        <f t="shared" si="0"/>
        <v>0</v>
      </c>
      <c r="E11" s="79"/>
      <c r="F11" s="84">
        <f t="shared" si="1"/>
        <v>0</v>
      </c>
      <c r="G11" s="79"/>
      <c r="H11" s="84">
        <f t="shared" si="1"/>
        <v>0</v>
      </c>
      <c r="I11" s="79"/>
      <c r="J11" s="84">
        <f t="shared" ref="J11" si="42">SIGN(I11-K11)</f>
        <v>0</v>
      </c>
      <c r="K11" s="79"/>
      <c r="L11" s="84">
        <f t="shared" ref="L11" si="43">SIGN(K11-M11)</f>
        <v>0</v>
      </c>
      <c r="M11" s="79"/>
      <c r="N11" s="84">
        <f t="shared" ref="N11" si="44">SIGN(M11-O11)</f>
        <v>0</v>
      </c>
      <c r="O11" s="79"/>
      <c r="P11" s="84">
        <f t="shared" ref="P11" si="45">SIGN(O11-Q11)</f>
        <v>0</v>
      </c>
      <c r="Q11" s="79"/>
      <c r="R11" s="84">
        <f t="shared" ref="R11" si="46">SIGN(Q11-S11)</f>
        <v>0</v>
      </c>
      <c r="S11" s="79"/>
      <c r="T11" s="84">
        <f t="shared" ref="T11" si="47">SIGN(S11-U11)</f>
        <v>0</v>
      </c>
      <c r="U11" s="79"/>
      <c r="V11" s="84">
        <f t="shared" ref="V11" si="48">SIGN(U11-W11)</f>
        <v>0</v>
      </c>
      <c r="W11" s="79"/>
      <c r="X11" s="84">
        <f t="shared" ref="X11" si="49">SIGN(W11-Y11)</f>
        <v>0</v>
      </c>
      <c r="Y11" s="79"/>
    </row>
    <row r="12" spans="1:26" x14ac:dyDescent="0.3">
      <c r="A12" s="96"/>
      <c r="C12" s="79"/>
      <c r="D12" s="84">
        <f t="shared" si="0"/>
        <v>0</v>
      </c>
      <c r="E12" s="79"/>
      <c r="F12" s="84">
        <f t="shared" si="1"/>
        <v>0</v>
      </c>
      <c r="G12" s="79"/>
      <c r="H12" s="84">
        <f t="shared" si="1"/>
        <v>0</v>
      </c>
      <c r="I12" s="79"/>
      <c r="J12" s="84">
        <f t="shared" ref="J12" si="50">SIGN(I12-K12)</f>
        <v>0</v>
      </c>
      <c r="K12" s="79"/>
      <c r="L12" s="84">
        <f t="shared" ref="L12" si="51">SIGN(K12-M12)</f>
        <v>0</v>
      </c>
      <c r="M12" s="79"/>
      <c r="N12" s="84">
        <f t="shared" ref="N12" si="52">SIGN(M12-O12)</f>
        <v>0</v>
      </c>
      <c r="O12" s="79"/>
      <c r="P12" s="84">
        <f t="shared" ref="P12" si="53">SIGN(O12-Q12)</f>
        <v>0</v>
      </c>
      <c r="Q12" s="79"/>
      <c r="R12" s="84">
        <f t="shared" ref="R12" si="54">SIGN(Q12-S12)</f>
        <v>0</v>
      </c>
      <c r="S12" s="79"/>
      <c r="T12" s="84">
        <f t="shared" ref="T12" si="55">SIGN(S12-U12)</f>
        <v>0</v>
      </c>
      <c r="U12" s="79"/>
      <c r="V12" s="84">
        <f t="shared" ref="V12" si="56">SIGN(U12-W12)</f>
        <v>0</v>
      </c>
      <c r="W12" s="79"/>
      <c r="X12" s="84">
        <f t="shared" ref="X12" si="57">SIGN(W12-Y12)</f>
        <v>0</v>
      </c>
      <c r="Y12" s="79"/>
    </row>
    <row r="13" spans="1:26" x14ac:dyDescent="0.3">
      <c r="A13" s="96"/>
      <c r="C13" s="79"/>
      <c r="D13" s="84">
        <f t="shared" si="0"/>
        <v>0</v>
      </c>
      <c r="E13" s="79"/>
      <c r="F13" s="84">
        <f t="shared" si="1"/>
        <v>0</v>
      </c>
      <c r="G13" s="79"/>
      <c r="H13" s="84">
        <f t="shared" si="1"/>
        <v>0</v>
      </c>
      <c r="I13" s="79"/>
      <c r="J13" s="84">
        <f t="shared" ref="J13" si="58">SIGN(I13-K13)</f>
        <v>0</v>
      </c>
      <c r="K13" s="79"/>
      <c r="L13" s="84">
        <f t="shared" ref="L13" si="59">SIGN(K13-M13)</f>
        <v>0</v>
      </c>
      <c r="M13" s="79"/>
      <c r="N13" s="84">
        <f t="shared" ref="N13" si="60">SIGN(M13-O13)</f>
        <v>0</v>
      </c>
      <c r="O13" s="79"/>
      <c r="P13" s="84">
        <f t="shared" ref="P13" si="61">SIGN(O13-Q13)</f>
        <v>0</v>
      </c>
      <c r="Q13" s="79"/>
      <c r="R13" s="84">
        <f t="shared" ref="R13" si="62">SIGN(Q13-S13)</f>
        <v>0</v>
      </c>
      <c r="S13" s="79"/>
      <c r="T13" s="84">
        <f t="shared" ref="T13" si="63">SIGN(S13-U13)</f>
        <v>0</v>
      </c>
      <c r="U13" s="79"/>
      <c r="V13" s="84">
        <f t="shared" ref="V13" si="64">SIGN(U13-W13)</f>
        <v>0</v>
      </c>
      <c r="W13" s="79"/>
      <c r="X13" s="84">
        <f t="shared" ref="X13" si="65">SIGN(W13-Y13)</f>
        <v>0</v>
      </c>
      <c r="Y13" s="79"/>
    </row>
    <row r="14" spans="1:26" x14ac:dyDescent="0.3">
      <c r="A14" s="96"/>
      <c r="C14" s="79"/>
      <c r="D14" s="84">
        <f t="shared" si="0"/>
        <v>0</v>
      </c>
      <c r="E14" s="79"/>
      <c r="F14" s="84">
        <f t="shared" si="1"/>
        <v>0</v>
      </c>
      <c r="G14" s="79"/>
      <c r="H14" s="84">
        <f t="shared" si="1"/>
        <v>0</v>
      </c>
      <c r="I14" s="79"/>
      <c r="J14" s="84">
        <f t="shared" ref="J14" si="66">SIGN(I14-K14)</f>
        <v>0</v>
      </c>
      <c r="K14" s="79"/>
      <c r="L14" s="84">
        <f t="shared" ref="L14" si="67">SIGN(K14-M14)</f>
        <v>0</v>
      </c>
      <c r="M14" s="79"/>
      <c r="N14" s="84">
        <f t="shared" ref="N14" si="68">SIGN(M14-O14)</f>
        <v>0</v>
      </c>
      <c r="O14" s="79"/>
      <c r="P14" s="84">
        <f t="shared" ref="P14" si="69">SIGN(O14-Q14)</f>
        <v>0</v>
      </c>
      <c r="Q14" s="79"/>
      <c r="R14" s="84">
        <f t="shared" ref="R14" si="70">SIGN(Q14-S14)</f>
        <v>0</v>
      </c>
      <c r="S14" s="79"/>
      <c r="T14" s="84">
        <f t="shared" ref="T14" si="71">SIGN(S14-U14)</f>
        <v>0</v>
      </c>
      <c r="U14" s="79"/>
      <c r="V14" s="84">
        <f t="shared" ref="V14" si="72">SIGN(U14-W14)</f>
        <v>0</v>
      </c>
      <c r="W14" s="79"/>
      <c r="X14" s="84">
        <f t="shared" ref="X14" si="73">SIGN(W14-Y14)</f>
        <v>0</v>
      </c>
      <c r="Y14" s="79"/>
    </row>
    <row r="15" spans="1:26" x14ac:dyDescent="0.3">
      <c r="A15" s="96"/>
      <c r="C15" s="79"/>
      <c r="D15" s="84">
        <f t="shared" si="0"/>
        <v>0</v>
      </c>
      <c r="E15" s="79"/>
      <c r="F15" s="84">
        <f t="shared" si="1"/>
        <v>0</v>
      </c>
      <c r="G15" s="79"/>
      <c r="H15" s="84">
        <f t="shared" si="1"/>
        <v>0</v>
      </c>
      <c r="I15" s="79"/>
      <c r="J15" s="84">
        <f t="shared" ref="J15" si="74">SIGN(I15-K15)</f>
        <v>0</v>
      </c>
      <c r="K15" s="79"/>
      <c r="L15" s="84">
        <f t="shared" ref="L15" si="75">SIGN(K15-M15)</f>
        <v>0</v>
      </c>
      <c r="M15" s="79"/>
      <c r="N15" s="84">
        <f t="shared" ref="N15" si="76">SIGN(M15-O15)</f>
        <v>0</v>
      </c>
      <c r="O15" s="79"/>
      <c r="P15" s="84">
        <f t="shared" ref="P15" si="77">SIGN(O15-Q15)</f>
        <v>0</v>
      </c>
      <c r="Q15" s="79"/>
      <c r="R15" s="84">
        <f t="shared" ref="R15" si="78">SIGN(Q15-S15)</f>
        <v>0</v>
      </c>
      <c r="S15" s="79"/>
      <c r="T15" s="84">
        <f t="shared" ref="T15" si="79">SIGN(S15-U15)</f>
        <v>0</v>
      </c>
      <c r="U15" s="79"/>
      <c r="V15" s="84">
        <f t="shared" ref="V15" si="80">SIGN(U15-W15)</f>
        <v>0</v>
      </c>
      <c r="W15" s="79"/>
      <c r="X15" s="84">
        <f t="shared" ref="X15" si="81">SIGN(W15-Y15)</f>
        <v>0</v>
      </c>
      <c r="Y15" s="79"/>
    </row>
    <row r="16" spans="1:26" x14ac:dyDescent="0.3">
      <c r="A16" s="96"/>
      <c r="C16" s="79"/>
      <c r="D16" s="84">
        <f t="shared" si="0"/>
        <v>0</v>
      </c>
      <c r="E16" s="79"/>
      <c r="F16" s="84">
        <f t="shared" si="1"/>
        <v>0</v>
      </c>
      <c r="G16" s="79"/>
      <c r="H16" s="84">
        <f t="shared" si="1"/>
        <v>0</v>
      </c>
      <c r="I16" s="79"/>
      <c r="J16" s="84">
        <f t="shared" ref="J16" si="82">SIGN(I16-K16)</f>
        <v>0</v>
      </c>
      <c r="K16" s="79"/>
      <c r="L16" s="84">
        <f t="shared" ref="L16" si="83">SIGN(K16-M16)</f>
        <v>0</v>
      </c>
      <c r="M16" s="79"/>
      <c r="N16" s="84">
        <f t="shared" ref="N16" si="84">SIGN(M16-O16)</f>
        <v>0</v>
      </c>
      <c r="O16" s="79"/>
      <c r="P16" s="84">
        <f t="shared" ref="P16" si="85">SIGN(O16-Q16)</f>
        <v>0</v>
      </c>
      <c r="Q16" s="79"/>
      <c r="R16" s="84">
        <f t="shared" ref="R16" si="86">SIGN(Q16-S16)</f>
        <v>0</v>
      </c>
      <c r="S16" s="79"/>
      <c r="T16" s="84">
        <f t="shared" ref="T16" si="87">SIGN(S16-U16)</f>
        <v>0</v>
      </c>
      <c r="U16" s="79"/>
      <c r="V16" s="84">
        <f t="shared" ref="V16" si="88">SIGN(U16-W16)</f>
        <v>0</v>
      </c>
      <c r="W16" s="79"/>
      <c r="X16" s="84">
        <f t="shared" ref="X16" si="89">SIGN(W16-Y16)</f>
        <v>0</v>
      </c>
      <c r="Y16" s="79"/>
    </row>
    <row r="17" spans="1:25" x14ac:dyDescent="0.3">
      <c r="A17" s="96"/>
      <c r="C17" s="79"/>
      <c r="D17" s="84">
        <f t="shared" si="0"/>
        <v>0</v>
      </c>
      <c r="E17" s="79"/>
      <c r="F17" s="84">
        <f t="shared" si="1"/>
        <v>0</v>
      </c>
      <c r="G17" s="79"/>
      <c r="H17" s="84">
        <f t="shared" si="1"/>
        <v>0</v>
      </c>
      <c r="I17" s="79"/>
      <c r="J17" s="84">
        <f t="shared" ref="J17" si="90">SIGN(I17-K17)</f>
        <v>0</v>
      </c>
      <c r="K17" s="79"/>
      <c r="L17" s="84">
        <f t="shared" ref="L17" si="91">SIGN(K17-M17)</f>
        <v>0</v>
      </c>
      <c r="M17" s="79"/>
      <c r="N17" s="84">
        <f t="shared" ref="N17" si="92">SIGN(M17-O17)</f>
        <v>0</v>
      </c>
      <c r="O17" s="79"/>
      <c r="P17" s="84">
        <f t="shared" ref="P17" si="93">SIGN(O17-Q17)</f>
        <v>0</v>
      </c>
      <c r="Q17" s="79"/>
      <c r="R17" s="84">
        <f t="shared" ref="R17" si="94">SIGN(Q17-S17)</f>
        <v>0</v>
      </c>
      <c r="S17" s="79"/>
      <c r="T17" s="84">
        <f t="shared" ref="T17" si="95">SIGN(S17-U17)</f>
        <v>0</v>
      </c>
      <c r="U17" s="79"/>
      <c r="V17" s="84">
        <f t="shared" ref="V17" si="96">SIGN(U17-W17)</f>
        <v>0</v>
      </c>
      <c r="W17" s="79"/>
      <c r="X17" s="84">
        <f t="shared" ref="X17" si="97">SIGN(W17-Y17)</f>
        <v>0</v>
      </c>
      <c r="Y17" s="79"/>
    </row>
    <row r="18" spans="1:25" x14ac:dyDescent="0.3">
      <c r="A18" s="96"/>
      <c r="C18" s="79"/>
      <c r="D18" s="84">
        <f t="shared" si="0"/>
        <v>0</v>
      </c>
      <c r="E18" s="79"/>
      <c r="F18" s="84">
        <f t="shared" si="1"/>
        <v>0</v>
      </c>
      <c r="G18" s="79"/>
      <c r="H18" s="84">
        <f t="shared" si="1"/>
        <v>0</v>
      </c>
      <c r="I18" s="79"/>
      <c r="J18" s="84">
        <f t="shared" ref="J18" si="98">SIGN(I18-K18)</f>
        <v>0</v>
      </c>
      <c r="K18" s="79"/>
      <c r="L18" s="84">
        <f t="shared" ref="L18" si="99">SIGN(K18-M18)</f>
        <v>0</v>
      </c>
      <c r="M18" s="79"/>
      <c r="N18" s="84">
        <f t="shared" ref="N18" si="100">SIGN(M18-O18)</f>
        <v>0</v>
      </c>
      <c r="O18" s="79"/>
      <c r="P18" s="84">
        <f t="shared" ref="P18" si="101">SIGN(O18-Q18)</f>
        <v>0</v>
      </c>
      <c r="Q18" s="79"/>
      <c r="R18" s="84">
        <f t="shared" ref="R18" si="102">SIGN(Q18-S18)</f>
        <v>0</v>
      </c>
      <c r="S18" s="79"/>
      <c r="T18" s="84">
        <f t="shared" ref="T18" si="103">SIGN(S18-U18)</f>
        <v>0</v>
      </c>
      <c r="U18" s="79"/>
      <c r="V18" s="84">
        <f t="shared" ref="V18" si="104">SIGN(U18-W18)</f>
        <v>0</v>
      </c>
      <c r="W18" s="79"/>
      <c r="X18" s="84">
        <f t="shared" ref="X18" si="105">SIGN(W18-Y18)</f>
        <v>0</v>
      </c>
      <c r="Y18" s="79"/>
    </row>
    <row r="19" spans="1:25" x14ac:dyDescent="0.3">
      <c r="A19" s="96"/>
      <c r="C19" s="79"/>
      <c r="D19" s="84">
        <f t="shared" si="0"/>
        <v>0</v>
      </c>
      <c r="E19" s="79"/>
      <c r="F19" s="84">
        <f t="shared" si="1"/>
        <v>0</v>
      </c>
      <c r="G19" s="79"/>
      <c r="H19" s="84">
        <f t="shared" si="1"/>
        <v>0</v>
      </c>
      <c r="I19" s="79"/>
      <c r="J19" s="84">
        <f t="shared" ref="J19" si="106">SIGN(I19-K19)</f>
        <v>0</v>
      </c>
      <c r="K19" s="79"/>
      <c r="L19" s="84">
        <f t="shared" ref="L19" si="107">SIGN(K19-M19)</f>
        <v>0</v>
      </c>
      <c r="M19" s="79"/>
      <c r="N19" s="84">
        <f t="shared" ref="N19" si="108">SIGN(M19-O19)</f>
        <v>0</v>
      </c>
      <c r="O19" s="79"/>
      <c r="P19" s="84">
        <f t="shared" ref="P19" si="109">SIGN(O19-Q19)</f>
        <v>0</v>
      </c>
      <c r="Q19" s="79"/>
      <c r="R19" s="84">
        <f t="shared" ref="R19" si="110">SIGN(Q19-S19)</f>
        <v>0</v>
      </c>
      <c r="S19" s="79"/>
      <c r="T19" s="84">
        <f t="shared" ref="T19" si="111">SIGN(S19-U19)</f>
        <v>0</v>
      </c>
      <c r="U19" s="79"/>
      <c r="V19" s="84">
        <f t="shared" ref="V19" si="112">SIGN(U19-W19)</f>
        <v>0</v>
      </c>
      <c r="W19" s="79"/>
      <c r="X19" s="84">
        <f t="shared" ref="X19" si="113">SIGN(W19-Y19)</f>
        <v>0</v>
      </c>
      <c r="Y19" s="79"/>
    </row>
    <row r="20" spans="1:25" x14ac:dyDescent="0.3">
      <c r="A20" s="96"/>
      <c r="C20" s="79"/>
      <c r="D20" s="84">
        <f t="shared" si="0"/>
        <v>0</v>
      </c>
      <c r="E20" s="79"/>
      <c r="F20" s="84">
        <f t="shared" si="1"/>
        <v>0</v>
      </c>
      <c r="G20" s="79"/>
      <c r="H20" s="84">
        <f t="shared" si="1"/>
        <v>0</v>
      </c>
      <c r="I20" s="79"/>
      <c r="J20" s="84">
        <f t="shared" ref="J20" si="114">SIGN(I20-K20)</f>
        <v>0</v>
      </c>
      <c r="K20" s="79"/>
      <c r="L20" s="84">
        <f t="shared" ref="L20" si="115">SIGN(K20-M20)</f>
        <v>0</v>
      </c>
      <c r="M20" s="79"/>
      <c r="N20" s="84">
        <f t="shared" ref="N20" si="116">SIGN(M20-O20)</f>
        <v>0</v>
      </c>
      <c r="O20" s="79"/>
      <c r="P20" s="84">
        <f t="shared" ref="P20" si="117">SIGN(O20-Q20)</f>
        <v>0</v>
      </c>
      <c r="Q20" s="79"/>
      <c r="R20" s="84">
        <f t="shared" ref="R20" si="118">SIGN(Q20-S20)</f>
        <v>0</v>
      </c>
      <c r="S20" s="79"/>
      <c r="T20" s="84">
        <f t="shared" ref="T20" si="119">SIGN(S20-U20)</f>
        <v>0</v>
      </c>
      <c r="U20" s="79"/>
      <c r="V20" s="84">
        <f t="shared" ref="V20" si="120">SIGN(U20-W20)</f>
        <v>0</v>
      </c>
      <c r="W20" s="79"/>
      <c r="X20" s="84">
        <f t="shared" ref="X20" si="121">SIGN(W20-Y20)</f>
        <v>0</v>
      </c>
      <c r="Y20" s="79"/>
    </row>
    <row r="21" spans="1:25" x14ac:dyDescent="0.3">
      <c r="A21" s="96"/>
      <c r="C21" s="79"/>
      <c r="D21" s="84">
        <f t="shared" si="0"/>
        <v>0</v>
      </c>
      <c r="E21" s="79"/>
      <c r="F21" s="84">
        <f t="shared" si="1"/>
        <v>0</v>
      </c>
      <c r="G21" s="79"/>
      <c r="H21" s="84">
        <f t="shared" si="1"/>
        <v>0</v>
      </c>
      <c r="I21" s="79"/>
      <c r="J21" s="84">
        <f t="shared" ref="J21" si="122">SIGN(I21-K21)</f>
        <v>0</v>
      </c>
      <c r="K21" s="79"/>
      <c r="L21" s="84">
        <f t="shared" ref="L21" si="123">SIGN(K21-M21)</f>
        <v>0</v>
      </c>
      <c r="M21" s="79"/>
      <c r="N21" s="84">
        <f t="shared" ref="N21" si="124">SIGN(M21-O21)</f>
        <v>0</v>
      </c>
      <c r="O21" s="79"/>
      <c r="P21" s="84">
        <f t="shared" ref="P21" si="125">SIGN(O21-Q21)</f>
        <v>0</v>
      </c>
      <c r="Q21" s="79"/>
      <c r="R21" s="84">
        <f t="shared" ref="R21" si="126">SIGN(Q21-S21)</f>
        <v>0</v>
      </c>
      <c r="S21" s="79"/>
      <c r="T21" s="84">
        <f t="shared" ref="T21" si="127">SIGN(S21-U21)</f>
        <v>0</v>
      </c>
      <c r="U21" s="79"/>
      <c r="V21" s="84">
        <f t="shared" ref="V21" si="128">SIGN(U21-W21)</f>
        <v>0</v>
      </c>
      <c r="W21" s="79"/>
      <c r="X21" s="84">
        <f t="shared" ref="X21" si="129">SIGN(W21-Y21)</f>
        <v>0</v>
      </c>
      <c r="Y21" s="79"/>
    </row>
    <row r="22" spans="1:25" x14ac:dyDescent="0.3">
      <c r="A22" s="96"/>
      <c r="C22" s="79"/>
      <c r="D22" s="84">
        <f t="shared" si="0"/>
        <v>0</v>
      </c>
      <c r="E22" s="79"/>
      <c r="F22" s="84">
        <f t="shared" si="1"/>
        <v>0</v>
      </c>
      <c r="G22" s="79"/>
      <c r="H22" s="84">
        <f t="shared" si="1"/>
        <v>0</v>
      </c>
      <c r="I22" s="79"/>
      <c r="J22" s="84">
        <f t="shared" ref="J22" si="130">SIGN(I22-K22)</f>
        <v>0</v>
      </c>
      <c r="K22" s="79"/>
      <c r="L22" s="84">
        <f t="shared" ref="L22" si="131">SIGN(K22-M22)</f>
        <v>0</v>
      </c>
      <c r="M22" s="79"/>
      <c r="N22" s="84">
        <f t="shared" ref="N22" si="132">SIGN(M22-O22)</f>
        <v>0</v>
      </c>
      <c r="O22" s="79"/>
      <c r="P22" s="84">
        <f t="shared" ref="P22" si="133">SIGN(O22-Q22)</f>
        <v>0</v>
      </c>
      <c r="Q22" s="79"/>
      <c r="R22" s="84">
        <f t="shared" ref="R22" si="134">SIGN(Q22-S22)</f>
        <v>0</v>
      </c>
      <c r="S22" s="79"/>
      <c r="T22" s="84">
        <f t="shared" ref="T22" si="135">SIGN(S22-U22)</f>
        <v>0</v>
      </c>
      <c r="U22" s="79"/>
      <c r="V22" s="84">
        <f t="shared" ref="V22" si="136">SIGN(U22-W22)</f>
        <v>0</v>
      </c>
      <c r="W22" s="79"/>
      <c r="X22" s="84">
        <f t="shared" ref="X22" si="137">SIGN(W22-Y22)</f>
        <v>0</v>
      </c>
      <c r="Y22" s="79"/>
    </row>
    <row r="23" spans="1:25" x14ac:dyDescent="0.3">
      <c r="A23" s="96"/>
      <c r="C23" s="79"/>
      <c r="D23" s="84">
        <f t="shared" si="0"/>
        <v>0</v>
      </c>
      <c r="E23" s="79"/>
      <c r="F23" s="84">
        <f t="shared" si="1"/>
        <v>0</v>
      </c>
      <c r="G23" s="79"/>
      <c r="H23" s="84">
        <f t="shared" si="1"/>
        <v>0</v>
      </c>
      <c r="I23" s="79"/>
      <c r="J23" s="84">
        <f t="shared" ref="J23" si="138">SIGN(I23-K23)</f>
        <v>0</v>
      </c>
      <c r="K23" s="79"/>
      <c r="L23" s="84">
        <f t="shared" ref="L23" si="139">SIGN(K23-M23)</f>
        <v>0</v>
      </c>
      <c r="M23" s="79"/>
      <c r="N23" s="84">
        <f t="shared" ref="N23" si="140">SIGN(M23-O23)</f>
        <v>0</v>
      </c>
      <c r="O23" s="79"/>
      <c r="P23" s="84">
        <f t="shared" ref="P23" si="141">SIGN(O23-Q23)</f>
        <v>0</v>
      </c>
      <c r="Q23" s="79"/>
      <c r="R23" s="84">
        <f t="shared" ref="R23" si="142">SIGN(Q23-S23)</f>
        <v>0</v>
      </c>
      <c r="S23" s="79"/>
      <c r="T23" s="84">
        <f t="shared" ref="T23" si="143">SIGN(S23-U23)</f>
        <v>0</v>
      </c>
      <c r="U23" s="79"/>
      <c r="V23" s="84">
        <f t="shared" ref="V23" si="144">SIGN(U23-W23)</f>
        <v>0</v>
      </c>
      <c r="W23" s="79"/>
      <c r="X23" s="84">
        <f t="shared" ref="X23" si="145">SIGN(W23-Y23)</f>
        <v>0</v>
      </c>
      <c r="Y23" s="79"/>
    </row>
    <row r="24" spans="1:25" x14ac:dyDescent="0.3">
      <c r="A24" s="96"/>
      <c r="C24" s="79"/>
      <c r="D24" s="84">
        <f t="shared" si="0"/>
        <v>0</v>
      </c>
      <c r="E24" s="79"/>
      <c r="F24" s="84">
        <f t="shared" si="1"/>
        <v>0</v>
      </c>
      <c r="G24" s="79"/>
      <c r="H24" s="84">
        <f t="shared" si="1"/>
        <v>0</v>
      </c>
      <c r="I24" s="79"/>
      <c r="J24" s="84">
        <f t="shared" ref="J24" si="146">SIGN(I24-K24)</f>
        <v>0</v>
      </c>
      <c r="K24" s="79"/>
      <c r="L24" s="84">
        <f t="shared" ref="L24" si="147">SIGN(K24-M24)</f>
        <v>0</v>
      </c>
      <c r="M24" s="79"/>
      <c r="N24" s="84">
        <f t="shared" ref="N24" si="148">SIGN(M24-O24)</f>
        <v>0</v>
      </c>
      <c r="O24" s="79"/>
      <c r="P24" s="84">
        <f t="shared" ref="P24" si="149">SIGN(O24-Q24)</f>
        <v>0</v>
      </c>
      <c r="Q24" s="79"/>
      <c r="R24" s="84">
        <f t="shared" ref="R24" si="150">SIGN(Q24-S24)</f>
        <v>0</v>
      </c>
      <c r="S24" s="79"/>
      <c r="T24" s="84">
        <f t="shared" ref="T24" si="151">SIGN(S24-U24)</f>
        <v>0</v>
      </c>
      <c r="U24" s="79"/>
      <c r="V24" s="84">
        <f t="shared" ref="V24" si="152">SIGN(U24-W24)</f>
        <v>0</v>
      </c>
      <c r="W24" s="79"/>
      <c r="X24" s="84">
        <f t="shared" ref="X24" si="153">SIGN(W24-Y24)</f>
        <v>0</v>
      </c>
      <c r="Y24" s="79"/>
    </row>
    <row r="25" spans="1:25" x14ac:dyDescent="0.3">
      <c r="A25" s="96"/>
      <c r="C25" s="79"/>
      <c r="D25" s="84">
        <f t="shared" si="0"/>
        <v>0</v>
      </c>
      <c r="E25" s="79"/>
      <c r="F25" s="84">
        <f t="shared" si="1"/>
        <v>0</v>
      </c>
      <c r="G25" s="79"/>
      <c r="H25" s="84">
        <f t="shared" si="1"/>
        <v>0</v>
      </c>
      <c r="I25" s="79"/>
      <c r="J25" s="84">
        <f t="shared" ref="J25" si="154">SIGN(I25-K25)</f>
        <v>0</v>
      </c>
      <c r="K25" s="79"/>
      <c r="L25" s="84">
        <f t="shared" ref="L25" si="155">SIGN(K25-M25)</f>
        <v>0</v>
      </c>
      <c r="M25" s="79"/>
      <c r="N25" s="84">
        <f t="shared" ref="N25" si="156">SIGN(M25-O25)</f>
        <v>0</v>
      </c>
      <c r="O25" s="79"/>
      <c r="P25" s="84">
        <f t="shared" ref="P25" si="157">SIGN(O25-Q25)</f>
        <v>0</v>
      </c>
      <c r="Q25" s="79"/>
      <c r="R25" s="84">
        <f t="shared" ref="R25" si="158">SIGN(Q25-S25)</f>
        <v>0</v>
      </c>
      <c r="S25" s="79"/>
      <c r="T25" s="84">
        <f t="shared" ref="T25" si="159">SIGN(S25-U25)</f>
        <v>0</v>
      </c>
      <c r="U25" s="79"/>
      <c r="V25" s="84">
        <f t="shared" ref="V25" si="160">SIGN(U25-W25)</f>
        <v>0</v>
      </c>
      <c r="W25" s="79"/>
      <c r="X25" s="84">
        <f t="shared" ref="X25" si="161">SIGN(W25-Y25)</f>
        <v>0</v>
      </c>
      <c r="Y25" s="79"/>
    </row>
    <row r="26" spans="1:25" x14ac:dyDescent="0.3">
      <c r="A26" s="96"/>
      <c r="C26" s="79"/>
      <c r="D26" s="84">
        <f t="shared" si="0"/>
        <v>0</v>
      </c>
      <c r="E26" s="79"/>
      <c r="F26" s="84">
        <f t="shared" si="1"/>
        <v>0</v>
      </c>
      <c r="G26" s="79"/>
      <c r="H26" s="84">
        <f t="shared" si="1"/>
        <v>0</v>
      </c>
      <c r="I26" s="79"/>
      <c r="J26" s="84">
        <f t="shared" ref="J26" si="162">SIGN(I26-K26)</f>
        <v>0</v>
      </c>
      <c r="K26" s="79"/>
      <c r="L26" s="84">
        <f t="shared" ref="L26" si="163">SIGN(K26-M26)</f>
        <v>0</v>
      </c>
      <c r="M26" s="79"/>
      <c r="N26" s="84">
        <f t="shared" ref="N26" si="164">SIGN(M26-O26)</f>
        <v>0</v>
      </c>
      <c r="O26" s="79"/>
      <c r="P26" s="84">
        <f t="shared" ref="P26" si="165">SIGN(O26-Q26)</f>
        <v>0</v>
      </c>
      <c r="Q26" s="79"/>
      <c r="R26" s="84">
        <f t="shared" ref="R26" si="166">SIGN(Q26-S26)</f>
        <v>0</v>
      </c>
      <c r="S26" s="79"/>
      <c r="T26" s="84">
        <f t="shared" ref="T26" si="167">SIGN(S26-U26)</f>
        <v>0</v>
      </c>
      <c r="U26" s="79"/>
      <c r="V26" s="84">
        <f t="shared" ref="V26" si="168">SIGN(U26-W26)</f>
        <v>0</v>
      </c>
      <c r="W26" s="79"/>
      <c r="X26" s="84">
        <f t="shared" ref="X26" si="169">SIGN(W26-Y26)</f>
        <v>0</v>
      </c>
      <c r="Y26" s="79"/>
    </row>
    <row r="27" spans="1:25" x14ac:dyDescent="0.3">
      <c r="A27" s="96"/>
      <c r="C27" s="79"/>
      <c r="D27" s="84">
        <f t="shared" si="0"/>
        <v>0</v>
      </c>
      <c r="E27" s="79"/>
      <c r="F27" s="84">
        <f t="shared" si="1"/>
        <v>0</v>
      </c>
      <c r="G27" s="79"/>
      <c r="H27" s="84">
        <f t="shared" si="1"/>
        <v>0</v>
      </c>
      <c r="I27" s="79"/>
      <c r="J27" s="84">
        <f t="shared" ref="J27" si="170">SIGN(I27-K27)</f>
        <v>0</v>
      </c>
      <c r="K27" s="79"/>
      <c r="L27" s="84">
        <f t="shared" ref="L27" si="171">SIGN(K27-M27)</f>
        <v>0</v>
      </c>
      <c r="M27" s="79"/>
      <c r="N27" s="84">
        <f t="shared" ref="N27" si="172">SIGN(M27-O27)</f>
        <v>0</v>
      </c>
      <c r="O27" s="79"/>
      <c r="P27" s="84">
        <f t="shared" ref="P27" si="173">SIGN(O27-Q27)</f>
        <v>0</v>
      </c>
      <c r="Q27" s="79"/>
      <c r="R27" s="84">
        <f t="shared" ref="R27" si="174">SIGN(Q27-S27)</f>
        <v>0</v>
      </c>
      <c r="S27" s="79"/>
      <c r="T27" s="84">
        <f t="shared" ref="T27" si="175">SIGN(S27-U27)</f>
        <v>0</v>
      </c>
      <c r="U27" s="79"/>
      <c r="V27" s="84">
        <f t="shared" ref="V27" si="176">SIGN(U27-W27)</f>
        <v>0</v>
      </c>
      <c r="W27" s="79"/>
      <c r="X27" s="84">
        <f t="shared" ref="X27" si="177">SIGN(W27-Y27)</f>
        <v>0</v>
      </c>
      <c r="Y27" s="79"/>
    </row>
    <row r="28" spans="1:25" x14ac:dyDescent="0.3">
      <c r="A28" s="96"/>
      <c r="C28" s="79"/>
      <c r="D28" s="84">
        <f t="shared" si="0"/>
        <v>0</v>
      </c>
      <c r="E28" s="79"/>
      <c r="F28" s="84">
        <f t="shared" si="1"/>
        <v>0</v>
      </c>
      <c r="G28" s="79"/>
      <c r="H28" s="84">
        <f t="shared" si="1"/>
        <v>0</v>
      </c>
      <c r="I28" s="79"/>
      <c r="J28" s="84">
        <f t="shared" ref="J28" si="178">SIGN(I28-K28)</f>
        <v>0</v>
      </c>
      <c r="K28" s="79"/>
      <c r="L28" s="84">
        <f t="shared" ref="L28" si="179">SIGN(K28-M28)</f>
        <v>0</v>
      </c>
      <c r="M28" s="79"/>
      <c r="N28" s="84">
        <f t="shared" ref="N28" si="180">SIGN(M28-O28)</f>
        <v>0</v>
      </c>
      <c r="O28" s="79"/>
      <c r="P28" s="84">
        <f t="shared" ref="P28" si="181">SIGN(O28-Q28)</f>
        <v>0</v>
      </c>
      <c r="Q28" s="79"/>
      <c r="R28" s="84">
        <f t="shared" ref="R28" si="182">SIGN(Q28-S28)</f>
        <v>0</v>
      </c>
      <c r="S28" s="79"/>
      <c r="T28" s="84">
        <f t="shared" ref="T28" si="183">SIGN(S28-U28)</f>
        <v>0</v>
      </c>
      <c r="U28" s="79"/>
      <c r="V28" s="84">
        <f t="shared" ref="V28" si="184">SIGN(U28-W28)</f>
        <v>0</v>
      </c>
      <c r="W28" s="79"/>
      <c r="X28" s="84">
        <f t="shared" ref="X28" si="185">SIGN(W28-Y28)</f>
        <v>0</v>
      </c>
      <c r="Y28" s="79"/>
    </row>
    <row r="29" spans="1:25" x14ac:dyDescent="0.3">
      <c r="A29" s="96"/>
      <c r="C29" s="79"/>
      <c r="D29" s="84">
        <f t="shared" si="0"/>
        <v>0</v>
      </c>
      <c r="E29" s="79"/>
      <c r="F29" s="84">
        <f t="shared" si="1"/>
        <v>0</v>
      </c>
      <c r="G29" s="79"/>
      <c r="H29" s="84">
        <f t="shared" si="1"/>
        <v>0</v>
      </c>
      <c r="I29" s="79"/>
      <c r="J29" s="84">
        <f t="shared" ref="J29" si="186">SIGN(I29-K29)</f>
        <v>0</v>
      </c>
      <c r="K29" s="79"/>
      <c r="L29" s="84">
        <f t="shared" ref="L29" si="187">SIGN(K29-M29)</f>
        <v>0</v>
      </c>
      <c r="M29" s="79"/>
      <c r="N29" s="84">
        <f t="shared" ref="N29" si="188">SIGN(M29-O29)</f>
        <v>0</v>
      </c>
      <c r="O29" s="79"/>
      <c r="P29" s="84">
        <f t="shared" ref="P29" si="189">SIGN(O29-Q29)</f>
        <v>0</v>
      </c>
      <c r="Q29" s="79"/>
      <c r="R29" s="84">
        <f t="shared" ref="R29" si="190">SIGN(Q29-S29)</f>
        <v>0</v>
      </c>
      <c r="S29" s="79"/>
      <c r="T29" s="84">
        <f t="shared" ref="T29" si="191">SIGN(S29-U29)</f>
        <v>0</v>
      </c>
      <c r="U29" s="79"/>
      <c r="V29" s="84">
        <f t="shared" ref="V29" si="192">SIGN(U29-W29)</f>
        <v>0</v>
      </c>
      <c r="W29" s="79"/>
      <c r="X29" s="84">
        <f t="shared" ref="X29" si="193">SIGN(W29-Y29)</f>
        <v>0</v>
      </c>
      <c r="Y29" s="79"/>
    </row>
    <row r="30" spans="1:25" x14ac:dyDescent="0.3">
      <c r="A30" s="96"/>
      <c r="C30" s="79"/>
      <c r="D30" s="84">
        <f t="shared" si="0"/>
        <v>0</v>
      </c>
      <c r="E30" s="79"/>
      <c r="F30" s="84">
        <f t="shared" si="1"/>
        <v>0</v>
      </c>
      <c r="G30" s="79"/>
      <c r="H30" s="84">
        <f t="shared" si="1"/>
        <v>0</v>
      </c>
      <c r="I30" s="79"/>
      <c r="J30" s="84">
        <f t="shared" ref="J30" si="194">SIGN(I30-K30)</f>
        <v>0</v>
      </c>
      <c r="K30" s="79"/>
      <c r="L30" s="84">
        <f t="shared" ref="L30" si="195">SIGN(K30-M30)</f>
        <v>0</v>
      </c>
      <c r="M30" s="79"/>
      <c r="N30" s="84">
        <f t="shared" ref="N30" si="196">SIGN(M30-O30)</f>
        <v>0</v>
      </c>
      <c r="O30" s="79"/>
      <c r="P30" s="84">
        <f t="shared" ref="P30" si="197">SIGN(O30-Q30)</f>
        <v>0</v>
      </c>
      <c r="Q30" s="79"/>
      <c r="R30" s="84">
        <f t="shared" ref="R30" si="198">SIGN(Q30-S30)</f>
        <v>0</v>
      </c>
      <c r="S30" s="79"/>
      <c r="T30" s="84">
        <f t="shared" ref="T30" si="199">SIGN(S30-U30)</f>
        <v>0</v>
      </c>
      <c r="U30" s="79"/>
      <c r="V30" s="84">
        <f t="shared" ref="V30" si="200">SIGN(U30-W30)</f>
        <v>0</v>
      </c>
      <c r="W30" s="79"/>
      <c r="X30" s="84">
        <f t="shared" ref="X30" si="201">SIGN(W30-Y30)</f>
        <v>0</v>
      </c>
      <c r="Y30" s="79"/>
    </row>
    <row r="31" spans="1:25" x14ac:dyDescent="0.3">
      <c r="A31" s="96"/>
      <c r="C31" s="79"/>
      <c r="D31" s="84">
        <f t="shared" si="0"/>
        <v>0</v>
      </c>
      <c r="E31" s="79"/>
      <c r="F31" s="84">
        <f t="shared" si="1"/>
        <v>0</v>
      </c>
      <c r="G31" s="79"/>
      <c r="H31" s="84">
        <f t="shared" si="1"/>
        <v>0</v>
      </c>
      <c r="I31" s="79"/>
      <c r="J31" s="84">
        <f t="shared" ref="J31" si="202">SIGN(I31-K31)</f>
        <v>0</v>
      </c>
      <c r="K31" s="79"/>
      <c r="L31" s="84">
        <f t="shared" ref="L31" si="203">SIGN(K31-M31)</f>
        <v>0</v>
      </c>
      <c r="M31" s="79"/>
      <c r="N31" s="84">
        <f t="shared" ref="N31" si="204">SIGN(M31-O31)</f>
        <v>0</v>
      </c>
      <c r="O31" s="79"/>
      <c r="P31" s="84">
        <f t="shared" ref="P31" si="205">SIGN(O31-Q31)</f>
        <v>0</v>
      </c>
      <c r="Q31" s="79"/>
      <c r="R31" s="84">
        <f t="shared" ref="R31" si="206">SIGN(Q31-S31)</f>
        <v>0</v>
      </c>
      <c r="S31" s="79"/>
      <c r="T31" s="84">
        <f t="shared" ref="T31" si="207">SIGN(S31-U31)</f>
        <v>0</v>
      </c>
      <c r="U31" s="79"/>
      <c r="V31" s="84">
        <f t="shared" ref="V31" si="208">SIGN(U31-W31)</f>
        <v>0</v>
      </c>
      <c r="W31" s="79"/>
      <c r="X31" s="84">
        <f t="shared" ref="X31" si="209">SIGN(W31-Y31)</f>
        <v>0</v>
      </c>
      <c r="Y31" s="79"/>
    </row>
    <row r="32" spans="1:25" x14ac:dyDescent="0.3">
      <c r="A32" s="96"/>
      <c r="C32" s="79"/>
      <c r="D32" s="84">
        <f t="shared" si="0"/>
        <v>0</v>
      </c>
      <c r="E32" s="79"/>
      <c r="F32" s="84">
        <f t="shared" si="1"/>
        <v>0</v>
      </c>
      <c r="G32" s="79"/>
      <c r="H32" s="84">
        <f t="shared" si="1"/>
        <v>0</v>
      </c>
      <c r="I32" s="79"/>
      <c r="J32" s="84">
        <f t="shared" ref="J32" si="210">SIGN(I32-K32)</f>
        <v>0</v>
      </c>
      <c r="K32" s="79"/>
      <c r="L32" s="84">
        <f t="shared" ref="L32" si="211">SIGN(K32-M32)</f>
        <v>0</v>
      </c>
      <c r="M32" s="79"/>
      <c r="N32" s="84">
        <f t="shared" ref="N32" si="212">SIGN(M32-O32)</f>
        <v>0</v>
      </c>
      <c r="O32" s="79"/>
      <c r="P32" s="84">
        <f t="shared" ref="P32" si="213">SIGN(O32-Q32)</f>
        <v>0</v>
      </c>
      <c r="Q32" s="79"/>
      <c r="R32" s="84">
        <f t="shared" ref="R32" si="214">SIGN(Q32-S32)</f>
        <v>0</v>
      </c>
      <c r="S32" s="79"/>
      <c r="T32" s="84">
        <f t="shared" ref="T32" si="215">SIGN(S32-U32)</f>
        <v>0</v>
      </c>
      <c r="U32" s="79"/>
      <c r="V32" s="84">
        <f t="shared" ref="V32" si="216">SIGN(U32-W32)</f>
        <v>0</v>
      </c>
      <c r="W32" s="79"/>
      <c r="X32" s="84">
        <f t="shared" ref="X32" si="217">SIGN(W32-Y32)</f>
        <v>0</v>
      </c>
      <c r="Y32" s="79"/>
    </row>
    <row r="33" spans="1:25" x14ac:dyDescent="0.3">
      <c r="A33" s="96"/>
      <c r="C33" s="79"/>
      <c r="D33" s="84">
        <f t="shared" si="0"/>
        <v>0</v>
      </c>
      <c r="E33" s="79"/>
      <c r="F33" s="84">
        <f t="shared" si="1"/>
        <v>0</v>
      </c>
      <c r="G33" s="79"/>
      <c r="H33" s="84">
        <f t="shared" si="1"/>
        <v>0</v>
      </c>
      <c r="I33" s="79"/>
      <c r="J33" s="84">
        <f t="shared" ref="J33" si="218">SIGN(I33-K33)</f>
        <v>0</v>
      </c>
      <c r="K33" s="79"/>
      <c r="L33" s="84">
        <f t="shared" ref="L33" si="219">SIGN(K33-M33)</f>
        <v>0</v>
      </c>
      <c r="M33" s="79"/>
      <c r="N33" s="84">
        <f t="shared" ref="N33" si="220">SIGN(M33-O33)</f>
        <v>0</v>
      </c>
      <c r="O33" s="79"/>
      <c r="P33" s="84">
        <f t="shared" ref="P33" si="221">SIGN(O33-Q33)</f>
        <v>0</v>
      </c>
      <c r="Q33" s="79"/>
      <c r="R33" s="84">
        <f t="shared" ref="R33" si="222">SIGN(Q33-S33)</f>
        <v>0</v>
      </c>
      <c r="S33" s="79"/>
      <c r="T33" s="84">
        <f t="shared" ref="T33" si="223">SIGN(S33-U33)</f>
        <v>0</v>
      </c>
      <c r="U33" s="79"/>
      <c r="V33" s="84">
        <f t="shared" ref="V33" si="224">SIGN(U33-W33)</f>
        <v>0</v>
      </c>
      <c r="W33" s="79"/>
      <c r="X33" s="84">
        <f t="shared" ref="X33" si="225">SIGN(W33-Y33)</f>
        <v>0</v>
      </c>
      <c r="Y33" s="79"/>
    </row>
    <row r="34" spans="1:25" x14ac:dyDescent="0.3">
      <c r="A34" s="96"/>
      <c r="C34" s="79"/>
      <c r="D34" s="84">
        <f t="shared" si="0"/>
        <v>0</v>
      </c>
      <c r="E34" s="79"/>
      <c r="F34" s="84">
        <f t="shared" si="1"/>
        <v>0</v>
      </c>
      <c r="G34" s="79"/>
      <c r="H34" s="84">
        <f t="shared" si="1"/>
        <v>0</v>
      </c>
      <c r="I34" s="79"/>
      <c r="J34" s="84">
        <f t="shared" ref="J34" si="226">SIGN(I34-K34)</f>
        <v>0</v>
      </c>
      <c r="K34" s="79"/>
      <c r="L34" s="84">
        <f t="shared" ref="L34" si="227">SIGN(K34-M34)</f>
        <v>0</v>
      </c>
      <c r="M34" s="79"/>
      <c r="N34" s="84">
        <f t="shared" ref="N34" si="228">SIGN(M34-O34)</f>
        <v>0</v>
      </c>
      <c r="O34" s="79"/>
      <c r="P34" s="84">
        <f t="shared" ref="P34" si="229">SIGN(O34-Q34)</f>
        <v>0</v>
      </c>
      <c r="Q34" s="79"/>
      <c r="R34" s="84">
        <f t="shared" ref="R34" si="230">SIGN(Q34-S34)</f>
        <v>0</v>
      </c>
      <c r="S34" s="79"/>
      <c r="T34" s="84">
        <f t="shared" ref="T34" si="231">SIGN(S34-U34)</f>
        <v>0</v>
      </c>
      <c r="U34" s="79"/>
      <c r="V34" s="84">
        <f t="shared" ref="V34" si="232">SIGN(U34-W34)</f>
        <v>0</v>
      </c>
      <c r="W34" s="79"/>
      <c r="X34" s="84">
        <f t="shared" ref="X34" si="233">SIGN(W34-Y34)</f>
        <v>0</v>
      </c>
      <c r="Y34" s="79"/>
    </row>
    <row r="35" spans="1:25" x14ac:dyDescent="0.3">
      <c r="A35" s="96"/>
      <c r="C35" s="79"/>
      <c r="D35" s="84">
        <f t="shared" si="0"/>
        <v>0</v>
      </c>
      <c r="E35" s="79"/>
      <c r="F35" s="84">
        <f t="shared" si="1"/>
        <v>0</v>
      </c>
      <c r="G35" s="79"/>
      <c r="H35" s="84">
        <f t="shared" si="1"/>
        <v>0</v>
      </c>
      <c r="I35" s="79"/>
      <c r="J35" s="84">
        <f t="shared" ref="J35" si="234">SIGN(I35-K35)</f>
        <v>0</v>
      </c>
      <c r="K35" s="79"/>
      <c r="L35" s="84">
        <f t="shared" ref="L35" si="235">SIGN(K35-M35)</f>
        <v>0</v>
      </c>
      <c r="M35" s="79"/>
      <c r="N35" s="84">
        <f t="shared" ref="N35" si="236">SIGN(M35-O35)</f>
        <v>0</v>
      </c>
      <c r="O35" s="79"/>
      <c r="P35" s="84">
        <f t="shared" ref="P35" si="237">SIGN(O35-Q35)</f>
        <v>0</v>
      </c>
      <c r="Q35" s="79"/>
      <c r="R35" s="84">
        <f t="shared" ref="R35" si="238">SIGN(Q35-S35)</f>
        <v>0</v>
      </c>
      <c r="S35" s="79"/>
      <c r="T35" s="84">
        <f t="shared" ref="T35" si="239">SIGN(S35-U35)</f>
        <v>0</v>
      </c>
      <c r="U35" s="79"/>
      <c r="V35" s="84">
        <f t="shared" ref="V35" si="240">SIGN(U35-W35)</f>
        <v>0</v>
      </c>
      <c r="W35" s="79"/>
      <c r="X35" s="84">
        <f t="shared" ref="X35" si="241">SIGN(W35-Y35)</f>
        <v>0</v>
      </c>
      <c r="Y35" s="79"/>
    </row>
    <row r="36" spans="1:25" x14ac:dyDescent="0.3">
      <c r="A36" s="96"/>
      <c r="C36" s="79"/>
      <c r="D36" s="84">
        <f t="shared" si="0"/>
        <v>0</v>
      </c>
      <c r="E36" s="79"/>
      <c r="F36" s="84">
        <f t="shared" si="1"/>
        <v>0</v>
      </c>
      <c r="G36" s="79"/>
      <c r="H36" s="84">
        <f t="shared" si="1"/>
        <v>0</v>
      </c>
      <c r="I36" s="79"/>
      <c r="J36" s="84">
        <f t="shared" ref="J36" si="242">SIGN(I36-K36)</f>
        <v>0</v>
      </c>
      <c r="K36" s="79"/>
      <c r="L36" s="84">
        <f t="shared" ref="L36" si="243">SIGN(K36-M36)</f>
        <v>0</v>
      </c>
      <c r="M36" s="79"/>
      <c r="N36" s="84">
        <f t="shared" ref="N36" si="244">SIGN(M36-O36)</f>
        <v>0</v>
      </c>
      <c r="O36" s="79"/>
      <c r="P36" s="84">
        <f t="shared" ref="P36" si="245">SIGN(O36-Q36)</f>
        <v>0</v>
      </c>
      <c r="Q36" s="79"/>
      <c r="R36" s="84">
        <f t="shared" ref="R36" si="246">SIGN(Q36-S36)</f>
        <v>0</v>
      </c>
      <c r="S36" s="79"/>
      <c r="T36" s="84">
        <f t="shared" ref="T36" si="247">SIGN(S36-U36)</f>
        <v>0</v>
      </c>
      <c r="U36" s="79"/>
      <c r="V36" s="84">
        <f t="shared" ref="V36" si="248">SIGN(U36-W36)</f>
        <v>0</v>
      </c>
      <c r="W36" s="79"/>
      <c r="X36" s="84">
        <f t="shared" ref="X36" si="249">SIGN(W36-Y36)</f>
        <v>0</v>
      </c>
      <c r="Y36" s="79"/>
    </row>
    <row r="37" spans="1:25" x14ac:dyDescent="0.3">
      <c r="A37" s="96"/>
      <c r="C37" s="79"/>
      <c r="D37" s="84">
        <f t="shared" si="0"/>
        <v>0</v>
      </c>
      <c r="E37" s="79"/>
      <c r="F37" s="84">
        <f t="shared" si="1"/>
        <v>0</v>
      </c>
      <c r="G37" s="79"/>
      <c r="H37" s="84">
        <f t="shared" si="1"/>
        <v>0</v>
      </c>
      <c r="I37" s="79"/>
      <c r="J37" s="84">
        <f t="shared" ref="J37" si="250">SIGN(I37-K37)</f>
        <v>0</v>
      </c>
      <c r="K37" s="79"/>
      <c r="L37" s="84">
        <f t="shared" ref="L37" si="251">SIGN(K37-M37)</f>
        <v>0</v>
      </c>
      <c r="M37" s="79"/>
      <c r="N37" s="84">
        <f t="shared" ref="N37" si="252">SIGN(M37-O37)</f>
        <v>0</v>
      </c>
      <c r="O37" s="79"/>
      <c r="P37" s="84">
        <f t="shared" ref="P37" si="253">SIGN(O37-Q37)</f>
        <v>0</v>
      </c>
      <c r="Q37" s="79"/>
      <c r="R37" s="84">
        <f t="shared" ref="R37" si="254">SIGN(Q37-S37)</f>
        <v>0</v>
      </c>
      <c r="S37" s="79"/>
      <c r="T37" s="84">
        <f t="shared" ref="T37" si="255">SIGN(S37-U37)</f>
        <v>0</v>
      </c>
      <c r="U37" s="79"/>
      <c r="V37" s="84">
        <f t="shared" ref="V37" si="256">SIGN(U37-W37)</f>
        <v>0</v>
      </c>
      <c r="W37" s="79"/>
      <c r="X37" s="84">
        <f t="shared" ref="X37" si="257">SIGN(W37-Y37)</f>
        <v>0</v>
      </c>
      <c r="Y37" s="79"/>
    </row>
    <row r="38" spans="1:25" x14ac:dyDescent="0.3">
      <c r="A38" s="96"/>
      <c r="C38" s="79"/>
      <c r="D38" s="84">
        <f t="shared" si="0"/>
        <v>0</v>
      </c>
      <c r="E38" s="79"/>
      <c r="F38" s="84">
        <f t="shared" si="1"/>
        <v>0</v>
      </c>
      <c r="G38" s="79"/>
      <c r="H38" s="84">
        <f t="shared" si="1"/>
        <v>0</v>
      </c>
      <c r="I38" s="79"/>
      <c r="J38" s="84">
        <f t="shared" ref="J38" si="258">SIGN(I38-K38)</f>
        <v>0</v>
      </c>
      <c r="K38" s="79"/>
      <c r="L38" s="84">
        <f t="shared" ref="L38" si="259">SIGN(K38-M38)</f>
        <v>0</v>
      </c>
      <c r="M38" s="79"/>
      <c r="N38" s="84">
        <f t="shared" ref="N38" si="260">SIGN(M38-O38)</f>
        <v>0</v>
      </c>
      <c r="O38" s="79"/>
      <c r="P38" s="84">
        <f t="shared" ref="P38" si="261">SIGN(O38-Q38)</f>
        <v>0</v>
      </c>
      <c r="Q38" s="79"/>
      <c r="R38" s="84">
        <f t="shared" ref="R38" si="262">SIGN(Q38-S38)</f>
        <v>0</v>
      </c>
      <c r="S38" s="79"/>
      <c r="T38" s="84">
        <f t="shared" ref="T38" si="263">SIGN(S38-U38)</f>
        <v>0</v>
      </c>
      <c r="U38" s="79"/>
      <c r="V38" s="84">
        <f t="shared" ref="V38" si="264">SIGN(U38-W38)</f>
        <v>0</v>
      </c>
      <c r="W38" s="79"/>
      <c r="X38" s="84">
        <f t="shared" ref="X38" si="265">SIGN(W38-Y38)</f>
        <v>0</v>
      </c>
      <c r="Y38" s="79"/>
    </row>
    <row r="39" spans="1:25" x14ac:dyDescent="0.3">
      <c r="A39" s="96"/>
      <c r="C39" s="79"/>
      <c r="D39" s="84">
        <f t="shared" si="0"/>
        <v>0</v>
      </c>
      <c r="E39" s="79"/>
      <c r="F39" s="84">
        <f t="shared" si="1"/>
        <v>0</v>
      </c>
      <c r="G39" s="79"/>
      <c r="H39" s="84">
        <f t="shared" si="1"/>
        <v>0</v>
      </c>
      <c r="I39" s="79"/>
      <c r="J39" s="84">
        <f t="shared" ref="J39" si="266">SIGN(I39-K39)</f>
        <v>0</v>
      </c>
      <c r="K39" s="79"/>
      <c r="L39" s="84">
        <f t="shared" ref="L39" si="267">SIGN(K39-M39)</f>
        <v>0</v>
      </c>
      <c r="M39" s="79"/>
      <c r="N39" s="84">
        <f t="shared" ref="N39" si="268">SIGN(M39-O39)</f>
        <v>0</v>
      </c>
      <c r="O39" s="79"/>
      <c r="P39" s="84">
        <f t="shared" ref="P39" si="269">SIGN(O39-Q39)</f>
        <v>0</v>
      </c>
      <c r="Q39" s="79"/>
      <c r="R39" s="84">
        <f t="shared" ref="R39" si="270">SIGN(Q39-S39)</f>
        <v>0</v>
      </c>
      <c r="S39" s="79"/>
      <c r="T39" s="84">
        <f t="shared" ref="T39" si="271">SIGN(S39-U39)</f>
        <v>0</v>
      </c>
      <c r="U39" s="79"/>
      <c r="V39" s="84">
        <f t="shared" ref="V39" si="272">SIGN(U39-W39)</f>
        <v>0</v>
      </c>
      <c r="W39" s="79"/>
      <c r="X39" s="84">
        <f t="shared" ref="X39" si="273">SIGN(W39-Y39)</f>
        <v>0</v>
      </c>
      <c r="Y39" s="79"/>
    </row>
    <row r="40" spans="1:25" x14ac:dyDescent="0.3">
      <c r="A40" s="96"/>
      <c r="C40" s="79"/>
      <c r="D40" s="84">
        <f t="shared" si="0"/>
        <v>0</v>
      </c>
      <c r="E40" s="79"/>
      <c r="F40" s="84">
        <f t="shared" si="1"/>
        <v>0</v>
      </c>
      <c r="G40" s="79"/>
      <c r="H40" s="84">
        <f t="shared" si="1"/>
        <v>0</v>
      </c>
      <c r="I40" s="79"/>
      <c r="J40" s="84">
        <f t="shared" ref="J40" si="274">SIGN(I40-K40)</f>
        <v>0</v>
      </c>
      <c r="K40" s="79"/>
      <c r="L40" s="84">
        <f t="shared" ref="L40" si="275">SIGN(K40-M40)</f>
        <v>0</v>
      </c>
      <c r="M40" s="79"/>
      <c r="N40" s="84">
        <f t="shared" ref="N40" si="276">SIGN(M40-O40)</f>
        <v>0</v>
      </c>
      <c r="O40" s="79"/>
      <c r="P40" s="84">
        <f t="shared" ref="P40" si="277">SIGN(O40-Q40)</f>
        <v>0</v>
      </c>
      <c r="Q40" s="79"/>
      <c r="R40" s="84">
        <f t="shared" ref="R40" si="278">SIGN(Q40-S40)</f>
        <v>0</v>
      </c>
      <c r="S40" s="79"/>
      <c r="T40" s="84">
        <f t="shared" ref="T40" si="279">SIGN(S40-U40)</f>
        <v>0</v>
      </c>
      <c r="U40" s="79"/>
      <c r="V40" s="84">
        <f t="shared" ref="V40" si="280">SIGN(U40-W40)</f>
        <v>0</v>
      </c>
      <c r="W40" s="79"/>
      <c r="X40" s="84">
        <f t="shared" ref="X40" si="281">SIGN(W40-Y40)</f>
        <v>0</v>
      </c>
      <c r="Y40" s="79"/>
    </row>
    <row r="41" spans="1:25" x14ac:dyDescent="0.3">
      <c r="A41" s="96"/>
      <c r="C41" s="79"/>
      <c r="D41" s="84">
        <f t="shared" si="0"/>
        <v>0</v>
      </c>
      <c r="E41" s="79"/>
      <c r="F41" s="84">
        <f t="shared" si="1"/>
        <v>0</v>
      </c>
      <c r="G41" s="79"/>
      <c r="H41" s="84">
        <f t="shared" si="1"/>
        <v>0</v>
      </c>
      <c r="I41" s="79"/>
      <c r="J41" s="84">
        <f t="shared" ref="J41" si="282">SIGN(I41-K41)</f>
        <v>0</v>
      </c>
      <c r="K41" s="79"/>
      <c r="L41" s="84">
        <f t="shared" ref="L41" si="283">SIGN(K41-M41)</f>
        <v>0</v>
      </c>
      <c r="M41" s="79"/>
      <c r="N41" s="84">
        <f t="shared" ref="N41" si="284">SIGN(M41-O41)</f>
        <v>0</v>
      </c>
      <c r="O41" s="79"/>
      <c r="P41" s="84">
        <f t="shared" ref="P41" si="285">SIGN(O41-Q41)</f>
        <v>0</v>
      </c>
      <c r="Q41" s="79"/>
      <c r="R41" s="84">
        <f t="shared" ref="R41" si="286">SIGN(Q41-S41)</f>
        <v>0</v>
      </c>
      <c r="S41" s="79"/>
      <c r="T41" s="84">
        <f t="shared" ref="T41" si="287">SIGN(S41-U41)</f>
        <v>0</v>
      </c>
      <c r="U41" s="79"/>
      <c r="V41" s="84">
        <f t="shared" ref="V41" si="288">SIGN(U41-W41)</f>
        <v>0</v>
      </c>
      <c r="W41" s="79"/>
      <c r="X41" s="84">
        <f t="shared" ref="X41" si="289">SIGN(W41-Y41)</f>
        <v>0</v>
      </c>
      <c r="Y41" s="79"/>
    </row>
    <row r="42" spans="1:25" x14ac:dyDescent="0.3">
      <c r="A42" s="96"/>
      <c r="C42" s="79"/>
      <c r="D42" s="84">
        <f t="shared" si="0"/>
        <v>0</v>
      </c>
      <c r="E42" s="79"/>
      <c r="F42" s="84">
        <f t="shared" si="1"/>
        <v>0</v>
      </c>
      <c r="G42" s="79"/>
      <c r="H42" s="84">
        <f t="shared" si="1"/>
        <v>0</v>
      </c>
      <c r="I42" s="79"/>
      <c r="J42" s="84">
        <f t="shared" ref="J42" si="290">SIGN(I42-K42)</f>
        <v>0</v>
      </c>
      <c r="K42" s="79"/>
      <c r="L42" s="84">
        <f t="shared" ref="L42" si="291">SIGN(K42-M42)</f>
        <v>0</v>
      </c>
      <c r="M42" s="79"/>
      <c r="N42" s="84">
        <f t="shared" ref="N42" si="292">SIGN(M42-O42)</f>
        <v>0</v>
      </c>
      <c r="O42" s="79"/>
      <c r="P42" s="84">
        <f t="shared" ref="P42" si="293">SIGN(O42-Q42)</f>
        <v>0</v>
      </c>
      <c r="Q42" s="79"/>
      <c r="R42" s="84">
        <f t="shared" ref="R42" si="294">SIGN(Q42-S42)</f>
        <v>0</v>
      </c>
      <c r="S42" s="79"/>
      <c r="T42" s="84">
        <f t="shared" ref="T42" si="295">SIGN(S42-U42)</f>
        <v>0</v>
      </c>
      <c r="U42" s="79"/>
      <c r="V42" s="84">
        <f t="shared" ref="V42" si="296">SIGN(U42-W42)</f>
        <v>0</v>
      </c>
      <c r="W42" s="79"/>
      <c r="X42" s="84">
        <f t="shared" ref="X42" si="297">SIGN(W42-Y42)</f>
        <v>0</v>
      </c>
      <c r="Y42" s="79"/>
    </row>
    <row r="43" spans="1:25" x14ac:dyDescent="0.3">
      <c r="A43" s="96"/>
      <c r="C43" s="79"/>
      <c r="D43" s="84">
        <f t="shared" si="0"/>
        <v>0</v>
      </c>
      <c r="E43" s="79"/>
      <c r="F43" s="84">
        <f t="shared" si="1"/>
        <v>0</v>
      </c>
      <c r="G43" s="79"/>
      <c r="H43" s="84">
        <f t="shared" si="1"/>
        <v>0</v>
      </c>
      <c r="I43" s="79"/>
      <c r="J43" s="84">
        <f t="shared" ref="J43" si="298">SIGN(I43-K43)</f>
        <v>0</v>
      </c>
      <c r="K43" s="79"/>
      <c r="L43" s="84">
        <f t="shared" ref="L43" si="299">SIGN(K43-M43)</f>
        <v>0</v>
      </c>
      <c r="M43" s="79"/>
      <c r="N43" s="84">
        <f t="shared" ref="N43" si="300">SIGN(M43-O43)</f>
        <v>0</v>
      </c>
      <c r="O43" s="79"/>
      <c r="P43" s="84">
        <f t="shared" ref="P43" si="301">SIGN(O43-Q43)</f>
        <v>0</v>
      </c>
      <c r="Q43" s="79"/>
      <c r="R43" s="84">
        <f t="shared" ref="R43" si="302">SIGN(Q43-S43)</f>
        <v>0</v>
      </c>
      <c r="S43" s="79"/>
      <c r="T43" s="84">
        <f t="shared" ref="T43" si="303">SIGN(S43-U43)</f>
        <v>0</v>
      </c>
      <c r="U43" s="79"/>
      <c r="V43" s="84">
        <f t="shared" ref="V43" si="304">SIGN(U43-W43)</f>
        <v>0</v>
      </c>
      <c r="W43" s="79"/>
      <c r="X43" s="84">
        <f t="shared" ref="X43" si="305">SIGN(W43-Y43)</f>
        <v>0</v>
      </c>
      <c r="Y43" s="79"/>
    </row>
    <row r="44" spans="1:25" x14ac:dyDescent="0.3">
      <c r="A44" s="96"/>
      <c r="C44" s="79"/>
      <c r="D44" s="84">
        <f t="shared" si="0"/>
        <v>0</v>
      </c>
      <c r="E44" s="79"/>
      <c r="F44" s="84">
        <f t="shared" si="1"/>
        <v>0</v>
      </c>
      <c r="G44" s="79"/>
      <c r="H44" s="84">
        <f t="shared" si="1"/>
        <v>0</v>
      </c>
      <c r="I44" s="79"/>
      <c r="J44" s="84">
        <f t="shared" ref="J44" si="306">SIGN(I44-K44)</f>
        <v>0</v>
      </c>
      <c r="K44" s="79"/>
      <c r="L44" s="84">
        <f t="shared" ref="L44" si="307">SIGN(K44-M44)</f>
        <v>0</v>
      </c>
      <c r="M44" s="79"/>
      <c r="N44" s="84">
        <f t="shared" ref="N44" si="308">SIGN(M44-O44)</f>
        <v>0</v>
      </c>
      <c r="O44" s="79"/>
      <c r="P44" s="84">
        <f t="shared" ref="P44" si="309">SIGN(O44-Q44)</f>
        <v>0</v>
      </c>
      <c r="Q44" s="79"/>
      <c r="R44" s="84">
        <f t="shared" ref="R44" si="310">SIGN(Q44-S44)</f>
        <v>0</v>
      </c>
      <c r="S44" s="79"/>
      <c r="T44" s="84">
        <f t="shared" ref="T44" si="311">SIGN(S44-U44)</f>
        <v>0</v>
      </c>
      <c r="U44" s="79"/>
      <c r="V44" s="84">
        <f t="shared" ref="V44" si="312">SIGN(U44-W44)</f>
        <v>0</v>
      </c>
      <c r="W44" s="79"/>
      <c r="X44" s="84">
        <f t="shared" ref="X44" si="313">SIGN(W44-Y44)</f>
        <v>0</v>
      </c>
      <c r="Y44" s="79"/>
    </row>
    <row r="45" spans="1:25" x14ac:dyDescent="0.3">
      <c r="A45" s="96"/>
      <c r="C45" s="79"/>
      <c r="D45" s="84">
        <f t="shared" si="0"/>
        <v>0</v>
      </c>
      <c r="E45" s="79"/>
      <c r="F45" s="84">
        <f t="shared" si="1"/>
        <v>0</v>
      </c>
      <c r="G45" s="79"/>
      <c r="H45" s="84">
        <f t="shared" si="1"/>
        <v>0</v>
      </c>
      <c r="I45" s="79"/>
      <c r="J45" s="84">
        <f t="shared" ref="J45" si="314">SIGN(I45-K45)</f>
        <v>0</v>
      </c>
      <c r="K45" s="79"/>
      <c r="L45" s="84">
        <f t="shared" ref="L45" si="315">SIGN(K45-M45)</f>
        <v>0</v>
      </c>
      <c r="M45" s="79"/>
      <c r="N45" s="84">
        <f t="shared" ref="N45" si="316">SIGN(M45-O45)</f>
        <v>0</v>
      </c>
      <c r="O45" s="79"/>
      <c r="P45" s="84">
        <f t="shared" ref="P45" si="317">SIGN(O45-Q45)</f>
        <v>0</v>
      </c>
      <c r="Q45" s="79"/>
      <c r="R45" s="84">
        <f t="shared" ref="R45" si="318">SIGN(Q45-S45)</f>
        <v>0</v>
      </c>
      <c r="S45" s="79"/>
      <c r="T45" s="84">
        <f t="shared" ref="T45" si="319">SIGN(S45-U45)</f>
        <v>0</v>
      </c>
      <c r="U45" s="79"/>
      <c r="V45" s="84">
        <f t="shared" ref="V45" si="320">SIGN(U45-W45)</f>
        <v>0</v>
      </c>
      <c r="W45" s="79"/>
      <c r="X45" s="84">
        <f t="shared" ref="X45" si="321">SIGN(W45-Y45)</f>
        <v>0</v>
      </c>
      <c r="Y45" s="79"/>
    </row>
    <row r="46" spans="1:25" x14ac:dyDescent="0.3">
      <c r="A46" s="96"/>
      <c r="C46" s="79"/>
      <c r="D46" s="84">
        <f t="shared" si="0"/>
        <v>0</v>
      </c>
      <c r="E46" s="79"/>
      <c r="F46" s="84">
        <f t="shared" si="1"/>
        <v>0</v>
      </c>
      <c r="G46" s="79"/>
      <c r="H46" s="84">
        <f t="shared" si="1"/>
        <v>0</v>
      </c>
      <c r="I46" s="79"/>
      <c r="J46" s="84">
        <f t="shared" ref="J46" si="322">SIGN(I46-K46)</f>
        <v>0</v>
      </c>
      <c r="K46" s="79"/>
      <c r="L46" s="84">
        <f t="shared" ref="L46" si="323">SIGN(K46-M46)</f>
        <v>0</v>
      </c>
      <c r="M46" s="79"/>
      <c r="N46" s="84">
        <f t="shared" ref="N46" si="324">SIGN(M46-O46)</f>
        <v>0</v>
      </c>
      <c r="O46" s="79"/>
      <c r="P46" s="84">
        <f t="shared" ref="P46" si="325">SIGN(O46-Q46)</f>
        <v>0</v>
      </c>
      <c r="Q46" s="79"/>
      <c r="R46" s="84">
        <f t="shared" ref="R46" si="326">SIGN(Q46-S46)</f>
        <v>0</v>
      </c>
      <c r="S46" s="79"/>
      <c r="T46" s="84">
        <f t="shared" ref="T46" si="327">SIGN(S46-U46)</f>
        <v>0</v>
      </c>
      <c r="U46" s="79"/>
      <c r="V46" s="84">
        <f t="shared" ref="V46" si="328">SIGN(U46-W46)</f>
        <v>0</v>
      </c>
      <c r="W46" s="79"/>
      <c r="X46" s="84">
        <f t="shared" ref="X46" si="329">SIGN(W46-Y46)</f>
        <v>0</v>
      </c>
      <c r="Y46" s="79"/>
    </row>
    <row r="47" spans="1:25" x14ac:dyDescent="0.3">
      <c r="A47" s="96"/>
      <c r="C47" s="79"/>
      <c r="D47" s="84">
        <f t="shared" si="0"/>
        <v>0</v>
      </c>
      <c r="E47" s="79"/>
      <c r="F47" s="84">
        <f t="shared" si="1"/>
        <v>0</v>
      </c>
      <c r="G47" s="79"/>
      <c r="H47" s="84">
        <f t="shared" si="1"/>
        <v>0</v>
      </c>
      <c r="I47" s="79"/>
      <c r="J47" s="84">
        <f t="shared" ref="J47" si="330">SIGN(I47-K47)</f>
        <v>0</v>
      </c>
      <c r="K47" s="79"/>
      <c r="L47" s="84">
        <f t="shared" ref="L47" si="331">SIGN(K47-M47)</f>
        <v>0</v>
      </c>
      <c r="M47" s="79"/>
      <c r="N47" s="84">
        <f t="shared" ref="N47" si="332">SIGN(M47-O47)</f>
        <v>0</v>
      </c>
      <c r="O47" s="79"/>
      <c r="P47" s="84">
        <f t="shared" ref="P47" si="333">SIGN(O47-Q47)</f>
        <v>0</v>
      </c>
      <c r="Q47" s="79"/>
      <c r="R47" s="84">
        <f t="shared" ref="R47" si="334">SIGN(Q47-S47)</f>
        <v>0</v>
      </c>
      <c r="S47" s="79"/>
      <c r="T47" s="84">
        <f t="shared" ref="T47" si="335">SIGN(S47-U47)</f>
        <v>0</v>
      </c>
      <c r="U47" s="79"/>
      <c r="V47" s="84">
        <f t="shared" ref="V47" si="336">SIGN(U47-W47)</f>
        <v>0</v>
      </c>
      <c r="W47" s="79"/>
      <c r="X47" s="84">
        <f t="shared" ref="X47" si="337">SIGN(W47-Y47)</f>
        <v>0</v>
      </c>
      <c r="Y47" s="79"/>
    </row>
    <row r="48" spans="1:25" x14ac:dyDescent="0.3">
      <c r="A48" s="96"/>
      <c r="C48" s="79"/>
      <c r="D48" s="84">
        <f t="shared" si="0"/>
        <v>0</v>
      </c>
      <c r="E48" s="79"/>
      <c r="F48" s="84">
        <f t="shared" si="1"/>
        <v>0</v>
      </c>
      <c r="G48" s="79"/>
      <c r="H48" s="84">
        <f t="shared" si="1"/>
        <v>0</v>
      </c>
      <c r="I48" s="79"/>
      <c r="J48" s="84">
        <f t="shared" ref="J48" si="338">SIGN(I48-K48)</f>
        <v>0</v>
      </c>
      <c r="K48" s="79"/>
      <c r="L48" s="84">
        <f t="shared" ref="L48" si="339">SIGN(K48-M48)</f>
        <v>0</v>
      </c>
      <c r="M48" s="79"/>
      <c r="N48" s="84">
        <f t="shared" ref="N48" si="340">SIGN(M48-O48)</f>
        <v>0</v>
      </c>
      <c r="O48" s="79"/>
      <c r="P48" s="84">
        <f t="shared" ref="P48" si="341">SIGN(O48-Q48)</f>
        <v>0</v>
      </c>
      <c r="Q48" s="79"/>
      <c r="R48" s="84">
        <f t="shared" ref="R48" si="342">SIGN(Q48-S48)</f>
        <v>0</v>
      </c>
      <c r="S48" s="79"/>
      <c r="T48" s="84">
        <f t="shared" ref="T48" si="343">SIGN(S48-U48)</f>
        <v>0</v>
      </c>
      <c r="U48" s="79"/>
      <c r="V48" s="84">
        <f t="shared" ref="V48" si="344">SIGN(U48-W48)</f>
        <v>0</v>
      </c>
      <c r="W48" s="79"/>
      <c r="X48" s="84">
        <f t="shared" ref="X48" si="345">SIGN(W48-Y48)</f>
        <v>0</v>
      </c>
      <c r="Y48" s="79"/>
    </row>
    <row r="49" spans="1:26" x14ac:dyDescent="0.3">
      <c r="A49" s="96"/>
      <c r="C49" s="79"/>
      <c r="D49" s="84">
        <f t="shared" si="0"/>
        <v>0</v>
      </c>
      <c r="E49" s="79"/>
      <c r="F49" s="84">
        <f t="shared" si="1"/>
        <v>0</v>
      </c>
      <c r="G49" s="79"/>
      <c r="H49" s="84">
        <f t="shared" si="1"/>
        <v>0</v>
      </c>
      <c r="I49" s="79"/>
      <c r="J49" s="84">
        <f t="shared" ref="J49" si="346">SIGN(I49-K49)</f>
        <v>0</v>
      </c>
      <c r="K49" s="79"/>
      <c r="L49" s="84">
        <f t="shared" ref="L49" si="347">SIGN(K49-M49)</f>
        <v>0</v>
      </c>
      <c r="M49" s="79"/>
      <c r="N49" s="84">
        <f t="shared" ref="N49" si="348">SIGN(M49-O49)</f>
        <v>0</v>
      </c>
      <c r="O49" s="79"/>
      <c r="P49" s="84">
        <f t="shared" ref="P49" si="349">SIGN(O49-Q49)</f>
        <v>0</v>
      </c>
      <c r="Q49" s="79"/>
      <c r="R49" s="84">
        <f t="shared" ref="R49" si="350">SIGN(Q49-S49)</f>
        <v>0</v>
      </c>
      <c r="S49" s="79"/>
      <c r="T49" s="84">
        <f t="shared" ref="T49" si="351">SIGN(S49-U49)</f>
        <v>0</v>
      </c>
      <c r="U49" s="79"/>
      <c r="V49" s="84">
        <f t="shared" ref="V49" si="352">SIGN(U49-W49)</f>
        <v>0</v>
      </c>
      <c r="W49" s="79"/>
      <c r="X49" s="84">
        <f t="shared" ref="X49" si="353">SIGN(W49-Y49)</f>
        <v>0</v>
      </c>
      <c r="Y49" s="79"/>
    </row>
    <row r="50" spans="1:26" x14ac:dyDescent="0.3">
      <c r="A50" s="96"/>
      <c r="C50" s="79"/>
      <c r="D50" s="84">
        <f t="shared" si="0"/>
        <v>0</v>
      </c>
      <c r="E50" s="79"/>
      <c r="F50" s="84">
        <f t="shared" si="1"/>
        <v>0</v>
      </c>
      <c r="G50" s="79"/>
      <c r="H50" s="84">
        <f t="shared" si="1"/>
        <v>0</v>
      </c>
      <c r="I50" s="79"/>
      <c r="J50" s="84">
        <f t="shared" ref="J50" si="354">SIGN(I50-K50)</f>
        <v>0</v>
      </c>
      <c r="K50" s="79"/>
      <c r="L50" s="84">
        <f t="shared" ref="L50" si="355">SIGN(K50-M50)</f>
        <v>0</v>
      </c>
      <c r="M50" s="79"/>
      <c r="N50" s="84">
        <f t="shared" ref="N50" si="356">SIGN(M50-O50)</f>
        <v>0</v>
      </c>
      <c r="O50" s="79"/>
      <c r="P50" s="84">
        <f t="shared" ref="P50" si="357">SIGN(O50-Q50)</f>
        <v>0</v>
      </c>
      <c r="Q50" s="79"/>
      <c r="R50" s="84">
        <f t="shared" ref="R50" si="358">SIGN(Q50-S50)</f>
        <v>0</v>
      </c>
      <c r="S50" s="79"/>
      <c r="T50" s="84">
        <f t="shared" ref="T50" si="359">SIGN(S50-U50)</f>
        <v>0</v>
      </c>
      <c r="U50" s="79"/>
      <c r="V50" s="84">
        <f t="shared" ref="V50" si="360">SIGN(U50-W50)</f>
        <v>0</v>
      </c>
      <c r="W50" s="79"/>
      <c r="X50" s="84">
        <f t="shared" ref="X50" si="361">SIGN(W50-Y50)</f>
        <v>0</v>
      </c>
      <c r="Y50" s="79"/>
    </row>
    <row r="51" spans="1:26" x14ac:dyDescent="0.3">
      <c r="A51" s="96"/>
      <c r="C51" s="79"/>
      <c r="D51" s="84">
        <f t="shared" si="0"/>
        <v>0</v>
      </c>
      <c r="E51" s="79"/>
      <c r="F51" s="84">
        <f t="shared" si="1"/>
        <v>0</v>
      </c>
      <c r="G51" s="79"/>
      <c r="H51" s="84">
        <f t="shared" si="1"/>
        <v>0</v>
      </c>
      <c r="I51" s="79"/>
      <c r="J51" s="84">
        <f t="shared" ref="J51" si="362">SIGN(I51-K51)</f>
        <v>0</v>
      </c>
      <c r="K51" s="79"/>
      <c r="L51" s="84">
        <f t="shared" ref="L51" si="363">SIGN(K51-M51)</f>
        <v>0</v>
      </c>
      <c r="M51" s="79"/>
      <c r="N51" s="84">
        <f t="shared" ref="N51" si="364">SIGN(M51-O51)</f>
        <v>0</v>
      </c>
      <c r="O51" s="79"/>
      <c r="P51" s="84">
        <f t="shared" ref="P51" si="365">SIGN(O51-Q51)</f>
        <v>0</v>
      </c>
      <c r="Q51" s="79"/>
      <c r="R51" s="84">
        <f t="shared" ref="R51" si="366">SIGN(Q51-S51)</f>
        <v>0</v>
      </c>
      <c r="S51" s="79"/>
      <c r="T51" s="84">
        <f t="shared" ref="T51" si="367">SIGN(S51-U51)</f>
        <v>0</v>
      </c>
      <c r="U51" s="79"/>
      <c r="V51" s="84">
        <f t="shared" ref="V51" si="368">SIGN(U51-W51)</f>
        <v>0</v>
      </c>
      <c r="W51" s="79"/>
      <c r="X51" s="84">
        <f t="shared" ref="X51" si="369">SIGN(W51-Y51)</f>
        <v>0</v>
      </c>
      <c r="Y51" s="79"/>
    </row>
    <row r="52" spans="1:26" x14ac:dyDescent="0.3">
      <c r="A52" s="96"/>
      <c r="C52" s="79"/>
      <c r="D52" s="84">
        <f t="shared" si="0"/>
        <v>0</v>
      </c>
      <c r="E52" s="79"/>
      <c r="F52" s="84">
        <f t="shared" si="1"/>
        <v>0</v>
      </c>
      <c r="G52" s="79"/>
      <c r="H52" s="84">
        <f t="shared" si="1"/>
        <v>0</v>
      </c>
      <c r="I52" s="79"/>
      <c r="J52" s="84">
        <f t="shared" ref="J52" si="370">SIGN(I52-K52)</f>
        <v>0</v>
      </c>
      <c r="K52" s="79"/>
      <c r="L52" s="84">
        <f t="shared" ref="L52" si="371">SIGN(K52-M52)</f>
        <v>0</v>
      </c>
      <c r="M52" s="79"/>
      <c r="N52" s="84">
        <f t="shared" ref="N52" si="372">SIGN(M52-O52)</f>
        <v>0</v>
      </c>
      <c r="O52" s="79"/>
      <c r="P52" s="84">
        <f t="shared" ref="P52" si="373">SIGN(O52-Q52)</f>
        <v>0</v>
      </c>
      <c r="Q52" s="79"/>
      <c r="R52" s="84">
        <f t="shared" ref="R52" si="374">SIGN(Q52-S52)</f>
        <v>0</v>
      </c>
      <c r="S52" s="79"/>
      <c r="T52" s="84">
        <f t="shared" ref="T52" si="375">SIGN(S52-U52)</f>
        <v>0</v>
      </c>
      <c r="U52" s="79"/>
      <c r="V52" s="84">
        <f t="shared" ref="V52" si="376">SIGN(U52-W52)</f>
        <v>0</v>
      </c>
      <c r="W52" s="79"/>
      <c r="X52" s="84">
        <f t="shared" ref="X52" si="377">SIGN(W52-Y52)</f>
        <v>0</v>
      </c>
      <c r="Y52" s="79"/>
    </row>
    <row r="53" spans="1:26" x14ac:dyDescent="0.3">
      <c r="A53" s="96"/>
      <c r="C53" s="79"/>
      <c r="D53" s="84">
        <f t="shared" si="0"/>
        <v>0</v>
      </c>
      <c r="E53" s="79"/>
      <c r="F53" s="84">
        <f t="shared" si="1"/>
        <v>0</v>
      </c>
      <c r="G53" s="79"/>
      <c r="H53" s="84">
        <f t="shared" si="1"/>
        <v>0</v>
      </c>
      <c r="I53" s="79"/>
      <c r="J53" s="84">
        <f t="shared" ref="J53" si="378">SIGN(I53-K53)</f>
        <v>0</v>
      </c>
      <c r="K53" s="79"/>
      <c r="L53" s="84">
        <f t="shared" ref="L53" si="379">SIGN(K53-M53)</f>
        <v>0</v>
      </c>
      <c r="M53" s="79"/>
      <c r="N53" s="84">
        <f t="shared" ref="N53" si="380">SIGN(M53-O53)</f>
        <v>0</v>
      </c>
      <c r="O53" s="79"/>
      <c r="P53" s="84">
        <f t="shared" ref="P53" si="381">SIGN(O53-Q53)</f>
        <v>0</v>
      </c>
      <c r="Q53" s="79"/>
      <c r="R53" s="84">
        <f t="shared" ref="R53" si="382">SIGN(Q53-S53)</f>
        <v>0</v>
      </c>
      <c r="S53" s="79"/>
      <c r="T53" s="84">
        <f t="shared" ref="T53" si="383">SIGN(S53-U53)</f>
        <v>0</v>
      </c>
      <c r="U53" s="79"/>
      <c r="V53" s="84">
        <f t="shared" ref="V53" si="384">SIGN(U53-W53)</f>
        <v>0</v>
      </c>
      <c r="W53" s="79"/>
      <c r="X53" s="84">
        <f t="shared" ref="X53" si="385">SIGN(W53-Y53)</f>
        <v>0</v>
      </c>
      <c r="Y53" s="79"/>
    </row>
    <row r="54" spans="1:26" x14ac:dyDescent="0.3">
      <c r="A54" s="96"/>
      <c r="C54" s="79"/>
      <c r="D54" s="84">
        <f t="shared" si="0"/>
        <v>0</v>
      </c>
      <c r="E54" s="79"/>
      <c r="F54" s="84">
        <f t="shared" si="1"/>
        <v>0</v>
      </c>
      <c r="G54" s="79"/>
      <c r="H54" s="84">
        <f t="shared" si="1"/>
        <v>0</v>
      </c>
      <c r="I54" s="79"/>
      <c r="J54" s="84">
        <f t="shared" ref="J54" si="386">SIGN(I54-K54)</f>
        <v>0</v>
      </c>
      <c r="K54" s="79"/>
      <c r="L54" s="84">
        <f t="shared" ref="L54" si="387">SIGN(K54-M54)</f>
        <v>0</v>
      </c>
      <c r="M54" s="79"/>
      <c r="N54" s="84">
        <f t="shared" ref="N54" si="388">SIGN(M54-O54)</f>
        <v>0</v>
      </c>
      <c r="O54" s="79"/>
      <c r="P54" s="84">
        <f t="shared" ref="P54" si="389">SIGN(O54-Q54)</f>
        <v>0</v>
      </c>
      <c r="Q54" s="79"/>
      <c r="R54" s="84">
        <f t="shared" ref="R54" si="390">SIGN(Q54-S54)</f>
        <v>0</v>
      </c>
      <c r="S54" s="79"/>
      <c r="T54" s="84">
        <f t="shared" ref="T54" si="391">SIGN(S54-U54)</f>
        <v>0</v>
      </c>
      <c r="U54" s="79"/>
      <c r="V54" s="84">
        <f t="shared" ref="V54" si="392">SIGN(U54-W54)</f>
        <v>0</v>
      </c>
      <c r="W54" s="79"/>
      <c r="X54" s="84">
        <f t="shared" ref="X54" si="393">SIGN(W54-Y54)</f>
        <v>0</v>
      </c>
      <c r="Y54" s="79"/>
    </row>
    <row r="55" spans="1:26" ht="2.1" customHeight="1" x14ac:dyDescent="0.3">
      <c r="A55" s="87"/>
      <c r="C55" s="87"/>
      <c r="D55" s="83"/>
      <c r="E55" s="87"/>
      <c r="F55" s="83"/>
      <c r="G55" s="87"/>
      <c r="H55" s="84"/>
      <c r="I55" s="87"/>
      <c r="J55" s="83"/>
      <c r="K55" s="87"/>
      <c r="L55" s="83"/>
      <c r="M55" s="87"/>
      <c r="N55" s="83"/>
      <c r="O55" s="87"/>
      <c r="P55" s="83"/>
      <c r="Q55" s="87"/>
      <c r="R55" s="83"/>
      <c r="S55" s="87"/>
      <c r="T55" s="83"/>
      <c r="U55" s="87"/>
      <c r="V55" s="83"/>
      <c r="W55" s="87"/>
      <c r="X55" s="83"/>
      <c r="Y55" s="87"/>
    </row>
    <row r="56" spans="1:26" s="54" customFormat="1" ht="24.95" customHeight="1" x14ac:dyDescent="0.25">
      <c r="A56" s="42" t="s">
        <v>41</v>
      </c>
      <c r="B56" s="87"/>
      <c r="C56" s="88">
        <f>IFERROR(VLOOKUP(B2,CC1_InputUser!$A:$S,19,FALSE),0)</f>
        <v>0</v>
      </c>
      <c r="D56" s="89"/>
      <c r="E56" s="88">
        <f>IFERROR(VLOOKUP(D2,CC1_InputUser!$A:$S,19,FALSE),0)</f>
        <v>0</v>
      </c>
      <c r="F56" s="89"/>
      <c r="G56" s="88">
        <f>IFERROR(VLOOKUP(F2,CC1_InputUser!$A:$S,19,FALSE),0)</f>
        <v>0</v>
      </c>
      <c r="H56" s="89"/>
      <c r="I56" s="88">
        <f>IFERROR(VLOOKUP(H2,CC1_InputUser!$A:$S,19,FALSE),0)</f>
        <v>0</v>
      </c>
      <c r="J56" s="89"/>
      <c r="K56" s="88">
        <f>IFERROR(VLOOKUP(J2,CC1_InputUser!$A:$S,19,FALSE),0)</f>
        <v>0</v>
      </c>
      <c r="L56" s="89"/>
      <c r="M56" s="88">
        <f>IFERROR(VLOOKUP(L2,CC1_InputUser!$A:$S,19,FALSE),0)</f>
        <v>0</v>
      </c>
      <c r="N56" s="89"/>
      <c r="O56" s="88">
        <f>IFERROR(VLOOKUP(N2,CC1_InputUser!$A:$S,19,FALSE),0)</f>
        <v>0</v>
      </c>
      <c r="P56" s="89"/>
      <c r="Q56" s="90">
        <f>IFERROR(VLOOKUP(P2,CC1_InputUser!$A:$S,19,FALSE),0)</f>
        <v>0</v>
      </c>
      <c r="R56" s="89"/>
      <c r="S56" s="88">
        <f>IFERROR(VLOOKUP(R2,CC1_InputUser!$A:$S,19,FALSE),0)</f>
        <v>0</v>
      </c>
      <c r="T56" s="89"/>
      <c r="U56" s="88">
        <f>IFERROR(VLOOKUP(T2,CC1_InputUser!$A:$S,19,FALSE),0)</f>
        <v>0</v>
      </c>
      <c r="V56" s="89"/>
      <c r="W56" s="88">
        <f>IFERROR(VLOOKUP(V2,CC1_InputUser!$A:$S,19,FALSE),0)</f>
        <v>0</v>
      </c>
      <c r="X56" s="89"/>
      <c r="Y56" s="88">
        <f>IFERROR(VLOOKUP(X2,CC1_InputUser!$A:$S,19,FALSE),0)</f>
        <v>-1.0296993678082456E-2</v>
      </c>
      <c r="Z56" s="38"/>
    </row>
    <row r="57" spans="1:26" ht="4.5" customHeight="1" x14ac:dyDescent="0.3">
      <c r="A57" s="87"/>
      <c r="C57" s="87"/>
      <c r="E57" s="87"/>
      <c r="G57" s="87"/>
      <c r="I57" s="87"/>
      <c r="K57" s="87"/>
      <c r="M57" s="87"/>
      <c r="O57" s="87"/>
      <c r="Q57" s="87"/>
      <c r="S57" s="87"/>
      <c r="U57" s="87"/>
      <c r="W57" s="87"/>
      <c r="Y57" s="87"/>
    </row>
    <row r="58" spans="1:26" x14ac:dyDescent="0.3">
      <c r="C58" s="16"/>
      <c r="E58" s="16"/>
      <c r="G58" s="16"/>
      <c r="I58" s="16"/>
      <c r="K58" s="16"/>
      <c r="M58" s="16"/>
      <c r="O58" s="16"/>
      <c r="Q58" s="16"/>
      <c r="S58" s="16"/>
      <c r="U58" s="16"/>
      <c r="W58" s="16"/>
      <c r="Y58" s="16"/>
    </row>
    <row r="59" spans="1:26" x14ac:dyDescent="0.3">
      <c r="C59" s="16"/>
      <c r="E59" s="16"/>
      <c r="G59" s="16"/>
      <c r="I59" s="16"/>
      <c r="K59" s="16"/>
      <c r="M59" s="16"/>
      <c r="O59" s="16"/>
      <c r="Q59" s="16"/>
      <c r="S59" s="16"/>
      <c r="U59" s="16"/>
      <c r="W59" s="16"/>
      <c r="Y59" s="16"/>
    </row>
    <row r="60" spans="1:26" x14ac:dyDescent="0.3">
      <c r="A60" s="85" t="s">
        <v>53</v>
      </c>
      <c r="C60" s="16"/>
      <c r="E60" s="16"/>
      <c r="G60" s="16"/>
      <c r="I60" s="16"/>
      <c r="K60" s="16"/>
      <c r="M60" s="16"/>
      <c r="O60" s="16"/>
      <c r="Q60" s="16"/>
      <c r="S60" s="16"/>
      <c r="U60" s="16"/>
      <c r="W60" s="16"/>
      <c r="Y60" s="16"/>
    </row>
    <row r="61" spans="1:26" x14ac:dyDescent="0.3">
      <c r="A61" t="s">
        <v>55</v>
      </c>
      <c r="C61" s="16"/>
      <c r="E61" s="16"/>
      <c r="G61" s="16"/>
      <c r="I61" s="16"/>
      <c r="K61" s="16"/>
      <c r="M61" s="16"/>
      <c r="O61" s="16"/>
      <c r="Q61" s="16"/>
      <c r="S61" s="16"/>
      <c r="U61" s="16"/>
      <c r="W61" s="16"/>
      <c r="Y61" s="16"/>
    </row>
    <row r="62" spans="1:26" x14ac:dyDescent="0.3">
      <c r="C62" s="16"/>
      <c r="E62" s="16"/>
      <c r="G62" s="16"/>
      <c r="I62" s="16"/>
      <c r="K62" s="16"/>
      <c r="M62" s="16"/>
      <c r="O62" s="16"/>
      <c r="Q62" s="16"/>
      <c r="S62" s="16"/>
      <c r="U62" s="16"/>
      <c r="W62" s="16"/>
      <c r="Y62" s="16"/>
    </row>
    <row r="63" spans="1:26" x14ac:dyDescent="0.3">
      <c r="A63" s="86" t="s">
        <v>54</v>
      </c>
      <c r="C63" s="16"/>
      <c r="E63" s="16"/>
      <c r="G63" s="16"/>
      <c r="I63" s="16"/>
      <c r="K63" s="16"/>
      <c r="M63" s="16"/>
      <c r="O63" s="16"/>
      <c r="Q63" s="16"/>
      <c r="S63" s="16"/>
      <c r="U63" s="16"/>
      <c r="W63" s="16"/>
      <c r="Y63" s="16"/>
    </row>
    <row r="64" spans="1:26" x14ac:dyDescent="0.3">
      <c r="A64" t="s">
        <v>56</v>
      </c>
      <c r="C64" s="16"/>
      <c r="E64" s="16"/>
      <c r="G64" s="16"/>
      <c r="I64" s="16"/>
      <c r="K64" s="16"/>
      <c r="M64" s="16"/>
      <c r="O64" s="16"/>
      <c r="Q64" s="16"/>
      <c r="S64" s="16"/>
      <c r="U64" s="16"/>
      <c r="W64" s="16"/>
      <c r="Y64" s="16"/>
    </row>
  </sheetData>
  <mergeCells count="25">
    <mergeCell ref="V2:W2"/>
    <mergeCell ref="X2:Y2"/>
    <mergeCell ref="X3:Y3"/>
    <mergeCell ref="V3:W3"/>
    <mergeCell ref="T3:U3"/>
    <mergeCell ref="T2:U2"/>
    <mergeCell ref="P2:Q2"/>
    <mergeCell ref="R2:S2"/>
    <mergeCell ref="R3:S3"/>
    <mergeCell ref="P3:Q3"/>
    <mergeCell ref="N3:O3"/>
    <mergeCell ref="N2:O2"/>
    <mergeCell ref="L3:M3"/>
    <mergeCell ref="H2:I2"/>
    <mergeCell ref="H3:I3"/>
    <mergeCell ref="J2:K2"/>
    <mergeCell ref="J3:K3"/>
    <mergeCell ref="L2:M2"/>
    <mergeCell ref="F2:G2"/>
    <mergeCell ref="F3:G3"/>
    <mergeCell ref="A2:A3"/>
    <mergeCell ref="B2:C2"/>
    <mergeCell ref="D2:E2"/>
    <mergeCell ref="D3:E3"/>
    <mergeCell ref="B3:C3"/>
  </mergeCells>
  <conditionalFormatting sqref="C56 Y56 W56 U56 S56 Q56 O56 M56 K56 I56 G56 E56">
    <cfRule type="cellIs" dxfId="24" priority="28" operator="between">
      <formula>-0.00251</formula>
      <formula>-0.009</formula>
    </cfRule>
    <cfRule type="cellIs" dxfId="23" priority="29" operator="between">
      <formula>0</formula>
      <formula>-0.0025</formula>
    </cfRule>
  </conditionalFormatting>
  <conditionalFormatting sqref="C5:C54 H6:H55 E5:E54 D5:D55 G5:I5 G6:G54 F5:F55 K5:K54 J5:J55 M5:M54 L5:L55 O5:O54 N5:N55 Q5:Q54 P5:P55 S5:S54 R5:R55 U5:U54 T5:T55 W5:W54 V5:V55 Y5:Z54 X5:X55 I6:I54">
    <cfRule type="cellIs" dxfId="22" priority="27" operator="lessThan">
      <formula>0</formula>
    </cfRule>
  </conditionalFormatting>
  <conditionalFormatting sqref="B5:B54">
    <cfRule type="cellIs" dxfId="21" priority="26" operator="lessThan">
      <formula>0</formula>
    </cfRule>
  </conditionalFormatting>
  <conditionalFormatting sqref="C5:C54 E5:E54 G5:G54 K5:K54 M5:M54 O5:O54 Q5:Q54 S5:S54 U5:U54 W5:W54 Y5:Y54 I5:I54">
    <cfRule type="cellIs" dxfId="20" priority="1" operator="between">
      <formula>0</formula>
      <formula>-0.0025</formula>
    </cfRule>
    <cfRule type="cellIs" dxfId="19" priority="2" operator="between">
      <formula>-0.00251</formula>
      <formula>-0.009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0" id="{3962090A-1E81-4A27-9E88-CB0EB48B3868}">
            <x14:iconSet iconSet="3Triangles">
              <x14:cfvo type="percent">
                <xm:f>0</xm:f>
              </x14:cfvo>
              <x14:cfvo type="formula">
                <xm:f>$C$56</xm:f>
              </x14:cfvo>
              <x14:cfvo type="formula" gte="0">
                <xm:f>$C$56</xm:f>
              </x14:cfvo>
            </x14:iconSet>
          </x14:cfRule>
          <xm:sqref>E56</xm:sqref>
        </x14:conditionalFormatting>
        <x14:conditionalFormatting xmlns:xm="http://schemas.microsoft.com/office/excel/2006/main">
          <x14:cfRule type="iconSet" priority="31" id="{72740EA2-16EB-480D-9CAB-63AB897A2ECB}">
            <x14:iconSet iconSet="3Triangles">
              <x14:cfvo type="percent">
                <xm:f>0</xm:f>
              </x14:cfvo>
              <x14:cfvo type="formula">
                <xm:f>$E$56</xm:f>
              </x14:cfvo>
              <x14:cfvo type="formula" gte="0">
                <xm:f>$E$56</xm:f>
              </x14:cfvo>
            </x14:iconSet>
          </x14:cfRule>
          <xm:sqref>G56</xm:sqref>
        </x14:conditionalFormatting>
        <x14:conditionalFormatting xmlns:xm="http://schemas.microsoft.com/office/excel/2006/main">
          <x14:cfRule type="iconSet" priority="32" id="{1EE15ABC-38A5-46DB-B8CA-33BACBB7E85B}">
            <x14:iconSet iconSet="3Triangles">
              <x14:cfvo type="percent">
                <xm:f>0</xm:f>
              </x14:cfvo>
              <x14:cfvo type="formula">
                <xm:f>$G$56</xm:f>
              </x14:cfvo>
              <x14:cfvo type="formula" gte="0">
                <xm:f>$G$56</xm:f>
              </x14:cfvo>
            </x14:iconSet>
          </x14:cfRule>
          <xm:sqref>I56</xm:sqref>
        </x14:conditionalFormatting>
        <x14:conditionalFormatting xmlns:xm="http://schemas.microsoft.com/office/excel/2006/main">
          <x14:cfRule type="iconSet" priority="33" id="{C5924D79-F967-4860-AA34-EC0018F8204F}">
            <x14:iconSet iconSet="3Triangles">
              <x14:cfvo type="percent">
                <xm:f>0</xm:f>
              </x14:cfvo>
              <x14:cfvo type="formula">
                <xm:f>$I$56</xm:f>
              </x14:cfvo>
              <x14:cfvo type="formula" gte="0">
                <xm:f>$I$56</xm:f>
              </x14:cfvo>
            </x14:iconSet>
          </x14:cfRule>
          <xm:sqref>K56</xm:sqref>
        </x14:conditionalFormatting>
        <x14:conditionalFormatting xmlns:xm="http://schemas.microsoft.com/office/excel/2006/main">
          <x14:cfRule type="iconSet" priority="34" id="{73F95C87-99A4-4E0B-9526-2940D87A9DFB}">
            <x14:iconSet iconSet="3Triangles">
              <x14:cfvo type="percent">
                <xm:f>0</xm:f>
              </x14:cfvo>
              <x14:cfvo type="formula">
                <xm:f>$M$56</xm:f>
              </x14:cfvo>
              <x14:cfvo type="formula" gte="0">
                <xm:f>$M$56</xm:f>
              </x14:cfvo>
            </x14:iconSet>
          </x14:cfRule>
          <xm:sqref>O56</xm:sqref>
        </x14:conditionalFormatting>
        <x14:conditionalFormatting xmlns:xm="http://schemas.microsoft.com/office/excel/2006/main">
          <x14:cfRule type="iconSet" priority="35" id="{79343F0C-3438-404D-AE1D-726FB0E22FB2}">
            <x14:iconSet iconSet="3Triangles">
              <x14:cfvo type="percent">
                <xm:f>0</xm:f>
              </x14:cfvo>
              <x14:cfvo type="formula">
                <xm:f>$O$56</xm:f>
              </x14:cfvo>
              <x14:cfvo type="formula" gte="0">
                <xm:f>$O$56</xm:f>
              </x14:cfvo>
            </x14:iconSet>
          </x14:cfRule>
          <xm:sqref>Q56</xm:sqref>
        </x14:conditionalFormatting>
        <x14:conditionalFormatting xmlns:xm="http://schemas.microsoft.com/office/excel/2006/main">
          <x14:cfRule type="iconSet" priority="36" id="{22496B6F-1F62-4D3D-88EF-26AD4E6F0425}">
            <x14:iconSet iconSet="3Triangles">
              <x14:cfvo type="percent">
                <xm:f>0</xm:f>
              </x14:cfvo>
              <x14:cfvo type="formula">
                <xm:f>$Q$56</xm:f>
              </x14:cfvo>
              <x14:cfvo type="formula" gte="0">
                <xm:f>$Q$56</xm:f>
              </x14:cfvo>
            </x14:iconSet>
          </x14:cfRule>
          <xm:sqref>S56</xm:sqref>
        </x14:conditionalFormatting>
        <x14:conditionalFormatting xmlns:xm="http://schemas.microsoft.com/office/excel/2006/main">
          <x14:cfRule type="iconSet" priority="37" id="{59324B74-9CAD-404C-A6B4-824E99020F3B}">
            <x14:iconSet iconSet="3Triangles">
              <x14:cfvo type="percent">
                <xm:f>0</xm:f>
              </x14:cfvo>
              <x14:cfvo type="formula">
                <xm:f>$S$56</xm:f>
              </x14:cfvo>
              <x14:cfvo type="formula" gte="0">
                <xm:f>$S$56</xm:f>
              </x14:cfvo>
            </x14:iconSet>
          </x14:cfRule>
          <xm:sqref>U56</xm:sqref>
        </x14:conditionalFormatting>
        <x14:conditionalFormatting xmlns:xm="http://schemas.microsoft.com/office/excel/2006/main">
          <x14:cfRule type="iconSet" priority="38" id="{D0001A67-D293-4808-B03B-4E395D084E56}">
            <x14:iconSet iconSet="3Triangles">
              <x14:cfvo type="percent">
                <xm:f>0</xm:f>
              </x14:cfvo>
              <x14:cfvo type="formula">
                <xm:f>$U$56</xm:f>
              </x14:cfvo>
              <x14:cfvo type="formula" gte="0">
                <xm:f>$U$56</xm:f>
              </x14:cfvo>
            </x14:iconSet>
          </x14:cfRule>
          <xm:sqref>W56</xm:sqref>
        </x14:conditionalFormatting>
        <x14:conditionalFormatting xmlns:xm="http://schemas.microsoft.com/office/excel/2006/main">
          <x14:cfRule type="iconSet" priority="39" id="{822069BB-56A1-47C2-985A-9272DFFC2821}">
            <x14:iconSet iconSet="3Triangles">
              <x14:cfvo type="percent">
                <xm:f>0</xm:f>
              </x14:cfvo>
              <x14:cfvo type="formula">
                <xm:f>$W$56</xm:f>
              </x14:cfvo>
              <x14:cfvo type="formula" gte="0">
                <xm:f>$W$56</xm:f>
              </x14:cfvo>
            </x14:iconSet>
          </x14:cfRule>
          <xm:sqref>Y56</xm:sqref>
        </x14:conditionalFormatting>
        <x14:conditionalFormatting xmlns:xm="http://schemas.microsoft.com/office/excel/2006/main">
          <x14:cfRule type="iconSet" priority="40" id="{9F913A3F-D615-4C4F-AD92-60807A88FA74}">
            <x14:iconSet iconSet="3Triangles">
              <x14:cfvo type="percent">
                <xm:f>0</xm:f>
              </x14:cfvo>
              <x14:cfvo type="formula">
                <xm:f>$K$56</xm:f>
              </x14:cfvo>
              <x14:cfvo type="formula" gte="0">
                <xm:f>$K$56</xm:f>
              </x14:cfvo>
            </x14:iconSet>
          </x14:cfRule>
          <xm:sqref>M56</xm:sqref>
        </x14:conditionalFormatting>
        <x14:conditionalFormatting xmlns:xm="http://schemas.microsoft.com/office/excel/2006/main">
          <x14:cfRule type="iconSet" priority="23" id="{CE092F73-ADFA-4171-BD3E-C92519C32CB8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H5:H55</xm:sqref>
        </x14:conditionalFormatting>
        <x14:conditionalFormatting xmlns:xm="http://schemas.microsoft.com/office/excel/2006/main">
          <x14:cfRule type="iconSet" priority="14" id="{520E7DDD-6A5F-4898-B832-4BEB4523CB1C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D5:D55</xm:sqref>
        </x14:conditionalFormatting>
        <x14:conditionalFormatting xmlns:xm="http://schemas.microsoft.com/office/excel/2006/main">
          <x14:cfRule type="iconSet" priority="13" id="{046DDEA0-5AA1-422F-8398-A7F99139B67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F5:F55</xm:sqref>
        </x14:conditionalFormatting>
        <x14:conditionalFormatting xmlns:xm="http://schemas.microsoft.com/office/excel/2006/main">
          <x14:cfRule type="iconSet" priority="11" id="{0B428083-63BF-4EC0-BAB4-2EE37CE50F61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J5:J55</xm:sqref>
        </x14:conditionalFormatting>
        <x14:conditionalFormatting xmlns:xm="http://schemas.microsoft.com/office/excel/2006/main">
          <x14:cfRule type="iconSet" priority="10" id="{A7D9D8ED-123B-4DD2-BFF5-04ECEA782810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L5:L55</xm:sqref>
        </x14:conditionalFormatting>
        <x14:conditionalFormatting xmlns:xm="http://schemas.microsoft.com/office/excel/2006/main">
          <x14:cfRule type="iconSet" priority="9" id="{2C39360C-AAFC-450B-B6D5-5EAB77099CB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N5:N55</xm:sqref>
        </x14:conditionalFormatting>
        <x14:conditionalFormatting xmlns:xm="http://schemas.microsoft.com/office/excel/2006/main">
          <x14:cfRule type="iconSet" priority="8" id="{9F33FFF9-887D-4AEA-9C1E-E5520D6EF2DE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P5:P55</xm:sqref>
        </x14:conditionalFormatting>
        <x14:conditionalFormatting xmlns:xm="http://schemas.microsoft.com/office/excel/2006/main">
          <x14:cfRule type="iconSet" priority="7" id="{C39C201B-997B-45FB-9693-C6C2E33503F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R5:R55</xm:sqref>
        </x14:conditionalFormatting>
        <x14:conditionalFormatting xmlns:xm="http://schemas.microsoft.com/office/excel/2006/main">
          <x14:cfRule type="iconSet" priority="6" id="{7F8A4A8F-89DA-4586-964F-C89940D8BC17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T5:T55</xm:sqref>
        </x14:conditionalFormatting>
        <x14:conditionalFormatting xmlns:xm="http://schemas.microsoft.com/office/excel/2006/main">
          <x14:cfRule type="iconSet" priority="5" id="{E273287C-FCA6-44FF-A44E-32F4BAE0D69C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V5:V55</xm:sqref>
        </x14:conditionalFormatting>
        <x14:conditionalFormatting xmlns:xm="http://schemas.microsoft.com/office/excel/2006/main">
          <x14:cfRule type="iconSet" priority="4" id="{2C944EF7-4E2C-4A40-AB85-287F6AB58BA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X5:X55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856A-5F63-4D15-A75C-8DBCB7276442}">
  <sheetPr codeName="Sheet13"/>
  <dimension ref="A1:Z6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15" sqref="I15"/>
    </sheetView>
  </sheetViews>
  <sheetFormatPr defaultColWidth="9.140625" defaultRowHeight="16.5" x14ac:dyDescent="0.3"/>
  <cols>
    <col min="1" max="1" width="27.5703125" style="17" customWidth="1"/>
    <col min="2" max="2" width="3" style="18" customWidth="1"/>
    <col min="3" max="3" width="19.5703125" style="82" customWidth="1"/>
    <col min="4" max="4" width="2.7109375" style="81" customWidth="1"/>
    <col min="5" max="5" width="19.5703125" style="82" bestFit="1" customWidth="1"/>
    <col min="6" max="6" width="2.7109375" style="81" customWidth="1"/>
    <col min="7" max="7" width="19.5703125" style="82" bestFit="1" customWidth="1"/>
    <col min="8" max="8" width="2.42578125" style="81" customWidth="1"/>
    <col min="9" max="9" width="19.5703125" style="82" customWidth="1"/>
    <col min="10" max="10" width="2.42578125" style="81" customWidth="1"/>
    <col min="11" max="11" width="19.5703125" style="82" bestFit="1" customWidth="1"/>
    <col min="12" max="12" width="2.42578125" style="81" customWidth="1"/>
    <col min="13" max="13" width="20.7109375" style="82" bestFit="1" customWidth="1"/>
    <col min="14" max="14" width="2.42578125" style="81" customWidth="1"/>
    <col min="15" max="15" width="19.5703125" style="82" bestFit="1" customWidth="1"/>
    <col min="16" max="16" width="2.42578125" style="81" customWidth="1"/>
    <col min="17" max="17" width="19.5703125" style="82" bestFit="1" customWidth="1"/>
    <col min="18" max="18" width="2.42578125" style="81" customWidth="1"/>
    <col min="19" max="19" width="19.5703125" style="82" bestFit="1" customWidth="1"/>
    <col min="20" max="20" width="2.42578125" style="81" customWidth="1"/>
    <col min="21" max="21" width="19.5703125" style="82" bestFit="1" customWidth="1"/>
    <col min="22" max="22" width="2.42578125" style="81" customWidth="1"/>
    <col min="23" max="23" width="19.5703125" style="82" bestFit="1" customWidth="1"/>
    <col min="24" max="24" width="2.42578125" style="81" customWidth="1"/>
    <col min="25" max="25" width="19.5703125" style="82" bestFit="1" customWidth="1"/>
    <col min="26" max="26" width="0.28515625" style="18" customWidth="1"/>
    <col min="27" max="16384" width="9.140625" style="52"/>
  </cols>
  <sheetData>
    <row r="1" spans="1:26" s="51" customFormat="1" ht="36.950000000000003" customHeight="1" x14ac:dyDescent="0.25">
      <c r="A1" s="31" t="str">
        <f ca="1">"► PERFORMANCE SHIPMENT PerFACTORY " &amp; HOME!$F$5</f>
        <v>► PERFORMANCE SHIPMENT PerFACTORY 2025</v>
      </c>
      <c r="B1" s="31"/>
      <c r="C1" s="31"/>
      <c r="D1" s="80"/>
      <c r="E1" s="31"/>
      <c r="F1" s="80"/>
      <c r="G1" s="31"/>
      <c r="H1" s="80"/>
      <c r="I1" s="31"/>
      <c r="J1" s="80"/>
      <c r="K1" s="31"/>
      <c r="L1" s="80"/>
      <c r="M1" s="31"/>
      <c r="N1" s="80"/>
      <c r="O1" s="31"/>
      <c r="P1" s="80"/>
      <c r="Q1" s="31"/>
      <c r="R1" s="80"/>
      <c r="S1" s="31"/>
      <c r="T1" s="80"/>
      <c r="U1" s="31"/>
      <c r="V1" s="80"/>
      <c r="W1" s="31"/>
      <c r="X1" s="80"/>
      <c r="Y1" s="31"/>
      <c r="Z1" s="31"/>
    </row>
    <row r="2" spans="1:26" ht="18" x14ac:dyDescent="0.3">
      <c r="A2" s="112" t="s">
        <v>48</v>
      </c>
      <c r="B2" s="109" t="s">
        <v>28</v>
      </c>
      <c r="C2" s="111"/>
      <c r="D2" s="109" t="s">
        <v>26</v>
      </c>
      <c r="E2" s="111"/>
      <c r="F2" s="109" t="s">
        <v>29</v>
      </c>
      <c r="G2" s="111"/>
      <c r="H2" s="109" t="s">
        <v>30</v>
      </c>
      <c r="I2" s="111"/>
      <c r="J2" s="109" t="s">
        <v>31</v>
      </c>
      <c r="K2" s="111"/>
      <c r="L2" s="109" t="s">
        <v>32</v>
      </c>
      <c r="M2" s="111"/>
      <c r="N2" s="109" t="s">
        <v>33</v>
      </c>
      <c r="O2" s="111"/>
      <c r="P2" s="109" t="s">
        <v>34</v>
      </c>
      <c r="Q2" s="111"/>
      <c r="R2" s="109" t="s">
        <v>35</v>
      </c>
      <c r="S2" s="111"/>
      <c r="T2" s="109" t="s">
        <v>36</v>
      </c>
      <c r="U2" s="111"/>
      <c r="V2" s="109" t="s">
        <v>37</v>
      </c>
      <c r="W2" s="111"/>
      <c r="X2" s="109" t="s">
        <v>38</v>
      </c>
      <c r="Y2" s="111"/>
      <c r="Z2" s="21"/>
    </row>
    <row r="3" spans="1:26" ht="15.75" x14ac:dyDescent="0.3">
      <c r="A3" s="112"/>
      <c r="B3" s="114" t="s">
        <v>17</v>
      </c>
      <c r="C3" s="115"/>
      <c r="D3" s="114" t="s">
        <v>17</v>
      </c>
      <c r="E3" s="115"/>
      <c r="F3" s="114" t="s">
        <v>17</v>
      </c>
      <c r="G3" s="115"/>
      <c r="H3" s="114" t="s">
        <v>17</v>
      </c>
      <c r="I3" s="115"/>
      <c r="J3" s="114" t="s">
        <v>17</v>
      </c>
      <c r="K3" s="115"/>
      <c r="L3" s="114" t="s">
        <v>17</v>
      </c>
      <c r="M3" s="115"/>
      <c r="N3" s="114" t="s">
        <v>17</v>
      </c>
      <c r="O3" s="115"/>
      <c r="P3" s="114" t="s">
        <v>17</v>
      </c>
      <c r="Q3" s="115"/>
      <c r="R3" s="114" t="s">
        <v>17</v>
      </c>
      <c r="S3" s="115"/>
      <c r="T3" s="114" t="s">
        <v>17</v>
      </c>
      <c r="U3" s="115"/>
      <c r="V3" s="114" t="s">
        <v>17</v>
      </c>
      <c r="W3" s="115"/>
      <c r="X3" s="114" t="s">
        <v>17</v>
      </c>
      <c r="Y3" s="115"/>
      <c r="Z3" s="28"/>
    </row>
    <row r="4" spans="1:26" ht="2.1" customHeight="1" x14ac:dyDescent="0.3">
      <c r="A4" s="95"/>
      <c r="B4" s="94"/>
      <c r="C4" s="93"/>
      <c r="D4" s="91"/>
      <c r="E4" s="93"/>
      <c r="F4" s="91"/>
      <c r="G4" s="93"/>
      <c r="H4" s="91"/>
      <c r="I4" s="92"/>
      <c r="J4" s="91"/>
      <c r="K4" s="93"/>
      <c r="L4" s="91"/>
      <c r="M4" s="92"/>
      <c r="N4" s="91"/>
      <c r="O4" s="93"/>
      <c r="P4" s="91"/>
      <c r="Q4" s="93"/>
      <c r="R4" s="91"/>
      <c r="S4" s="93"/>
      <c r="T4" s="91"/>
      <c r="U4" s="93"/>
      <c r="V4" s="91"/>
      <c r="W4" s="93"/>
      <c r="X4" s="91"/>
      <c r="Y4" s="93"/>
      <c r="Z4" s="28"/>
    </row>
    <row r="5" spans="1:26" x14ac:dyDescent="0.3">
      <c r="A5" s="96"/>
      <c r="C5" s="79">
        <f>IFERROR(VLOOKUP($B$2&amp;"-"&amp;$A5,CC1_InputUser!$T:$X,5,FALSE),0)</f>
        <v>0</v>
      </c>
      <c r="D5" s="84">
        <f>SIGN(C5-E5)</f>
        <v>0</v>
      </c>
      <c r="E5" s="79">
        <f>IFERROR(VLOOKUP($D$2&amp;"-"&amp;$A5,CC1_InputUser!$T:$X,5,FALSE),0)</f>
        <v>0</v>
      </c>
      <c r="F5" s="84">
        <f>SIGN(E5-G5)</f>
        <v>0</v>
      </c>
      <c r="G5" s="79">
        <f>IFERROR(VLOOKUP($F$2&amp;"-"&amp;$A5,CC1_InputUser!$T:$X,5,FALSE),0)</f>
        <v>0</v>
      </c>
      <c r="H5" s="84">
        <f>SIGN(G5-I5)</f>
        <v>0</v>
      </c>
      <c r="I5" s="79">
        <f>IFERROR(VLOOKUP($H$2&amp;"-"&amp;$A5,CC1_InputUser!$T:$X,5,FALSE),0)</f>
        <v>0</v>
      </c>
      <c r="J5" s="84">
        <f>SIGN(I5-K5)</f>
        <v>0</v>
      </c>
      <c r="K5" s="79">
        <f>IFERROR(VLOOKUP($J$2&amp;"-"&amp;$A5,CC1_InputUser!$T:$X,5,FALSE),0)</f>
        <v>0</v>
      </c>
      <c r="L5" s="84">
        <f>SIGN(K5-M5)</f>
        <v>0</v>
      </c>
      <c r="M5" s="79">
        <f>IFERROR(VLOOKUP($L$2&amp;"-"&amp;$A5,CC1_InputUser!$T:$X,5,FALSE),0)</f>
        <v>0</v>
      </c>
      <c r="N5" s="84">
        <f>SIGN(M5-O5)</f>
        <v>0</v>
      </c>
      <c r="O5" s="79">
        <f>IFERROR(VLOOKUP($N$2&amp;"-"&amp;$A5,CC1_InputUser!$T:$X,5,FALSE),0)</f>
        <v>0</v>
      </c>
      <c r="P5" s="84">
        <f>SIGN(O5-Q5)</f>
        <v>0</v>
      </c>
      <c r="Q5" s="79">
        <f>IFERROR(VLOOKUP($P$2&amp;"-"&amp;$A5,CC1_InputUser!$T:$X,5,FALSE),0)</f>
        <v>0</v>
      </c>
      <c r="R5" s="84">
        <f>SIGN(Q5-S5)</f>
        <v>0</v>
      </c>
      <c r="S5" s="79">
        <f>IFERROR(VLOOKUP($R$2&amp;"-"&amp;$A5,CC1_InputUser!$T:$X,5,FALSE),0)</f>
        <v>0</v>
      </c>
      <c r="T5" s="84">
        <f>SIGN(S5-U5)</f>
        <v>0</v>
      </c>
      <c r="U5" s="79">
        <f>IFERROR(VLOOKUP($T$2&amp;"-"&amp;$A5,CC1_InputUser!$T:$X,5,FALSE),0)</f>
        <v>0</v>
      </c>
      <c r="V5" s="84">
        <f>SIGN(U5-W5)</f>
        <v>0</v>
      </c>
      <c r="W5" s="79">
        <f>IFERROR(VLOOKUP($V$2&amp;"-"&amp;$A5,CC1_InputUser!$T:$X,5,FALSE),0)</f>
        <v>0</v>
      </c>
      <c r="X5" s="84">
        <f>SIGN(W5-Y5)</f>
        <v>0</v>
      </c>
      <c r="Y5" s="79">
        <f>IFERROR(VLOOKUP($X$2&amp;"-"&amp;$A5,CC1_InputUser!$T:$X,5,FALSE),0)</f>
        <v>0</v>
      </c>
    </row>
    <row r="6" spans="1:26" x14ac:dyDescent="0.3">
      <c r="A6" s="96"/>
      <c r="C6" s="79"/>
      <c r="D6" s="84">
        <f t="shared" ref="D6:D54" si="0">SIGN(C6-E6)</f>
        <v>0</v>
      </c>
      <c r="E6" s="79"/>
      <c r="F6" s="84">
        <f t="shared" ref="F6:H54" si="1">SIGN(E6-G6)</f>
        <v>0</v>
      </c>
      <c r="G6" s="79"/>
      <c r="H6" s="84">
        <f t="shared" si="1"/>
        <v>0</v>
      </c>
      <c r="I6" s="79"/>
      <c r="J6" s="84">
        <f t="shared" ref="J6:J54" si="2">SIGN(I6-K6)</f>
        <v>0</v>
      </c>
      <c r="K6" s="79"/>
      <c r="L6" s="84">
        <f t="shared" ref="L6:L54" si="3">SIGN(K6-M6)</f>
        <v>0</v>
      </c>
      <c r="M6" s="79"/>
      <c r="N6" s="84">
        <f t="shared" ref="N6:N54" si="4">SIGN(M6-O6)</f>
        <v>0</v>
      </c>
      <c r="O6" s="79"/>
      <c r="P6" s="84">
        <f t="shared" ref="P6:P54" si="5">SIGN(O6-Q6)</f>
        <v>0</v>
      </c>
      <c r="Q6" s="79"/>
      <c r="R6" s="84">
        <f t="shared" ref="R6:R54" si="6">SIGN(Q6-S6)</f>
        <v>0</v>
      </c>
      <c r="S6" s="79"/>
      <c r="T6" s="84">
        <f t="shared" ref="T6:T54" si="7">SIGN(S6-U6)</f>
        <v>0</v>
      </c>
      <c r="U6" s="79"/>
      <c r="V6" s="84">
        <f t="shared" ref="V6:V54" si="8">SIGN(U6-W6)</f>
        <v>0</v>
      </c>
      <c r="W6" s="79"/>
      <c r="X6" s="84">
        <f t="shared" ref="X6:X54" si="9">SIGN(W6-Y6)</f>
        <v>0</v>
      </c>
      <c r="Y6" s="79"/>
    </row>
    <row r="7" spans="1:26" x14ac:dyDescent="0.3">
      <c r="A7" s="96"/>
      <c r="C7" s="79"/>
      <c r="D7" s="84">
        <f t="shared" si="0"/>
        <v>0</v>
      </c>
      <c r="E7" s="79"/>
      <c r="F7" s="84">
        <f t="shared" si="1"/>
        <v>0</v>
      </c>
      <c r="G7" s="79"/>
      <c r="H7" s="84">
        <f t="shared" si="1"/>
        <v>0</v>
      </c>
      <c r="I7" s="79"/>
      <c r="J7" s="84">
        <f t="shared" si="2"/>
        <v>0</v>
      </c>
      <c r="K7" s="79"/>
      <c r="L7" s="84">
        <f t="shared" si="3"/>
        <v>0</v>
      </c>
      <c r="M7" s="79"/>
      <c r="N7" s="84">
        <f t="shared" si="4"/>
        <v>0</v>
      </c>
      <c r="O7" s="79"/>
      <c r="P7" s="84">
        <f t="shared" si="5"/>
        <v>0</v>
      </c>
      <c r="Q7" s="79"/>
      <c r="R7" s="84">
        <f t="shared" si="6"/>
        <v>0</v>
      </c>
      <c r="S7" s="79"/>
      <c r="T7" s="84">
        <f t="shared" si="7"/>
        <v>0</v>
      </c>
      <c r="U7" s="79"/>
      <c r="V7" s="84">
        <f t="shared" si="8"/>
        <v>0</v>
      </c>
      <c r="W7" s="79"/>
      <c r="X7" s="84">
        <f t="shared" si="9"/>
        <v>0</v>
      </c>
      <c r="Y7" s="79"/>
    </row>
    <row r="8" spans="1:26" x14ac:dyDescent="0.3">
      <c r="A8" s="96"/>
      <c r="C8" s="79"/>
      <c r="D8" s="84">
        <f t="shared" si="0"/>
        <v>0</v>
      </c>
      <c r="E8" s="79"/>
      <c r="F8" s="84">
        <f t="shared" si="1"/>
        <v>0</v>
      </c>
      <c r="G8" s="79"/>
      <c r="H8" s="84">
        <f t="shared" si="1"/>
        <v>0</v>
      </c>
      <c r="I8" s="79"/>
      <c r="J8" s="84">
        <f t="shared" si="2"/>
        <v>0</v>
      </c>
      <c r="K8" s="79"/>
      <c r="L8" s="84">
        <f t="shared" si="3"/>
        <v>0</v>
      </c>
      <c r="M8" s="79"/>
      <c r="N8" s="84">
        <f t="shared" si="4"/>
        <v>0</v>
      </c>
      <c r="O8" s="79"/>
      <c r="P8" s="84">
        <f t="shared" si="5"/>
        <v>0</v>
      </c>
      <c r="Q8" s="79"/>
      <c r="R8" s="84">
        <f t="shared" si="6"/>
        <v>0</v>
      </c>
      <c r="S8" s="79"/>
      <c r="T8" s="84">
        <f t="shared" si="7"/>
        <v>0</v>
      </c>
      <c r="U8" s="79"/>
      <c r="V8" s="84">
        <f t="shared" si="8"/>
        <v>0</v>
      </c>
      <c r="W8" s="79"/>
      <c r="X8" s="84">
        <f t="shared" si="9"/>
        <v>0</v>
      </c>
      <c r="Y8" s="79"/>
    </row>
    <row r="9" spans="1:26" x14ac:dyDescent="0.3">
      <c r="A9" s="96"/>
      <c r="C9" s="79"/>
      <c r="D9" s="84">
        <f t="shared" si="0"/>
        <v>0</v>
      </c>
      <c r="E9" s="79"/>
      <c r="F9" s="84">
        <f t="shared" si="1"/>
        <v>0</v>
      </c>
      <c r="G9" s="79"/>
      <c r="H9" s="84">
        <f t="shared" si="1"/>
        <v>0</v>
      </c>
      <c r="I9" s="79"/>
      <c r="J9" s="84">
        <f t="shared" si="2"/>
        <v>0</v>
      </c>
      <c r="K9" s="79"/>
      <c r="L9" s="84">
        <f t="shared" si="3"/>
        <v>0</v>
      </c>
      <c r="M9" s="79"/>
      <c r="N9" s="84">
        <f t="shared" si="4"/>
        <v>0</v>
      </c>
      <c r="O9" s="79"/>
      <c r="P9" s="84">
        <f t="shared" si="5"/>
        <v>0</v>
      </c>
      <c r="Q9" s="79"/>
      <c r="R9" s="84">
        <f t="shared" si="6"/>
        <v>0</v>
      </c>
      <c r="S9" s="79"/>
      <c r="T9" s="84">
        <f t="shared" si="7"/>
        <v>0</v>
      </c>
      <c r="U9" s="79"/>
      <c r="V9" s="84">
        <f t="shared" si="8"/>
        <v>0</v>
      </c>
      <c r="W9" s="79"/>
      <c r="X9" s="84">
        <f t="shared" si="9"/>
        <v>0</v>
      </c>
      <c r="Y9" s="79"/>
    </row>
    <row r="10" spans="1:26" x14ac:dyDescent="0.3">
      <c r="A10" s="96"/>
      <c r="C10" s="79"/>
      <c r="D10" s="84">
        <f t="shared" si="0"/>
        <v>0</v>
      </c>
      <c r="E10" s="79"/>
      <c r="F10" s="84">
        <f t="shared" si="1"/>
        <v>0</v>
      </c>
      <c r="G10" s="79"/>
      <c r="H10" s="84">
        <f t="shared" si="1"/>
        <v>0</v>
      </c>
      <c r="I10" s="79"/>
      <c r="J10" s="84">
        <f t="shared" si="2"/>
        <v>0</v>
      </c>
      <c r="K10" s="79"/>
      <c r="L10" s="84">
        <f t="shared" si="3"/>
        <v>0</v>
      </c>
      <c r="M10" s="79"/>
      <c r="N10" s="84">
        <f t="shared" si="4"/>
        <v>0</v>
      </c>
      <c r="O10" s="79"/>
      <c r="P10" s="84">
        <f t="shared" si="5"/>
        <v>0</v>
      </c>
      <c r="Q10" s="79"/>
      <c r="R10" s="84">
        <f t="shared" si="6"/>
        <v>0</v>
      </c>
      <c r="S10" s="79"/>
      <c r="T10" s="84">
        <f t="shared" si="7"/>
        <v>0</v>
      </c>
      <c r="U10" s="79"/>
      <c r="V10" s="84">
        <f t="shared" si="8"/>
        <v>0</v>
      </c>
      <c r="W10" s="79"/>
      <c r="X10" s="84">
        <f t="shared" si="9"/>
        <v>0</v>
      </c>
      <c r="Y10" s="79"/>
    </row>
    <row r="11" spans="1:26" x14ac:dyDescent="0.3">
      <c r="A11" s="96"/>
      <c r="C11" s="79"/>
      <c r="D11" s="84">
        <f t="shared" si="0"/>
        <v>0</v>
      </c>
      <c r="E11" s="79"/>
      <c r="F11" s="84">
        <f t="shared" si="1"/>
        <v>0</v>
      </c>
      <c r="G11" s="79"/>
      <c r="H11" s="84">
        <f t="shared" si="1"/>
        <v>0</v>
      </c>
      <c r="I11" s="79"/>
      <c r="J11" s="84">
        <f t="shared" si="2"/>
        <v>0</v>
      </c>
      <c r="K11" s="79"/>
      <c r="L11" s="84">
        <f t="shared" si="3"/>
        <v>0</v>
      </c>
      <c r="M11" s="79"/>
      <c r="N11" s="84">
        <f t="shared" si="4"/>
        <v>0</v>
      </c>
      <c r="O11" s="79"/>
      <c r="P11" s="84">
        <f t="shared" si="5"/>
        <v>0</v>
      </c>
      <c r="Q11" s="79"/>
      <c r="R11" s="84">
        <f t="shared" si="6"/>
        <v>0</v>
      </c>
      <c r="S11" s="79"/>
      <c r="T11" s="84">
        <f t="shared" si="7"/>
        <v>0</v>
      </c>
      <c r="U11" s="79"/>
      <c r="V11" s="84">
        <f t="shared" si="8"/>
        <v>0</v>
      </c>
      <c r="W11" s="79"/>
      <c r="X11" s="84">
        <f t="shared" si="9"/>
        <v>0</v>
      </c>
      <c r="Y11" s="79"/>
    </row>
    <row r="12" spans="1:26" x14ac:dyDescent="0.3">
      <c r="A12" s="96"/>
      <c r="C12" s="79"/>
      <c r="D12" s="84">
        <f t="shared" si="0"/>
        <v>0</v>
      </c>
      <c r="E12" s="79"/>
      <c r="F12" s="84">
        <f t="shared" si="1"/>
        <v>0</v>
      </c>
      <c r="G12" s="79"/>
      <c r="H12" s="84">
        <f t="shared" si="1"/>
        <v>0</v>
      </c>
      <c r="I12" s="79"/>
      <c r="J12" s="84">
        <f t="shared" si="2"/>
        <v>0</v>
      </c>
      <c r="K12" s="79"/>
      <c r="L12" s="84">
        <f t="shared" si="3"/>
        <v>0</v>
      </c>
      <c r="M12" s="79"/>
      <c r="N12" s="84">
        <f t="shared" si="4"/>
        <v>0</v>
      </c>
      <c r="O12" s="79"/>
      <c r="P12" s="84">
        <f t="shared" si="5"/>
        <v>0</v>
      </c>
      <c r="Q12" s="79"/>
      <c r="R12" s="84">
        <f t="shared" si="6"/>
        <v>0</v>
      </c>
      <c r="S12" s="79"/>
      <c r="T12" s="84">
        <f t="shared" si="7"/>
        <v>0</v>
      </c>
      <c r="U12" s="79"/>
      <c r="V12" s="84">
        <f t="shared" si="8"/>
        <v>0</v>
      </c>
      <c r="W12" s="79"/>
      <c r="X12" s="84">
        <f t="shared" si="9"/>
        <v>0</v>
      </c>
      <c r="Y12" s="79"/>
    </row>
    <row r="13" spans="1:26" x14ac:dyDescent="0.3">
      <c r="A13" s="96"/>
      <c r="C13" s="79"/>
      <c r="D13" s="84">
        <f t="shared" si="0"/>
        <v>0</v>
      </c>
      <c r="E13" s="79"/>
      <c r="F13" s="84">
        <f t="shared" si="1"/>
        <v>0</v>
      </c>
      <c r="G13" s="79"/>
      <c r="H13" s="84">
        <f t="shared" si="1"/>
        <v>0</v>
      </c>
      <c r="I13" s="79"/>
      <c r="J13" s="84">
        <f t="shared" si="2"/>
        <v>0</v>
      </c>
      <c r="K13" s="79"/>
      <c r="L13" s="84">
        <f t="shared" si="3"/>
        <v>0</v>
      </c>
      <c r="M13" s="79"/>
      <c r="N13" s="84">
        <f t="shared" si="4"/>
        <v>0</v>
      </c>
      <c r="O13" s="79"/>
      <c r="P13" s="84">
        <f t="shared" si="5"/>
        <v>0</v>
      </c>
      <c r="Q13" s="79"/>
      <c r="R13" s="84">
        <f t="shared" si="6"/>
        <v>0</v>
      </c>
      <c r="S13" s="79"/>
      <c r="T13" s="84">
        <f t="shared" si="7"/>
        <v>0</v>
      </c>
      <c r="U13" s="79"/>
      <c r="V13" s="84">
        <f t="shared" si="8"/>
        <v>0</v>
      </c>
      <c r="W13" s="79"/>
      <c r="X13" s="84">
        <f t="shared" si="9"/>
        <v>0</v>
      </c>
      <c r="Y13" s="79"/>
    </row>
    <row r="14" spans="1:26" x14ac:dyDescent="0.3">
      <c r="A14" s="96"/>
      <c r="C14" s="79"/>
      <c r="D14" s="84">
        <f t="shared" si="0"/>
        <v>0</v>
      </c>
      <c r="E14" s="79"/>
      <c r="F14" s="84">
        <f t="shared" si="1"/>
        <v>0</v>
      </c>
      <c r="G14" s="79"/>
      <c r="H14" s="84">
        <f t="shared" si="1"/>
        <v>0</v>
      </c>
      <c r="I14" s="79"/>
      <c r="J14" s="84">
        <f t="shared" si="2"/>
        <v>0</v>
      </c>
      <c r="K14" s="79"/>
      <c r="L14" s="84">
        <f t="shared" si="3"/>
        <v>0</v>
      </c>
      <c r="M14" s="79"/>
      <c r="N14" s="84">
        <f t="shared" si="4"/>
        <v>0</v>
      </c>
      <c r="O14" s="79"/>
      <c r="P14" s="84">
        <f t="shared" si="5"/>
        <v>0</v>
      </c>
      <c r="Q14" s="79"/>
      <c r="R14" s="84">
        <f t="shared" si="6"/>
        <v>0</v>
      </c>
      <c r="S14" s="79"/>
      <c r="T14" s="84">
        <f t="shared" si="7"/>
        <v>0</v>
      </c>
      <c r="U14" s="79"/>
      <c r="V14" s="84">
        <f t="shared" si="8"/>
        <v>0</v>
      </c>
      <c r="W14" s="79"/>
      <c r="X14" s="84">
        <f t="shared" si="9"/>
        <v>0</v>
      </c>
      <c r="Y14" s="79"/>
    </row>
    <row r="15" spans="1:26" x14ac:dyDescent="0.3">
      <c r="A15" s="96"/>
      <c r="C15" s="79"/>
      <c r="D15" s="84">
        <f t="shared" si="0"/>
        <v>0</v>
      </c>
      <c r="E15" s="79"/>
      <c r="F15" s="84">
        <f t="shared" si="1"/>
        <v>0</v>
      </c>
      <c r="G15" s="79"/>
      <c r="H15" s="84">
        <f t="shared" si="1"/>
        <v>0</v>
      </c>
      <c r="I15" s="79"/>
      <c r="J15" s="84">
        <f t="shared" si="2"/>
        <v>0</v>
      </c>
      <c r="K15" s="79"/>
      <c r="L15" s="84">
        <f t="shared" si="3"/>
        <v>0</v>
      </c>
      <c r="M15" s="79"/>
      <c r="N15" s="84">
        <f t="shared" si="4"/>
        <v>0</v>
      </c>
      <c r="O15" s="79"/>
      <c r="P15" s="84">
        <f t="shared" si="5"/>
        <v>0</v>
      </c>
      <c r="Q15" s="79"/>
      <c r="R15" s="84">
        <f t="shared" si="6"/>
        <v>0</v>
      </c>
      <c r="S15" s="79"/>
      <c r="T15" s="84">
        <f t="shared" si="7"/>
        <v>0</v>
      </c>
      <c r="U15" s="79"/>
      <c r="V15" s="84">
        <f t="shared" si="8"/>
        <v>0</v>
      </c>
      <c r="W15" s="79"/>
      <c r="X15" s="84">
        <f t="shared" si="9"/>
        <v>0</v>
      </c>
      <c r="Y15" s="79"/>
    </row>
    <row r="16" spans="1:26" x14ac:dyDescent="0.3">
      <c r="A16" s="96"/>
      <c r="C16" s="79"/>
      <c r="D16" s="84">
        <f t="shared" si="0"/>
        <v>0</v>
      </c>
      <c r="E16" s="79"/>
      <c r="F16" s="84">
        <f t="shared" si="1"/>
        <v>0</v>
      </c>
      <c r="G16" s="79"/>
      <c r="H16" s="84">
        <f t="shared" si="1"/>
        <v>0</v>
      </c>
      <c r="I16" s="79"/>
      <c r="J16" s="84">
        <f t="shared" si="2"/>
        <v>0</v>
      </c>
      <c r="K16" s="79"/>
      <c r="L16" s="84">
        <f t="shared" si="3"/>
        <v>0</v>
      </c>
      <c r="M16" s="79"/>
      <c r="N16" s="84">
        <f t="shared" si="4"/>
        <v>0</v>
      </c>
      <c r="O16" s="79"/>
      <c r="P16" s="84">
        <f t="shared" si="5"/>
        <v>0</v>
      </c>
      <c r="Q16" s="79"/>
      <c r="R16" s="84">
        <f t="shared" si="6"/>
        <v>0</v>
      </c>
      <c r="S16" s="79"/>
      <c r="T16" s="84">
        <f t="shared" si="7"/>
        <v>0</v>
      </c>
      <c r="U16" s="79"/>
      <c r="V16" s="84">
        <f t="shared" si="8"/>
        <v>0</v>
      </c>
      <c r="W16" s="79"/>
      <c r="X16" s="84">
        <f t="shared" si="9"/>
        <v>0</v>
      </c>
      <c r="Y16" s="79"/>
    </row>
    <row r="17" spans="1:25" x14ac:dyDescent="0.3">
      <c r="A17" s="96"/>
      <c r="C17" s="79"/>
      <c r="D17" s="84">
        <f t="shared" si="0"/>
        <v>0</v>
      </c>
      <c r="E17" s="79"/>
      <c r="F17" s="84">
        <f t="shared" si="1"/>
        <v>0</v>
      </c>
      <c r="G17" s="79"/>
      <c r="H17" s="84">
        <f t="shared" si="1"/>
        <v>0</v>
      </c>
      <c r="I17" s="79"/>
      <c r="J17" s="84">
        <f t="shared" si="2"/>
        <v>0</v>
      </c>
      <c r="K17" s="79"/>
      <c r="L17" s="84">
        <f t="shared" si="3"/>
        <v>0</v>
      </c>
      <c r="M17" s="79"/>
      <c r="N17" s="84">
        <f t="shared" si="4"/>
        <v>0</v>
      </c>
      <c r="O17" s="79"/>
      <c r="P17" s="84">
        <f t="shared" si="5"/>
        <v>0</v>
      </c>
      <c r="Q17" s="79"/>
      <c r="R17" s="84">
        <f t="shared" si="6"/>
        <v>0</v>
      </c>
      <c r="S17" s="79"/>
      <c r="T17" s="84">
        <f t="shared" si="7"/>
        <v>0</v>
      </c>
      <c r="U17" s="79"/>
      <c r="V17" s="84">
        <f t="shared" si="8"/>
        <v>0</v>
      </c>
      <c r="W17" s="79"/>
      <c r="X17" s="84">
        <f t="shared" si="9"/>
        <v>0</v>
      </c>
      <c r="Y17" s="79"/>
    </row>
    <row r="18" spans="1:25" x14ac:dyDescent="0.3">
      <c r="A18" s="96"/>
      <c r="C18" s="79"/>
      <c r="D18" s="84">
        <f t="shared" si="0"/>
        <v>0</v>
      </c>
      <c r="E18" s="79"/>
      <c r="F18" s="84">
        <f t="shared" si="1"/>
        <v>0</v>
      </c>
      <c r="G18" s="79"/>
      <c r="H18" s="84">
        <f t="shared" si="1"/>
        <v>0</v>
      </c>
      <c r="I18" s="79"/>
      <c r="J18" s="84">
        <f t="shared" si="2"/>
        <v>0</v>
      </c>
      <c r="K18" s="79"/>
      <c r="L18" s="84">
        <f t="shared" si="3"/>
        <v>0</v>
      </c>
      <c r="M18" s="79"/>
      <c r="N18" s="84">
        <f t="shared" si="4"/>
        <v>0</v>
      </c>
      <c r="O18" s="79"/>
      <c r="P18" s="84">
        <f t="shared" si="5"/>
        <v>0</v>
      </c>
      <c r="Q18" s="79"/>
      <c r="R18" s="84">
        <f t="shared" si="6"/>
        <v>0</v>
      </c>
      <c r="S18" s="79"/>
      <c r="T18" s="84">
        <f t="shared" si="7"/>
        <v>0</v>
      </c>
      <c r="U18" s="79"/>
      <c r="V18" s="84">
        <f t="shared" si="8"/>
        <v>0</v>
      </c>
      <c r="W18" s="79"/>
      <c r="X18" s="84">
        <f t="shared" si="9"/>
        <v>0</v>
      </c>
      <c r="Y18" s="79"/>
    </row>
    <row r="19" spans="1:25" x14ac:dyDescent="0.3">
      <c r="A19" s="96"/>
      <c r="C19" s="79"/>
      <c r="D19" s="84">
        <f t="shared" si="0"/>
        <v>0</v>
      </c>
      <c r="E19" s="79"/>
      <c r="F19" s="84">
        <f t="shared" si="1"/>
        <v>0</v>
      </c>
      <c r="G19" s="79"/>
      <c r="H19" s="84">
        <f t="shared" si="1"/>
        <v>0</v>
      </c>
      <c r="I19" s="79"/>
      <c r="J19" s="84">
        <f t="shared" si="2"/>
        <v>0</v>
      </c>
      <c r="K19" s="79"/>
      <c r="L19" s="84">
        <f t="shared" si="3"/>
        <v>0</v>
      </c>
      <c r="M19" s="79"/>
      <c r="N19" s="84">
        <f t="shared" si="4"/>
        <v>0</v>
      </c>
      <c r="O19" s="79"/>
      <c r="P19" s="84">
        <f t="shared" si="5"/>
        <v>0</v>
      </c>
      <c r="Q19" s="79"/>
      <c r="R19" s="84">
        <f t="shared" si="6"/>
        <v>0</v>
      </c>
      <c r="S19" s="79"/>
      <c r="T19" s="84">
        <f t="shared" si="7"/>
        <v>0</v>
      </c>
      <c r="U19" s="79"/>
      <c r="V19" s="84">
        <f t="shared" si="8"/>
        <v>0</v>
      </c>
      <c r="W19" s="79"/>
      <c r="X19" s="84">
        <f t="shared" si="9"/>
        <v>0</v>
      </c>
      <c r="Y19" s="79"/>
    </row>
    <row r="20" spans="1:25" x14ac:dyDescent="0.3">
      <c r="A20" s="96"/>
      <c r="C20" s="79"/>
      <c r="D20" s="84">
        <f t="shared" si="0"/>
        <v>0</v>
      </c>
      <c r="E20" s="79"/>
      <c r="F20" s="84">
        <f t="shared" si="1"/>
        <v>0</v>
      </c>
      <c r="G20" s="79"/>
      <c r="H20" s="84">
        <f t="shared" si="1"/>
        <v>0</v>
      </c>
      <c r="I20" s="79"/>
      <c r="J20" s="84">
        <f t="shared" si="2"/>
        <v>0</v>
      </c>
      <c r="K20" s="79"/>
      <c r="L20" s="84">
        <f t="shared" si="3"/>
        <v>0</v>
      </c>
      <c r="M20" s="79"/>
      <c r="N20" s="84">
        <f t="shared" si="4"/>
        <v>0</v>
      </c>
      <c r="O20" s="79"/>
      <c r="P20" s="84">
        <f t="shared" si="5"/>
        <v>0</v>
      </c>
      <c r="Q20" s="79"/>
      <c r="R20" s="84">
        <f t="shared" si="6"/>
        <v>0</v>
      </c>
      <c r="S20" s="79"/>
      <c r="T20" s="84">
        <f t="shared" si="7"/>
        <v>0</v>
      </c>
      <c r="U20" s="79"/>
      <c r="V20" s="84">
        <f t="shared" si="8"/>
        <v>0</v>
      </c>
      <c r="W20" s="79"/>
      <c r="X20" s="84">
        <f t="shared" si="9"/>
        <v>0</v>
      </c>
      <c r="Y20" s="79"/>
    </row>
    <row r="21" spans="1:25" x14ac:dyDescent="0.3">
      <c r="A21" s="96"/>
      <c r="C21" s="79"/>
      <c r="D21" s="84">
        <f t="shared" si="0"/>
        <v>0</v>
      </c>
      <c r="E21" s="79"/>
      <c r="F21" s="84">
        <f t="shared" si="1"/>
        <v>0</v>
      </c>
      <c r="G21" s="79"/>
      <c r="H21" s="84">
        <f t="shared" si="1"/>
        <v>0</v>
      </c>
      <c r="I21" s="79"/>
      <c r="J21" s="84">
        <f t="shared" si="2"/>
        <v>0</v>
      </c>
      <c r="K21" s="79"/>
      <c r="L21" s="84">
        <f t="shared" si="3"/>
        <v>0</v>
      </c>
      <c r="M21" s="79"/>
      <c r="N21" s="84">
        <f t="shared" si="4"/>
        <v>0</v>
      </c>
      <c r="O21" s="79"/>
      <c r="P21" s="84">
        <f t="shared" si="5"/>
        <v>0</v>
      </c>
      <c r="Q21" s="79"/>
      <c r="R21" s="84">
        <f t="shared" si="6"/>
        <v>0</v>
      </c>
      <c r="S21" s="79"/>
      <c r="T21" s="84">
        <f t="shared" si="7"/>
        <v>0</v>
      </c>
      <c r="U21" s="79"/>
      <c r="V21" s="84">
        <f t="shared" si="8"/>
        <v>0</v>
      </c>
      <c r="W21" s="79"/>
      <c r="X21" s="84">
        <f t="shared" si="9"/>
        <v>0</v>
      </c>
      <c r="Y21" s="79"/>
    </row>
    <row r="22" spans="1:25" x14ac:dyDescent="0.3">
      <c r="A22" s="96"/>
      <c r="C22" s="79"/>
      <c r="D22" s="84">
        <f t="shared" si="0"/>
        <v>0</v>
      </c>
      <c r="E22" s="79"/>
      <c r="F22" s="84">
        <f t="shared" si="1"/>
        <v>0</v>
      </c>
      <c r="G22" s="79"/>
      <c r="H22" s="84">
        <f t="shared" si="1"/>
        <v>0</v>
      </c>
      <c r="I22" s="79"/>
      <c r="J22" s="84">
        <f t="shared" si="2"/>
        <v>0</v>
      </c>
      <c r="K22" s="79"/>
      <c r="L22" s="84">
        <f t="shared" si="3"/>
        <v>0</v>
      </c>
      <c r="M22" s="79"/>
      <c r="N22" s="84">
        <f t="shared" si="4"/>
        <v>0</v>
      </c>
      <c r="O22" s="79"/>
      <c r="P22" s="84">
        <f t="shared" si="5"/>
        <v>0</v>
      </c>
      <c r="Q22" s="79"/>
      <c r="R22" s="84">
        <f t="shared" si="6"/>
        <v>0</v>
      </c>
      <c r="S22" s="79"/>
      <c r="T22" s="84">
        <f t="shared" si="7"/>
        <v>0</v>
      </c>
      <c r="U22" s="79"/>
      <c r="V22" s="84">
        <f t="shared" si="8"/>
        <v>0</v>
      </c>
      <c r="W22" s="79"/>
      <c r="X22" s="84">
        <f t="shared" si="9"/>
        <v>0</v>
      </c>
      <c r="Y22" s="79"/>
    </row>
    <row r="23" spans="1:25" x14ac:dyDescent="0.3">
      <c r="A23" s="96"/>
      <c r="C23" s="79"/>
      <c r="D23" s="84">
        <f t="shared" si="0"/>
        <v>0</v>
      </c>
      <c r="E23" s="79"/>
      <c r="F23" s="84">
        <f t="shared" si="1"/>
        <v>0</v>
      </c>
      <c r="G23" s="79"/>
      <c r="H23" s="84">
        <f t="shared" si="1"/>
        <v>0</v>
      </c>
      <c r="I23" s="79"/>
      <c r="J23" s="84">
        <f t="shared" si="2"/>
        <v>0</v>
      </c>
      <c r="K23" s="79"/>
      <c r="L23" s="84">
        <f t="shared" si="3"/>
        <v>0</v>
      </c>
      <c r="M23" s="79"/>
      <c r="N23" s="84">
        <f t="shared" si="4"/>
        <v>0</v>
      </c>
      <c r="O23" s="79"/>
      <c r="P23" s="84">
        <f t="shared" si="5"/>
        <v>0</v>
      </c>
      <c r="Q23" s="79"/>
      <c r="R23" s="84">
        <f t="shared" si="6"/>
        <v>0</v>
      </c>
      <c r="S23" s="79"/>
      <c r="T23" s="84">
        <f t="shared" si="7"/>
        <v>0</v>
      </c>
      <c r="U23" s="79"/>
      <c r="V23" s="84">
        <f t="shared" si="8"/>
        <v>0</v>
      </c>
      <c r="W23" s="79"/>
      <c r="X23" s="84">
        <f t="shared" si="9"/>
        <v>0</v>
      </c>
      <c r="Y23" s="79"/>
    </row>
    <row r="24" spans="1:25" x14ac:dyDescent="0.3">
      <c r="A24" s="96"/>
      <c r="C24" s="79"/>
      <c r="D24" s="84">
        <f t="shared" si="0"/>
        <v>0</v>
      </c>
      <c r="E24" s="79"/>
      <c r="F24" s="84">
        <f t="shared" si="1"/>
        <v>0</v>
      </c>
      <c r="G24" s="79"/>
      <c r="H24" s="84">
        <f t="shared" si="1"/>
        <v>0</v>
      </c>
      <c r="I24" s="79"/>
      <c r="J24" s="84">
        <f t="shared" si="2"/>
        <v>0</v>
      </c>
      <c r="K24" s="79"/>
      <c r="L24" s="84">
        <f t="shared" si="3"/>
        <v>0</v>
      </c>
      <c r="M24" s="79"/>
      <c r="N24" s="84">
        <f t="shared" si="4"/>
        <v>0</v>
      </c>
      <c r="O24" s="79"/>
      <c r="P24" s="84">
        <f t="shared" si="5"/>
        <v>0</v>
      </c>
      <c r="Q24" s="79"/>
      <c r="R24" s="84">
        <f t="shared" si="6"/>
        <v>0</v>
      </c>
      <c r="S24" s="79"/>
      <c r="T24" s="84">
        <f t="shared" si="7"/>
        <v>0</v>
      </c>
      <c r="U24" s="79"/>
      <c r="V24" s="84">
        <f t="shared" si="8"/>
        <v>0</v>
      </c>
      <c r="W24" s="79"/>
      <c r="X24" s="84">
        <f t="shared" si="9"/>
        <v>0</v>
      </c>
      <c r="Y24" s="79"/>
    </row>
    <row r="25" spans="1:25" x14ac:dyDescent="0.3">
      <c r="A25" s="96"/>
      <c r="C25" s="79"/>
      <c r="D25" s="84">
        <f t="shared" si="0"/>
        <v>0</v>
      </c>
      <c r="E25" s="79"/>
      <c r="F25" s="84">
        <f t="shared" si="1"/>
        <v>0</v>
      </c>
      <c r="G25" s="79"/>
      <c r="H25" s="84">
        <f t="shared" si="1"/>
        <v>0</v>
      </c>
      <c r="I25" s="79"/>
      <c r="J25" s="84">
        <f t="shared" si="2"/>
        <v>0</v>
      </c>
      <c r="K25" s="79"/>
      <c r="L25" s="84">
        <f t="shared" si="3"/>
        <v>0</v>
      </c>
      <c r="M25" s="79"/>
      <c r="N25" s="84">
        <f t="shared" si="4"/>
        <v>0</v>
      </c>
      <c r="O25" s="79"/>
      <c r="P25" s="84">
        <f t="shared" si="5"/>
        <v>0</v>
      </c>
      <c r="Q25" s="79"/>
      <c r="R25" s="84">
        <f t="shared" si="6"/>
        <v>0</v>
      </c>
      <c r="S25" s="79"/>
      <c r="T25" s="84">
        <f t="shared" si="7"/>
        <v>0</v>
      </c>
      <c r="U25" s="79"/>
      <c r="V25" s="84">
        <f t="shared" si="8"/>
        <v>0</v>
      </c>
      <c r="W25" s="79"/>
      <c r="X25" s="84">
        <f t="shared" si="9"/>
        <v>0</v>
      </c>
      <c r="Y25" s="79"/>
    </row>
    <row r="26" spans="1:25" x14ac:dyDescent="0.3">
      <c r="A26" s="96"/>
      <c r="C26" s="79"/>
      <c r="D26" s="84">
        <f t="shared" si="0"/>
        <v>0</v>
      </c>
      <c r="E26" s="79"/>
      <c r="F26" s="84">
        <f t="shared" si="1"/>
        <v>0</v>
      </c>
      <c r="G26" s="79"/>
      <c r="H26" s="84">
        <f t="shared" si="1"/>
        <v>0</v>
      </c>
      <c r="I26" s="79"/>
      <c r="J26" s="84">
        <f t="shared" si="2"/>
        <v>0</v>
      </c>
      <c r="K26" s="79"/>
      <c r="L26" s="84">
        <f t="shared" si="3"/>
        <v>0</v>
      </c>
      <c r="M26" s="79"/>
      <c r="N26" s="84">
        <f t="shared" si="4"/>
        <v>0</v>
      </c>
      <c r="O26" s="79"/>
      <c r="P26" s="84">
        <f t="shared" si="5"/>
        <v>0</v>
      </c>
      <c r="Q26" s="79"/>
      <c r="R26" s="84">
        <f t="shared" si="6"/>
        <v>0</v>
      </c>
      <c r="S26" s="79"/>
      <c r="T26" s="84">
        <f t="shared" si="7"/>
        <v>0</v>
      </c>
      <c r="U26" s="79"/>
      <c r="V26" s="84">
        <f t="shared" si="8"/>
        <v>0</v>
      </c>
      <c r="W26" s="79"/>
      <c r="X26" s="84">
        <f t="shared" si="9"/>
        <v>0</v>
      </c>
      <c r="Y26" s="79"/>
    </row>
    <row r="27" spans="1:25" x14ac:dyDescent="0.3">
      <c r="A27" s="96"/>
      <c r="C27" s="79"/>
      <c r="D27" s="84">
        <f t="shared" si="0"/>
        <v>0</v>
      </c>
      <c r="E27" s="79"/>
      <c r="F27" s="84">
        <f t="shared" si="1"/>
        <v>0</v>
      </c>
      <c r="G27" s="79"/>
      <c r="H27" s="84">
        <f t="shared" si="1"/>
        <v>0</v>
      </c>
      <c r="I27" s="79"/>
      <c r="J27" s="84">
        <f t="shared" si="2"/>
        <v>0</v>
      </c>
      <c r="K27" s="79"/>
      <c r="L27" s="84">
        <f t="shared" si="3"/>
        <v>0</v>
      </c>
      <c r="M27" s="79"/>
      <c r="N27" s="84">
        <f t="shared" si="4"/>
        <v>0</v>
      </c>
      <c r="O27" s="79"/>
      <c r="P27" s="84">
        <f t="shared" si="5"/>
        <v>0</v>
      </c>
      <c r="Q27" s="79"/>
      <c r="R27" s="84">
        <f t="shared" si="6"/>
        <v>0</v>
      </c>
      <c r="S27" s="79"/>
      <c r="T27" s="84">
        <f t="shared" si="7"/>
        <v>0</v>
      </c>
      <c r="U27" s="79"/>
      <c r="V27" s="84">
        <f t="shared" si="8"/>
        <v>0</v>
      </c>
      <c r="W27" s="79"/>
      <c r="X27" s="84">
        <f t="shared" si="9"/>
        <v>0</v>
      </c>
      <c r="Y27" s="79"/>
    </row>
    <row r="28" spans="1:25" x14ac:dyDescent="0.3">
      <c r="A28" s="96"/>
      <c r="C28" s="79"/>
      <c r="D28" s="84">
        <f t="shared" si="0"/>
        <v>0</v>
      </c>
      <c r="E28" s="79"/>
      <c r="F28" s="84">
        <f t="shared" si="1"/>
        <v>0</v>
      </c>
      <c r="G28" s="79"/>
      <c r="H28" s="84">
        <f t="shared" si="1"/>
        <v>0</v>
      </c>
      <c r="I28" s="79"/>
      <c r="J28" s="84">
        <f t="shared" si="2"/>
        <v>0</v>
      </c>
      <c r="K28" s="79"/>
      <c r="L28" s="84">
        <f t="shared" si="3"/>
        <v>0</v>
      </c>
      <c r="M28" s="79"/>
      <c r="N28" s="84">
        <f t="shared" si="4"/>
        <v>0</v>
      </c>
      <c r="O28" s="79"/>
      <c r="P28" s="84">
        <f t="shared" si="5"/>
        <v>0</v>
      </c>
      <c r="Q28" s="79"/>
      <c r="R28" s="84">
        <f t="shared" si="6"/>
        <v>0</v>
      </c>
      <c r="S28" s="79"/>
      <c r="T28" s="84">
        <f t="shared" si="7"/>
        <v>0</v>
      </c>
      <c r="U28" s="79"/>
      <c r="V28" s="84">
        <f t="shared" si="8"/>
        <v>0</v>
      </c>
      <c r="W28" s="79"/>
      <c r="X28" s="84">
        <f t="shared" si="9"/>
        <v>0</v>
      </c>
      <c r="Y28" s="79"/>
    </row>
    <row r="29" spans="1:25" x14ac:dyDescent="0.3">
      <c r="A29" s="96"/>
      <c r="C29" s="79"/>
      <c r="D29" s="84">
        <f t="shared" si="0"/>
        <v>0</v>
      </c>
      <c r="E29" s="79"/>
      <c r="F29" s="84">
        <f t="shared" si="1"/>
        <v>0</v>
      </c>
      <c r="G29" s="79"/>
      <c r="H29" s="84">
        <f t="shared" si="1"/>
        <v>0</v>
      </c>
      <c r="I29" s="79"/>
      <c r="J29" s="84">
        <f t="shared" si="2"/>
        <v>0</v>
      </c>
      <c r="K29" s="79"/>
      <c r="L29" s="84">
        <f t="shared" si="3"/>
        <v>0</v>
      </c>
      <c r="M29" s="79"/>
      <c r="N29" s="84">
        <f t="shared" si="4"/>
        <v>0</v>
      </c>
      <c r="O29" s="79"/>
      <c r="P29" s="84">
        <f t="shared" si="5"/>
        <v>0</v>
      </c>
      <c r="Q29" s="79"/>
      <c r="R29" s="84">
        <f t="shared" si="6"/>
        <v>0</v>
      </c>
      <c r="S29" s="79"/>
      <c r="T29" s="84">
        <f t="shared" si="7"/>
        <v>0</v>
      </c>
      <c r="U29" s="79"/>
      <c r="V29" s="84">
        <f t="shared" si="8"/>
        <v>0</v>
      </c>
      <c r="W29" s="79"/>
      <c r="X29" s="84">
        <f t="shared" si="9"/>
        <v>0</v>
      </c>
      <c r="Y29" s="79"/>
    </row>
    <row r="30" spans="1:25" x14ac:dyDescent="0.3">
      <c r="A30" s="96"/>
      <c r="C30" s="79"/>
      <c r="D30" s="84">
        <f t="shared" si="0"/>
        <v>0</v>
      </c>
      <c r="E30" s="79"/>
      <c r="F30" s="84">
        <f t="shared" si="1"/>
        <v>0</v>
      </c>
      <c r="G30" s="79"/>
      <c r="H30" s="84">
        <f t="shared" si="1"/>
        <v>0</v>
      </c>
      <c r="I30" s="79"/>
      <c r="J30" s="84">
        <f t="shared" si="2"/>
        <v>0</v>
      </c>
      <c r="K30" s="79"/>
      <c r="L30" s="84">
        <f t="shared" si="3"/>
        <v>0</v>
      </c>
      <c r="M30" s="79"/>
      <c r="N30" s="84">
        <f t="shared" si="4"/>
        <v>0</v>
      </c>
      <c r="O30" s="79"/>
      <c r="P30" s="84">
        <f t="shared" si="5"/>
        <v>0</v>
      </c>
      <c r="Q30" s="79"/>
      <c r="R30" s="84">
        <f t="shared" si="6"/>
        <v>0</v>
      </c>
      <c r="S30" s="79"/>
      <c r="T30" s="84">
        <f t="shared" si="7"/>
        <v>0</v>
      </c>
      <c r="U30" s="79"/>
      <c r="V30" s="84">
        <f t="shared" si="8"/>
        <v>0</v>
      </c>
      <c r="W30" s="79"/>
      <c r="X30" s="84">
        <f t="shared" si="9"/>
        <v>0</v>
      </c>
      <c r="Y30" s="79"/>
    </row>
    <row r="31" spans="1:25" x14ac:dyDescent="0.3">
      <c r="A31" s="96"/>
      <c r="C31" s="79"/>
      <c r="D31" s="84">
        <f t="shared" si="0"/>
        <v>0</v>
      </c>
      <c r="E31" s="79"/>
      <c r="F31" s="84">
        <f t="shared" si="1"/>
        <v>0</v>
      </c>
      <c r="G31" s="79"/>
      <c r="H31" s="84">
        <f t="shared" si="1"/>
        <v>0</v>
      </c>
      <c r="I31" s="79"/>
      <c r="J31" s="84">
        <f t="shared" si="2"/>
        <v>0</v>
      </c>
      <c r="K31" s="79"/>
      <c r="L31" s="84">
        <f t="shared" si="3"/>
        <v>0</v>
      </c>
      <c r="M31" s="79"/>
      <c r="N31" s="84">
        <f t="shared" si="4"/>
        <v>0</v>
      </c>
      <c r="O31" s="79"/>
      <c r="P31" s="84">
        <f t="shared" si="5"/>
        <v>0</v>
      </c>
      <c r="Q31" s="79"/>
      <c r="R31" s="84">
        <f t="shared" si="6"/>
        <v>0</v>
      </c>
      <c r="S31" s="79"/>
      <c r="T31" s="84">
        <f t="shared" si="7"/>
        <v>0</v>
      </c>
      <c r="U31" s="79"/>
      <c r="V31" s="84">
        <f t="shared" si="8"/>
        <v>0</v>
      </c>
      <c r="W31" s="79"/>
      <c r="X31" s="84">
        <f t="shared" si="9"/>
        <v>0</v>
      </c>
      <c r="Y31" s="79"/>
    </row>
    <row r="32" spans="1:25" x14ac:dyDescent="0.3">
      <c r="A32" s="96"/>
      <c r="C32" s="79"/>
      <c r="D32" s="84">
        <f t="shared" si="0"/>
        <v>0</v>
      </c>
      <c r="E32" s="79"/>
      <c r="F32" s="84">
        <f t="shared" si="1"/>
        <v>0</v>
      </c>
      <c r="G32" s="79"/>
      <c r="H32" s="84">
        <f t="shared" si="1"/>
        <v>0</v>
      </c>
      <c r="I32" s="79"/>
      <c r="J32" s="84">
        <f t="shared" si="2"/>
        <v>0</v>
      </c>
      <c r="K32" s="79"/>
      <c r="L32" s="84">
        <f t="shared" si="3"/>
        <v>0</v>
      </c>
      <c r="M32" s="79"/>
      <c r="N32" s="84">
        <f t="shared" si="4"/>
        <v>0</v>
      </c>
      <c r="O32" s="79"/>
      <c r="P32" s="84">
        <f t="shared" si="5"/>
        <v>0</v>
      </c>
      <c r="Q32" s="79"/>
      <c r="R32" s="84">
        <f t="shared" si="6"/>
        <v>0</v>
      </c>
      <c r="S32" s="79"/>
      <c r="T32" s="84">
        <f t="shared" si="7"/>
        <v>0</v>
      </c>
      <c r="U32" s="79"/>
      <c r="V32" s="84">
        <f t="shared" si="8"/>
        <v>0</v>
      </c>
      <c r="W32" s="79"/>
      <c r="X32" s="84">
        <f t="shared" si="9"/>
        <v>0</v>
      </c>
      <c r="Y32" s="79"/>
    </row>
    <row r="33" spans="1:25" x14ac:dyDescent="0.3">
      <c r="A33" s="96"/>
      <c r="C33" s="79"/>
      <c r="D33" s="84">
        <f t="shared" si="0"/>
        <v>0</v>
      </c>
      <c r="E33" s="79"/>
      <c r="F33" s="84">
        <f t="shared" si="1"/>
        <v>0</v>
      </c>
      <c r="G33" s="79"/>
      <c r="H33" s="84">
        <f t="shared" si="1"/>
        <v>0</v>
      </c>
      <c r="I33" s="79"/>
      <c r="J33" s="84">
        <f t="shared" si="2"/>
        <v>0</v>
      </c>
      <c r="K33" s="79"/>
      <c r="L33" s="84">
        <f t="shared" si="3"/>
        <v>0</v>
      </c>
      <c r="M33" s="79"/>
      <c r="N33" s="84">
        <f t="shared" si="4"/>
        <v>0</v>
      </c>
      <c r="O33" s="79"/>
      <c r="P33" s="84">
        <f t="shared" si="5"/>
        <v>0</v>
      </c>
      <c r="Q33" s="79"/>
      <c r="R33" s="84">
        <f t="shared" si="6"/>
        <v>0</v>
      </c>
      <c r="S33" s="79"/>
      <c r="T33" s="84">
        <f t="shared" si="7"/>
        <v>0</v>
      </c>
      <c r="U33" s="79"/>
      <c r="V33" s="84">
        <f t="shared" si="8"/>
        <v>0</v>
      </c>
      <c r="W33" s="79"/>
      <c r="X33" s="84">
        <f t="shared" si="9"/>
        <v>0</v>
      </c>
      <c r="Y33" s="79"/>
    </row>
    <row r="34" spans="1:25" x14ac:dyDescent="0.3">
      <c r="A34" s="96"/>
      <c r="C34" s="79"/>
      <c r="D34" s="84">
        <f t="shared" si="0"/>
        <v>0</v>
      </c>
      <c r="E34" s="79"/>
      <c r="F34" s="84">
        <f t="shared" si="1"/>
        <v>0</v>
      </c>
      <c r="G34" s="79"/>
      <c r="H34" s="84">
        <f t="shared" si="1"/>
        <v>0</v>
      </c>
      <c r="I34" s="79"/>
      <c r="J34" s="84">
        <f t="shared" si="2"/>
        <v>0</v>
      </c>
      <c r="K34" s="79"/>
      <c r="L34" s="84">
        <f t="shared" si="3"/>
        <v>0</v>
      </c>
      <c r="M34" s="79"/>
      <c r="N34" s="84">
        <f t="shared" si="4"/>
        <v>0</v>
      </c>
      <c r="O34" s="79"/>
      <c r="P34" s="84">
        <f t="shared" si="5"/>
        <v>0</v>
      </c>
      <c r="Q34" s="79"/>
      <c r="R34" s="84">
        <f t="shared" si="6"/>
        <v>0</v>
      </c>
      <c r="S34" s="79"/>
      <c r="T34" s="84">
        <f t="shared" si="7"/>
        <v>0</v>
      </c>
      <c r="U34" s="79"/>
      <c r="V34" s="84">
        <f t="shared" si="8"/>
        <v>0</v>
      </c>
      <c r="W34" s="79"/>
      <c r="X34" s="84">
        <f t="shared" si="9"/>
        <v>0</v>
      </c>
      <c r="Y34" s="79"/>
    </row>
    <row r="35" spans="1:25" x14ac:dyDescent="0.3">
      <c r="A35" s="96"/>
      <c r="C35" s="79"/>
      <c r="D35" s="84">
        <f t="shared" si="0"/>
        <v>0</v>
      </c>
      <c r="E35" s="79"/>
      <c r="F35" s="84">
        <f t="shared" si="1"/>
        <v>0</v>
      </c>
      <c r="G35" s="79"/>
      <c r="H35" s="84">
        <f t="shared" si="1"/>
        <v>0</v>
      </c>
      <c r="I35" s="79"/>
      <c r="J35" s="84">
        <f t="shared" si="2"/>
        <v>0</v>
      </c>
      <c r="K35" s="79"/>
      <c r="L35" s="84">
        <f t="shared" si="3"/>
        <v>0</v>
      </c>
      <c r="M35" s="79"/>
      <c r="N35" s="84">
        <f t="shared" si="4"/>
        <v>0</v>
      </c>
      <c r="O35" s="79"/>
      <c r="P35" s="84">
        <f t="shared" si="5"/>
        <v>0</v>
      </c>
      <c r="Q35" s="79"/>
      <c r="R35" s="84">
        <f t="shared" si="6"/>
        <v>0</v>
      </c>
      <c r="S35" s="79"/>
      <c r="T35" s="84">
        <f t="shared" si="7"/>
        <v>0</v>
      </c>
      <c r="U35" s="79"/>
      <c r="V35" s="84">
        <f t="shared" si="8"/>
        <v>0</v>
      </c>
      <c r="W35" s="79"/>
      <c r="X35" s="84">
        <f t="shared" si="9"/>
        <v>0</v>
      </c>
      <c r="Y35" s="79"/>
    </row>
    <row r="36" spans="1:25" x14ac:dyDescent="0.3">
      <c r="A36" s="96"/>
      <c r="C36" s="79"/>
      <c r="D36" s="84">
        <f t="shared" si="0"/>
        <v>0</v>
      </c>
      <c r="E36" s="79"/>
      <c r="F36" s="84">
        <f t="shared" si="1"/>
        <v>0</v>
      </c>
      <c r="G36" s="79"/>
      <c r="H36" s="84">
        <f t="shared" si="1"/>
        <v>0</v>
      </c>
      <c r="I36" s="79"/>
      <c r="J36" s="84">
        <f t="shared" si="2"/>
        <v>0</v>
      </c>
      <c r="K36" s="79"/>
      <c r="L36" s="84">
        <f t="shared" si="3"/>
        <v>0</v>
      </c>
      <c r="M36" s="79"/>
      <c r="N36" s="84">
        <f t="shared" si="4"/>
        <v>0</v>
      </c>
      <c r="O36" s="79"/>
      <c r="P36" s="84">
        <f t="shared" si="5"/>
        <v>0</v>
      </c>
      <c r="Q36" s="79"/>
      <c r="R36" s="84">
        <f t="shared" si="6"/>
        <v>0</v>
      </c>
      <c r="S36" s="79"/>
      <c r="T36" s="84">
        <f t="shared" si="7"/>
        <v>0</v>
      </c>
      <c r="U36" s="79"/>
      <c r="V36" s="84">
        <f t="shared" si="8"/>
        <v>0</v>
      </c>
      <c r="W36" s="79"/>
      <c r="X36" s="84">
        <f t="shared" si="9"/>
        <v>0</v>
      </c>
      <c r="Y36" s="79"/>
    </row>
    <row r="37" spans="1:25" x14ac:dyDescent="0.3">
      <c r="A37" s="96"/>
      <c r="C37" s="79"/>
      <c r="D37" s="84">
        <f t="shared" si="0"/>
        <v>0</v>
      </c>
      <c r="E37" s="79"/>
      <c r="F37" s="84">
        <f t="shared" si="1"/>
        <v>0</v>
      </c>
      <c r="G37" s="79"/>
      <c r="H37" s="84">
        <f t="shared" si="1"/>
        <v>0</v>
      </c>
      <c r="I37" s="79"/>
      <c r="J37" s="84">
        <f t="shared" si="2"/>
        <v>0</v>
      </c>
      <c r="K37" s="79"/>
      <c r="L37" s="84">
        <f t="shared" si="3"/>
        <v>0</v>
      </c>
      <c r="M37" s="79"/>
      <c r="N37" s="84">
        <f t="shared" si="4"/>
        <v>0</v>
      </c>
      <c r="O37" s="79"/>
      <c r="P37" s="84">
        <f t="shared" si="5"/>
        <v>0</v>
      </c>
      <c r="Q37" s="79"/>
      <c r="R37" s="84">
        <f t="shared" si="6"/>
        <v>0</v>
      </c>
      <c r="S37" s="79"/>
      <c r="T37" s="84">
        <f t="shared" si="7"/>
        <v>0</v>
      </c>
      <c r="U37" s="79"/>
      <c r="V37" s="84">
        <f t="shared" si="8"/>
        <v>0</v>
      </c>
      <c r="W37" s="79"/>
      <c r="X37" s="84">
        <f t="shared" si="9"/>
        <v>0</v>
      </c>
      <c r="Y37" s="79"/>
    </row>
    <row r="38" spans="1:25" x14ac:dyDescent="0.3">
      <c r="A38" s="96"/>
      <c r="C38" s="79"/>
      <c r="D38" s="84">
        <f t="shared" si="0"/>
        <v>0</v>
      </c>
      <c r="E38" s="79"/>
      <c r="F38" s="84">
        <f t="shared" si="1"/>
        <v>0</v>
      </c>
      <c r="G38" s="79"/>
      <c r="H38" s="84">
        <f t="shared" si="1"/>
        <v>0</v>
      </c>
      <c r="I38" s="79"/>
      <c r="J38" s="84">
        <f t="shared" si="2"/>
        <v>0</v>
      </c>
      <c r="K38" s="79"/>
      <c r="L38" s="84">
        <f t="shared" si="3"/>
        <v>0</v>
      </c>
      <c r="M38" s="79"/>
      <c r="N38" s="84">
        <f t="shared" si="4"/>
        <v>0</v>
      </c>
      <c r="O38" s="79"/>
      <c r="P38" s="84">
        <f t="shared" si="5"/>
        <v>0</v>
      </c>
      <c r="Q38" s="79"/>
      <c r="R38" s="84">
        <f t="shared" si="6"/>
        <v>0</v>
      </c>
      <c r="S38" s="79"/>
      <c r="T38" s="84">
        <f t="shared" si="7"/>
        <v>0</v>
      </c>
      <c r="U38" s="79"/>
      <c r="V38" s="84">
        <f t="shared" si="8"/>
        <v>0</v>
      </c>
      <c r="W38" s="79"/>
      <c r="X38" s="84">
        <f t="shared" si="9"/>
        <v>0</v>
      </c>
      <c r="Y38" s="79"/>
    </row>
    <row r="39" spans="1:25" x14ac:dyDescent="0.3">
      <c r="A39" s="96"/>
      <c r="C39" s="79"/>
      <c r="D39" s="84">
        <f t="shared" si="0"/>
        <v>0</v>
      </c>
      <c r="E39" s="79"/>
      <c r="F39" s="84">
        <f t="shared" si="1"/>
        <v>0</v>
      </c>
      <c r="G39" s="79"/>
      <c r="H39" s="84">
        <f t="shared" si="1"/>
        <v>0</v>
      </c>
      <c r="I39" s="79"/>
      <c r="J39" s="84">
        <f t="shared" si="2"/>
        <v>0</v>
      </c>
      <c r="K39" s="79"/>
      <c r="L39" s="84">
        <f t="shared" si="3"/>
        <v>0</v>
      </c>
      <c r="M39" s="79"/>
      <c r="N39" s="84">
        <f t="shared" si="4"/>
        <v>0</v>
      </c>
      <c r="O39" s="79"/>
      <c r="P39" s="84">
        <f t="shared" si="5"/>
        <v>0</v>
      </c>
      <c r="Q39" s="79"/>
      <c r="R39" s="84">
        <f t="shared" si="6"/>
        <v>0</v>
      </c>
      <c r="S39" s="79"/>
      <c r="T39" s="84">
        <f t="shared" si="7"/>
        <v>0</v>
      </c>
      <c r="U39" s="79"/>
      <c r="V39" s="84">
        <f t="shared" si="8"/>
        <v>0</v>
      </c>
      <c r="W39" s="79"/>
      <c r="X39" s="84">
        <f t="shared" si="9"/>
        <v>0</v>
      </c>
      <c r="Y39" s="79"/>
    </row>
    <row r="40" spans="1:25" x14ac:dyDescent="0.3">
      <c r="A40" s="96"/>
      <c r="C40" s="79"/>
      <c r="D40" s="84">
        <f t="shared" si="0"/>
        <v>0</v>
      </c>
      <c r="E40" s="79"/>
      <c r="F40" s="84">
        <f t="shared" si="1"/>
        <v>0</v>
      </c>
      <c r="G40" s="79"/>
      <c r="H40" s="84">
        <f t="shared" si="1"/>
        <v>0</v>
      </c>
      <c r="I40" s="79"/>
      <c r="J40" s="84">
        <f t="shared" si="2"/>
        <v>0</v>
      </c>
      <c r="K40" s="79"/>
      <c r="L40" s="84">
        <f t="shared" si="3"/>
        <v>0</v>
      </c>
      <c r="M40" s="79"/>
      <c r="N40" s="84">
        <f t="shared" si="4"/>
        <v>0</v>
      </c>
      <c r="O40" s="79"/>
      <c r="P40" s="84">
        <f t="shared" si="5"/>
        <v>0</v>
      </c>
      <c r="Q40" s="79"/>
      <c r="R40" s="84">
        <f t="shared" si="6"/>
        <v>0</v>
      </c>
      <c r="S40" s="79"/>
      <c r="T40" s="84">
        <f t="shared" si="7"/>
        <v>0</v>
      </c>
      <c r="U40" s="79"/>
      <c r="V40" s="84">
        <f t="shared" si="8"/>
        <v>0</v>
      </c>
      <c r="W40" s="79"/>
      <c r="X40" s="84">
        <f t="shared" si="9"/>
        <v>0</v>
      </c>
      <c r="Y40" s="79"/>
    </row>
    <row r="41" spans="1:25" x14ac:dyDescent="0.3">
      <c r="A41" s="96"/>
      <c r="C41" s="79"/>
      <c r="D41" s="84">
        <f t="shared" si="0"/>
        <v>0</v>
      </c>
      <c r="E41" s="79"/>
      <c r="F41" s="84">
        <f t="shared" si="1"/>
        <v>0</v>
      </c>
      <c r="G41" s="79"/>
      <c r="H41" s="84">
        <f t="shared" si="1"/>
        <v>0</v>
      </c>
      <c r="I41" s="79"/>
      <c r="J41" s="84">
        <f t="shared" si="2"/>
        <v>0</v>
      </c>
      <c r="K41" s="79"/>
      <c r="L41" s="84">
        <f t="shared" si="3"/>
        <v>0</v>
      </c>
      <c r="M41" s="79"/>
      <c r="N41" s="84">
        <f t="shared" si="4"/>
        <v>0</v>
      </c>
      <c r="O41" s="79"/>
      <c r="P41" s="84">
        <f t="shared" si="5"/>
        <v>0</v>
      </c>
      <c r="Q41" s="79"/>
      <c r="R41" s="84">
        <f t="shared" si="6"/>
        <v>0</v>
      </c>
      <c r="S41" s="79"/>
      <c r="T41" s="84">
        <f t="shared" si="7"/>
        <v>0</v>
      </c>
      <c r="U41" s="79"/>
      <c r="V41" s="84">
        <f t="shared" si="8"/>
        <v>0</v>
      </c>
      <c r="W41" s="79"/>
      <c r="X41" s="84">
        <f t="shared" si="9"/>
        <v>0</v>
      </c>
      <c r="Y41" s="79"/>
    </row>
    <row r="42" spans="1:25" x14ac:dyDescent="0.3">
      <c r="A42" s="96"/>
      <c r="C42" s="79"/>
      <c r="D42" s="84">
        <f t="shared" si="0"/>
        <v>0</v>
      </c>
      <c r="E42" s="79"/>
      <c r="F42" s="84">
        <f t="shared" si="1"/>
        <v>0</v>
      </c>
      <c r="G42" s="79"/>
      <c r="H42" s="84">
        <f t="shared" si="1"/>
        <v>0</v>
      </c>
      <c r="I42" s="79"/>
      <c r="J42" s="84">
        <f t="shared" si="2"/>
        <v>0</v>
      </c>
      <c r="K42" s="79"/>
      <c r="L42" s="84">
        <f t="shared" si="3"/>
        <v>0</v>
      </c>
      <c r="M42" s="79"/>
      <c r="N42" s="84">
        <f t="shared" si="4"/>
        <v>0</v>
      </c>
      <c r="O42" s="79"/>
      <c r="P42" s="84">
        <f t="shared" si="5"/>
        <v>0</v>
      </c>
      <c r="Q42" s="79"/>
      <c r="R42" s="84">
        <f t="shared" si="6"/>
        <v>0</v>
      </c>
      <c r="S42" s="79"/>
      <c r="T42" s="84">
        <f t="shared" si="7"/>
        <v>0</v>
      </c>
      <c r="U42" s="79"/>
      <c r="V42" s="84">
        <f t="shared" si="8"/>
        <v>0</v>
      </c>
      <c r="W42" s="79"/>
      <c r="X42" s="84">
        <f t="shared" si="9"/>
        <v>0</v>
      </c>
      <c r="Y42" s="79"/>
    </row>
    <row r="43" spans="1:25" x14ac:dyDescent="0.3">
      <c r="A43" s="96"/>
      <c r="C43" s="79"/>
      <c r="D43" s="84">
        <f t="shared" si="0"/>
        <v>0</v>
      </c>
      <c r="E43" s="79"/>
      <c r="F43" s="84">
        <f t="shared" si="1"/>
        <v>0</v>
      </c>
      <c r="G43" s="79"/>
      <c r="H43" s="84">
        <f t="shared" si="1"/>
        <v>0</v>
      </c>
      <c r="I43" s="79"/>
      <c r="J43" s="84">
        <f t="shared" si="2"/>
        <v>0</v>
      </c>
      <c r="K43" s="79"/>
      <c r="L43" s="84">
        <f t="shared" si="3"/>
        <v>0</v>
      </c>
      <c r="M43" s="79"/>
      <c r="N43" s="84">
        <f t="shared" si="4"/>
        <v>0</v>
      </c>
      <c r="O43" s="79"/>
      <c r="P43" s="84">
        <f t="shared" si="5"/>
        <v>0</v>
      </c>
      <c r="Q43" s="79"/>
      <c r="R43" s="84">
        <f t="shared" si="6"/>
        <v>0</v>
      </c>
      <c r="S43" s="79"/>
      <c r="T43" s="84">
        <f t="shared" si="7"/>
        <v>0</v>
      </c>
      <c r="U43" s="79"/>
      <c r="V43" s="84">
        <f t="shared" si="8"/>
        <v>0</v>
      </c>
      <c r="W43" s="79"/>
      <c r="X43" s="84">
        <f t="shared" si="9"/>
        <v>0</v>
      </c>
      <c r="Y43" s="79"/>
    </row>
    <row r="44" spans="1:25" x14ac:dyDescent="0.3">
      <c r="A44" s="96"/>
      <c r="C44" s="79"/>
      <c r="D44" s="84">
        <f t="shared" si="0"/>
        <v>0</v>
      </c>
      <c r="E44" s="79"/>
      <c r="F44" s="84">
        <f t="shared" si="1"/>
        <v>0</v>
      </c>
      <c r="G44" s="79"/>
      <c r="H44" s="84">
        <f t="shared" si="1"/>
        <v>0</v>
      </c>
      <c r="I44" s="79"/>
      <c r="J44" s="84">
        <f t="shared" si="2"/>
        <v>0</v>
      </c>
      <c r="K44" s="79"/>
      <c r="L44" s="84">
        <f t="shared" si="3"/>
        <v>0</v>
      </c>
      <c r="M44" s="79"/>
      <c r="N44" s="84">
        <f t="shared" si="4"/>
        <v>0</v>
      </c>
      <c r="O44" s="79"/>
      <c r="P44" s="84">
        <f t="shared" si="5"/>
        <v>0</v>
      </c>
      <c r="Q44" s="79"/>
      <c r="R44" s="84">
        <f t="shared" si="6"/>
        <v>0</v>
      </c>
      <c r="S44" s="79"/>
      <c r="T44" s="84">
        <f t="shared" si="7"/>
        <v>0</v>
      </c>
      <c r="U44" s="79"/>
      <c r="V44" s="84">
        <f t="shared" si="8"/>
        <v>0</v>
      </c>
      <c r="W44" s="79"/>
      <c r="X44" s="84">
        <f t="shared" si="9"/>
        <v>0</v>
      </c>
      <c r="Y44" s="79"/>
    </row>
    <row r="45" spans="1:25" x14ac:dyDescent="0.3">
      <c r="A45" s="96"/>
      <c r="C45" s="79"/>
      <c r="D45" s="84">
        <f t="shared" si="0"/>
        <v>0</v>
      </c>
      <c r="E45" s="79"/>
      <c r="F45" s="84">
        <f t="shared" si="1"/>
        <v>0</v>
      </c>
      <c r="G45" s="79"/>
      <c r="H45" s="84">
        <f t="shared" si="1"/>
        <v>0</v>
      </c>
      <c r="I45" s="79"/>
      <c r="J45" s="84">
        <f t="shared" si="2"/>
        <v>0</v>
      </c>
      <c r="K45" s="79"/>
      <c r="L45" s="84">
        <f t="shared" si="3"/>
        <v>0</v>
      </c>
      <c r="M45" s="79"/>
      <c r="N45" s="84">
        <f t="shared" si="4"/>
        <v>0</v>
      </c>
      <c r="O45" s="79"/>
      <c r="P45" s="84">
        <f t="shared" si="5"/>
        <v>0</v>
      </c>
      <c r="Q45" s="79"/>
      <c r="R45" s="84">
        <f t="shared" si="6"/>
        <v>0</v>
      </c>
      <c r="S45" s="79"/>
      <c r="T45" s="84">
        <f t="shared" si="7"/>
        <v>0</v>
      </c>
      <c r="U45" s="79"/>
      <c r="V45" s="84">
        <f t="shared" si="8"/>
        <v>0</v>
      </c>
      <c r="W45" s="79"/>
      <c r="X45" s="84">
        <f t="shared" si="9"/>
        <v>0</v>
      </c>
      <c r="Y45" s="79"/>
    </row>
    <row r="46" spans="1:25" x14ac:dyDescent="0.3">
      <c r="A46" s="96"/>
      <c r="C46" s="79"/>
      <c r="D46" s="84">
        <f t="shared" si="0"/>
        <v>0</v>
      </c>
      <c r="E46" s="79"/>
      <c r="F46" s="84">
        <f t="shared" si="1"/>
        <v>0</v>
      </c>
      <c r="G46" s="79"/>
      <c r="H46" s="84">
        <f t="shared" si="1"/>
        <v>0</v>
      </c>
      <c r="I46" s="79"/>
      <c r="J46" s="84">
        <f t="shared" si="2"/>
        <v>0</v>
      </c>
      <c r="K46" s="79"/>
      <c r="L46" s="84">
        <f t="shared" si="3"/>
        <v>0</v>
      </c>
      <c r="M46" s="79"/>
      <c r="N46" s="84">
        <f t="shared" si="4"/>
        <v>0</v>
      </c>
      <c r="O46" s="79"/>
      <c r="P46" s="84">
        <f t="shared" si="5"/>
        <v>0</v>
      </c>
      <c r="Q46" s="79"/>
      <c r="R46" s="84">
        <f t="shared" si="6"/>
        <v>0</v>
      </c>
      <c r="S46" s="79"/>
      <c r="T46" s="84">
        <f t="shared" si="7"/>
        <v>0</v>
      </c>
      <c r="U46" s="79"/>
      <c r="V46" s="84">
        <f t="shared" si="8"/>
        <v>0</v>
      </c>
      <c r="W46" s="79"/>
      <c r="X46" s="84">
        <f t="shared" si="9"/>
        <v>0</v>
      </c>
      <c r="Y46" s="79"/>
    </row>
    <row r="47" spans="1:25" x14ac:dyDescent="0.3">
      <c r="A47" s="96"/>
      <c r="C47" s="79"/>
      <c r="D47" s="84">
        <f t="shared" si="0"/>
        <v>0</v>
      </c>
      <c r="E47" s="79"/>
      <c r="F47" s="84">
        <f t="shared" si="1"/>
        <v>0</v>
      </c>
      <c r="G47" s="79"/>
      <c r="H47" s="84">
        <f t="shared" si="1"/>
        <v>0</v>
      </c>
      <c r="I47" s="79"/>
      <c r="J47" s="84">
        <f t="shared" si="2"/>
        <v>0</v>
      </c>
      <c r="K47" s="79"/>
      <c r="L47" s="84">
        <f t="shared" si="3"/>
        <v>0</v>
      </c>
      <c r="M47" s="79"/>
      <c r="N47" s="84">
        <f t="shared" si="4"/>
        <v>0</v>
      </c>
      <c r="O47" s="79"/>
      <c r="P47" s="84">
        <f t="shared" si="5"/>
        <v>0</v>
      </c>
      <c r="Q47" s="79"/>
      <c r="R47" s="84">
        <f t="shared" si="6"/>
        <v>0</v>
      </c>
      <c r="S47" s="79"/>
      <c r="T47" s="84">
        <f t="shared" si="7"/>
        <v>0</v>
      </c>
      <c r="U47" s="79"/>
      <c r="V47" s="84">
        <f t="shared" si="8"/>
        <v>0</v>
      </c>
      <c r="W47" s="79"/>
      <c r="X47" s="84">
        <f t="shared" si="9"/>
        <v>0</v>
      </c>
      <c r="Y47" s="79"/>
    </row>
    <row r="48" spans="1:25" x14ac:dyDescent="0.3">
      <c r="A48" s="96"/>
      <c r="C48" s="79"/>
      <c r="D48" s="84">
        <f t="shared" si="0"/>
        <v>0</v>
      </c>
      <c r="E48" s="79"/>
      <c r="F48" s="84">
        <f t="shared" si="1"/>
        <v>0</v>
      </c>
      <c r="G48" s="79"/>
      <c r="H48" s="84">
        <f t="shared" si="1"/>
        <v>0</v>
      </c>
      <c r="I48" s="79"/>
      <c r="J48" s="84">
        <f t="shared" si="2"/>
        <v>0</v>
      </c>
      <c r="K48" s="79"/>
      <c r="L48" s="84">
        <f t="shared" si="3"/>
        <v>0</v>
      </c>
      <c r="M48" s="79"/>
      <c r="N48" s="84">
        <f t="shared" si="4"/>
        <v>0</v>
      </c>
      <c r="O48" s="79"/>
      <c r="P48" s="84">
        <f t="shared" si="5"/>
        <v>0</v>
      </c>
      <c r="Q48" s="79"/>
      <c r="R48" s="84">
        <f t="shared" si="6"/>
        <v>0</v>
      </c>
      <c r="S48" s="79"/>
      <c r="T48" s="84">
        <f t="shared" si="7"/>
        <v>0</v>
      </c>
      <c r="U48" s="79"/>
      <c r="V48" s="84">
        <f t="shared" si="8"/>
        <v>0</v>
      </c>
      <c r="W48" s="79"/>
      <c r="X48" s="84">
        <f t="shared" si="9"/>
        <v>0</v>
      </c>
      <c r="Y48" s="79"/>
    </row>
    <row r="49" spans="1:26" x14ac:dyDescent="0.3">
      <c r="A49" s="96"/>
      <c r="C49" s="79"/>
      <c r="D49" s="84">
        <f t="shared" si="0"/>
        <v>0</v>
      </c>
      <c r="E49" s="79"/>
      <c r="F49" s="84">
        <f t="shared" si="1"/>
        <v>0</v>
      </c>
      <c r="G49" s="79"/>
      <c r="H49" s="84">
        <f t="shared" si="1"/>
        <v>0</v>
      </c>
      <c r="I49" s="79"/>
      <c r="J49" s="84">
        <f t="shared" si="2"/>
        <v>0</v>
      </c>
      <c r="K49" s="79"/>
      <c r="L49" s="84">
        <f t="shared" si="3"/>
        <v>0</v>
      </c>
      <c r="M49" s="79"/>
      <c r="N49" s="84">
        <f t="shared" si="4"/>
        <v>0</v>
      </c>
      <c r="O49" s="79"/>
      <c r="P49" s="84">
        <f t="shared" si="5"/>
        <v>0</v>
      </c>
      <c r="Q49" s="79"/>
      <c r="R49" s="84">
        <f t="shared" si="6"/>
        <v>0</v>
      </c>
      <c r="S49" s="79"/>
      <c r="T49" s="84">
        <f t="shared" si="7"/>
        <v>0</v>
      </c>
      <c r="U49" s="79"/>
      <c r="V49" s="84">
        <f t="shared" si="8"/>
        <v>0</v>
      </c>
      <c r="W49" s="79"/>
      <c r="X49" s="84">
        <f t="shared" si="9"/>
        <v>0</v>
      </c>
      <c r="Y49" s="79"/>
    </row>
    <row r="50" spans="1:26" x14ac:dyDescent="0.3">
      <c r="A50" s="96"/>
      <c r="C50" s="79"/>
      <c r="D50" s="84">
        <f t="shared" si="0"/>
        <v>0</v>
      </c>
      <c r="E50" s="79"/>
      <c r="F50" s="84">
        <f t="shared" si="1"/>
        <v>0</v>
      </c>
      <c r="G50" s="79"/>
      <c r="H50" s="84">
        <f t="shared" si="1"/>
        <v>0</v>
      </c>
      <c r="I50" s="79"/>
      <c r="J50" s="84">
        <f t="shared" si="2"/>
        <v>0</v>
      </c>
      <c r="K50" s="79"/>
      <c r="L50" s="84">
        <f t="shared" si="3"/>
        <v>0</v>
      </c>
      <c r="M50" s="79"/>
      <c r="N50" s="84">
        <f t="shared" si="4"/>
        <v>0</v>
      </c>
      <c r="O50" s="79"/>
      <c r="P50" s="84">
        <f t="shared" si="5"/>
        <v>0</v>
      </c>
      <c r="Q50" s="79"/>
      <c r="R50" s="84">
        <f t="shared" si="6"/>
        <v>0</v>
      </c>
      <c r="S50" s="79"/>
      <c r="T50" s="84">
        <f t="shared" si="7"/>
        <v>0</v>
      </c>
      <c r="U50" s="79"/>
      <c r="V50" s="84">
        <f t="shared" si="8"/>
        <v>0</v>
      </c>
      <c r="W50" s="79"/>
      <c r="X50" s="84">
        <f t="shared" si="9"/>
        <v>0</v>
      </c>
      <c r="Y50" s="79"/>
    </row>
    <row r="51" spans="1:26" x14ac:dyDescent="0.3">
      <c r="A51" s="96"/>
      <c r="C51" s="79"/>
      <c r="D51" s="84">
        <f t="shared" si="0"/>
        <v>0</v>
      </c>
      <c r="E51" s="79"/>
      <c r="F51" s="84">
        <f t="shared" si="1"/>
        <v>0</v>
      </c>
      <c r="G51" s="79"/>
      <c r="H51" s="84">
        <f t="shared" si="1"/>
        <v>0</v>
      </c>
      <c r="I51" s="79"/>
      <c r="J51" s="84">
        <f t="shared" si="2"/>
        <v>0</v>
      </c>
      <c r="K51" s="79"/>
      <c r="L51" s="84">
        <f t="shared" si="3"/>
        <v>0</v>
      </c>
      <c r="M51" s="79"/>
      <c r="N51" s="84">
        <f t="shared" si="4"/>
        <v>0</v>
      </c>
      <c r="O51" s="79"/>
      <c r="P51" s="84">
        <f t="shared" si="5"/>
        <v>0</v>
      </c>
      <c r="Q51" s="79"/>
      <c r="R51" s="84">
        <f t="shared" si="6"/>
        <v>0</v>
      </c>
      <c r="S51" s="79"/>
      <c r="T51" s="84">
        <f t="shared" si="7"/>
        <v>0</v>
      </c>
      <c r="U51" s="79"/>
      <c r="V51" s="84">
        <f t="shared" si="8"/>
        <v>0</v>
      </c>
      <c r="W51" s="79"/>
      <c r="X51" s="84">
        <f t="shared" si="9"/>
        <v>0</v>
      </c>
      <c r="Y51" s="79"/>
    </row>
    <row r="52" spans="1:26" x14ac:dyDescent="0.3">
      <c r="A52" s="96"/>
      <c r="C52" s="79"/>
      <c r="D52" s="84">
        <f t="shared" si="0"/>
        <v>0</v>
      </c>
      <c r="E52" s="79"/>
      <c r="F52" s="84">
        <f t="shared" si="1"/>
        <v>0</v>
      </c>
      <c r="G52" s="79"/>
      <c r="H52" s="84">
        <f t="shared" si="1"/>
        <v>0</v>
      </c>
      <c r="I52" s="79"/>
      <c r="J52" s="84">
        <f t="shared" si="2"/>
        <v>0</v>
      </c>
      <c r="K52" s="79"/>
      <c r="L52" s="84">
        <f t="shared" si="3"/>
        <v>0</v>
      </c>
      <c r="M52" s="79"/>
      <c r="N52" s="84">
        <f t="shared" si="4"/>
        <v>0</v>
      </c>
      <c r="O52" s="79"/>
      <c r="P52" s="84">
        <f t="shared" si="5"/>
        <v>0</v>
      </c>
      <c r="Q52" s="79"/>
      <c r="R52" s="84">
        <f t="shared" si="6"/>
        <v>0</v>
      </c>
      <c r="S52" s="79"/>
      <c r="T52" s="84">
        <f t="shared" si="7"/>
        <v>0</v>
      </c>
      <c r="U52" s="79"/>
      <c r="V52" s="84">
        <f t="shared" si="8"/>
        <v>0</v>
      </c>
      <c r="W52" s="79"/>
      <c r="X52" s="84">
        <f t="shared" si="9"/>
        <v>0</v>
      </c>
      <c r="Y52" s="79"/>
    </row>
    <row r="53" spans="1:26" x14ac:dyDescent="0.3">
      <c r="A53" s="96"/>
      <c r="C53" s="79"/>
      <c r="D53" s="84">
        <f t="shared" si="0"/>
        <v>0</v>
      </c>
      <c r="E53" s="79"/>
      <c r="F53" s="84">
        <f t="shared" si="1"/>
        <v>0</v>
      </c>
      <c r="G53" s="79"/>
      <c r="H53" s="84">
        <f t="shared" si="1"/>
        <v>0</v>
      </c>
      <c r="I53" s="79"/>
      <c r="J53" s="84">
        <f t="shared" si="2"/>
        <v>0</v>
      </c>
      <c r="K53" s="79"/>
      <c r="L53" s="84">
        <f t="shared" si="3"/>
        <v>0</v>
      </c>
      <c r="M53" s="79"/>
      <c r="N53" s="84">
        <f t="shared" si="4"/>
        <v>0</v>
      </c>
      <c r="O53" s="79"/>
      <c r="P53" s="84">
        <f t="shared" si="5"/>
        <v>0</v>
      </c>
      <c r="Q53" s="79"/>
      <c r="R53" s="84">
        <f t="shared" si="6"/>
        <v>0</v>
      </c>
      <c r="S53" s="79"/>
      <c r="T53" s="84">
        <f t="shared" si="7"/>
        <v>0</v>
      </c>
      <c r="U53" s="79"/>
      <c r="V53" s="84">
        <f t="shared" si="8"/>
        <v>0</v>
      </c>
      <c r="W53" s="79"/>
      <c r="X53" s="84">
        <f t="shared" si="9"/>
        <v>0</v>
      </c>
      <c r="Y53" s="79"/>
    </row>
    <row r="54" spans="1:26" x14ac:dyDescent="0.3">
      <c r="A54" s="96"/>
      <c r="C54" s="79"/>
      <c r="D54" s="84">
        <f t="shared" si="0"/>
        <v>0</v>
      </c>
      <c r="E54" s="79"/>
      <c r="F54" s="84">
        <f t="shared" si="1"/>
        <v>0</v>
      </c>
      <c r="G54" s="79"/>
      <c r="H54" s="84">
        <f t="shared" si="1"/>
        <v>0</v>
      </c>
      <c r="I54" s="79"/>
      <c r="J54" s="84">
        <f t="shared" si="2"/>
        <v>0</v>
      </c>
      <c r="K54" s="79"/>
      <c r="L54" s="84">
        <f t="shared" si="3"/>
        <v>0</v>
      </c>
      <c r="M54" s="79"/>
      <c r="N54" s="84">
        <f t="shared" si="4"/>
        <v>0</v>
      </c>
      <c r="O54" s="79"/>
      <c r="P54" s="84">
        <f t="shared" si="5"/>
        <v>0</v>
      </c>
      <c r="Q54" s="79"/>
      <c r="R54" s="84">
        <f t="shared" si="6"/>
        <v>0</v>
      </c>
      <c r="S54" s="79"/>
      <c r="T54" s="84">
        <f t="shared" si="7"/>
        <v>0</v>
      </c>
      <c r="U54" s="79"/>
      <c r="V54" s="84">
        <f t="shared" si="8"/>
        <v>0</v>
      </c>
      <c r="W54" s="79"/>
      <c r="X54" s="84">
        <f t="shared" si="9"/>
        <v>0</v>
      </c>
      <c r="Y54" s="79"/>
    </row>
    <row r="55" spans="1:26" ht="2.1" customHeight="1" x14ac:dyDescent="0.3">
      <c r="A55" s="87"/>
      <c r="C55" s="87"/>
      <c r="D55" s="83"/>
      <c r="E55" s="87"/>
      <c r="F55" s="83"/>
      <c r="G55" s="87"/>
      <c r="H55" s="84"/>
      <c r="I55" s="87"/>
      <c r="J55" s="83"/>
      <c r="K55" s="87"/>
      <c r="L55" s="83"/>
      <c r="M55" s="87"/>
      <c r="N55" s="83"/>
      <c r="O55" s="87"/>
      <c r="P55" s="83"/>
      <c r="Q55" s="87"/>
      <c r="R55" s="83"/>
      <c r="S55" s="87"/>
      <c r="T55" s="83"/>
      <c r="U55" s="87"/>
      <c r="V55" s="83"/>
      <c r="W55" s="87"/>
      <c r="X55" s="83"/>
      <c r="Y55" s="87"/>
    </row>
    <row r="56" spans="1:26" s="54" customFormat="1" ht="24.95" customHeight="1" x14ac:dyDescent="0.25">
      <c r="A56" s="42" t="s">
        <v>41</v>
      </c>
      <c r="B56" s="87"/>
      <c r="C56" s="88">
        <f>IFERROR(VLOOKUP(B2,CC1_InputUser!$A:$S,19,FALSE),0)</f>
        <v>0</v>
      </c>
      <c r="D56" s="89"/>
      <c r="E56" s="88">
        <f>IFERROR(VLOOKUP(D2,CC1_InputUser!$A:$S,19,FALSE),0)</f>
        <v>0</v>
      </c>
      <c r="F56" s="89"/>
      <c r="G56" s="88">
        <f>IFERROR(VLOOKUP(F2,CC1_InputUser!$A:$S,19,FALSE),0)</f>
        <v>0</v>
      </c>
      <c r="H56" s="89"/>
      <c r="I56" s="88">
        <f>IFERROR(VLOOKUP(H2,CC1_InputUser!$A:$S,19,FALSE),0)</f>
        <v>0</v>
      </c>
      <c r="J56" s="89"/>
      <c r="K56" s="88">
        <f>IFERROR(VLOOKUP(J2,CC1_InputUser!$A:$S,19,FALSE),0)</f>
        <v>0</v>
      </c>
      <c r="L56" s="89"/>
      <c r="M56" s="88">
        <f>IFERROR(VLOOKUP(L2,CC1_InputUser!$A:$S,19,FALSE),0)</f>
        <v>0</v>
      </c>
      <c r="N56" s="89"/>
      <c r="O56" s="88">
        <f>IFERROR(VLOOKUP(N2,CC1_InputUser!$A:$S,19,FALSE),0)</f>
        <v>0</v>
      </c>
      <c r="P56" s="89"/>
      <c r="Q56" s="90">
        <f>IFERROR(VLOOKUP(P2,CC1_InputUser!$A:$S,19,FALSE),0)</f>
        <v>0</v>
      </c>
      <c r="R56" s="89"/>
      <c r="S56" s="88">
        <f>IFERROR(VLOOKUP(R2,CC1_InputUser!$A:$S,19,FALSE),0)</f>
        <v>0</v>
      </c>
      <c r="T56" s="89"/>
      <c r="U56" s="88">
        <f>IFERROR(VLOOKUP(T2,CC1_InputUser!$A:$S,19,FALSE),0)</f>
        <v>0</v>
      </c>
      <c r="V56" s="89"/>
      <c r="W56" s="88">
        <f>IFERROR(VLOOKUP(V2,CC1_InputUser!$A:$S,19,FALSE),0)</f>
        <v>0</v>
      </c>
      <c r="X56" s="89"/>
      <c r="Y56" s="88">
        <f>IFERROR(VLOOKUP(X2,CC1_InputUser!$A:$S,19,FALSE),0)</f>
        <v>-1.0296993678082456E-2</v>
      </c>
      <c r="Z56" s="38"/>
    </row>
    <row r="57" spans="1:26" ht="4.5" customHeight="1" x14ac:dyDescent="0.3">
      <c r="A57" s="87"/>
      <c r="C57" s="87"/>
      <c r="E57" s="87"/>
      <c r="G57" s="87"/>
      <c r="I57" s="87"/>
      <c r="K57" s="87"/>
      <c r="M57" s="87"/>
      <c r="O57" s="87"/>
      <c r="Q57" s="87"/>
      <c r="S57" s="87"/>
      <c r="U57" s="87"/>
      <c r="W57" s="87"/>
      <c r="Y57" s="87"/>
    </row>
    <row r="58" spans="1:26" x14ac:dyDescent="0.3">
      <c r="C58" s="16"/>
      <c r="E58" s="16"/>
      <c r="G58" s="16"/>
      <c r="I58" s="16"/>
      <c r="K58" s="16"/>
      <c r="M58" s="16"/>
      <c r="O58" s="16"/>
      <c r="Q58" s="16"/>
      <c r="S58" s="16"/>
      <c r="U58" s="16"/>
      <c r="W58" s="16"/>
      <c r="Y58" s="16"/>
    </row>
    <row r="59" spans="1:26" x14ac:dyDescent="0.3">
      <c r="C59" s="16"/>
      <c r="E59" s="16"/>
      <c r="G59" s="16"/>
      <c r="I59" s="16"/>
      <c r="K59" s="16"/>
      <c r="M59" s="16"/>
      <c r="O59" s="16"/>
      <c r="Q59" s="16"/>
      <c r="S59" s="16"/>
      <c r="U59" s="16"/>
      <c r="W59" s="16"/>
      <c r="Y59" s="16"/>
    </row>
    <row r="60" spans="1:26" x14ac:dyDescent="0.3">
      <c r="A60" s="85" t="s">
        <v>53</v>
      </c>
      <c r="C60" s="16"/>
      <c r="E60" s="16"/>
      <c r="G60" s="16"/>
      <c r="I60" s="16"/>
      <c r="K60" s="16"/>
      <c r="M60" s="16"/>
      <c r="O60" s="16"/>
      <c r="Q60" s="16"/>
      <c r="S60" s="16"/>
      <c r="U60" s="16"/>
      <c r="W60" s="16"/>
      <c r="Y60" s="16"/>
    </row>
    <row r="61" spans="1:26" x14ac:dyDescent="0.3">
      <c r="A61" t="s">
        <v>55</v>
      </c>
      <c r="C61" s="16"/>
      <c r="E61" s="16"/>
      <c r="G61" s="16"/>
      <c r="I61" s="16"/>
      <c r="K61" s="16"/>
      <c r="M61" s="16"/>
      <c r="O61" s="16"/>
      <c r="Q61" s="16"/>
      <c r="S61" s="16"/>
      <c r="U61" s="16"/>
      <c r="W61" s="16"/>
      <c r="Y61" s="16"/>
    </row>
    <row r="62" spans="1:26" x14ac:dyDescent="0.3">
      <c r="C62" s="16"/>
      <c r="E62" s="16"/>
      <c r="G62" s="16"/>
      <c r="I62" s="16"/>
      <c r="K62" s="16"/>
      <c r="M62" s="16"/>
      <c r="O62" s="16"/>
      <c r="Q62" s="16"/>
      <c r="S62" s="16"/>
      <c r="U62" s="16"/>
      <c r="W62" s="16"/>
      <c r="Y62" s="16"/>
    </row>
    <row r="63" spans="1:26" x14ac:dyDescent="0.3">
      <c r="A63" s="86" t="s">
        <v>54</v>
      </c>
      <c r="C63" s="16"/>
      <c r="E63" s="16"/>
      <c r="G63" s="16"/>
      <c r="I63" s="16"/>
      <c r="K63" s="16"/>
      <c r="M63" s="16"/>
      <c r="O63" s="16"/>
      <c r="Q63" s="16"/>
      <c r="S63" s="16"/>
      <c r="U63" s="16"/>
      <c r="W63" s="16"/>
      <c r="Y63" s="16"/>
    </row>
    <row r="64" spans="1:26" x14ac:dyDescent="0.3">
      <c r="A64" t="s">
        <v>56</v>
      </c>
      <c r="C64" s="16"/>
      <c r="E64" s="16"/>
      <c r="G64" s="16"/>
      <c r="I64" s="16"/>
      <c r="K64" s="16"/>
      <c r="M64" s="16"/>
      <c r="O64" s="16"/>
      <c r="Q64" s="16"/>
      <c r="S64" s="16"/>
      <c r="U64" s="16"/>
      <c r="W64" s="16"/>
      <c r="Y64" s="16"/>
    </row>
  </sheetData>
  <mergeCells count="25">
    <mergeCell ref="V2:W2"/>
    <mergeCell ref="A2:A3"/>
    <mergeCell ref="B2:C2"/>
    <mergeCell ref="D2:E2"/>
    <mergeCell ref="F2:G2"/>
    <mergeCell ref="H2:I2"/>
    <mergeCell ref="J2:K2"/>
    <mergeCell ref="T3:U3"/>
    <mergeCell ref="V3:W3"/>
    <mergeCell ref="X3:Y3"/>
    <mergeCell ref="X2:Y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L2:M2"/>
    <mergeCell ref="N2:O2"/>
    <mergeCell ref="P2:Q2"/>
    <mergeCell ref="R2:S2"/>
    <mergeCell ref="T2:U2"/>
  </mergeCells>
  <conditionalFormatting sqref="C56 Y56 W56 U56 S56 Q56 O56 M56 K56 I56 G56 E56">
    <cfRule type="cellIs" dxfId="18" priority="16" operator="between">
      <formula>-0.00251</formula>
      <formula>-0.009</formula>
    </cfRule>
    <cfRule type="cellIs" dxfId="17" priority="17" operator="between">
      <formula>0</formula>
      <formula>-0.0025</formula>
    </cfRule>
  </conditionalFormatting>
  <conditionalFormatting sqref="C5:C54 H6:H55 E5:E54 D5:D55 G5:I5 G6:G54 F5:F55 K5:K54 J5:J55 M5:M54 L5:L55 O5:O54 N5:N55 Q5:Q54 P5:P55 S5:S54 R5:R55 U5:U54 T5:T55 W5:W54 V5:V55 Y5:Z54 X5:X55 I6:I54">
    <cfRule type="cellIs" dxfId="16" priority="15" operator="lessThan">
      <formula>0</formula>
    </cfRule>
  </conditionalFormatting>
  <conditionalFormatting sqref="B5:B54">
    <cfRule type="cellIs" dxfId="15" priority="14" operator="lessThan">
      <formula>0</formula>
    </cfRule>
  </conditionalFormatting>
  <conditionalFormatting sqref="C5:C54 E5:E54 G5:G54 K5:K54 M5:M54 O5:O54 Q5:Q54 S5:S54 U5:U54 W5:W54 Y5:Y54 I5:I54">
    <cfRule type="cellIs" dxfId="14" priority="1" operator="between">
      <formula>0</formula>
      <formula>-0.0025</formula>
    </cfRule>
    <cfRule type="cellIs" dxfId="13" priority="2" operator="between">
      <formula>-0.00251</formula>
      <formula>-0.009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" id="{043EF6BF-68BC-4419-9BB4-E16FF5F18901}">
            <x14:iconSet iconSet="3Triangles">
              <x14:cfvo type="percent">
                <xm:f>0</xm:f>
              </x14:cfvo>
              <x14:cfvo type="formula">
                <xm:f>$C$56</xm:f>
              </x14:cfvo>
              <x14:cfvo type="formula" gte="0">
                <xm:f>$C$56</xm:f>
              </x14:cfvo>
            </x14:iconSet>
          </x14:cfRule>
          <xm:sqref>E56</xm:sqref>
        </x14:conditionalFormatting>
        <x14:conditionalFormatting xmlns:xm="http://schemas.microsoft.com/office/excel/2006/main">
          <x14:cfRule type="iconSet" priority="19" id="{4C230421-99EC-478B-A4F2-0EDCD554E5DA}">
            <x14:iconSet iconSet="3Triangles">
              <x14:cfvo type="percent">
                <xm:f>0</xm:f>
              </x14:cfvo>
              <x14:cfvo type="formula">
                <xm:f>$E$56</xm:f>
              </x14:cfvo>
              <x14:cfvo type="formula" gte="0">
                <xm:f>$E$56</xm:f>
              </x14:cfvo>
            </x14:iconSet>
          </x14:cfRule>
          <xm:sqref>G56</xm:sqref>
        </x14:conditionalFormatting>
        <x14:conditionalFormatting xmlns:xm="http://schemas.microsoft.com/office/excel/2006/main">
          <x14:cfRule type="iconSet" priority="20" id="{155B5809-A8A7-48C5-95D9-297B74F21B25}">
            <x14:iconSet iconSet="3Triangles">
              <x14:cfvo type="percent">
                <xm:f>0</xm:f>
              </x14:cfvo>
              <x14:cfvo type="formula">
                <xm:f>$G$56</xm:f>
              </x14:cfvo>
              <x14:cfvo type="formula" gte="0">
                <xm:f>$G$56</xm:f>
              </x14:cfvo>
            </x14:iconSet>
          </x14:cfRule>
          <xm:sqref>I56</xm:sqref>
        </x14:conditionalFormatting>
        <x14:conditionalFormatting xmlns:xm="http://schemas.microsoft.com/office/excel/2006/main">
          <x14:cfRule type="iconSet" priority="21" id="{0D235538-91EE-4FB9-8968-831B837F659E}">
            <x14:iconSet iconSet="3Triangles">
              <x14:cfvo type="percent">
                <xm:f>0</xm:f>
              </x14:cfvo>
              <x14:cfvo type="formula">
                <xm:f>$I$56</xm:f>
              </x14:cfvo>
              <x14:cfvo type="formula" gte="0">
                <xm:f>$I$56</xm:f>
              </x14:cfvo>
            </x14:iconSet>
          </x14:cfRule>
          <xm:sqref>K56</xm:sqref>
        </x14:conditionalFormatting>
        <x14:conditionalFormatting xmlns:xm="http://schemas.microsoft.com/office/excel/2006/main">
          <x14:cfRule type="iconSet" priority="22" id="{040615F1-BB0E-4550-9D18-7DEFE4F72EDA}">
            <x14:iconSet iconSet="3Triangles">
              <x14:cfvo type="percent">
                <xm:f>0</xm:f>
              </x14:cfvo>
              <x14:cfvo type="formula">
                <xm:f>$M$56</xm:f>
              </x14:cfvo>
              <x14:cfvo type="formula" gte="0">
                <xm:f>$M$56</xm:f>
              </x14:cfvo>
            </x14:iconSet>
          </x14:cfRule>
          <xm:sqref>O56</xm:sqref>
        </x14:conditionalFormatting>
        <x14:conditionalFormatting xmlns:xm="http://schemas.microsoft.com/office/excel/2006/main">
          <x14:cfRule type="iconSet" priority="23" id="{5F1D10D1-B434-43D6-B6A9-A4D628B3E548}">
            <x14:iconSet iconSet="3Triangles">
              <x14:cfvo type="percent">
                <xm:f>0</xm:f>
              </x14:cfvo>
              <x14:cfvo type="formula">
                <xm:f>$O$56</xm:f>
              </x14:cfvo>
              <x14:cfvo type="formula" gte="0">
                <xm:f>$O$56</xm:f>
              </x14:cfvo>
            </x14:iconSet>
          </x14:cfRule>
          <xm:sqref>Q56</xm:sqref>
        </x14:conditionalFormatting>
        <x14:conditionalFormatting xmlns:xm="http://schemas.microsoft.com/office/excel/2006/main">
          <x14:cfRule type="iconSet" priority="24" id="{09346B7D-BE56-4A11-826F-1F19EAF03E8C}">
            <x14:iconSet iconSet="3Triangles">
              <x14:cfvo type="percent">
                <xm:f>0</xm:f>
              </x14:cfvo>
              <x14:cfvo type="formula">
                <xm:f>$Q$56</xm:f>
              </x14:cfvo>
              <x14:cfvo type="formula" gte="0">
                <xm:f>$Q$56</xm:f>
              </x14:cfvo>
            </x14:iconSet>
          </x14:cfRule>
          <xm:sqref>S56</xm:sqref>
        </x14:conditionalFormatting>
        <x14:conditionalFormatting xmlns:xm="http://schemas.microsoft.com/office/excel/2006/main">
          <x14:cfRule type="iconSet" priority="25" id="{603D7879-B81B-40F7-9F77-FEB875F5B271}">
            <x14:iconSet iconSet="3Triangles">
              <x14:cfvo type="percent">
                <xm:f>0</xm:f>
              </x14:cfvo>
              <x14:cfvo type="formula">
                <xm:f>$S$56</xm:f>
              </x14:cfvo>
              <x14:cfvo type="formula" gte="0">
                <xm:f>$S$56</xm:f>
              </x14:cfvo>
            </x14:iconSet>
          </x14:cfRule>
          <xm:sqref>U56</xm:sqref>
        </x14:conditionalFormatting>
        <x14:conditionalFormatting xmlns:xm="http://schemas.microsoft.com/office/excel/2006/main">
          <x14:cfRule type="iconSet" priority="26" id="{4B8984DB-1935-439A-9E10-AC1DB10C061A}">
            <x14:iconSet iconSet="3Triangles">
              <x14:cfvo type="percent">
                <xm:f>0</xm:f>
              </x14:cfvo>
              <x14:cfvo type="formula">
                <xm:f>$U$56</xm:f>
              </x14:cfvo>
              <x14:cfvo type="formula" gte="0">
                <xm:f>$U$56</xm:f>
              </x14:cfvo>
            </x14:iconSet>
          </x14:cfRule>
          <xm:sqref>W56</xm:sqref>
        </x14:conditionalFormatting>
        <x14:conditionalFormatting xmlns:xm="http://schemas.microsoft.com/office/excel/2006/main">
          <x14:cfRule type="iconSet" priority="27" id="{EE9E28DC-29B2-4060-8AD9-2AC253C917D6}">
            <x14:iconSet iconSet="3Triangles">
              <x14:cfvo type="percent">
                <xm:f>0</xm:f>
              </x14:cfvo>
              <x14:cfvo type="formula">
                <xm:f>$W$56</xm:f>
              </x14:cfvo>
              <x14:cfvo type="formula" gte="0">
                <xm:f>$W$56</xm:f>
              </x14:cfvo>
            </x14:iconSet>
          </x14:cfRule>
          <xm:sqref>Y56</xm:sqref>
        </x14:conditionalFormatting>
        <x14:conditionalFormatting xmlns:xm="http://schemas.microsoft.com/office/excel/2006/main">
          <x14:cfRule type="iconSet" priority="28" id="{E9276835-BF3B-4FA8-9BD2-45D1CA21F1B3}">
            <x14:iconSet iconSet="3Triangles">
              <x14:cfvo type="percent">
                <xm:f>0</xm:f>
              </x14:cfvo>
              <x14:cfvo type="formula">
                <xm:f>$K$56</xm:f>
              </x14:cfvo>
              <x14:cfvo type="formula" gte="0">
                <xm:f>$K$56</xm:f>
              </x14:cfvo>
            </x14:iconSet>
          </x14:cfRule>
          <xm:sqref>M56</xm:sqref>
        </x14:conditionalFormatting>
        <x14:conditionalFormatting xmlns:xm="http://schemas.microsoft.com/office/excel/2006/main">
          <x14:cfRule type="iconSet" priority="13" id="{7119887B-578B-43B1-B70C-726A33E34E61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H5:H55</xm:sqref>
        </x14:conditionalFormatting>
        <x14:conditionalFormatting xmlns:xm="http://schemas.microsoft.com/office/excel/2006/main">
          <x14:cfRule type="iconSet" priority="12" id="{3B54FEE0-1EF4-422B-BC97-F45BC473711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D5:D55</xm:sqref>
        </x14:conditionalFormatting>
        <x14:conditionalFormatting xmlns:xm="http://schemas.microsoft.com/office/excel/2006/main">
          <x14:cfRule type="iconSet" priority="11" id="{63E61E1F-B7A4-4CB2-9E4C-D36848771A53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F5:F55</xm:sqref>
        </x14:conditionalFormatting>
        <x14:conditionalFormatting xmlns:xm="http://schemas.microsoft.com/office/excel/2006/main">
          <x14:cfRule type="iconSet" priority="10" id="{125E0EA2-4015-4C49-8E58-A5E69FE9D995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J5:J55</xm:sqref>
        </x14:conditionalFormatting>
        <x14:conditionalFormatting xmlns:xm="http://schemas.microsoft.com/office/excel/2006/main">
          <x14:cfRule type="iconSet" priority="9" id="{F7C0EEC6-F15C-4C15-896E-86454E88059A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L5:L55</xm:sqref>
        </x14:conditionalFormatting>
        <x14:conditionalFormatting xmlns:xm="http://schemas.microsoft.com/office/excel/2006/main">
          <x14:cfRule type="iconSet" priority="8" id="{D8B201BD-2DD9-4490-88F0-E57E6D990CB6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N5:N55</xm:sqref>
        </x14:conditionalFormatting>
        <x14:conditionalFormatting xmlns:xm="http://schemas.microsoft.com/office/excel/2006/main">
          <x14:cfRule type="iconSet" priority="7" id="{79F7075D-252C-4D8A-8A1F-020536935994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P5:P55</xm:sqref>
        </x14:conditionalFormatting>
        <x14:conditionalFormatting xmlns:xm="http://schemas.microsoft.com/office/excel/2006/main">
          <x14:cfRule type="iconSet" priority="6" id="{5D3F1C71-4774-49CA-B1C0-018CED44F6F2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R5:R55</xm:sqref>
        </x14:conditionalFormatting>
        <x14:conditionalFormatting xmlns:xm="http://schemas.microsoft.com/office/excel/2006/main">
          <x14:cfRule type="iconSet" priority="5" id="{0B8570B2-E026-4B00-87EF-71FCF2A652C5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T5:T55</xm:sqref>
        </x14:conditionalFormatting>
        <x14:conditionalFormatting xmlns:xm="http://schemas.microsoft.com/office/excel/2006/main">
          <x14:cfRule type="iconSet" priority="4" id="{C01D1CD7-8A43-4113-81B7-1A6730B238BC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V5:V55</xm:sqref>
        </x14:conditionalFormatting>
        <x14:conditionalFormatting xmlns:xm="http://schemas.microsoft.com/office/excel/2006/main">
          <x14:cfRule type="iconSet" priority="3" id="{5553933D-B026-4613-8C76-92CED5E48E6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X5:X55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1">
    <tabColor rgb="FF00B0F0"/>
  </sheetPr>
  <dimension ref="A1:K16"/>
  <sheetViews>
    <sheetView showGridLines="0" tabSelected="1" zoomScaleNormal="10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11" ht="18" customHeight="1" x14ac:dyDescent="0.25">
      <c r="A1" s="116"/>
      <c r="B1" s="116"/>
      <c r="C1" s="117" t="s">
        <v>1</v>
      </c>
      <c r="D1" s="117"/>
      <c r="E1" s="117"/>
      <c r="F1" s="117"/>
      <c r="G1" s="117"/>
      <c r="H1" s="117"/>
    </row>
    <row r="2" spans="1:11" ht="18" customHeight="1" x14ac:dyDescent="0.25">
      <c r="A2" s="4"/>
      <c r="B2" s="4"/>
      <c r="C2" s="5"/>
      <c r="D2" s="5"/>
      <c r="E2" s="5"/>
      <c r="F2" s="5"/>
      <c r="G2" s="5"/>
    </row>
    <row r="3" spans="1:11" ht="15.75" x14ac:dyDescent="0.25">
      <c r="A3" s="116"/>
      <c r="B3" s="121"/>
      <c r="C3" s="2" t="s">
        <v>7</v>
      </c>
      <c r="D3" s="3" t="s">
        <v>5</v>
      </c>
      <c r="E3" s="122" t="s">
        <v>4</v>
      </c>
      <c r="F3" s="123"/>
      <c r="G3" s="3" t="s">
        <v>6</v>
      </c>
      <c r="H3" s="6" t="s">
        <v>2</v>
      </c>
    </row>
    <row r="4" spans="1:11" ht="15" customHeight="1" x14ac:dyDescent="0.25">
      <c r="A4" s="116"/>
      <c r="B4" s="121"/>
      <c r="C4" s="118" t="s">
        <v>50</v>
      </c>
      <c r="D4" s="7" t="s">
        <v>8</v>
      </c>
      <c r="E4" s="1" t="s">
        <v>0</v>
      </c>
      <c r="F4" s="43" t="s">
        <v>51</v>
      </c>
      <c r="G4" s="44" t="str">
        <f ca="1">"NEW INPUT USER - Monitoring Performance Shipment " &amp; F5&amp;".xlsx"</f>
        <v>NEW INPUT USER - Monitoring Performance Shipment 2025.xlsx</v>
      </c>
      <c r="H4" s="119" t="s">
        <v>3</v>
      </c>
      <c r="K4" s="10"/>
    </row>
    <row r="5" spans="1:11" x14ac:dyDescent="0.25">
      <c r="A5" s="116"/>
      <c r="B5" s="121"/>
      <c r="C5" s="118"/>
      <c r="D5" s="7" t="s">
        <v>42</v>
      </c>
      <c r="E5" s="1" t="s">
        <v>0</v>
      </c>
      <c r="F5" s="45" t="str">
        <f ca="1">TEXT(NOW(),"[$-EN-EN]YYYY")</f>
        <v>2025</v>
      </c>
      <c r="G5" s="46"/>
      <c r="H5" s="120"/>
    </row>
    <row r="6" spans="1:11" x14ac:dyDescent="0.25">
      <c r="A6" s="116"/>
      <c r="B6" s="121"/>
      <c r="C6" s="118"/>
      <c r="D6" s="7" t="s">
        <v>58</v>
      </c>
      <c r="E6" s="1" t="s">
        <v>0</v>
      </c>
      <c r="F6" s="45" t="s">
        <v>57</v>
      </c>
      <c r="G6" s="46" t="str">
        <f ca="1">"WOW and MOM Report Performance Shipment " &amp; F5&amp;".xlsx"</f>
        <v>WOW and MOM Report Performance Shipment 2025.xlsx</v>
      </c>
      <c r="H6" s="120"/>
    </row>
    <row r="7" spans="1:11" x14ac:dyDescent="0.25">
      <c r="A7" s="116"/>
      <c r="B7" s="121"/>
      <c r="C7" s="118"/>
      <c r="D7" s="7" t="s">
        <v>75</v>
      </c>
      <c r="E7" s="1"/>
      <c r="F7" t="s">
        <v>57</v>
      </c>
      <c r="G7" s="46" t="str">
        <f ca="1">"Resume WOW and MOM Performance Shipment " &amp; $F$5&amp;".xlsx"</f>
        <v>Resume WOW and MOM Performance Shipment 2025.xlsx</v>
      </c>
      <c r="H7" s="120"/>
    </row>
    <row r="8" spans="1:11" x14ac:dyDescent="0.25">
      <c r="A8" s="116"/>
      <c r="B8" s="121"/>
      <c r="C8" s="118"/>
      <c r="D8" s="8"/>
      <c r="E8" s="1" t="s">
        <v>0</v>
      </c>
      <c r="F8" s="47"/>
      <c r="G8" s="48"/>
      <c r="H8" s="120"/>
    </row>
    <row r="9" spans="1:11" ht="1.5" customHeight="1" x14ac:dyDescent="0.25">
      <c r="A9" s="116"/>
      <c r="B9" s="121"/>
      <c r="C9" s="12"/>
      <c r="D9" s="12"/>
      <c r="E9" s="12"/>
      <c r="F9" s="12"/>
      <c r="G9" s="12"/>
      <c r="H9" s="12"/>
    </row>
    <row r="10" spans="1:11" ht="7.5" customHeight="1" x14ac:dyDescent="0.25">
      <c r="A10" s="4"/>
      <c r="B10" s="4"/>
      <c r="C10" s="11"/>
      <c r="D10" s="11"/>
      <c r="E10" s="11"/>
      <c r="F10" s="11"/>
      <c r="G10" s="11"/>
      <c r="H10" s="11"/>
    </row>
    <row r="15" spans="1:11" x14ac:dyDescent="0.25">
      <c r="C15" t="s">
        <v>76</v>
      </c>
    </row>
    <row r="16" spans="1:11" x14ac:dyDescent="0.25">
      <c r="C16" t="s">
        <v>77</v>
      </c>
    </row>
  </sheetData>
  <mergeCells count="7">
    <mergeCell ref="A1:B1"/>
    <mergeCell ref="C1:H1"/>
    <mergeCell ref="C4:C8"/>
    <mergeCell ref="H4:H8"/>
    <mergeCell ref="A3:A9"/>
    <mergeCell ref="B3:B9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180975</xdr:rowOff>
              </from>
              <to>
                <xdr:col>7</xdr:col>
                <xdr:colOff>1047750</xdr:colOff>
                <xdr:row>6</xdr:row>
                <xdr:rowOff>95250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Y1750"/>
  <sheetViews>
    <sheetView zoomScale="90" zoomScaleNormal="90" workbookViewId="0"/>
  </sheetViews>
  <sheetFormatPr defaultRowHeight="15" x14ac:dyDescent="0.25"/>
  <cols>
    <col min="1" max="1" width="10.42578125" bestFit="1" customWidth="1"/>
    <col min="2" max="2" width="8.5703125" bestFit="1" customWidth="1"/>
    <col min="3" max="3" width="12.5703125" bestFit="1" customWidth="1"/>
    <col min="4" max="4" width="14.42578125" bestFit="1" customWidth="1"/>
    <col min="5" max="5" width="16.85546875" bestFit="1" customWidth="1"/>
    <col min="6" max="6" width="15.7109375" bestFit="1" customWidth="1"/>
    <col min="7" max="7" width="27.7109375" style="13" bestFit="1" customWidth="1"/>
    <col min="8" max="8" width="37.7109375" style="13" bestFit="1" customWidth="1"/>
    <col min="9" max="9" width="21.7109375" style="68" bestFit="1" customWidth="1"/>
    <col min="10" max="10" width="23.5703125" style="68" bestFit="1" customWidth="1"/>
    <col min="11" max="11" width="19.28515625" bestFit="1" customWidth="1"/>
    <col min="12" max="12" width="23.28515625" bestFit="1" customWidth="1"/>
    <col min="13" max="13" width="29.7109375" style="68" bestFit="1" customWidth="1"/>
    <col min="14" max="14" width="31.5703125" style="68" bestFit="1" customWidth="1"/>
    <col min="15" max="15" width="28.28515625" style="13" bestFit="1" customWidth="1"/>
    <col min="16" max="16" width="26.7109375" style="13" bestFit="1" customWidth="1"/>
    <col min="17" max="17" width="29.140625" style="13" bestFit="1" customWidth="1"/>
    <col min="18" max="19" width="38.28515625" style="33" bestFit="1" customWidth="1"/>
    <col min="20" max="20" width="21.5703125" bestFit="1" customWidth="1"/>
    <col min="21" max="21" width="28.28515625" bestFit="1" customWidth="1"/>
    <col min="22" max="22" width="26.7109375" bestFit="1" customWidth="1"/>
    <col min="23" max="23" width="25.42578125" bestFit="1" customWidth="1"/>
    <col min="24" max="24" width="32.85546875" style="33" bestFit="1" customWidth="1"/>
    <col min="25" max="25" width="34.5703125" style="33" bestFit="1" customWidth="1"/>
  </cols>
  <sheetData>
    <row r="1" spans="1:25" x14ac:dyDescent="0.25">
      <c r="A1" t="s">
        <v>27</v>
      </c>
      <c r="B1" t="s">
        <v>19</v>
      </c>
      <c r="C1" t="s">
        <v>9</v>
      </c>
      <c r="D1" t="s">
        <v>12</v>
      </c>
      <c r="E1" t="s">
        <v>13</v>
      </c>
      <c r="F1" t="s">
        <v>14</v>
      </c>
      <c r="G1" s="14" t="s">
        <v>15</v>
      </c>
      <c r="H1" s="14" t="s">
        <v>16</v>
      </c>
      <c r="I1" s="15" t="s">
        <v>17</v>
      </c>
      <c r="J1" s="15" t="s">
        <v>18</v>
      </c>
      <c r="K1" s="14" t="s">
        <v>20</v>
      </c>
      <c r="L1" s="14" t="s">
        <v>39</v>
      </c>
      <c r="M1" s="14" t="s">
        <v>45</v>
      </c>
      <c r="N1" s="14" t="s">
        <v>47</v>
      </c>
      <c r="O1" s="14" t="s">
        <v>78</v>
      </c>
      <c r="P1" s="14" t="s">
        <v>49</v>
      </c>
      <c r="Q1" s="14" t="s">
        <v>46</v>
      </c>
      <c r="R1" s="32" t="s">
        <v>79</v>
      </c>
      <c r="S1" s="32" t="s">
        <v>79</v>
      </c>
      <c r="T1" s="71" t="s">
        <v>68</v>
      </c>
      <c r="U1" s="72" t="s">
        <v>69</v>
      </c>
      <c r="V1" s="72" t="s">
        <v>70</v>
      </c>
      <c r="W1" s="72" t="s">
        <v>71</v>
      </c>
      <c r="X1" s="73" t="s">
        <v>72</v>
      </c>
      <c r="Y1" s="73" t="s">
        <v>73</v>
      </c>
    </row>
    <row r="2" spans="1:25" x14ac:dyDescent="0.25">
      <c r="B2" s="61"/>
      <c r="D2" s="62"/>
      <c r="E2" s="62"/>
      <c r="F2" s="63"/>
      <c r="G2" s="13">
        <f t="shared" ref="G2:G39" si="0">F2-E2</f>
        <v>0</v>
      </c>
      <c r="H2" s="13">
        <f t="shared" ref="H2:H39" si="1">F2-D2</f>
        <v>0</v>
      </c>
      <c r="I2" s="68" t="e">
        <f t="shared" ref="I2:I39" si="2">F2/D2-1</f>
        <v>#DIV/0!</v>
      </c>
      <c r="J2" s="68" t="e">
        <f t="shared" ref="J2:J39" si="3">F2/E2-1</f>
        <v>#DIV/0!</v>
      </c>
      <c r="K2" s="98" t="str">
        <f>_xlfn.IFNA(VLOOKUP(CLEAN(SUBSTITUTE(C2," ","")),Ref_Factory!$A:$B,2,FALSE),CLEAN(SUBSTITUTE(C2," ","")))</f>
        <v/>
      </c>
      <c r="L2" s="98" t="str">
        <f t="shared" ref="L2:L39" si="4">A2&amp;"-"&amp;B2&amp;"-"&amp;K2</f>
        <v>--</v>
      </c>
      <c r="M2" s="68" t="e">
        <f t="shared" ref="M2:M39" si="5">SUMIF($L$2:$L$39,L2,$I$2:$I$39)</f>
        <v>#DIV/0!</v>
      </c>
      <c r="N2" s="68" t="e">
        <f t="shared" ref="N2:N39" si="6">SUMIF($L$2:$L$39,L2,$J$2:$J$39)</f>
        <v>#DIV/0!</v>
      </c>
      <c r="O2" s="13">
        <f t="shared" ref="O2:O39" si="7">SUMIF($A$2:$A$39,A2,$D$2:$D$39)</f>
        <v>0</v>
      </c>
      <c r="P2" s="13">
        <f t="shared" ref="P2:P39" si="8">SUMIF($A$2:$A$39,A2,$E$2:$E$39)</f>
        <v>0</v>
      </c>
      <c r="Q2" s="13">
        <f t="shared" ref="Q2:Q39" si="9">SUMIF($A$2:$A$39,A2,$F$2:$F$39)</f>
        <v>0</v>
      </c>
      <c r="R2" s="33" t="e">
        <f t="shared" ref="R2:R39" si="10">Q2/O2-1</f>
        <v>#DIV/0!</v>
      </c>
      <c r="S2" s="33" t="e">
        <f t="shared" ref="S2:S39" si="11">Q2/P2-1</f>
        <v>#DIV/0!</v>
      </c>
      <c r="T2" t="str">
        <f t="shared" ref="T2:T39" si="12">A2&amp;"-"&amp;K2</f>
        <v>-</v>
      </c>
      <c r="U2">
        <f t="shared" ref="U2:U39" si="13">SUMIF($T$2:$T$39,T2,$D$2:$D$39)</f>
        <v>0</v>
      </c>
      <c r="V2">
        <f t="shared" ref="V2:V39" si="14">SUMIF($T$2:$T$39,T2,$E$2:$E$39)</f>
        <v>0</v>
      </c>
      <c r="W2">
        <f t="shared" ref="W2:W39" si="15">SUMIF($T$2:$T$39,T2,$F$2:$F$39)</f>
        <v>0</v>
      </c>
      <c r="X2" s="33" t="e">
        <f t="shared" ref="X2:X39" si="16">W2/U2-1</f>
        <v>#DIV/0!</v>
      </c>
      <c r="Y2" s="33" t="e">
        <f t="shared" ref="Y2:Y39" si="17">W2/V2-1</f>
        <v>#DIV/0!</v>
      </c>
    </row>
    <row r="3" spans="1:25" x14ac:dyDescent="0.25">
      <c r="A3" t="s">
        <v>38</v>
      </c>
      <c r="B3">
        <v>1</v>
      </c>
      <c r="C3" t="s">
        <v>11</v>
      </c>
      <c r="D3" s="64">
        <v>800</v>
      </c>
      <c r="E3" s="64">
        <v>839</v>
      </c>
      <c r="F3" s="64">
        <v>810</v>
      </c>
      <c r="G3" s="13">
        <f t="shared" si="0"/>
        <v>-29</v>
      </c>
      <c r="H3" s="13">
        <f t="shared" si="1"/>
        <v>10</v>
      </c>
      <c r="I3" s="68">
        <f t="shared" si="2"/>
        <v>1.2499999999999956E-2</v>
      </c>
      <c r="J3" s="68">
        <f t="shared" si="3"/>
        <v>-3.456495828367101E-2</v>
      </c>
      <c r="K3" s="98" t="str">
        <f>_xlfn.IFNA(VLOOKUP(CLEAN(SUBSTITUTE(C3," ","")),Ref_Factory!$A:$B,2,FALSE),CLEAN(SUBSTITUTE(C3," ","")))</f>
        <v>ANUGERAH</v>
      </c>
      <c r="L3" s="98" t="str">
        <f t="shared" si="4"/>
        <v>DECEMBER-1-ANUGERAH</v>
      </c>
      <c r="M3" s="68">
        <f t="shared" si="5"/>
        <v>0.20652777777777787</v>
      </c>
      <c r="N3" s="68">
        <f t="shared" si="6"/>
        <v>-0.53865241580124412</v>
      </c>
      <c r="O3" s="13">
        <f t="shared" si="7"/>
        <v>108754</v>
      </c>
      <c r="P3" s="13">
        <f t="shared" si="8"/>
        <v>109935</v>
      </c>
      <c r="Q3" s="13">
        <f t="shared" si="9"/>
        <v>108803</v>
      </c>
      <c r="R3" s="33">
        <f t="shared" si="10"/>
        <v>4.5055814039018927E-4</v>
      </c>
      <c r="S3" s="33">
        <f t="shared" si="11"/>
        <v>-1.0296993678082456E-2</v>
      </c>
      <c r="T3" t="str">
        <f t="shared" si="12"/>
        <v>DECEMBER-ANUGERAH</v>
      </c>
      <c r="U3">
        <f t="shared" si="13"/>
        <v>26300</v>
      </c>
      <c r="V3">
        <f t="shared" si="14"/>
        <v>27320</v>
      </c>
      <c r="W3">
        <f t="shared" si="15"/>
        <v>26480</v>
      </c>
      <c r="X3" s="33">
        <f t="shared" si="16"/>
        <v>6.8441064638782301E-3</v>
      </c>
      <c r="Y3" s="33">
        <f t="shared" si="17"/>
        <v>-3.0746705710102518E-2</v>
      </c>
    </row>
    <row r="4" spans="1:25" x14ac:dyDescent="0.25">
      <c r="A4" t="s">
        <v>38</v>
      </c>
      <c r="B4">
        <v>1</v>
      </c>
      <c r="C4" t="s">
        <v>11</v>
      </c>
      <c r="D4" s="64">
        <v>800</v>
      </c>
      <c r="E4" s="64">
        <v>839</v>
      </c>
      <c r="F4" s="64">
        <v>824</v>
      </c>
      <c r="G4" s="13">
        <f t="shared" si="0"/>
        <v>-15</v>
      </c>
      <c r="H4" s="13">
        <f t="shared" si="1"/>
        <v>24</v>
      </c>
      <c r="I4" s="68">
        <f t="shared" si="2"/>
        <v>3.0000000000000027E-2</v>
      </c>
      <c r="J4" s="68">
        <f t="shared" si="3"/>
        <v>-1.7878426698450522E-2</v>
      </c>
      <c r="K4" s="98" t="str">
        <f>_xlfn.IFNA(VLOOKUP(CLEAN(SUBSTITUTE(C4," ","")),Ref_Factory!$A:$B,2,FALSE),CLEAN(SUBSTITUTE(C4," ","")))</f>
        <v>ANUGERAH</v>
      </c>
      <c r="L4" s="98" t="str">
        <f t="shared" si="4"/>
        <v>DECEMBER-1-ANUGERAH</v>
      </c>
      <c r="M4" s="68">
        <f t="shared" si="5"/>
        <v>0.20652777777777787</v>
      </c>
      <c r="N4" s="68">
        <f t="shared" si="6"/>
        <v>-0.53865241580124412</v>
      </c>
      <c r="O4" s="13">
        <f t="shared" si="7"/>
        <v>108754</v>
      </c>
      <c r="P4" s="13">
        <f t="shared" si="8"/>
        <v>109935</v>
      </c>
      <c r="Q4" s="13">
        <f t="shared" si="9"/>
        <v>108803</v>
      </c>
      <c r="R4" s="33">
        <f t="shared" si="10"/>
        <v>4.5055814039018927E-4</v>
      </c>
      <c r="S4" s="33">
        <f t="shared" si="11"/>
        <v>-1.0296993678082456E-2</v>
      </c>
      <c r="T4" t="str">
        <f t="shared" si="12"/>
        <v>DECEMBER-ANUGERAH</v>
      </c>
      <c r="U4">
        <f t="shared" si="13"/>
        <v>26300</v>
      </c>
      <c r="V4">
        <f t="shared" si="14"/>
        <v>27320</v>
      </c>
      <c r="W4">
        <f t="shared" si="15"/>
        <v>26480</v>
      </c>
      <c r="X4" s="33">
        <f t="shared" si="16"/>
        <v>6.8441064638782301E-3</v>
      </c>
      <c r="Y4" s="33">
        <f t="shared" si="17"/>
        <v>-3.0746705710102518E-2</v>
      </c>
    </row>
    <row r="5" spans="1:25" x14ac:dyDescent="0.25">
      <c r="A5" t="s">
        <v>38</v>
      </c>
      <c r="B5">
        <v>1</v>
      </c>
      <c r="C5" t="s">
        <v>11</v>
      </c>
      <c r="D5" s="64">
        <v>1600</v>
      </c>
      <c r="E5" s="64">
        <v>1664</v>
      </c>
      <c r="F5" s="64">
        <v>1620</v>
      </c>
      <c r="G5" s="13">
        <f t="shared" si="0"/>
        <v>-44</v>
      </c>
      <c r="H5" s="13">
        <f t="shared" si="1"/>
        <v>20</v>
      </c>
      <c r="I5" s="68">
        <f t="shared" si="2"/>
        <v>1.2499999999999956E-2</v>
      </c>
      <c r="J5" s="68">
        <f t="shared" si="3"/>
        <v>-2.6442307692307709E-2</v>
      </c>
      <c r="K5" s="98" t="str">
        <f>_xlfn.IFNA(VLOOKUP(CLEAN(SUBSTITUTE(C5," ","")),Ref_Factory!$A:$B,2,FALSE),CLEAN(SUBSTITUTE(C5," ","")))</f>
        <v>ANUGERAH</v>
      </c>
      <c r="L5" s="98" t="str">
        <f t="shared" si="4"/>
        <v>DECEMBER-1-ANUGERAH</v>
      </c>
      <c r="M5" s="68">
        <f t="shared" si="5"/>
        <v>0.20652777777777787</v>
      </c>
      <c r="N5" s="68">
        <f t="shared" si="6"/>
        <v>-0.53865241580124412</v>
      </c>
      <c r="O5" s="13">
        <f t="shared" si="7"/>
        <v>108754</v>
      </c>
      <c r="P5" s="13">
        <f t="shared" si="8"/>
        <v>109935</v>
      </c>
      <c r="Q5" s="13">
        <f t="shared" si="9"/>
        <v>108803</v>
      </c>
      <c r="R5" s="33">
        <f t="shared" si="10"/>
        <v>4.5055814039018927E-4</v>
      </c>
      <c r="S5" s="33">
        <f t="shared" si="11"/>
        <v>-1.0296993678082456E-2</v>
      </c>
      <c r="T5" t="str">
        <f t="shared" si="12"/>
        <v>DECEMBER-ANUGERAH</v>
      </c>
      <c r="U5">
        <f t="shared" si="13"/>
        <v>26300</v>
      </c>
      <c r="V5">
        <f t="shared" si="14"/>
        <v>27320</v>
      </c>
      <c r="W5">
        <f t="shared" si="15"/>
        <v>26480</v>
      </c>
      <c r="X5" s="33">
        <f t="shared" si="16"/>
        <v>6.8441064638782301E-3</v>
      </c>
      <c r="Y5" s="33">
        <f t="shared" si="17"/>
        <v>-3.0746705710102518E-2</v>
      </c>
    </row>
    <row r="6" spans="1:25" x14ac:dyDescent="0.25">
      <c r="A6" t="s">
        <v>38</v>
      </c>
      <c r="B6">
        <v>1</v>
      </c>
      <c r="C6" t="s">
        <v>11</v>
      </c>
      <c r="D6" s="64">
        <v>800</v>
      </c>
      <c r="E6" s="64">
        <v>843</v>
      </c>
      <c r="F6" s="64">
        <v>832</v>
      </c>
      <c r="G6" s="13">
        <f t="shared" si="0"/>
        <v>-11</v>
      </c>
      <c r="H6" s="13">
        <f t="shared" si="1"/>
        <v>32</v>
      </c>
      <c r="I6" s="68">
        <f t="shared" si="2"/>
        <v>4.0000000000000036E-2</v>
      </c>
      <c r="J6" s="68">
        <f t="shared" si="3"/>
        <v>-1.3048635824436494E-2</v>
      </c>
      <c r="K6" s="98" t="str">
        <f>_xlfn.IFNA(VLOOKUP(CLEAN(SUBSTITUTE(C6," ","")),Ref_Factory!$A:$B,2,FALSE),CLEAN(SUBSTITUTE(C6," ","")))</f>
        <v>ANUGERAH</v>
      </c>
      <c r="L6" s="98" t="str">
        <f t="shared" si="4"/>
        <v>DECEMBER-1-ANUGERAH</v>
      </c>
      <c r="M6" s="68">
        <f t="shared" si="5"/>
        <v>0.20652777777777787</v>
      </c>
      <c r="N6" s="68">
        <f t="shared" si="6"/>
        <v>-0.53865241580124412</v>
      </c>
      <c r="O6" s="13">
        <f t="shared" si="7"/>
        <v>108754</v>
      </c>
      <c r="P6" s="13">
        <f t="shared" si="8"/>
        <v>109935</v>
      </c>
      <c r="Q6" s="13">
        <f t="shared" si="9"/>
        <v>108803</v>
      </c>
      <c r="R6" s="33">
        <f t="shared" si="10"/>
        <v>4.5055814039018927E-4</v>
      </c>
      <c r="S6" s="33">
        <f t="shared" si="11"/>
        <v>-1.0296993678082456E-2</v>
      </c>
      <c r="T6" t="str">
        <f t="shared" si="12"/>
        <v>DECEMBER-ANUGERAH</v>
      </c>
      <c r="U6">
        <f t="shared" si="13"/>
        <v>26300</v>
      </c>
      <c r="V6">
        <f t="shared" si="14"/>
        <v>27320</v>
      </c>
      <c r="W6">
        <f t="shared" si="15"/>
        <v>26480</v>
      </c>
      <c r="X6" s="33">
        <f t="shared" si="16"/>
        <v>6.8441064638782301E-3</v>
      </c>
      <c r="Y6" s="33">
        <f t="shared" si="17"/>
        <v>-3.0746705710102518E-2</v>
      </c>
    </row>
    <row r="7" spans="1:25" x14ac:dyDescent="0.25">
      <c r="A7" t="s">
        <v>38</v>
      </c>
      <c r="B7">
        <v>1</v>
      </c>
      <c r="C7" t="s">
        <v>11</v>
      </c>
      <c r="D7" s="64">
        <v>800</v>
      </c>
      <c r="E7" s="64">
        <v>832</v>
      </c>
      <c r="F7" s="64">
        <v>807</v>
      </c>
      <c r="G7" s="13">
        <f t="shared" si="0"/>
        <v>-25</v>
      </c>
      <c r="H7" s="13">
        <f t="shared" si="1"/>
        <v>7</v>
      </c>
      <c r="I7" s="68">
        <f t="shared" si="2"/>
        <v>8.7500000000000355E-3</v>
      </c>
      <c r="J7" s="68">
        <f t="shared" si="3"/>
        <v>-3.0048076923076872E-2</v>
      </c>
      <c r="K7" s="98" t="str">
        <f>_xlfn.IFNA(VLOOKUP(CLEAN(SUBSTITUTE(C7," ","")),Ref_Factory!$A:$B,2,FALSE),CLEAN(SUBSTITUTE(C7," ","")))</f>
        <v>ANUGERAH</v>
      </c>
      <c r="L7" s="98" t="str">
        <f t="shared" si="4"/>
        <v>DECEMBER-1-ANUGERAH</v>
      </c>
      <c r="M7" s="68">
        <f t="shared" si="5"/>
        <v>0.20652777777777787</v>
      </c>
      <c r="N7" s="68">
        <f t="shared" si="6"/>
        <v>-0.53865241580124412</v>
      </c>
      <c r="O7" s="13">
        <f t="shared" si="7"/>
        <v>108754</v>
      </c>
      <c r="P7" s="13">
        <f t="shared" si="8"/>
        <v>109935</v>
      </c>
      <c r="Q7" s="13">
        <f t="shared" si="9"/>
        <v>108803</v>
      </c>
      <c r="R7" s="33">
        <f t="shared" si="10"/>
        <v>4.5055814039018927E-4</v>
      </c>
      <c r="S7" s="33">
        <f t="shared" si="11"/>
        <v>-1.0296993678082456E-2</v>
      </c>
      <c r="T7" t="str">
        <f t="shared" si="12"/>
        <v>DECEMBER-ANUGERAH</v>
      </c>
      <c r="U7">
        <f t="shared" si="13"/>
        <v>26300</v>
      </c>
      <c r="V7">
        <f t="shared" si="14"/>
        <v>27320</v>
      </c>
      <c r="W7">
        <f t="shared" si="15"/>
        <v>26480</v>
      </c>
      <c r="X7" s="33">
        <f t="shared" si="16"/>
        <v>6.8441064638782301E-3</v>
      </c>
      <c r="Y7" s="33">
        <f t="shared" si="17"/>
        <v>-3.0746705710102518E-2</v>
      </c>
    </row>
    <row r="8" spans="1:25" x14ac:dyDescent="0.25">
      <c r="A8" t="s">
        <v>38</v>
      </c>
      <c r="B8">
        <v>1</v>
      </c>
      <c r="C8" t="s">
        <v>11</v>
      </c>
      <c r="D8" s="64">
        <v>800</v>
      </c>
      <c r="E8" s="64">
        <v>832</v>
      </c>
      <c r="F8" s="64">
        <v>814</v>
      </c>
      <c r="G8" s="13">
        <f t="shared" si="0"/>
        <v>-18</v>
      </c>
      <c r="H8" s="13">
        <f t="shared" si="1"/>
        <v>14</v>
      </c>
      <c r="I8" s="68">
        <f t="shared" si="2"/>
        <v>1.7500000000000071E-2</v>
      </c>
      <c r="J8" s="68">
        <f t="shared" si="3"/>
        <v>-2.1634615384615419E-2</v>
      </c>
      <c r="K8" s="98" t="str">
        <f>_xlfn.IFNA(VLOOKUP(CLEAN(SUBSTITUTE(C8," ","")),Ref_Factory!$A:$B,2,FALSE),CLEAN(SUBSTITUTE(C8," ","")))</f>
        <v>ANUGERAH</v>
      </c>
      <c r="L8" s="98" t="str">
        <f t="shared" si="4"/>
        <v>DECEMBER-1-ANUGERAH</v>
      </c>
      <c r="M8" s="68">
        <f t="shared" si="5"/>
        <v>0.20652777777777787</v>
      </c>
      <c r="N8" s="68">
        <f t="shared" si="6"/>
        <v>-0.53865241580124412</v>
      </c>
      <c r="O8" s="13">
        <f t="shared" si="7"/>
        <v>108754</v>
      </c>
      <c r="P8" s="13">
        <f t="shared" si="8"/>
        <v>109935</v>
      </c>
      <c r="Q8" s="13">
        <f t="shared" si="9"/>
        <v>108803</v>
      </c>
      <c r="R8" s="33">
        <f t="shared" si="10"/>
        <v>4.5055814039018927E-4</v>
      </c>
      <c r="S8" s="33">
        <f t="shared" si="11"/>
        <v>-1.0296993678082456E-2</v>
      </c>
      <c r="T8" t="str">
        <f t="shared" si="12"/>
        <v>DECEMBER-ANUGERAH</v>
      </c>
      <c r="U8">
        <f t="shared" si="13"/>
        <v>26300</v>
      </c>
      <c r="V8">
        <f t="shared" si="14"/>
        <v>27320</v>
      </c>
      <c r="W8">
        <f t="shared" si="15"/>
        <v>26480</v>
      </c>
      <c r="X8" s="33">
        <f t="shared" si="16"/>
        <v>6.8441064638782301E-3</v>
      </c>
      <c r="Y8" s="33">
        <f t="shared" si="17"/>
        <v>-3.0746705710102518E-2</v>
      </c>
    </row>
    <row r="9" spans="1:25" x14ac:dyDescent="0.25">
      <c r="A9" t="s">
        <v>38</v>
      </c>
      <c r="B9">
        <v>1</v>
      </c>
      <c r="C9" t="s">
        <v>11</v>
      </c>
      <c r="D9" s="64">
        <v>800</v>
      </c>
      <c r="E9" s="64">
        <v>843</v>
      </c>
      <c r="F9" s="64">
        <v>821</v>
      </c>
      <c r="G9" s="13">
        <f t="shared" si="0"/>
        <v>-22</v>
      </c>
      <c r="H9" s="13">
        <f t="shared" si="1"/>
        <v>21</v>
      </c>
      <c r="I9" s="68">
        <f t="shared" si="2"/>
        <v>2.6250000000000107E-2</v>
      </c>
      <c r="J9" s="68">
        <f t="shared" si="3"/>
        <v>-2.6097271648873099E-2</v>
      </c>
      <c r="K9" s="98" t="str">
        <f>_xlfn.IFNA(VLOOKUP(CLEAN(SUBSTITUTE(C9," ","")),Ref_Factory!$A:$B,2,FALSE),CLEAN(SUBSTITUTE(C9," ","")))</f>
        <v>ANUGERAH</v>
      </c>
      <c r="L9" s="98" t="str">
        <f t="shared" si="4"/>
        <v>DECEMBER-1-ANUGERAH</v>
      </c>
      <c r="M9" s="68">
        <f t="shared" si="5"/>
        <v>0.20652777777777787</v>
      </c>
      <c r="N9" s="68">
        <f t="shared" si="6"/>
        <v>-0.53865241580124412</v>
      </c>
      <c r="O9" s="13">
        <f t="shared" si="7"/>
        <v>108754</v>
      </c>
      <c r="P9" s="13">
        <f t="shared" si="8"/>
        <v>109935</v>
      </c>
      <c r="Q9" s="13">
        <f t="shared" si="9"/>
        <v>108803</v>
      </c>
      <c r="R9" s="33">
        <f t="shared" si="10"/>
        <v>4.5055814039018927E-4</v>
      </c>
      <c r="S9" s="33">
        <f t="shared" si="11"/>
        <v>-1.0296993678082456E-2</v>
      </c>
      <c r="T9" t="str">
        <f t="shared" si="12"/>
        <v>DECEMBER-ANUGERAH</v>
      </c>
      <c r="U9">
        <f t="shared" si="13"/>
        <v>26300</v>
      </c>
      <c r="V9">
        <f t="shared" si="14"/>
        <v>27320</v>
      </c>
      <c r="W9">
        <f t="shared" si="15"/>
        <v>26480</v>
      </c>
      <c r="X9" s="33">
        <f t="shared" si="16"/>
        <v>6.8441064638782301E-3</v>
      </c>
      <c r="Y9" s="33">
        <f t="shared" si="17"/>
        <v>-3.0746705710102518E-2</v>
      </c>
    </row>
    <row r="10" spans="1:25" x14ac:dyDescent="0.25">
      <c r="A10" t="s">
        <v>38</v>
      </c>
      <c r="B10">
        <v>1</v>
      </c>
      <c r="C10" t="s">
        <v>11</v>
      </c>
      <c r="D10" s="64">
        <v>1600</v>
      </c>
      <c r="E10" s="64">
        <v>1672</v>
      </c>
      <c r="F10" s="64">
        <v>1648</v>
      </c>
      <c r="G10" s="13">
        <f t="shared" si="0"/>
        <v>-24</v>
      </c>
      <c r="H10" s="13">
        <f t="shared" si="1"/>
        <v>48</v>
      </c>
      <c r="I10" s="68">
        <f t="shared" si="2"/>
        <v>3.0000000000000027E-2</v>
      </c>
      <c r="J10" s="68">
        <f t="shared" si="3"/>
        <v>-1.4354066985645897E-2</v>
      </c>
      <c r="K10" s="98" t="str">
        <f>_xlfn.IFNA(VLOOKUP(CLEAN(SUBSTITUTE(C10," ","")),Ref_Factory!$A:$B,2,FALSE),CLEAN(SUBSTITUTE(C10," ","")))</f>
        <v>ANUGERAH</v>
      </c>
      <c r="L10" s="98" t="str">
        <f t="shared" si="4"/>
        <v>DECEMBER-1-ANUGERAH</v>
      </c>
      <c r="M10" s="68">
        <f t="shared" si="5"/>
        <v>0.20652777777777787</v>
      </c>
      <c r="N10" s="68">
        <f t="shared" si="6"/>
        <v>-0.53865241580124412</v>
      </c>
      <c r="O10" s="13">
        <f t="shared" si="7"/>
        <v>108754</v>
      </c>
      <c r="P10" s="13">
        <f t="shared" si="8"/>
        <v>109935</v>
      </c>
      <c r="Q10" s="13">
        <f t="shared" si="9"/>
        <v>108803</v>
      </c>
      <c r="R10" s="33">
        <f t="shared" si="10"/>
        <v>4.5055814039018927E-4</v>
      </c>
      <c r="S10" s="33">
        <f t="shared" si="11"/>
        <v>-1.0296993678082456E-2</v>
      </c>
      <c r="T10" t="str">
        <f t="shared" si="12"/>
        <v>DECEMBER-ANUGERAH</v>
      </c>
      <c r="U10">
        <f t="shared" si="13"/>
        <v>26300</v>
      </c>
      <c r="V10">
        <f t="shared" si="14"/>
        <v>27320</v>
      </c>
      <c r="W10">
        <f t="shared" si="15"/>
        <v>26480</v>
      </c>
      <c r="X10" s="33">
        <f t="shared" si="16"/>
        <v>6.8441064638782301E-3</v>
      </c>
      <c r="Y10" s="33">
        <f t="shared" si="17"/>
        <v>-3.0746705710102518E-2</v>
      </c>
    </row>
    <row r="11" spans="1:25" x14ac:dyDescent="0.25">
      <c r="A11" t="s">
        <v>38</v>
      </c>
      <c r="B11">
        <v>1</v>
      </c>
      <c r="C11" t="s">
        <v>11</v>
      </c>
      <c r="D11" s="64">
        <v>900</v>
      </c>
      <c r="E11" s="64">
        <v>937</v>
      </c>
      <c r="F11" s="64">
        <v>899</v>
      </c>
      <c r="G11" s="13">
        <f t="shared" si="0"/>
        <v>-38</v>
      </c>
      <c r="H11" s="13">
        <f t="shared" si="1"/>
        <v>-1</v>
      </c>
      <c r="I11" s="68">
        <f t="shared" si="2"/>
        <v>-1.1111111111110628E-3</v>
      </c>
      <c r="J11" s="68">
        <f t="shared" si="3"/>
        <v>-4.0554962646744963E-2</v>
      </c>
      <c r="K11" s="98" t="str">
        <f>_xlfn.IFNA(VLOOKUP(CLEAN(SUBSTITUTE(C11," ","")),Ref_Factory!$A:$B,2,FALSE),CLEAN(SUBSTITUTE(C11," ","")))</f>
        <v>ANUGERAH</v>
      </c>
      <c r="L11" s="98" t="str">
        <f t="shared" si="4"/>
        <v>DECEMBER-1-ANUGERAH</v>
      </c>
      <c r="M11" s="68">
        <f t="shared" si="5"/>
        <v>0.20652777777777787</v>
      </c>
      <c r="N11" s="68">
        <f t="shared" si="6"/>
        <v>-0.53865241580124412</v>
      </c>
      <c r="O11" s="13">
        <f t="shared" si="7"/>
        <v>108754</v>
      </c>
      <c r="P11" s="13">
        <f t="shared" si="8"/>
        <v>109935</v>
      </c>
      <c r="Q11" s="13">
        <f t="shared" si="9"/>
        <v>108803</v>
      </c>
      <c r="R11" s="33">
        <f t="shared" si="10"/>
        <v>4.5055814039018927E-4</v>
      </c>
      <c r="S11" s="33">
        <f t="shared" si="11"/>
        <v>-1.0296993678082456E-2</v>
      </c>
      <c r="T11" t="str">
        <f t="shared" si="12"/>
        <v>DECEMBER-ANUGERAH</v>
      </c>
      <c r="U11">
        <f t="shared" si="13"/>
        <v>26300</v>
      </c>
      <c r="V11">
        <f t="shared" si="14"/>
        <v>27320</v>
      </c>
      <c r="W11">
        <f t="shared" si="15"/>
        <v>26480</v>
      </c>
      <c r="X11" s="33">
        <f t="shared" si="16"/>
        <v>6.8441064638782301E-3</v>
      </c>
      <c r="Y11" s="33">
        <f t="shared" si="17"/>
        <v>-3.0746705710102518E-2</v>
      </c>
    </row>
    <row r="12" spans="1:25" x14ac:dyDescent="0.25">
      <c r="A12" t="s">
        <v>38</v>
      </c>
      <c r="B12">
        <v>1</v>
      </c>
      <c r="C12" t="s">
        <v>11</v>
      </c>
      <c r="D12" s="64">
        <v>1800</v>
      </c>
      <c r="E12" s="64">
        <v>1872</v>
      </c>
      <c r="F12" s="64">
        <v>1846</v>
      </c>
      <c r="G12" s="13">
        <f t="shared" si="0"/>
        <v>-26</v>
      </c>
      <c r="H12" s="13">
        <f t="shared" si="1"/>
        <v>46</v>
      </c>
      <c r="I12" s="68">
        <f t="shared" si="2"/>
        <v>2.5555555555555554E-2</v>
      </c>
      <c r="J12" s="68">
        <f t="shared" si="3"/>
        <v>-1.388888888888884E-2</v>
      </c>
      <c r="K12" s="98" t="str">
        <f>_xlfn.IFNA(VLOOKUP(CLEAN(SUBSTITUTE(C12," ","")),Ref_Factory!$A:$B,2,FALSE),CLEAN(SUBSTITUTE(C12," ","")))</f>
        <v>ANUGERAH</v>
      </c>
      <c r="L12" s="98" t="str">
        <f t="shared" si="4"/>
        <v>DECEMBER-1-ANUGERAH</v>
      </c>
      <c r="M12" s="68">
        <f t="shared" si="5"/>
        <v>0.20652777777777787</v>
      </c>
      <c r="N12" s="68">
        <f t="shared" si="6"/>
        <v>-0.53865241580124412</v>
      </c>
      <c r="O12" s="13">
        <f t="shared" si="7"/>
        <v>108754</v>
      </c>
      <c r="P12" s="13">
        <f t="shared" si="8"/>
        <v>109935</v>
      </c>
      <c r="Q12" s="13">
        <f t="shared" si="9"/>
        <v>108803</v>
      </c>
      <c r="R12" s="33">
        <f t="shared" si="10"/>
        <v>4.5055814039018927E-4</v>
      </c>
      <c r="S12" s="33">
        <f t="shared" si="11"/>
        <v>-1.0296993678082456E-2</v>
      </c>
      <c r="T12" t="str">
        <f t="shared" si="12"/>
        <v>DECEMBER-ANUGERAH</v>
      </c>
      <c r="U12">
        <f t="shared" si="13"/>
        <v>26300</v>
      </c>
      <c r="V12">
        <f t="shared" si="14"/>
        <v>27320</v>
      </c>
      <c r="W12">
        <f t="shared" si="15"/>
        <v>26480</v>
      </c>
      <c r="X12" s="33">
        <f t="shared" si="16"/>
        <v>6.8441064638782301E-3</v>
      </c>
      <c r="Y12" s="33">
        <f t="shared" si="17"/>
        <v>-3.0746705710102518E-2</v>
      </c>
    </row>
    <row r="13" spans="1:25" x14ac:dyDescent="0.25">
      <c r="A13" t="s">
        <v>38</v>
      </c>
      <c r="B13">
        <v>1</v>
      </c>
      <c r="C13" t="s">
        <v>11</v>
      </c>
      <c r="D13" s="64">
        <v>800</v>
      </c>
      <c r="E13" s="64">
        <v>833</v>
      </c>
      <c r="F13" s="64">
        <v>828</v>
      </c>
      <c r="G13" s="13">
        <f t="shared" si="0"/>
        <v>-5</v>
      </c>
      <c r="H13" s="13">
        <f t="shared" si="1"/>
        <v>28</v>
      </c>
      <c r="I13" s="68">
        <f t="shared" si="2"/>
        <v>3.499999999999992E-2</v>
      </c>
      <c r="J13" s="68">
        <f t="shared" si="3"/>
        <v>-6.0024009603841799E-3</v>
      </c>
      <c r="K13" s="98" t="str">
        <f>_xlfn.IFNA(VLOOKUP(CLEAN(SUBSTITUTE(C13," ","")),Ref_Factory!$A:$B,2,FALSE),CLEAN(SUBSTITUTE(C13," ","")))</f>
        <v>ANUGERAH</v>
      </c>
      <c r="L13" s="98" t="str">
        <f t="shared" si="4"/>
        <v>DECEMBER-1-ANUGERAH</v>
      </c>
      <c r="M13" s="68">
        <f t="shared" si="5"/>
        <v>0.20652777777777787</v>
      </c>
      <c r="N13" s="68">
        <f t="shared" si="6"/>
        <v>-0.53865241580124412</v>
      </c>
      <c r="O13" s="13">
        <f t="shared" si="7"/>
        <v>108754</v>
      </c>
      <c r="P13" s="13">
        <f t="shared" si="8"/>
        <v>109935</v>
      </c>
      <c r="Q13" s="13">
        <f t="shared" si="9"/>
        <v>108803</v>
      </c>
      <c r="R13" s="33">
        <f t="shared" si="10"/>
        <v>4.5055814039018927E-4</v>
      </c>
      <c r="S13" s="33">
        <f t="shared" si="11"/>
        <v>-1.0296993678082456E-2</v>
      </c>
      <c r="T13" t="str">
        <f t="shared" si="12"/>
        <v>DECEMBER-ANUGERAH</v>
      </c>
      <c r="U13">
        <f t="shared" si="13"/>
        <v>26300</v>
      </c>
      <c r="V13">
        <f t="shared" si="14"/>
        <v>27320</v>
      </c>
      <c r="W13">
        <f t="shared" si="15"/>
        <v>26480</v>
      </c>
      <c r="X13" s="33">
        <f t="shared" si="16"/>
        <v>6.8441064638782301E-3</v>
      </c>
      <c r="Y13" s="33">
        <f t="shared" si="17"/>
        <v>-3.0746705710102518E-2</v>
      </c>
    </row>
    <row r="14" spans="1:25" x14ac:dyDescent="0.25">
      <c r="A14" t="s">
        <v>38</v>
      </c>
      <c r="B14">
        <v>1</v>
      </c>
      <c r="C14" t="s">
        <v>11</v>
      </c>
      <c r="D14" s="64">
        <v>1600</v>
      </c>
      <c r="E14" s="64">
        <v>1636</v>
      </c>
      <c r="F14" s="64">
        <v>1552</v>
      </c>
      <c r="G14" s="13">
        <f t="shared" si="0"/>
        <v>-84</v>
      </c>
      <c r="H14" s="13">
        <f t="shared" si="1"/>
        <v>-48</v>
      </c>
      <c r="I14" s="68">
        <f t="shared" si="2"/>
        <v>-3.0000000000000027E-2</v>
      </c>
      <c r="J14" s="68">
        <f t="shared" si="3"/>
        <v>-5.1344743276283578E-2</v>
      </c>
      <c r="K14" s="98" t="str">
        <f>_xlfn.IFNA(VLOOKUP(CLEAN(SUBSTITUTE(C14," ","")),Ref_Factory!$A:$B,2,FALSE),CLEAN(SUBSTITUTE(C14," ","")))</f>
        <v>ANUGERAH</v>
      </c>
      <c r="L14" s="98" t="str">
        <f t="shared" si="4"/>
        <v>DECEMBER-1-ANUGERAH</v>
      </c>
      <c r="M14" s="68">
        <f t="shared" si="5"/>
        <v>0.20652777777777787</v>
      </c>
      <c r="N14" s="68">
        <f t="shared" si="6"/>
        <v>-0.53865241580124412</v>
      </c>
      <c r="O14" s="13">
        <f t="shared" si="7"/>
        <v>108754</v>
      </c>
      <c r="P14" s="13">
        <f t="shared" si="8"/>
        <v>109935</v>
      </c>
      <c r="Q14" s="13">
        <f t="shared" si="9"/>
        <v>108803</v>
      </c>
      <c r="R14" s="33">
        <f t="shared" si="10"/>
        <v>4.5055814039018927E-4</v>
      </c>
      <c r="S14" s="33">
        <f t="shared" si="11"/>
        <v>-1.0296993678082456E-2</v>
      </c>
      <c r="T14" t="str">
        <f t="shared" si="12"/>
        <v>DECEMBER-ANUGERAH</v>
      </c>
      <c r="U14">
        <f t="shared" si="13"/>
        <v>26300</v>
      </c>
      <c r="V14">
        <f t="shared" si="14"/>
        <v>27320</v>
      </c>
      <c r="W14">
        <f t="shared" si="15"/>
        <v>26480</v>
      </c>
      <c r="X14" s="33">
        <f t="shared" si="16"/>
        <v>6.8441064638782301E-3</v>
      </c>
      <c r="Y14" s="33">
        <f t="shared" si="17"/>
        <v>-3.0746705710102518E-2</v>
      </c>
    </row>
    <row r="15" spans="1:25" x14ac:dyDescent="0.25">
      <c r="A15" t="s">
        <v>38</v>
      </c>
      <c r="B15">
        <v>1</v>
      </c>
      <c r="C15" t="s">
        <v>11</v>
      </c>
      <c r="D15" s="64">
        <v>1800</v>
      </c>
      <c r="E15" s="64">
        <v>1884</v>
      </c>
      <c r="F15" s="64">
        <v>1828</v>
      </c>
      <c r="G15" s="13">
        <f t="shared" si="0"/>
        <v>-56</v>
      </c>
      <c r="H15" s="13">
        <f t="shared" si="1"/>
        <v>28</v>
      </c>
      <c r="I15" s="68">
        <f t="shared" si="2"/>
        <v>1.5555555555555545E-2</v>
      </c>
      <c r="J15" s="68">
        <f t="shared" si="3"/>
        <v>-2.9723991507430991E-2</v>
      </c>
      <c r="K15" s="98" t="str">
        <f>_xlfn.IFNA(VLOOKUP(CLEAN(SUBSTITUTE(C15," ","")),Ref_Factory!$A:$B,2,FALSE),CLEAN(SUBSTITUTE(C15," ","")))</f>
        <v>ANUGERAH</v>
      </c>
      <c r="L15" s="98" t="str">
        <f t="shared" si="4"/>
        <v>DECEMBER-1-ANUGERAH</v>
      </c>
      <c r="M15" s="68">
        <f t="shared" si="5"/>
        <v>0.20652777777777787</v>
      </c>
      <c r="N15" s="68">
        <f t="shared" si="6"/>
        <v>-0.53865241580124412</v>
      </c>
      <c r="O15" s="13">
        <f t="shared" si="7"/>
        <v>108754</v>
      </c>
      <c r="P15" s="13">
        <f t="shared" si="8"/>
        <v>109935</v>
      </c>
      <c r="Q15" s="13">
        <f t="shared" si="9"/>
        <v>108803</v>
      </c>
      <c r="R15" s="33">
        <f t="shared" si="10"/>
        <v>4.5055814039018927E-4</v>
      </c>
      <c r="S15" s="33">
        <f t="shared" si="11"/>
        <v>-1.0296993678082456E-2</v>
      </c>
      <c r="T15" t="str">
        <f t="shared" si="12"/>
        <v>DECEMBER-ANUGERAH</v>
      </c>
      <c r="U15">
        <f t="shared" si="13"/>
        <v>26300</v>
      </c>
      <c r="V15">
        <f t="shared" si="14"/>
        <v>27320</v>
      </c>
      <c r="W15">
        <f t="shared" si="15"/>
        <v>26480</v>
      </c>
      <c r="X15" s="33">
        <f t="shared" si="16"/>
        <v>6.8441064638782301E-3</v>
      </c>
      <c r="Y15" s="33">
        <f t="shared" si="17"/>
        <v>-3.0746705710102518E-2</v>
      </c>
    </row>
    <row r="16" spans="1:25" x14ac:dyDescent="0.25">
      <c r="A16" t="s">
        <v>38</v>
      </c>
      <c r="B16">
        <v>1</v>
      </c>
      <c r="C16" t="s">
        <v>11</v>
      </c>
      <c r="D16" s="64">
        <v>1600</v>
      </c>
      <c r="E16" s="64">
        <v>1666</v>
      </c>
      <c r="F16" s="64">
        <v>1566</v>
      </c>
      <c r="G16" s="13">
        <f t="shared" si="0"/>
        <v>-100</v>
      </c>
      <c r="H16" s="13">
        <f t="shared" si="1"/>
        <v>-34</v>
      </c>
      <c r="I16" s="68">
        <f t="shared" si="2"/>
        <v>-2.1249999999999991E-2</v>
      </c>
      <c r="J16" s="68">
        <f t="shared" si="3"/>
        <v>-6.0024009603841577E-2</v>
      </c>
      <c r="K16" s="98" t="str">
        <f>_xlfn.IFNA(VLOOKUP(CLEAN(SUBSTITUTE(C16," ","")),Ref_Factory!$A:$B,2,FALSE),CLEAN(SUBSTITUTE(C16," ","")))</f>
        <v>ANUGERAH</v>
      </c>
      <c r="L16" s="98" t="str">
        <f t="shared" si="4"/>
        <v>DECEMBER-1-ANUGERAH</v>
      </c>
      <c r="M16" s="68">
        <f t="shared" si="5"/>
        <v>0.20652777777777787</v>
      </c>
      <c r="N16" s="68">
        <f t="shared" si="6"/>
        <v>-0.53865241580124412</v>
      </c>
      <c r="O16" s="13">
        <f t="shared" si="7"/>
        <v>108754</v>
      </c>
      <c r="P16" s="13">
        <f t="shared" si="8"/>
        <v>109935</v>
      </c>
      <c r="Q16" s="13">
        <f t="shared" si="9"/>
        <v>108803</v>
      </c>
      <c r="R16" s="33">
        <f t="shared" si="10"/>
        <v>4.5055814039018927E-4</v>
      </c>
      <c r="S16" s="33">
        <f t="shared" si="11"/>
        <v>-1.0296993678082456E-2</v>
      </c>
      <c r="T16" t="str">
        <f t="shared" si="12"/>
        <v>DECEMBER-ANUGERAH</v>
      </c>
      <c r="U16">
        <f t="shared" si="13"/>
        <v>26300</v>
      </c>
      <c r="V16">
        <f t="shared" si="14"/>
        <v>27320</v>
      </c>
      <c r="W16">
        <f t="shared" si="15"/>
        <v>26480</v>
      </c>
      <c r="X16" s="33">
        <f t="shared" si="16"/>
        <v>6.8441064638782301E-3</v>
      </c>
      <c r="Y16" s="33">
        <f t="shared" si="17"/>
        <v>-3.0746705710102518E-2</v>
      </c>
    </row>
    <row r="17" spans="1:25" x14ac:dyDescent="0.25">
      <c r="A17" t="s">
        <v>38</v>
      </c>
      <c r="B17">
        <v>1</v>
      </c>
      <c r="C17" t="s">
        <v>11</v>
      </c>
      <c r="D17" s="64">
        <v>1200</v>
      </c>
      <c r="E17" s="64">
        <v>1252</v>
      </c>
      <c r="F17" s="64">
        <v>1208</v>
      </c>
      <c r="G17" s="13">
        <f t="shared" si="0"/>
        <v>-44</v>
      </c>
      <c r="H17" s="13">
        <f t="shared" si="1"/>
        <v>8</v>
      </c>
      <c r="I17" s="68">
        <f t="shared" si="2"/>
        <v>6.6666666666665986E-3</v>
      </c>
      <c r="J17" s="68">
        <f t="shared" si="3"/>
        <v>-3.5143769968051131E-2</v>
      </c>
      <c r="K17" s="98" t="str">
        <f>_xlfn.IFNA(VLOOKUP(CLEAN(SUBSTITUTE(C17," ","")),Ref_Factory!$A:$B,2,FALSE),CLEAN(SUBSTITUTE(C17," ","")))</f>
        <v>ANUGERAH</v>
      </c>
      <c r="L17" s="98" t="str">
        <f t="shared" si="4"/>
        <v>DECEMBER-1-ANUGERAH</v>
      </c>
      <c r="M17" s="68">
        <f t="shared" si="5"/>
        <v>0.20652777777777787</v>
      </c>
      <c r="N17" s="68">
        <f t="shared" si="6"/>
        <v>-0.53865241580124412</v>
      </c>
      <c r="O17" s="13">
        <f t="shared" si="7"/>
        <v>108754</v>
      </c>
      <c r="P17" s="13">
        <f t="shared" si="8"/>
        <v>109935</v>
      </c>
      <c r="Q17" s="13">
        <f t="shared" si="9"/>
        <v>108803</v>
      </c>
      <c r="R17" s="33">
        <f t="shared" si="10"/>
        <v>4.5055814039018927E-4</v>
      </c>
      <c r="S17" s="33">
        <f t="shared" si="11"/>
        <v>-1.0296993678082456E-2</v>
      </c>
      <c r="T17" t="str">
        <f t="shared" si="12"/>
        <v>DECEMBER-ANUGERAH</v>
      </c>
      <c r="U17">
        <f t="shared" si="13"/>
        <v>26300</v>
      </c>
      <c r="V17">
        <f t="shared" si="14"/>
        <v>27320</v>
      </c>
      <c r="W17">
        <f t="shared" si="15"/>
        <v>26480</v>
      </c>
      <c r="X17" s="33">
        <f t="shared" si="16"/>
        <v>6.8441064638782301E-3</v>
      </c>
      <c r="Y17" s="33">
        <f t="shared" si="17"/>
        <v>-3.0746705710102518E-2</v>
      </c>
    </row>
    <row r="18" spans="1:25" x14ac:dyDescent="0.25">
      <c r="A18" t="s">
        <v>38</v>
      </c>
      <c r="B18">
        <v>1</v>
      </c>
      <c r="C18" t="s">
        <v>11</v>
      </c>
      <c r="D18" s="64">
        <v>1600</v>
      </c>
      <c r="E18" s="64">
        <v>1636</v>
      </c>
      <c r="F18" s="64">
        <v>1614</v>
      </c>
      <c r="G18" s="13">
        <f t="shared" si="0"/>
        <v>-22</v>
      </c>
      <c r="H18" s="13">
        <f t="shared" si="1"/>
        <v>14</v>
      </c>
      <c r="I18" s="68">
        <f t="shared" si="2"/>
        <v>8.7500000000000355E-3</v>
      </c>
      <c r="J18" s="68">
        <f t="shared" si="3"/>
        <v>-1.344743276283622E-2</v>
      </c>
      <c r="K18" s="98" t="str">
        <f>_xlfn.IFNA(VLOOKUP(CLEAN(SUBSTITUTE(C18," ","")),Ref_Factory!$A:$B,2,FALSE),CLEAN(SUBSTITUTE(C18," ","")))</f>
        <v>ANUGERAH</v>
      </c>
      <c r="L18" s="98" t="str">
        <f t="shared" si="4"/>
        <v>DECEMBER-1-ANUGERAH</v>
      </c>
      <c r="M18" s="68">
        <f t="shared" si="5"/>
        <v>0.20652777777777787</v>
      </c>
      <c r="N18" s="68">
        <f t="shared" si="6"/>
        <v>-0.53865241580124412</v>
      </c>
      <c r="O18" s="13">
        <f t="shared" si="7"/>
        <v>108754</v>
      </c>
      <c r="P18" s="13">
        <f t="shared" si="8"/>
        <v>109935</v>
      </c>
      <c r="Q18" s="13">
        <f t="shared" si="9"/>
        <v>108803</v>
      </c>
      <c r="R18" s="33">
        <f t="shared" si="10"/>
        <v>4.5055814039018927E-4</v>
      </c>
      <c r="S18" s="33">
        <f t="shared" si="11"/>
        <v>-1.0296993678082456E-2</v>
      </c>
      <c r="T18" t="str">
        <f t="shared" si="12"/>
        <v>DECEMBER-ANUGERAH</v>
      </c>
      <c r="U18">
        <f t="shared" si="13"/>
        <v>26300</v>
      </c>
      <c r="V18">
        <f t="shared" si="14"/>
        <v>27320</v>
      </c>
      <c r="W18">
        <f t="shared" si="15"/>
        <v>26480</v>
      </c>
      <c r="X18" s="33">
        <f t="shared" si="16"/>
        <v>6.8441064638782301E-3</v>
      </c>
      <c r="Y18" s="33">
        <f t="shared" si="17"/>
        <v>-3.0746705710102518E-2</v>
      </c>
    </row>
    <row r="19" spans="1:25" x14ac:dyDescent="0.25">
      <c r="A19" t="s">
        <v>38</v>
      </c>
      <c r="B19">
        <v>1</v>
      </c>
      <c r="C19" t="s">
        <v>11</v>
      </c>
      <c r="D19" s="64">
        <v>1600</v>
      </c>
      <c r="E19" s="64">
        <v>1636</v>
      </c>
      <c r="F19" s="64">
        <v>1614</v>
      </c>
      <c r="G19" s="13">
        <f t="shared" si="0"/>
        <v>-22</v>
      </c>
      <c r="H19" s="13">
        <f t="shared" si="1"/>
        <v>14</v>
      </c>
      <c r="I19" s="68">
        <f t="shared" si="2"/>
        <v>8.7500000000000355E-3</v>
      </c>
      <c r="J19" s="68">
        <f t="shared" si="3"/>
        <v>-1.344743276283622E-2</v>
      </c>
      <c r="K19" s="98" t="str">
        <f>_xlfn.IFNA(VLOOKUP(CLEAN(SUBSTITUTE(C19," ","")),Ref_Factory!$A:$B,2,FALSE),CLEAN(SUBSTITUTE(C19," ","")))</f>
        <v>ANUGERAH</v>
      </c>
      <c r="L19" s="98" t="str">
        <f t="shared" si="4"/>
        <v>DECEMBER-1-ANUGERAH</v>
      </c>
      <c r="M19" s="68">
        <f t="shared" si="5"/>
        <v>0.20652777777777787</v>
      </c>
      <c r="N19" s="68">
        <f t="shared" si="6"/>
        <v>-0.53865241580124412</v>
      </c>
      <c r="O19" s="13">
        <f t="shared" si="7"/>
        <v>108754</v>
      </c>
      <c r="P19" s="13">
        <f t="shared" si="8"/>
        <v>109935</v>
      </c>
      <c r="Q19" s="13">
        <f t="shared" si="9"/>
        <v>108803</v>
      </c>
      <c r="R19" s="33">
        <f t="shared" si="10"/>
        <v>4.5055814039018927E-4</v>
      </c>
      <c r="S19" s="33">
        <f t="shared" si="11"/>
        <v>-1.0296993678082456E-2</v>
      </c>
      <c r="T19" t="str">
        <f t="shared" si="12"/>
        <v>DECEMBER-ANUGERAH</v>
      </c>
      <c r="U19">
        <f t="shared" si="13"/>
        <v>26300</v>
      </c>
      <c r="V19">
        <f t="shared" si="14"/>
        <v>27320</v>
      </c>
      <c r="W19">
        <f t="shared" si="15"/>
        <v>26480</v>
      </c>
      <c r="X19" s="33">
        <f t="shared" si="16"/>
        <v>6.8441064638782301E-3</v>
      </c>
      <c r="Y19" s="33">
        <f t="shared" si="17"/>
        <v>-3.0746705710102518E-2</v>
      </c>
    </row>
    <row r="20" spans="1:25" x14ac:dyDescent="0.25">
      <c r="A20" t="s">
        <v>38</v>
      </c>
      <c r="B20">
        <v>1</v>
      </c>
      <c r="C20" t="s">
        <v>11</v>
      </c>
      <c r="D20" s="64">
        <v>2700</v>
      </c>
      <c r="E20" s="64">
        <v>2802</v>
      </c>
      <c r="F20" s="64">
        <v>2667</v>
      </c>
      <c r="G20" s="13">
        <f t="shared" si="0"/>
        <v>-135</v>
      </c>
      <c r="H20" s="13">
        <f t="shared" si="1"/>
        <v>-33</v>
      </c>
      <c r="I20" s="68">
        <f t="shared" si="2"/>
        <v>-1.2222222222222245E-2</v>
      </c>
      <c r="J20" s="68">
        <f t="shared" si="3"/>
        <v>-4.8179871520342643E-2</v>
      </c>
      <c r="K20" s="98" t="str">
        <f>_xlfn.IFNA(VLOOKUP(CLEAN(SUBSTITUTE(C20," ","")),Ref_Factory!$A:$B,2,FALSE),CLEAN(SUBSTITUTE(C20," ","")))</f>
        <v>ANUGERAH</v>
      </c>
      <c r="L20" s="98" t="str">
        <f t="shared" si="4"/>
        <v>DECEMBER-1-ANUGERAH</v>
      </c>
      <c r="M20" s="68">
        <f t="shared" si="5"/>
        <v>0.20652777777777787</v>
      </c>
      <c r="N20" s="68">
        <f t="shared" si="6"/>
        <v>-0.53865241580124412</v>
      </c>
      <c r="O20" s="13">
        <f t="shared" si="7"/>
        <v>108754</v>
      </c>
      <c r="P20" s="13">
        <f t="shared" si="8"/>
        <v>109935</v>
      </c>
      <c r="Q20" s="13">
        <f t="shared" si="9"/>
        <v>108803</v>
      </c>
      <c r="R20" s="33">
        <f t="shared" si="10"/>
        <v>4.5055814039018927E-4</v>
      </c>
      <c r="S20" s="33">
        <f t="shared" si="11"/>
        <v>-1.0296993678082456E-2</v>
      </c>
      <c r="T20" t="str">
        <f t="shared" si="12"/>
        <v>DECEMBER-ANUGERAH</v>
      </c>
      <c r="U20">
        <f t="shared" si="13"/>
        <v>26300</v>
      </c>
      <c r="V20">
        <f t="shared" si="14"/>
        <v>27320</v>
      </c>
      <c r="W20">
        <f t="shared" si="15"/>
        <v>26480</v>
      </c>
      <c r="X20" s="33">
        <f t="shared" si="16"/>
        <v>6.8441064638782301E-3</v>
      </c>
      <c r="Y20" s="33">
        <f t="shared" si="17"/>
        <v>-3.0746705710102518E-2</v>
      </c>
    </row>
    <row r="21" spans="1:25" x14ac:dyDescent="0.25">
      <c r="A21" t="s">
        <v>38</v>
      </c>
      <c r="B21">
        <v>1</v>
      </c>
      <c r="C21" t="s">
        <v>11</v>
      </c>
      <c r="D21" s="64">
        <v>2700</v>
      </c>
      <c r="E21" s="64">
        <v>2802</v>
      </c>
      <c r="F21" s="64">
        <v>2682</v>
      </c>
      <c r="G21" s="13">
        <f t="shared" si="0"/>
        <v>-120</v>
      </c>
      <c r="H21" s="13">
        <f t="shared" si="1"/>
        <v>-18</v>
      </c>
      <c r="I21" s="68">
        <f t="shared" si="2"/>
        <v>-6.6666666666667096E-3</v>
      </c>
      <c r="J21" s="68">
        <f t="shared" si="3"/>
        <v>-4.2826552462526757E-2</v>
      </c>
      <c r="K21" s="98" t="str">
        <f>_xlfn.IFNA(VLOOKUP(CLEAN(SUBSTITUTE(C21," ","")),Ref_Factory!$A:$B,2,FALSE),CLEAN(SUBSTITUTE(C21," ","")))</f>
        <v>ANUGERAH</v>
      </c>
      <c r="L21" s="98" t="str">
        <f t="shared" si="4"/>
        <v>DECEMBER-1-ANUGERAH</v>
      </c>
      <c r="M21" s="68">
        <f t="shared" si="5"/>
        <v>0.20652777777777787</v>
      </c>
      <c r="N21" s="68">
        <f t="shared" si="6"/>
        <v>-0.53865241580124412</v>
      </c>
      <c r="O21" s="13">
        <f t="shared" si="7"/>
        <v>108754</v>
      </c>
      <c r="P21" s="13">
        <f t="shared" si="8"/>
        <v>109935</v>
      </c>
      <c r="Q21" s="13">
        <f t="shared" si="9"/>
        <v>108803</v>
      </c>
      <c r="R21" s="33">
        <f t="shared" si="10"/>
        <v>4.5055814039018927E-4</v>
      </c>
      <c r="S21" s="33">
        <f t="shared" si="11"/>
        <v>-1.0296993678082456E-2</v>
      </c>
      <c r="T21" t="str">
        <f t="shared" si="12"/>
        <v>DECEMBER-ANUGERAH</v>
      </c>
      <c r="U21">
        <f t="shared" si="13"/>
        <v>26300</v>
      </c>
      <c r="V21">
        <f t="shared" si="14"/>
        <v>27320</v>
      </c>
      <c r="W21">
        <f t="shared" si="15"/>
        <v>26480</v>
      </c>
      <c r="X21" s="33">
        <f t="shared" si="16"/>
        <v>6.8441064638782301E-3</v>
      </c>
      <c r="Y21" s="33">
        <f t="shared" si="17"/>
        <v>-3.0746705710102518E-2</v>
      </c>
    </row>
    <row r="22" spans="1:25" x14ac:dyDescent="0.25">
      <c r="A22" t="s">
        <v>38</v>
      </c>
      <c r="B22">
        <v>1</v>
      </c>
      <c r="C22" t="s">
        <v>10</v>
      </c>
      <c r="D22" s="65">
        <v>2808</v>
      </c>
      <c r="E22" s="65">
        <v>2892</v>
      </c>
      <c r="F22" s="65">
        <v>2886</v>
      </c>
      <c r="G22" s="13">
        <f t="shared" si="0"/>
        <v>-6</v>
      </c>
      <c r="H22" s="13">
        <f t="shared" si="1"/>
        <v>78</v>
      </c>
      <c r="I22" s="68">
        <f t="shared" si="2"/>
        <v>2.7777777777777679E-2</v>
      </c>
      <c r="J22" s="68">
        <f t="shared" si="3"/>
        <v>-2.0746887966804906E-3</v>
      </c>
      <c r="K22" s="98" t="str">
        <f>_xlfn.IFNA(VLOOKUP(CLEAN(SUBSTITUTE(C22," ","")),Ref_Factory!$A:$B,2,FALSE),CLEAN(SUBSTITUTE(C22," ","")))</f>
        <v>KALIBENDA</v>
      </c>
      <c r="L22" s="98" t="str">
        <f t="shared" si="4"/>
        <v>DECEMBER-1-KALIBENDA</v>
      </c>
      <c r="M22" s="68">
        <f t="shared" si="5"/>
        <v>6.2430287430287223E-2</v>
      </c>
      <c r="N22" s="68">
        <f t="shared" si="6"/>
        <v>-8.1096291841388224E-3</v>
      </c>
      <c r="O22" s="13">
        <f t="shared" si="7"/>
        <v>108754</v>
      </c>
      <c r="P22" s="13">
        <f t="shared" si="8"/>
        <v>109935</v>
      </c>
      <c r="Q22" s="13">
        <f t="shared" si="9"/>
        <v>108803</v>
      </c>
      <c r="R22" s="33">
        <f t="shared" si="10"/>
        <v>4.5055814039018927E-4</v>
      </c>
      <c r="S22" s="33">
        <f t="shared" si="11"/>
        <v>-1.0296993678082456E-2</v>
      </c>
      <c r="T22" t="str">
        <f t="shared" si="12"/>
        <v>DECEMBER-KALIBENDA</v>
      </c>
      <c r="U22">
        <f t="shared" si="13"/>
        <v>64584</v>
      </c>
      <c r="V22">
        <f t="shared" si="14"/>
        <v>64740</v>
      </c>
      <c r="W22">
        <f t="shared" si="15"/>
        <v>64614</v>
      </c>
      <c r="X22" s="33">
        <f t="shared" si="16"/>
        <v>4.6451133407665601E-4</v>
      </c>
      <c r="Y22" s="33">
        <f t="shared" si="17"/>
        <v>-1.9462465245597693E-3</v>
      </c>
    </row>
    <row r="23" spans="1:25" x14ac:dyDescent="0.25">
      <c r="A23" t="s">
        <v>38</v>
      </c>
      <c r="B23">
        <v>1</v>
      </c>
      <c r="C23" t="s">
        <v>10</v>
      </c>
      <c r="D23" s="65">
        <v>1620</v>
      </c>
      <c r="E23" s="65">
        <v>1668</v>
      </c>
      <c r="F23" s="65">
        <v>1665</v>
      </c>
      <c r="G23" s="13">
        <f t="shared" si="0"/>
        <v>-3</v>
      </c>
      <c r="H23" s="13">
        <f t="shared" si="1"/>
        <v>45</v>
      </c>
      <c r="I23" s="68">
        <f t="shared" si="2"/>
        <v>2.7777777777777679E-2</v>
      </c>
      <c r="J23" s="68">
        <f t="shared" si="3"/>
        <v>-1.7985611510791255E-3</v>
      </c>
      <c r="K23" s="98" t="str">
        <f>_xlfn.IFNA(VLOOKUP(CLEAN(SUBSTITUTE(C23," ","")),Ref_Factory!$A:$B,2,FALSE),CLEAN(SUBSTITUTE(C23," ","")))</f>
        <v>KALIBENDA</v>
      </c>
      <c r="L23" s="98" t="str">
        <f t="shared" si="4"/>
        <v>DECEMBER-1-KALIBENDA</v>
      </c>
      <c r="M23" s="68">
        <f t="shared" si="5"/>
        <v>6.2430287430287223E-2</v>
      </c>
      <c r="N23" s="68">
        <f t="shared" si="6"/>
        <v>-8.1096291841388224E-3</v>
      </c>
      <c r="O23" s="13">
        <f t="shared" si="7"/>
        <v>108754</v>
      </c>
      <c r="P23" s="13">
        <f t="shared" si="8"/>
        <v>109935</v>
      </c>
      <c r="Q23" s="13">
        <f t="shared" si="9"/>
        <v>108803</v>
      </c>
      <c r="R23" s="33">
        <f t="shared" si="10"/>
        <v>4.5055814039018927E-4</v>
      </c>
      <c r="S23" s="33">
        <f t="shared" si="11"/>
        <v>-1.0296993678082456E-2</v>
      </c>
      <c r="T23" t="str">
        <f t="shared" si="12"/>
        <v>DECEMBER-KALIBENDA</v>
      </c>
      <c r="U23">
        <f t="shared" si="13"/>
        <v>64584</v>
      </c>
      <c r="V23">
        <f t="shared" si="14"/>
        <v>64740</v>
      </c>
      <c r="W23">
        <f t="shared" si="15"/>
        <v>64614</v>
      </c>
      <c r="X23" s="33">
        <f t="shared" si="16"/>
        <v>4.6451133407665601E-4</v>
      </c>
      <c r="Y23" s="33">
        <f t="shared" si="17"/>
        <v>-1.9462465245597693E-3</v>
      </c>
    </row>
    <row r="24" spans="1:25" x14ac:dyDescent="0.25">
      <c r="A24" t="s">
        <v>38</v>
      </c>
      <c r="B24">
        <v>1</v>
      </c>
      <c r="C24" t="s">
        <v>10</v>
      </c>
      <c r="D24" s="65">
        <v>2160</v>
      </c>
      <c r="E24" s="65">
        <v>2184</v>
      </c>
      <c r="F24" s="65">
        <v>2184</v>
      </c>
      <c r="G24" s="13">
        <f t="shared" si="0"/>
        <v>0</v>
      </c>
      <c r="H24" s="13">
        <f t="shared" si="1"/>
        <v>24</v>
      </c>
      <c r="I24" s="68">
        <f t="shared" si="2"/>
        <v>1.1111111111111072E-2</v>
      </c>
      <c r="J24" s="68">
        <f t="shared" si="3"/>
        <v>0</v>
      </c>
      <c r="K24" s="98" t="str">
        <f>_xlfn.IFNA(VLOOKUP(CLEAN(SUBSTITUTE(C24," ","")),Ref_Factory!$A:$B,2,FALSE),CLEAN(SUBSTITUTE(C24," ","")))</f>
        <v>KALIBENDA</v>
      </c>
      <c r="L24" s="98" t="str">
        <f t="shared" si="4"/>
        <v>DECEMBER-1-KALIBENDA</v>
      </c>
      <c r="M24" s="68">
        <f t="shared" si="5"/>
        <v>6.2430287430287223E-2</v>
      </c>
      <c r="N24" s="68">
        <f t="shared" si="6"/>
        <v>-8.1096291841388224E-3</v>
      </c>
      <c r="O24" s="13">
        <f t="shared" si="7"/>
        <v>108754</v>
      </c>
      <c r="P24" s="13">
        <f t="shared" si="8"/>
        <v>109935</v>
      </c>
      <c r="Q24" s="13">
        <f t="shared" si="9"/>
        <v>108803</v>
      </c>
      <c r="R24" s="33">
        <f t="shared" si="10"/>
        <v>4.5055814039018927E-4</v>
      </c>
      <c r="S24" s="33">
        <f t="shared" si="11"/>
        <v>-1.0296993678082456E-2</v>
      </c>
      <c r="T24" t="str">
        <f t="shared" si="12"/>
        <v>DECEMBER-KALIBENDA</v>
      </c>
      <c r="U24">
        <f t="shared" si="13"/>
        <v>64584</v>
      </c>
      <c r="V24">
        <f t="shared" si="14"/>
        <v>64740</v>
      </c>
      <c r="W24">
        <f t="shared" si="15"/>
        <v>64614</v>
      </c>
      <c r="X24" s="33">
        <f t="shared" si="16"/>
        <v>4.6451133407665601E-4</v>
      </c>
      <c r="Y24" s="33">
        <f t="shared" si="17"/>
        <v>-1.9462465245597693E-3</v>
      </c>
    </row>
    <row r="25" spans="1:25" x14ac:dyDescent="0.25">
      <c r="A25" t="s">
        <v>38</v>
      </c>
      <c r="B25">
        <v>1</v>
      </c>
      <c r="C25" t="s">
        <v>10</v>
      </c>
      <c r="D25" s="65">
        <v>1728</v>
      </c>
      <c r="E25" s="65">
        <v>1728</v>
      </c>
      <c r="F25" s="65">
        <v>1728</v>
      </c>
      <c r="G25" s="13">
        <f t="shared" si="0"/>
        <v>0</v>
      </c>
      <c r="H25" s="13">
        <f t="shared" si="1"/>
        <v>0</v>
      </c>
      <c r="I25" s="68">
        <f t="shared" si="2"/>
        <v>0</v>
      </c>
      <c r="J25" s="68">
        <f t="shared" si="3"/>
        <v>0</v>
      </c>
      <c r="K25" s="98" t="str">
        <f>_xlfn.IFNA(VLOOKUP(CLEAN(SUBSTITUTE(C25," ","")),Ref_Factory!$A:$B,2,FALSE),CLEAN(SUBSTITUTE(C25," ","")))</f>
        <v>KALIBENDA</v>
      </c>
      <c r="L25" s="98" t="str">
        <f t="shared" si="4"/>
        <v>DECEMBER-1-KALIBENDA</v>
      </c>
      <c r="M25" s="68">
        <f t="shared" si="5"/>
        <v>6.2430287430287223E-2</v>
      </c>
      <c r="N25" s="68">
        <f t="shared" si="6"/>
        <v>-8.1096291841388224E-3</v>
      </c>
      <c r="O25" s="13">
        <f t="shared" si="7"/>
        <v>108754</v>
      </c>
      <c r="P25" s="13">
        <f t="shared" si="8"/>
        <v>109935</v>
      </c>
      <c r="Q25" s="13">
        <f t="shared" si="9"/>
        <v>108803</v>
      </c>
      <c r="R25" s="33">
        <f t="shared" si="10"/>
        <v>4.5055814039018927E-4</v>
      </c>
      <c r="S25" s="33">
        <f t="shared" si="11"/>
        <v>-1.0296993678082456E-2</v>
      </c>
      <c r="T25" t="str">
        <f t="shared" si="12"/>
        <v>DECEMBER-KALIBENDA</v>
      </c>
      <c r="U25">
        <f t="shared" si="13"/>
        <v>64584</v>
      </c>
      <c r="V25">
        <f t="shared" si="14"/>
        <v>64740</v>
      </c>
      <c r="W25">
        <f t="shared" si="15"/>
        <v>64614</v>
      </c>
      <c r="X25" s="33">
        <f t="shared" si="16"/>
        <v>4.6451133407665601E-4</v>
      </c>
      <c r="Y25" s="33">
        <f t="shared" si="17"/>
        <v>-1.9462465245597693E-3</v>
      </c>
    </row>
    <row r="26" spans="1:25" x14ac:dyDescent="0.25">
      <c r="A26" t="s">
        <v>38</v>
      </c>
      <c r="B26">
        <v>1</v>
      </c>
      <c r="C26" t="s">
        <v>10</v>
      </c>
      <c r="D26" s="65">
        <v>36288</v>
      </c>
      <c r="E26" s="65">
        <v>36288</v>
      </c>
      <c r="F26" s="65">
        <v>36216</v>
      </c>
      <c r="G26" s="13">
        <f t="shared" si="0"/>
        <v>-72</v>
      </c>
      <c r="H26" s="13">
        <f t="shared" si="1"/>
        <v>-72</v>
      </c>
      <c r="I26" s="68">
        <f t="shared" si="2"/>
        <v>-1.9841269841269771E-3</v>
      </c>
      <c r="J26" s="68">
        <f t="shared" si="3"/>
        <v>-1.9841269841269771E-3</v>
      </c>
      <c r="K26" s="98" t="str">
        <f>_xlfn.IFNA(VLOOKUP(CLEAN(SUBSTITUTE(C26," ","")),Ref_Factory!$A:$B,2,FALSE),CLEAN(SUBSTITUTE(C26," ","")))</f>
        <v>KALIBENDA</v>
      </c>
      <c r="L26" s="98" t="str">
        <f t="shared" si="4"/>
        <v>DECEMBER-1-KALIBENDA</v>
      </c>
      <c r="M26" s="68">
        <f t="shared" si="5"/>
        <v>6.2430287430287223E-2</v>
      </c>
      <c r="N26" s="68">
        <f t="shared" si="6"/>
        <v>-8.1096291841388224E-3</v>
      </c>
      <c r="O26" s="13">
        <f t="shared" si="7"/>
        <v>108754</v>
      </c>
      <c r="P26" s="13">
        <f t="shared" si="8"/>
        <v>109935</v>
      </c>
      <c r="Q26" s="13">
        <f t="shared" si="9"/>
        <v>108803</v>
      </c>
      <c r="R26" s="33">
        <f t="shared" si="10"/>
        <v>4.5055814039018927E-4</v>
      </c>
      <c r="S26" s="33">
        <f t="shared" si="11"/>
        <v>-1.0296993678082456E-2</v>
      </c>
      <c r="T26" t="str">
        <f t="shared" si="12"/>
        <v>DECEMBER-KALIBENDA</v>
      </c>
      <c r="U26">
        <f t="shared" si="13"/>
        <v>64584</v>
      </c>
      <c r="V26">
        <f t="shared" si="14"/>
        <v>64740</v>
      </c>
      <c r="W26">
        <f t="shared" si="15"/>
        <v>64614</v>
      </c>
      <c r="X26" s="33">
        <f t="shared" si="16"/>
        <v>4.6451133407665601E-4</v>
      </c>
      <c r="Y26" s="33">
        <f t="shared" si="17"/>
        <v>-1.9462465245597693E-3</v>
      </c>
    </row>
    <row r="27" spans="1:25" x14ac:dyDescent="0.25">
      <c r="A27" t="s">
        <v>38</v>
      </c>
      <c r="B27">
        <v>1</v>
      </c>
      <c r="C27" t="s">
        <v>10</v>
      </c>
      <c r="D27" s="65">
        <v>19980</v>
      </c>
      <c r="E27" s="65">
        <v>19980</v>
      </c>
      <c r="F27" s="65">
        <v>19935</v>
      </c>
      <c r="G27" s="13">
        <f t="shared" si="0"/>
        <v>-45</v>
      </c>
      <c r="H27" s="13">
        <f t="shared" si="1"/>
        <v>-45</v>
      </c>
      <c r="I27" s="68">
        <f t="shared" si="2"/>
        <v>-2.2522522522522292E-3</v>
      </c>
      <c r="J27" s="68">
        <f t="shared" si="3"/>
        <v>-2.2522522522522292E-3</v>
      </c>
      <c r="K27" s="98" t="str">
        <f>_xlfn.IFNA(VLOOKUP(CLEAN(SUBSTITUTE(C27," ","")),Ref_Factory!$A:$B,2,FALSE),CLEAN(SUBSTITUTE(C27," ","")))</f>
        <v>KALIBENDA</v>
      </c>
      <c r="L27" s="98" t="str">
        <f t="shared" si="4"/>
        <v>DECEMBER-1-KALIBENDA</v>
      </c>
      <c r="M27" s="68">
        <f t="shared" si="5"/>
        <v>6.2430287430287223E-2</v>
      </c>
      <c r="N27" s="68">
        <f t="shared" si="6"/>
        <v>-8.1096291841388224E-3</v>
      </c>
      <c r="O27" s="13">
        <f t="shared" si="7"/>
        <v>108754</v>
      </c>
      <c r="P27" s="13">
        <f t="shared" si="8"/>
        <v>109935</v>
      </c>
      <c r="Q27" s="13">
        <f t="shared" si="9"/>
        <v>108803</v>
      </c>
      <c r="R27" s="33">
        <f t="shared" si="10"/>
        <v>4.5055814039018927E-4</v>
      </c>
      <c r="S27" s="33">
        <f t="shared" si="11"/>
        <v>-1.0296993678082456E-2</v>
      </c>
      <c r="T27" t="str">
        <f t="shared" si="12"/>
        <v>DECEMBER-KALIBENDA</v>
      </c>
      <c r="U27">
        <f t="shared" si="13"/>
        <v>64584</v>
      </c>
      <c r="V27">
        <f t="shared" si="14"/>
        <v>64740</v>
      </c>
      <c r="W27">
        <f t="shared" si="15"/>
        <v>64614</v>
      </c>
      <c r="X27" s="33">
        <f t="shared" si="16"/>
        <v>4.6451133407665601E-4</v>
      </c>
      <c r="Y27" s="33">
        <f t="shared" si="17"/>
        <v>-1.9462465245597693E-3</v>
      </c>
    </row>
    <row r="28" spans="1:25" x14ac:dyDescent="0.25">
      <c r="A28" t="s">
        <v>38</v>
      </c>
      <c r="B28">
        <v>1</v>
      </c>
      <c r="C28" t="s">
        <v>59</v>
      </c>
      <c r="D28">
        <v>1020</v>
      </c>
      <c r="E28">
        <v>1020</v>
      </c>
      <c r="F28">
        <v>1020</v>
      </c>
      <c r="G28" s="13">
        <f t="shared" si="0"/>
        <v>0</v>
      </c>
      <c r="H28" s="13">
        <f t="shared" si="1"/>
        <v>0</v>
      </c>
      <c r="I28" s="68">
        <f t="shared" si="2"/>
        <v>0</v>
      </c>
      <c r="J28" s="68">
        <f t="shared" si="3"/>
        <v>0</v>
      </c>
      <c r="K28" s="98" t="str">
        <f>_xlfn.IFNA(VLOOKUP(CLEAN(SUBSTITUTE(C28," ","")),Ref_Factory!$A:$B,2,FALSE),CLEAN(SUBSTITUTE(C28," ","")))</f>
        <v>GM1</v>
      </c>
      <c r="L28" s="98" t="str">
        <f t="shared" si="4"/>
        <v>DECEMBER-1-GM1</v>
      </c>
      <c r="M28" s="68">
        <f t="shared" si="5"/>
        <v>-0.10177114688252409</v>
      </c>
      <c r="N28" s="68">
        <f t="shared" si="6"/>
        <v>-0.10518325732141132</v>
      </c>
      <c r="O28" s="13">
        <f t="shared" si="7"/>
        <v>108754</v>
      </c>
      <c r="P28" s="13">
        <f t="shared" si="8"/>
        <v>109935</v>
      </c>
      <c r="Q28" s="13">
        <f t="shared" si="9"/>
        <v>108803</v>
      </c>
      <c r="R28" s="33">
        <f t="shared" si="10"/>
        <v>4.5055814039018927E-4</v>
      </c>
      <c r="S28" s="33">
        <f t="shared" si="11"/>
        <v>-1.0296993678082456E-2</v>
      </c>
      <c r="T28" t="str">
        <f t="shared" si="12"/>
        <v>DECEMBER-GM1</v>
      </c>
      <c r="U28">
        <f t="shared" si="13"/>
        <v>17870</v>
      </c>
      <c r="V28">
        <f t="shared" si="14"/>
        <v>17875</v>
      </c>
      <c r="W28">
        <f t="shared" si="15"/>
        <v>17709</v>
      </c>
      <c r="X28" s="33">
        <f t="shared" si="16"/>
        <v>-9.0095131505316672E-3</v>
      </c>
      <c r="Y28" s="33">
        <f t="shared" si="17"/>
        <v>-9.2867132867132662E-3</v>
      </c>
    </row>
    <row r="29" spans="1:25" x14ac:dyDescent="0.25">
      <c r="A29" t="s">
        <v>38</v>
      </c>
      <c r="B29">
        <v>1</v>
      </c>
      <c r="C29" t="s">
        <v>59</v>
      </c>
      <c r="D29">
        <v>160</v>
      </c>
      <c r="E29">
        <v>160</v>
      </c>
      <c r="F29">
        <v>160</v>
      </c>
      <c r="G29" s="13">
        <f t="shared" si="0"/>
        <v>0</v>
      </c>
      <c r="H29" s="13">
        <f t="shared" si="1"/>
        <v>0</v>
      </c>
      <c r="I29" s="68">
        <f t="shared" si="2"/>
        <v>0</v>
      </c>
      <c r="J29" s="68">
        <f t="shared" si="3"/>
        <v>0</v>
      </c>
      <c r="K29" s="98" t="str">
        <f>_xlfn.IFNA(VLOOKUP(CLEAN(SUBSTITUTE(C29," ","")),Ref_Factory!$A:$B,2,FALSE),CLEAN(SUBSTITUTE(C29," ","")))</f>
        <v>GM1</v>
      </c>
      <c r="L29" s="98" t="str">
        <f t="shared" si="4"/>
        <v>DECEMBER-1-GM1</v>
      </c>
      <c r="M29" s="68">
        <f t="shared" si="5"/>
        <v>-0.10177114688252409</v>
      </c>
      <c r="N29" s="68">
        <f t="shared" si="6"/>
        <v>-0.10518325732141132</v>
      </c>
      <c r="O29" s="13">
        <f t="shared" si="7"/>
        <v>108754</v>
      </c>
      <c r="P29" s="13">
        <f t="shared" si="8"/>
        <v>109935</v>
      </c>
      <c r="Q29" s="13">
        <f t="shared" si="9"/>
        <v>108803</v>
      </c>
      <c r="R29" s="33">
        <f t="shared" si="10"/>
        <v>4.5055814039018927E-4</v>
      </c>
      <c r="S29" s="33">
        <f t="shared" si="11"/>
        <v>-1.0296993678082456E-2</v>
      </c>
      <c r="T29" t="str">
        <f t="shared" si="12"/>
        <v>DECEMBER-GM1</v>
      </c>
      <c r="U29">
        <f t="shared" si="13"/>
        <v>17870</v>
      </c>
      <c r="V29">
        <f t="shared" si="14"/>
        <v>17875</v>
      </c>
      <c r="W29">
        <f t="shared" si="15"/>
        <v>17709</v>
      </c>
      <c r="X29" s="33">
        <f t="shared" si="16"/>
        <v>-9.0095131505316672E-3</v>
      </c>
      <c r="Y29" s="33">
        <f t="shared" si="17"/>
        <v>-9.2867132867132662E-3</v>
      </c>
    </row>
    <row r="30" spans="1:25" x14ac:dyDescent="0.25">
      <c r="A30" t="s">
        <v>38</v>
      </c>
      <c r="B30">
        <v>1</v>
      </c>
      <c r="C30" t="s">
        <v>59</v>
      </c>
      <c r="D30">
        <v>20</v>
      </c>
      <c r="E30">
        <v>20</v>
      </c>
      <c r="F30">
        <v>20</v>
      </c>
      <c r="G30" s="13">
        <f t="shared" si="0"/>
        <v>0</v>
      </c>
      <c r="H30" s="13">
        <f t="shared" si="1"/>
        <v>0</v>
      </c>
      <c r="I30" s="68">
        <f t="shared" si="2"/>
        <v>0</v>
      </c>
      <c r="J30" s="68">
        <f t="shared" si="3"/>
        <v>0</v>
      </c>
      <c r="K30" s="98" t="str">
        <f>_xlfn.IFNA(VLOOKUP(CLEAN(SUBSTITUTE(C30," ","")),Ref_Factory!$A:$B,2,FALSE),CLEAN(SUBSTITUTE(C30," ","")))</f>
        <v>GM1</v>
      </c>
      <c r="L30" s="98" t="str">
        <f t="shared" si="4"/>
        <v>DECEMBER-1-GM1</v>
      </c>
      <c r="M30" s="68">
        <f t="shared" si="5"/>
        <v>-0.10177114688252409</v>
      </c>
      <c r="N30" s="68">
        <f t="shared" si="6"/>
        <v>-0.10518325732141132</v>
      </c>
      <c r="O30" s="13">
        <f t="shared" si="7"/>
        <v>108754</v>
      </c>
      <c r="P30" s="13">
        <f t="shared" si="8"/>
        <v>109935</v>
      </c>
      <c r="Q30" s="13">
        <f t="shared" si="9"/>
        <v>108803</v>
      </c>
      <c r="R30" s="33">
        <f t="shared" si="10"/>
        <v>4.5055814039018927E-4</v>
      </c>
      <c r="S30" s="33">
        <f t="shared" si="11"/>
        <v>-1.0296993678082456E-2</v>
      </c>
      <c r="T30" t="str">
        <f t="shared" si="12"/>
        <v>DECEMBER-GM1</v>
      </c>
      <c r="U30">
        <f t="shared" si="13"/>
        <v>17870</v>
      </c>
      <c r="V30">
        <f t="shared" si="14"/>
        <v>17875</v>
      </c>
      <c r="W30">
        <f t="shared" si="15"/>
        <v>17709</v>
      </c>
      <c r="X30" s="33">
        <f t="shared" si="16"/>
        <v>-9.0095131505316672E-3</v>
      </c>
      <c r="Y30" s="33">
        <f t="shared" si="17"/>
        <v>-9.2867132867132662E-3</v>
      </c>
    </row>
    <row r="31" spans="1:25" x14ac:dyDescent="0.25">
      <c r="A31" t="s">
        <v>38</v>
      </c>
      <c r="B31">
        <v>1</v>
      </c>
      <c r="C31" t="s">
        <v>59</v>
      </c>
      <c r="D31">
        <v>3000</v>
      </c>
      <c r="E31">
        <v>3000</v>
      </c>
      <c r="F31">
        <v>3000</v>
      </c>
      <c r="G31" s="13">
        <f t="shared" si="0"/>
        <v>0</v>
      </c>
      <c r="H31" s="13">
        <f t="shared" si="1"/>
        <v>0</v>
      </c>
      <c r="I31" s="68">
        <f t="shared" si="2"/>
        <v>0</v>
      </c>
      <c r="J31" s="68">
        <f t="shared" si="3"/>
        <v>0</v>
      </c>
      <c r="K31" s="98" t="str">
        <f>_xlfn.IFNA(VLOOKUP(CLEAN(SUBSTITUTE(C31," ","")),Ref_Factory!$A:$B,2,FALSE),CLEAN(SUBSTITUTE(C31," ","")))</f>
        <v>GM1</v>
      </c>
      <c r="L31" s="98" t="str">
        <f t="shared" si="4"/>
        <v>DECEMBER-1-GM1</v>
      </c>
      <c r="M31" s="68">
        <f t="shared" si="5"/>
        <v>-0.10177114688252409</v>
      </c>
      <c r="N31" s="68">
        <f t="shared" si="6"/>
        <v>-0.10518325732141132</v>
      </c>
      <c r="O31" s="13">
        <f t="shared" si="7"/>
        <v>108754</v>
      </c>
      <c r="P31" s="13">
        <f t="shared" si="8"/>
        <v>109935</v>
      </c>
      <c r="Q31" s="13">
        <f t="shared" si="9"/>
        <v>108803</v>
      </c>
      <c r="R31" s="33">
        <f t="shared" si="10"/>
        <v>4.5055814039018927E-4</v>
      </c>
      <c r="S31" s="33">
        <f t="shared" si="11"/>
        <v>-1.0296993678082456E-2</v>
      </c>
      <c r="T31" t="str">
        <f t="shared" si="12"/>
        <v>DECEMBER-GM1</v>
      </c>
      <c r="U31">
        <f t="shared" si="13"/>
        <v>17870</v>
      </c>
      <c r="V31">
        <f t="shared" si="14"/>
        <v>17875</v>
      </c>
      <c r="W31">
        <f t="shared" si="15"/>
        <v>17709</v>
      </c>
      <c r="X31" s="33">
        <f t="shared" si="16"/>
        <v>-9.0095131505316672E-3</v>
      </c>
      <c r="Y31" s="33">
        <f t="shared" si="17"/>
        <v>-9.2867132867132662E-3</v>
      </c>
    </row>
    <row r="32" spans="1:25" x14ac:dyDescent="0.25">
      <c r="A32" t="s">
        <v>38</v>
      </c>
      <c r="B32">
        <v>1</v>
      </c>
      <c r="C32" t="s">
        <v>59</v>
      </c>
      <c r="D32">
        <v>2460</v>
      </c>
      <c r="E32">
        <v>2460</v>
      </c>
      <c r="F32">
        <v>2448</v>
      </c>
      <c r="G32" s="13">
        <f t="shared" si="0"/>
        <v>-12</v>
      </c>
      <c r="H32" s="13">
        <f t="shared" si="1"/>
        <v>-12</v>
      </c>
      <c r="I32" s="68">
        <f t="shared" si="2"/>
        <v>-4.8780487804878092E-3</v>
      </c>
      <c r="J32" s="68">
        <f t="shared" si="3"/>
        <v>-4.8780487804878092E-3</v>
      </c>
      <c r="K32" s="98" t="str">
        <f>_xlfn.IFNA(VLOOKUP(CLEAN(SUBSTITUTE(C32," ","")),Ref_Factory!$A:$B,2,FALSE),CLEAN(SUBSTITUTE(C32," ","")))</f>
        <v>GM1</v>
      </c>
      <c r="L32" s="98" t="str">
        <f t="shared" si="4"/>
        <v>DECEMBER-1-GM1</v>
      </c>
      <c r="M32" s="68">
        <f t="shared" si="5"/>
        <v>-0.10177114688252409</v>
      </c>
      <c r="N32" s="68">
        <f t="shared" si="6"/>
        <v>-0.10518325732141132</v>
      </c>
      <c r="O32" s="13">
        <f t="shared" si="7"/>
        <v>108754</v>
      </c>
      <c r="P32" s="13">
        <f t="shared" si="8"/>
        <v>109935</v>
      </c>
      <c r="Q32" s="13">
        <f t="shared" si="9"/>
        <v>108803</v>
      </c>
      <c r="R32" s="33">
        <f t="shared" si="10"/>
        <v>4.5055814039018927E-4</v>
      </c>
      <c r="S32" s="33">
        <f t="shared" si="11"/>
        <v>-1.0296993678082456E-2</v>
      </c>
      <c r="T32" t="str">
        <f t="shared" si="12"/>
        <v>DECEMBER-GM1</v>
      </c>
      <c r="U32">
        <f t="shared" si="13"/>
        <v>17870</v>
      </c>
      <c r="V32">
        <f t="shared" si="14"/>
        <v>17875</v>
      </c>
      <c r="W32">
        <f t="shared" si="15"/>
        <v>17709</v>
      </c>
      <c r="X32" s="33">
        <f t="shared" si="16"/>
        <v>-9.0095131505316672E-3</v>
      </c>
      <c r="Y32" s="33">
        <f t="shared" si="17"/>
        <v>-9.2867132867132662E-3</v>
      </c>
    </row>
    <row r="33" spans="1:25" x14ac:dyDescent="0.25">
      <c r="A33" t="s">
        <v>38</v>
      </c>
      <c r="B33">
        <v>1</v>
      </c>
      <c r="C33" t="s">
        <v>59</v>
      </c>
      <c r="D33">
        <v>1910</v>
      </c>
      <c r="E33">
        <v>1911</v>
      </c>
      <c r="F33">
        <v>1887</v>
      </c>
      <c r="G33" s="13">
        <f t="shared" si="0"/>
        <v>-24</v>
      </c>
      <c r="H33" s="13">
        <f t="shared" si="1"/>
        <v>-23</v>
      </c>
      <c r="I33" s="68">
        <f t="shared" si="2"/>
        <v>-1.2041884816753945E-2</v>
      </c>
      <c r="J33" s="68">
        <f t="shared" si="3"/>
        <v>-1.2558869701726816E-2</v>
      </c>
      <c r="K33" s="98" t="str">
        <f>_xlfn.IFNA(VLOOKUP(CLEAN(SUBSTITUTE(C33," ","")),Ref_Factory!$A:$B,2,FALSE),CLEAN(SUBSTITUTE(C33," ","")))</f>
        <v>GM1</v>
      </c>
      <c r="L33" s="98" t="str">
        <f t="shared" si="4"/>
        <v>DECEMBER-1-GM1</v>
      </c>
      <c r="M33" s="68">
        <f t="shared" si="5"/>
        <v>-0.10177114688252409</v>
      </c>
      <c r="N33" s="68">
        <f t="shared" si="6"/>
        <v>-0.10518325732141132</v>
      </c>
      <c r="O33" s="13">
        <f t="shared" si="7"/>
        <v>108754</v>
      </c>
      <c r="P33" s="13">
        <f t="shared" si="8"/>
        <v>109935</v>
      </c>
      <c r="Q33" s="13">
        <f t="shared" si="9"/>
        <v>108803</v>
      </c>
      <c r="R33" s="33">
        <f t="shared" si="10"/>
        <v>4.5055814039018927E-4</v>
      </c>
      <c r="S33" s="33">
        <f t="shared" si="11"/>
        <v>-1.0296993678082456E-2</v>
      </c>
      <c r="T33" t="str">
        <f t="shared" si="12"/>
        <v>DECEMBER-GM1</v>
      </c>
      <c r="U33">
        <f t="shared" si="13"/>
        <v>17870</v>
      </c>
      <c r="V33">
        <f t="shared" si="14"/>
        <v>17875</v>
      </c>
      <c r="W33">
        <f t="shared" si="15"/>
        <v>17709</v>
      </c>
      <c r="X33" s="33">
        <f t="shared" si="16"/>
        <v>-9.0095131505316672E-3</v>
      </c>
      <c r="Y33" s="33">
        <f t="shared" si="17"/>
        <v>-9.2867132867132662E-3</v>
      </c>
    </row>
    <row r="34" spans="1:25" x14ac:dyDescent="0.25">
      <c r="A34" t="s">
        <v>38</v>
      </c>
      <c r="B34">
        <v>1</v>
      </c>
      <c r="C34" t="s">
        <v>59</v>
      </c>
      <c r="D34">
        <v>1030</v>
      </c>
      <c r="E34">
        <v>1030</v>
      </c>
      <c r="F34">
        <v>1023</v>
      </c>
      <c r="G34" s="13">
        <f t="shared" si="0"/>
        <v>-7</v>
      </c>
      <c r="H34" s="13">
        <f t="shared" si="1"/>
        <v>-7</v>
      </c>
      <c r="I34" s="68">
        <f t="shared" si="2"/>
        <v>-6.7961165048543437E-3</v>
      </c>
      <c r="J34" s="68">
        <f t="shared" si="3"/>
        <v>-6.7961165048543437E-3</v>
      </c>
      <c r="K34" s="98" t="str">
        <f>_xlfn.IFNA(VLOOKUP(CLEAN(SUBSTITUTE(C34," ","")),Ref_Factory!$A:$B,2,FALSE),CLEAN(SUBSTITUTE(C34," ","")))</f>
        <v>GM1</v>
      </c>
      <c r="L34" s="98" t="str">
        <f t="shared" si="4"/>
        <v>DECEMBER-1-GM1</v>
      </c>
      <c r="M34" s="68">
        <f t="shared" si="5"/>
        <v>-0.10177114688252409</v>
      </c>
      <c r="N34" s="68">
        <f t="shared" si="6"/>
        <v>-0.10518325732141132</v>
      </c>
      <c r="O34" s="13">
        <f t="shared" si="7"/>
        <v>108754</v>
      </c>
      <c r="P34" s="13">
        <f t="shared" si="8"/>
        <v>109935</v>
      </c>
      <c r="Q34" s="13">
        <f t="shared" si="9"/>
        <v>108803</v>
      </c>
      <c r="R34" s="33">
        <f t="shared" si="10"/>
        <v>4.5055814039018927E-4</v>
      </c>
      <c r="S34" s="33">
        <f t="shared" si="11"/>
        <v>-1.0296993678082456E-2</v>
      </c>
      <c r="T34" t="str">
        <f t="shared" si="12"/>
        <v>DECEMBER-GM1</v>
      </c>
      <c r="U34">
        <f t="shared" si="13"/>
        <v>17870</v>
      </c>
      <c r="V34">
        <f t="shared" si="14"/>
        <v>17875</v>
      </c>
      <c r="W34">
        <f t="shared" si="15"/>
        <v>17709</v>
      </c>
      <c r="X34" s="33">
        <f t="shared" si="16"/>
        <v>-9.0095131505316672E-3</v>
      </c>
      <c r="Y34" s="33">
        <f t="shared" si="17"/>
        <v>-9.2867132867132662E-3</v>
      </c>
    </row>
    <row r="35" spans="1:25" x14ac:dyDescent="0.25">
      <c r="A35" t="s">
        <v>38</v>
      </c>
      <c r="B35">
        <v>1</v>
      </c>
      <c r="C35" t="s">
        <v>59</v>
      </c>
      <c r="D35">
        <v>1350</v>
      </c>
      <c r="E35">
        <v>1354</v>
      </c>
      <c r="F35">
        <v>1323</v>
      </c>
      <c r="G35" s="13">
        <f t="shared" si="0"/>
        <v>-31</v>
      </c>
      <c r="H35" s="13">
        <f t="shared" si="1"/>
        <v>-27</v>
      </c>
      <c r="I35" s="68">
        <f t="shared" si="2"/>
        <v>-2.0000000000000018E-2</v>
      </c>
      <c r="J35" s="68">
        <f t="shared" si="3"/>
        <v>-2.2895125553914375E-2</v>
      </c>
      <c r="K35" s="98" t="str">
        <f>_xlfn.IFNA(VLOOKUP(CLEAN(SUBSTITUTE(C35," ","")),Ref_Factory!$A:$B,2,FALSE),CLEAN(SUBSTITUTE(C35," ","")))</f>
        <v>GM1</v>
      </c>
      <c r="L35" s="98" t="str">
        <f t="shared" si="4"/>
        <v>DECEMBER-1-GM1</v>
      </c>
      <c r="M35" s="68">
        <f t="shared" si="5"/>
        <v>-0.10177114688252409</v>
      </c>
      <c r="N35" s="68">
        <f t="shared" si="6"/>
        <v>-0.10518325732141132</v>
      </c>
      <c r="O35" s="13">
        <f t="shared" si="7"/>
        <v>108754</v>
      </c>
      <c r="P35" s="13">
        <f t="shared" si="8"/>
        <v>109935</v>
      </c>
      <c r="Q35" s="13">
        <f t="shared" si="9"/>
        <v>108803</v>
      </c>
      <c r="R35" s="33">
        <f t="shared" si="10"/>
        <v>4.5055814039018927E-4</v>
      </c>
      <c r="S35" s="33">
        <f t="shared" si="11"/>
        <v>-1.0296993678082456E-2</v>
      </c>
      <c r="T35" t="str">
        <f t="shared" si="12"/>
        <v>DECEMBER-GM1</v>
      </c>
      <c r="U35">
        <f t="shared" si="13"/>
        <v>17870</v>
      </c>
      <c r="V35">
        <f t="shared" si="14"/>
        <v>17875</v>
      </c>
      <c r="W35">
        <f t="shared" si="15"/>
        <v>17709</v>
      </c>
      <c r="X35" s="33">
        <f t="shared" si="16"/>
        <v>-9.0095131505316672E-3</v>
      </c>
      <c r="Y35" s="33">
        <f t="shared" si="17"/>
        <v>-9.2867132867132662E-3</v>
      </c>
    </row>
    <row r="36" spans="1:25" x14ac:dyDescent="0.25">
      <c r="A36" t="s">
        <v>38</v>
      </c>
      <c r="B36">
        <v>1</v>
      </c>
      <c r="C36" t="s">
        <v>59</v>
      </c>
      <c r="D36">
        <v>1630</v>
      </c>
      <c r="E36">
        <v>1630</v>
      </c>
      <c r="F36">
        <v>1601</v>
      </c>
      <c r="G36" s="13">
        <f t="shared" si="0"/>
        <v>-29</v>
      </c>
      <c r="H36" s="13">
        <f t="shared" si="1"/>
        <v>-29</v>
      </c>
      <c r="I36" s="68">
        <f t="shared" si="2"/>
        <v>-1.7791411042944794E-2</v>
      </c>
      <c r="J36" s="68">
        <f t="shared" si="3"/>
        <v>-1.7791411042944794E-2</v>
      </c>
      <c r="K36" s="98" t="str">
        <f>_xlfn.IFNA(VLOOKUP(CLEAN(SUBSTITUTE(C36," ","")),Ref_Factory!$A:$B,2,FALSE),CLEAN(SUBSTITUTE(C36," ","")))</f>
        <v>GM1</v>
      </c>
      <c r="L36" s="98" t="str">
        <f t="shared" si="4"/>
        <v>DECEMBER-1-GM1</v>
      </c>
      <c r="M36" s="68">
        <f t="shared" si="5"/>
        <v>-0.10177114688252409</v>
      </c>
      <c r="N36" s="68">
        <f t="shared" si="6"/>
        <v>-0.10518325732141132</v>
      </c>
      <c r="O36" s="13">
        <f t="shared" si="7"/>
        <v>108754</v>
      </c>
      <c r="P36" s="13">
        <f t="shared" si="8"/>
        <v>109935</v>
      </c>
      <c r="Q36" s="13">
        <f t="shared" si="9"/>
        <v>108803</v>
      </c>
      <c r="R36" s="33">
        <f t="shared" si="10"/>
        <v>4.5055814039018927E-4</v>
      </c>
      <c r="S36" s="33">
        <f t="shared" si="11"/>
        <v>-1.0296993678082456E-2</v>
      </c>
      <c r="T36" t="str">
        <f t="shared" si="12"/>
        <v>DECEMBER-GM1</v>
      </c>
      <c r="U36">
        <f t="shared" si="13"/>
        <v>17870</v>
      </c>
      <c r="V36">
        <f t="shared" si="14"/>
        <v>17875</v>
      </c>
      <c r="W36">
        <f t="shared" si="15"/>
        <v>17709</v>
      </c>
      <c r="X36" s="33">
        <f t="shared" si="16"/>
        <v>-9.0095131505316672E-3</v>
      </c>
      <c r="Y36" s="33">
        <f t="shared" si="17"/>
        <v>-9.2867132867132662E-3</v>
      </c>
    </row>
    <row r="37" spans="1:25" x14ac:dyDescent="0.25">
      <c r="A37" t="s">
        <v>38</v>
      </c>
      <c r="B37">
        <v>1</v>
      </c>
      <c r="C37" t="s">
        <v>59</v>
      </c>
      <c r="D37">
        <v>1240</v>
      </c>
      <c r="E37">
        <v>1240</v>
      </c>
      <c r="F37">
        <v>1208</v>
      </c>
      <c r="G37" s="13">
        <f t="shared" si="0"/>
        <v>-32</v>
      </c>
      <c r="H37" s="13">
        <f t="shared" si="1"/>
        <v>-32</v>
      </c>
      <c r="I37" s="68">
        <f t="shared" si="2"/>
        <v>-2.5806451612903181E-2</v>
      </c>
      <c r="J37" s="68">
        <f t="shared" si="3"/>
        <v>-2.5806451612903181E-2</v>
      </c>
      <c r="K37" s="98" t="str">
        <f>_xlfn.IFNA(VLOOKUP(CLEAN(SUBSTITUTE(C37," ","")),Ref_Factory!$A:$B,2,FALSE),CLEAN(SUBSTITUTE(C37," ","")))</f>
        <v>GM1</v>
      </c>
      <c r="L37" s="98" t="str">
        <f t="shared" si="4"/>
        <v>DECEMBER-1-GM1</v>
      </c>
      <c r="M37" s="68">
        <f t="shared" si="5"/>
        <v>-0.10177114688252409</v>
      </c>
      <c r="N37" s="68">
        <f t="shared" si="6"/>
        <v>-0.10518325732141132</v>
      </c>
      <c r="O37" s="13">
        <f t="shared" si="7"/>
        <v>108754</v>
      </c>
      <c r="P37" s="13">
        <f t="shared" si="8"/>
        <v>109935</v>
      </c>
      <c r="Q37" s="13">
        <f t="shared" si="9"/>
        <v>108803</v>
      </c>
      <c r="R37" s="33">
        <f t="shared" si="10"/>
        <v>4.5055814039018927E-4</v>
      </c>
      <c r="S37" s="33">
        <f t="shared" si="11"/>
        <v>-1.0296993678082456E-2</v>
      </c>
      <c r="T37" t="str">
        <f t="shared" si="12"/>
        <v>DECEMBER-GM1</v>
      </c>
      <c r="U37">
        <f t="shared" si="13"/>
        <v>17870</v>
      </c>
      <c r="V37">
        <f t="shared" si="14"/>
        <v>17875</v>
      </c>
      <c r="W37">
        <f t="shared" si="15"/>
        <v>17709</v>
      </c>
      <c r="X37" s="33">
        <f t="shared" si="16"/>
        <v>-9.0095131505316672E-3</v>
      </c>
      <c r="Y37" s="33">
        <f t="shared" si="17"/>
        <v>-9.2867132867132662E-3</v>
      </c>
    </row>
    <row r="38" spans="1:25" x14ac:dyDescent="0.25">
      <c r="A38" t="s">
        <v>38</v>
      </c>
      <c r="B38">
        <v>1</v>
      </c>
      <c r="C38" t="s">
        <v>59</v>
      </c>
      <c r="D38">
        <v>2710</v>
      </c>
      <c r="E38">
        <v>2710</v>
      </c>
      <c r="F38">
        <v>2687</v>
      </c>
      <c r="G38" s="13">
        <f t="shared" si="0"/>
        <v>-23</v>
      </c>
      <c r="H38" s="13">
        <f t="shared" si="1"/>
        <v>-23</v>
      </c>
      <c r="I38" s="68">
        <f t="shared" si="2"/>
        <v>-8.4870848708487046E-3</v>
      </c>
      <c r="J38" s="68">
        <f t="shared" si="3"/>
        <v>-8.4870848708487046E-3</v>
      </c>
      <c r="K38" s="98" t="str">
        <f>_xlfn.IFNA(VLOOKUP(CLEAN(SUBSTITUTE(C38," ","")),Ref_Factory!$A:$B,2,FALSE),CLEAN(SUBSTITUTE(C38," ","")))</f>
        <v>GM1</v>
      </c>
      <c r="L38" s="98" t="str">
        <f t="shared" si="4"/>
        <v>DECEMBER-1-GM1</v>
      </c>
      <c r="M38" s="68">
        <f t="shared" si="5"/>
        <v>-0.10177114688252409</v>
      </c>
      <c r="N38" s="68">
        <f t="shared" si="6"/>
        <v>-0.10518325732141132</v>
      </c>
      <c r="O38" s="13">
        <f t="shared" si="7"/>
        <v>108754</v>
      </c>
      <c r="P38" s="13">
        <f t="shared" si="8"/>
        <v>109935</v>
      </c>
      <c r="Q38" s="13">
        <f t="shared" si="9"/>
        <v>108803</v>
      </c>
      <c r="R38" s="33">
        <f t="shared" si="10"/>
        <v>4.5055814039018927E-4</v>
      </c>
      <c r="S38" s="33">
        <f t="shared" si="11"/>
        <v>-1.0296993678082456E-2</v>
      </c>
      <c r="T38" t="str">
        <f t="shared" si="12"/>
        <v>DECEMBER-GM1</v>
      </c>
      <c r="U38">
        <f t="shared" si="13"/>
        <v>17870</v>
      </c>
      <c r="V38">
        <f t="shared" si="14"/>
        <v>17875</v>
      </c>
      <c r="W38">
        <f t="shared" si="15"/>
        <v>17709</v>
      </c>
      <c r="X38" s="33">
        <f t="shared" si="16"/>
        <v>-9.0095131505316672E-3</v>
      </c>
      <c r="Y38" s="33">
        <f t="shared" si="17"/>
        <v>-9.2867132867132662E-3</v>
      </c>
    </row>
    <row r="39" spans="1:25" x14ac:dyDescent="0.25">
      <c r="A39" t="s">
        <v>38</v>
      </c>
      <c r="B39">
        <v>1</v>
      </c>
      <c r="C39" t="s">
        <v>59</v>
      </c>
      <c r="D39">
        <v>1340</v>
      </c>
      <c r="E39">
        <v>1340</v>
      </c>
      <c r="F39">
        <v>1332</v>
      </c>
      <c r="G39" s="13">
        <f t="shared" si="0"/>
        <v>-8</v>
      </c>
      <c r="H39" s="13">
        <f t="shared" si="1"/>
        <v>-8</v>
      </c>
      <c r="I39" s="68">
        <f t="shared" si="2"/>
        <v>-5.9701492537312939E-3</v>
      </c>
      <c r="J39" s="68">
        <f t="shared" si="3"/>
        <v>-5.9701492537312939E-3</v>
      </c>
      <c r="K39" s="98" t="str">
        <f>_xlfn.IFNA(VLOOKUP(CLEAN(SUBSTITUTE(C39," ","")),Ref_Factory!$A:$B,2,FALSE),CLEAN(SUBSTITUTE(C39," ","")))</f>
        <v>GM1</v>
      </c>
      <c r="L39" s="98" t="str">
        <f t="shared" si="4"/>
        <v>DECEMBER-1-GM1</v>
      </c>
      <c r="M39" s="68">
        <f t="shared" si="5"/>
        <v>-0.10177114688252409</v>
      </c>
      <c r="N39" s="68">
        <f t="shared" si="6"/>
        <v>-0.10518325732141132</v>
      </c>
      <c r="O39" s="13">
        <f t="shared" si="7"/>
        <v>108754</v>
      </c>
      <c r="P39" s="13">
        <f t="shared" si="8"/>
        <v>109935</v>
      </c>
      <c r="Q39" s="13">
        <f t="shared" si="9"/>
        <v>108803</v>
      </c>
      <c r="R39" s="33">
        <f t="shared" si="10"/>
        <v>4.5055814039018927E-4</v>
      </c>
      <c r="S39" s="33">
        <f t="shared" si="11"/>
        <v>-1.0296993678082456E-2</v>
      </c>
      <c r="T39" t="str">
        <f t="shared" si="12"/>
        <v>DECEMBER-GM1</v>
      </c>
      <c r="U39">
        <f t="shared" si="13"/>
        <v>17870</v>
      </c>
      <c r="V39">
        <f t="shared" si="14"/>
        <v>17875</v>
      </c>
      <c r="W39">
        <f t="shared" si="15"/>
        <v>17709</v>
      </c>
      <c r="X39" s="33">
        <f t="shared" si="16"/>
        <v>-9.0095131505316672E-3</v>
      </c>
      <c r="Y39" s="33">
        <f t="shared" si="17"/>
        <v>-9.2867132867132662E-3</v>
      </c>
    </row>
    <row r="40" spans="1:25" x14ac:dyDescent="0.25">
      <c r="B40" s="61"/>
      <c r="D40" s="62"/>
      <c r="E40" s="62"/>
      <c r="F40" s="63"/>
      <c r="K40" s="98"/>
      <c r="L40" s="98"/>
    </row>
    <row r="41" spans="1:25" x14ac:dyDescent="0.25">
      <c r="B41" s="61"/>
      <c r="D41" s="62"/>
      <c r="E41" s="62"/>
      <c r="F41" s="63"/>
      <c r="K41" s="98"/>
      <c r="L41" s="98"/>
    </row>
    <row r="42" spans="1:25" x14ac:dyDescent="0.25">
      <c r="B42" s="61"/>
      <c r="D42" s="62"/>
      <c r="E42" s="62"/>
      <c r="F42" s="63"/>
      <c r="K42" s="98"/>
      <c r="L42" s="98"/>
    </row>
    <row r="43" spans="1:25" x14ac:dyDescent="0.25">
      <c r="B43" s="61"/>
      <c r="D43" s="62"/>
      <c r="E43" s="62"/>
      <c r="F43" s="63"/>
      <c r="K43" s="98"/>
      <c r="L43" s="98"/>
    </row>
    <row r="44" spans="1:25" x14ac:dyDescent="0.25">
      <c r="B44" s="61"/>
      <c r="D44" s="62"/>
      <c r="E44" s="62"/>
      <c r="F44" s="63"/>
      <c r="K44" s="98"/>
      <c r="L44" s="98"/>
    </row>
    <row r="45" spans="1:25" x14ac:dyDescent="0.25">
      <c r="B45" s="61"/>
      <c r="D45" s="62"/>
      <c r="E45" s="62"/>
      <c r="F45" s="63"/>
      <c r="K45" s="98"/>
      <c r="L45" s="98"/>
    </row>
    <row r="46" spans="1:25" x14ac:dyDescent="0.25">
      <c r="B46" s="61"/>
      <c r="D46" s="62"/>
      <c r="E46" s="62"/>
      <c r="F46" s="63"/>
      <c r="K46" s="98"/>
      <c r="L46" s="98"/>
    </row>
    <row r="47" spans="1:25" x14ac:dyDescent="0.25">
      <c r="B47" s="61"/>
      <c r="D47" s="62"/>
      <c r="E47" s="62"/>
      <c r="F47" s="63"/>
      <c r="K47" s="98"/>
      <c r="L47" s="98"/>
    </row>
    <row r="48" spans="1:25" x14ac:dyDescent="0.25">
      <c r="B48" s="61"/>
      <c r="D48" s="62"/>
      <c r="E48" s="62"/>
      <c r="F48" s="63"/>
      <c r="K48" s="98"/>
      <c r="L48" s="98"/>
    </row>
    <row r="49" spans="2:12" x14ac:dyDescent="0.25">
      <c r="B49" s="61"/>
      <c r="D49" s="62"/>
      <c r="E49" s="62"/>
      <c r="F49" s="63"/>
      <c r="K49" s="98"/>
      <c r="L49" s="98"/>
    </row>
    <row r="50" spans="2:12" x14ac:dyDescent="0.25">
      <c r="B50" s="61"/>
      <c r="D50" s="62"/>
      <c r="E50" s="62"/>
      <c r="F50" s="63"/>
      <c r="K50" s="98"/>
      <c r="L50" s="98"/>
    </row>
    <row r="51" spans="2:12" x14ac:dyDescent="0.25">
      <c r="B51" s="61"/>
      <c r="D51" s="62"/>
      <c r="E51" s="62"/>
      <c r="F51" s="63"/>
      <c r="K51" s="98"/>
      <c r="L51" s="98"/>
    </row>
    <row r="52" spans="2:12" x14ac:dyDescent="0.25">
      <c r="B52" s="61"/>
      <c r="D52" s="62"/>
      <c r="E52" s="62"/>
      <c r="F52" s="63"/>
      <c r="K52" s="98"/>
      <c r="L52" s="98"/>
    </row>
    <row r="53" spans="2:12" x14ac:dyDescent="0.25">
      <c r="B53" s="61"/>
      <c r="D53" s="62"/>
      <c r="E53" s="62"/>
      <c r="F53" s="63"/>
      <c r="K53" s="98"/>
      <c r="L53" s="98"/>
    </row>
    <row r="54" spans="2:12" x14ac:dyDescent="0.25">
      <c r="B54" s="61"/>
      <c r="D54" s="62"/>
      <c r="E54" s="62"/>
      <c r="F54" s="63"/>
      <c r="K54" s="98"/>
      <c r="L54" s="98"/>
    </row>
    <row r="55" spans="2:12" x14ac:dyDescent="0.25">
      <c r="B55" s="61"/>
      <c r="D55" s="62"/>
      <c r="E55" s="62"/>
      <c r="F55" s="63"/>
      <c r="K55" s="98"/>
      <c r="L55" s="98"/>
    </row>
    <row r="56" spans="2:12" x14ac:dyDescent="0.25">
      <c r="B56" s="61"/>
      <c r="D56" s="62"/>
      <c r="E56" s="62"/>
      <c r="F56" s="63"/>
      <c r="K56" s="98"/>
      <c r="L56" s="98"/>
    </row>
    <row r="57" spans="2:12" x14ac:dyDescent="0.25">
      <c r="B57" s="61"/>
      <c r="D57" s="62"/>
      <c r="E57" s="62"/>
      <c r="F57" s="63"/>
      <c r="K57" s="98"/>
      <c r="L57" s="98"/>
    </row>
    <row r="58" spans="2:12" x14ac:dyDescent="0.25">
      <c r="B58" s="61"/>
      <c r="D58" s="62"/>
      <c r="E58" s="62"/>
      <c r="F58" s="63"/>
      <c r="K58" s="98"/>
      <c r="L58" s="98"/>
    </row>
    <row r="59" spans="2:12" x14ac:dyDescent="0.25">
      <c r="B59" s="61"/>
      <c r="D59" s="62"/>
      <c r="E59" s="62"/>
      <c r="F59" s="63"/>
      <c r="K59" s="98"/>
      <c r="L59" s="98"/>
    </row>
    <row r="60" spans="2:12" x14ac:dyDescent="0.25">
      <c r="B60" s="61"/>
      <c r="D60" s="62"/>
      <c r="E60" s="62"/>
      <c r="F60" s="63"/>
      <c r="K60" s="98"/>
      <c r="L60" s="98"/>
    </row>
    <row r="61" spans="2:12" x14ac:dyDescent="0.25">
      <c r="B61" s="61"/>
      <c r="D61" s="62"/>
      <c r="E61" s="62"/>
      <c r="F61" s="63"/>
      <c r="K61" s="98"/>
      <c r="L61" s="98"/>
    </row>
    <row r="62" spans="2:12" x14ac:dyDescent="0.25">
      <c r="B62" s="61"/>
      <c r="D62" s="62"/>
      <c r="E62" s="62"/>
      <c r="F62" s="63"/>
      <c r="K62" s="98"/>
      <c r="L62" s="98"/>
    </row>
    <row r="63" spans="2:12" x14ac:dyDescent="0.25">
      <c r="B63" s="61"/>
      <c r="D63" s="62"/>
      <c r="E63" s="62"/>
      <c r="F63" s="63"/>
      <c r="K63" s="98"/>
      <c r="L63" s="98"/>
    </row>
    <row r="64" spans="2:12" x14ac:dyDescent="0.25">
      <c r="B64" s="61"/>
      <c r="D64" s="62"/>
      <c r="E64" s="62"/>
      <c r="F64" s="63"/>
      <c r="K64" s="98"/>
      <c r="L64" s="98"/>
    </row>
    <row r="65" spans="2:12" x14ac:dyDescent="0.25">
      <c r="B65" s="61"/>
      <c r="D65" s="62"/>
      <c r="E65" s="62"/>
      <c r="F65" s="63"/>
      <c r="K65" s="98"/>
      <c r="L65" s="98"/>
    </row>
    <row r="66" spans="2:12" x14ac:dyDescent="0.25">
      <c r="B66" s="61"/>
      <c r="D66" s="62"/>
      <c r="E66" s="62"/>
      <c r="F66" s="63"/>
      <c r="K66" s="98"/>
      <c r="L66" s="98"/>
    </row>
    <row r="67" spans="2:12" x14ac:dyDescent="0.25">
      <c r="B67" s="61"/>
      <c r="D67" s="62"/>
      <c r="E67" s="62"/>
      <c r="F67" s="63"/>
      <c r="K67" s="98"/>
      <c r="L67" s="98"/>
    </row>
    <row r="68" spans="2:12" x14ac:dyDescent="0.25">
      <c r="B68" s="61"/>
      <c r="D68" s="62"/>
      <c r="E68" s="62"/>
      <c r="F68" s="63"/>
      <c r="K68" s="98"/>
      <c r="L68" s="98"/>
    </row>
    <row r="69" spans="2:12" x14ac:dyDescent="0.25">
      <c r="B69" s="61"/>
      <c r="D69" s="62"/>
      <c r="E69" s="62"/>
      <c r="F69" s="63"/>
      <c r="K69" s="98"/>
      <c r="L69" s="98"/>
    </row>
    <row r="70" spans="2:12" x14ac:dyDescent="0.25">
      <c r="B70" s="61"/>
      <c r="D70" s="62"/>
      <c r="E70" s="62"/>
      <c r="F70" s="63"/>
      <c r="K70" s="98"/>
      <c r="L70" s="98"/>
    </row>
    <row r="71" spans="2:12" x14ac:dyDescent="0.25">
      <c r="B71" s="61"/>
      <c r="D71" s="62"/>
      <c r="E71" s="62"/>
      <c r="F71" s="63"/>
      <c r="K71" s="98"/>
      <c r="L71" s="98"/>
    </row>
    <row r="72" spans="2:12" x14ac:dyDescent="0.25">
      <c r="B72" s="61"/>
      <c r="D72" s="62"/>
      <c r="E72" s="62"/>
      <c r="F72" s="63"/>
      <c r="K72" s="98"/>
      <c r="L72" s="98"/>
    </row>
    <row r="73" spans="2:12" x14ac:dyDescent="0.25">
      <c r="B73" s="61"/>
      <c r="D73" s="62"/>
      <c r="E73" s="62"/>
      <c r="F73" s="63"/>
      <c r="K73" s="98"/>
      <c r="L73" s="98"/>
    </row>
    <row r="74" spans="2:12" x14ac:dyDescent="0.25">
      <c r="B74" s="61"/>
      <c r="D74" s="62"/>
      <c r="E74" s="62"/>
      <c r="F74" s="63"/>
      <c r="K74" s="98"/>
      <c r="L74" s="98"/>
    </row>
    <row r="75" spans="2:12" x14ac:dyDescent="0.25">
      <c r="B75" s="61"/>
      <c r="D75" s="62"/>
      <c r="E75" s="62"/>
      <c r="F75" s="63"/>
      <c r="K75" s="98"/>
      <c r="L75" s="98"/>
    </row>
    <row r="76" spans="2:12" x14ac:dyDescent="0.25">
      <c r="B76" s="61"/>
      <c r="D76" s="62"/>
      <c r="E76" s="62"/>
      <c r="F76" s="63"/>
      <c r="K76" s="98"/>
      <c r="L76" s="98"/>
    </row>
    <row r="77" spans="2:12" x14ac:dyDescent="0.25">
      <c r="B77" s="61"/>
      <c r="D77" s="62"/>
      <c r="E77" s="62"/>
      <c r="F77" s="63"/>
      <c r="K77" s="98"/>
      <c r="L77" s="98"/>
    </row>
    <row r="78" spans="2:12" x14ac:dyDescent="0.25">
      <c r="B78" s="61"/>
      <c r="D78" s="62"/>
      <c r="E78" s="62"/>
      <c r="F78" s="63"/>
      <c r="K78" s="98"/>
      <c r="L78" s="98"/>
    </row>
    <row r="79" spans="2:12" x14ac:dyDescent="0.25">
      <c r="B79" s="61"/>
      <c r="D79" s="62"/>
      <c r="E79" s="62"/>
      <c r="F79" s="63"/>
      <c r="K79" s="98"/>
      <c r="L79" s="98"/>
    </row>
    <row r="80" spans="2:12" x14ac:dyDescent="0.25">
      <c r="B80" s="61"/>
      <c r="D80" s="62"/>
      <c r="E80" s="62"/>
      <c r="F80" s="63"/>
      <c r="K80" s="98"/>
      <c r="L80" s="98"/>
    </row>
    <row r="81" spans="2:12" x14ac:dyDescent="0.25">
      <c r="B81" s="61"/>
      <c r="D81" s="62"/>
      <c r="E81" s="62"/>
      <c r="F81" s="63"/>
      <c r="K81" s="98"/>
      <c r="L81" s="98"/>
    </row>
    <row r="82" spans="2:12" x14ac:dyDescent="0.25">
      <c r="B82" s="61"/>
      <c r="D82" s="62"/>
      <c r="E82" s="62"/>
      <c r="F82" s="63"/>
      <c r="K82" s="98"/>
      <c r="L82" s="98"/>
    </row>
    <row r="83" spans="2:12" x14ac:dyDescent="0.25">
      <c r="B83" s="61"/>
      <c r="D83" s="62"/>
      <c r="E83" s="62"/>
      <c r="F83" s="63"/>
      <c r="K83" s="98"/>
      <c r="L83" s="98"/>
    </row>
    <row r="84" spans="2:12" x14ac:dyDescent="0.25">
      <c r="B84" s="61"/>
      <c r="D84" s="62"/>
      <c r="E84" s="62"/>
      <c r="F84" s="63"/>
      <c r="K84" s="98"/>
      <c r="L84" s="98"/>
    </row>
    <row r="85" spans="2:12" x14ac:dyDescent="0.25">
      <c r="B85" s="61"/>
      <c r="D85" s="62"/>
      <c r="E85" s="62"/>
      <c r="F85" s="63"/>
      <c r="K85" s="98"/>
      <c r="L85" s="98"/>
    </row>
    <row r="86" spans="2:12" x14ac:dyDescent="0.25">
      <c r="B86" s="61"/>
      <c r="D86" s="62"/>
      <c r="E86" s="62"/>
      <c r="F86" s="63"/>
      <c r="K86" s="98"/>
      <c r="L86" s="98"/>
    </row>
    <row r="87" spans="2:12" x14ac:dyDescent="0.25">
      <c r="B87" s="61"/>
      <c r="D87" s="62"/>
      <c r="E87" s="62"/>
      <c r="F87" s="63"/>
      <c r="K87" s="98"/>
      <c r="L87" s="98"/>
    </row>
    <row r="88" spans="2:12" x14ac:dyDescent="0.25">
      <c r="B88" s="61"/>
      <c r="D88" s="62"/>
      <c r="E88" s="62"/>
      <c r="F88" s="63"/>
      <c r="K88" s="98"/>
      <c r="L88" s="98"/>
    </row>
    <row r="89" spans="2:12" x14ac:dyDescent="0.25">
      <c r="B89" s="61"/>
      <c r="D89" s="62"/>
      <c r="E89" s="62"/>
      <c r="F89" s="63"/>
      <c r="K89" s="98"/>
      <c r="L89" s="98"/>
    </row>
    <row r="90" spans="2:12" x14ac:dyDescent="0.25">
      <c r="B90" s="61"/>
      <c r="D90" s="62"/>
      <c r="E90" s="62"/>
      <c r="F90" s="63"/>
      <c r="K90" s="98"/>
      <c r="L90" s="98"/>
    </row>
    <row r="91" spans="2:12" x14ac:dyDescent="0.25">
      <c r="B91" s="61"/>
      <c r="D91" s="62"/>
      <c r="E91" s="62"/>
      <c r="F91" s="63"/>
      <c r="K91" s="98"/>
      <c r="L91" s="98"/>
    </row>
    <row r="92" spans="2:12" x14ac:dyDescent="0.25">
      <c r="B92" s="61"/>
      <c r="D92" s="62"/>
      <c r="E92" s="62"/>
      <c r="F92" s="63"/>
      <c r="K92" s="98"/>
      <c r="L92" s="98"/>
    </row>
    <row r="93" spans="2:12" x14ac:dyDescent="0.25">
      <c r="B93" s="61"/>
      <c r="D93" s="62"/>
      <c r="E93" s="62"/>
      <c r="F93" s="63"/>
      <c r="K93" s="98"/>
      <c r="L93" s="98"/>
    </row>
    <row r="94" spans="2:12" x14ac:dyDescent="0.25">
      <c r="B94" s="61"/>
      <c r="D94" s="62"/>
      <c r="E94" s="62"/>
      <c r="F94" s="63"/>
      <c r="K94" s="98"/>
      <c r="L94" s="98"/>
    </row>
    <row r="95" spans="2:12" x14ac:dyDescent="0.25">
      <c r="B95" s="61"/>
      <c r="D95" s="62"/>
      <c r="E95" s="62"/>
      <c r="F95" s="63"/>
      <c r="K95" s="98"/>
      <c r="L95" s="98"/>
    </row>
    <row r="96" spans="2:12" x14ac:dyDescent="0.25">
      <c r="B96" s="61"/>
      <c r="D96" s="62"/>
      <c r="E96" s="62"/>
      <c r="F96" s="63"/>
      <c r="K96" s="98"/>
      <c r="L96" s="98"/>
    </row>
    <row r="97" spans="1:12" x14ac:dyDescent="0.25">
      <c r="B97" s="61"/>
      <c r="D97" s="62"/>
      <c r="E97" s="62"/>
      <c r="F97" s="63"/>
      <c r="K97" s="98"/>
      <c r="L97" s="98"/>
    </row>
    <row r="98" spans="1:12" x14ac:dyDescent="0.25">
      <c r="B98" s="61"/>
      <c r="D98" s="62"/>
      <c r="E98" s="62"/>
      <c r="F98" s="63"/>
      <c r="K98" s="98"/>
      <c r="L98" s="98"/>
    </row>
    <row r="99" spans="1:12" x14ac:dyDescent="0.25">
      <c r="B99" s="61"/>
      <c r="D99" s="62"/>
      <c r="E99" s="62"/>
      <c r="F99" s="63"/>
      <c r="K99" s="98"/>
      <c r="L99" s="98"/>
    </row>
    <row r="100" spans="1:12" x14ac:dyDescent="0.25">
      <c r="B100" s="61"/>
      <c r="D100" s="62"/>
      <c r="E100" s="62"/>
      <c r="F100" s="63"/>
      <c r="K100" s="98"/>
      <c r="L100" s="98"/>
    </row>
    <row r="101" spans="1:12" x14ac:dyDescent="0.25">
      <c r="B101" s="61"/>
      <c r="D101" s="62"/>
      <c r="E101" s="62"/>
      <c r="F101" s="63"/>
      <c r="K101" s="98"/>
      <c r="L101" s="98"/>
    </row>
    <row r="102" spans="1:12" x14ac:dyDescent="0.25">
      <c r="B102" s="61"/>
      <c r="D102" s="62"/>
      <c r="E102" s="62"/>
      <c r="F102" s="63"/>
      <c r="K102" s="98"/>
      <c r="L102" s="98"/>
    </row>
    <row r="103" spans="1:12" x14ac:dyDescent="0.25">
      <c r="B103" s="61"/>
      <c r="D103" s="62"/>
      <c r="E103" s="62"/>
      <c r="F103" s="63"/>
      <c r="K103" s="98"/>
      <c r="L103" s="98"/>
    </row>
    <row r="104" spans="1:12" x14ac:dyDescent="0.25">
      <c r="B104" s="61"/>
      <c r="D104" s="62"/>
      <c r="E104" s="62"/>
      <c r="F104" s="63"/>
      <c r="K104" s="98"/>
      <c r="L104" s="98"/>
    </row>
    <row r="105" spans="1:12" x14ac:dyDescent="0.25">
      <c r="B105" s="61"/>
      <c r="D105" s="62"/>
      <c r="E105" s="62"/>
      <c r="F105" s="63"/>
      <c r="K105" s="98"/>
      <c r="L105" s="98"/>
    </row>
    <row r="106" spans="1:12" x14ac:dyDescent="0.25">
      <c r="B106" s="61"/>
      <c r="D106" s="62"/>
      <c r="E106" s="62"/>
      <c r="F106" s="63"/>
      <c r="K106" s="98"/>
      <c r="L106" s="98"/>
    </row>
    <row r="107" spans="1:12" x14ac:dyDescent="0.25">
      <c r="B107" s="61"/>
      <c r="D107" s="62"/>
      <c r="E107" s="62"/>
      <c r="F107" s="63"/>
      <c r="K107" s="98"/>
      <c r="L107" s="98"/>
    </row>
    <row r="108" spans="1:12" x14ac:dyDescent="0.25">
      <c r="B108" s="61"/>
      <c r="D108" s="62"/>
      <c r="E108" s="62"/>
      <c r="F108" s="63"/>
      <c r="K108" s="98"/>
      <c r="L108" s="98"/>
    </row>
    <row r="109" spans="1:12" x14ac:dyDescent="0.25">
      <c r="A109" s="9"/>
      <c r="B109" s="61"/>
      <c r="D109" s="63"/>
      <c r="E109" s="63"/>
      <c r="F109" s="63"/>
      <c r="K109" s="98"/>
      <c r="L109" s="98"/>
    </row>
    <row r="110" spans="1:12" x14ac:dyDescent="0.25">
      <c r="A110" s="9"/>
      <c r="B110" s="61"/>
      <c r="D110" s="63"/>
      <c r="E110" s="63"/>
      <c r="F110" s="63"/>
      <c r="K110" s="98"/>
      <c r="L110" s="98"/>
    </row>
    <row r="111" spans="1:12" x14ac:dyDescent="0.25">
      <c r="A111" s="9"/>
      <c r="B111" s="61"/>
      <c r="D111" s="63"/>
      <c r="E111" s="63"/>
      <c r="F111" s="63"/>
      <c r="K111" s="98"/>
      <c r="L111" s="98"/>
    </row>
    <row r="112" spans="1:12" x14ac:dyDescent="0.25">
      <c r="A112" s="9"/>
      <c r="B112" s="61"/>
      <c r="D112" s="63"/>
      <c r="E112" s="63"/>
      <c r="F112" s="63"/>
      <c r="K112" s="98"/>
      <c r="L112" s="98"/>
    </row>
    <row r="113" spans="1:12" x14ac:dyDescent="0.25">
      <c r="A113" s="9"/>
      <c r="B113" s="61"/>
      <c r="D113" s="63"/>
      <c r="E113" s="63"/>
      <c r="F113" s="63"/>
      <c r="K113" s="98"/>
      <c r="L113" s="98"/>
    </row>
    <row r="114" spans="1:12" x14ac:dyDescent="0.25">
      <c r="A114" s="9"/>
      <c r="B114" s="61"/>
      <c r="D114" s="63"/>
      <c r="E114" s="63"/>
      <c r="F114" s="63"/>
      <c r="K114" s="98"/>
      <c r="L114" s="98"/>
    </row>
    <row r="115" spans="1:12" x14ac:dyDescent="0.25">
      <c r="A115" s="9"/>
      <c r="B115" s="61"/>
      <c r="D115" s="63"/>
      <c r="E115" s="63"/>
      <c r="F115" s="63"/>
      <c r="K115" s="98"/>
      <c r="L115" s="98"/>
    </row>
    <row r="116" spans="1:12" x14ac:dyDescent="0.25">
      <c r="A116" s="9"/>
      <c r="B116" s="61"/>
      <c r="D116" s="63"/>
      <c r="E116" s="63"/>
      <c r="F116" s="63"/>
      <c r="K116" s="98"/>
      <c r="L116" s="98"/>
    </row>
    <row r="117" spans="1:12" x14ac:dyDescent="0.25">
      <c r="A117" s="9"/>
      <c r="B117" s="61"/>
      <c r="D117" s="63"/>
      <c r="E117" s="63"/>
      <c r="F117" s="63"/>
      <c r="K117" s="98"/>
      <c r="L117" s="98"/>
    </row>
    <row r="118" spans="1:12" x14ac:dyDescent="0.25">
      <c r="A118" s="9"/>
      <c r="B118" s="61"/>
      <c r="D118" s="63"/>
      <c r="E118" s="63"/>
      <c r="F118" s="63"/>
      <c r="K118" s="98"/>
      <c r="L118" s="98"/>
    </row>
    <row r="119" spans="1:12" x14ac:dyDescent="0.25">
      <c r="A119" s="9"/>
      <c r="B119" s="61"/>
      <c r="D119" s="63"/>
      <c r="E119" s="63"/>
      <c r="F119" s="63"/>
      <c r="K119" s="98"/>
      <c r="L119" s="98"/>
    </row>
    <row r="120" spans="1:12" x14ac:dyDescent="0.25">
      <c r="A120" s="9"/>
      <c r="B120" s="61"/>
      <c r="D120" s="63"/>
      <c r="E120" s="63"/>
      <c r="F120" s="63"/>
      <c r="K120" s="98"/>
      <c r="L120" s="98"/>
    </row>
    <row r="121" spans="1:12" x14ac:dyDescent="0.25">
      <c r="A121" s="9"/>
      <c r="B121" s="61"/>
      <c r="D121" s="63"/>
      <c r="E121" s="63"/>
      <c r="F121" s="63"/>
      <c r="K121" s="98"/>
      <c r="L121" s="98"/>
    </row>
    <row r="122" spans="1:12" x14ac:dyDescent="0.25">
      <c r="A122" s="9"/>
      <c r="B122" s="61"/>
      <c r="D122" s="63"/>
      <c r="E122" s="63"/>
      <c r="F122" s="63"/>
      <c r="K122" s="98"/>
      <c r="L122" s="98"/>
    </row>
    <row r="123" spans="1:12" x14ac:dyDescent="0.25">
      <c r="A123" s="9"/>
      <c r="B123" s="61"/>
      <c r="D123" s="63"/>
      <c r="E123" s="63"/>
      <c r="F123" s="63"/>
      <c r="K123" s="98"/>
      <c r="L123" s="98"/>
    </row>
    <row r="124" spans="1:12" x14ac:dyDescent="0.25">
      <c r="A124" s="9"/>
      <c r="B124" s="61"/>
      <c r="D124" s="63"/>
      <c r="E124" s="63"/>
      <c r="F124" s="63"/>
      <c r="K124" s="98"/>
      <c r="L124" s="98"/>
    </row>
    <row r="125" spans="1:12" x14ac:dyDescent="0.25">
      <c r="A125" s="9"/>
      <c r="B125" s="61"/>
      <c r="D125" s="63"/>
      <c r="E125" s="63"/>
      <c r="F125" s="63"/>
      <c r="K125" s="98"/>
      <c r="L125" s="98"/>
    </row>
    <row r="126" spans="1:12" x14ac:dyDescent="0.25">
      <c r="A126" s="9"/>
      <c r="B126" s="61"/>
      <c r="D126" s="63"/>
      <c r="E126" s="63"/>
      <c r="F126" s="63"/>
      <c r="K126" s="98"/>
      <c r="L126" s="98"/>
    </row>
    <row r="127" spans="1:12" x14ac:dyDescent="0.25">
      <c r="A127" s="9"/>
      <c r="B127" s="61"/>
      <c r="D127" s="63"/>
      <c r="E127" s="63"/>
      <c r="F127" s="63"/>
      <c r="K127" s="98"/>
      <c r="L127" s="98"/>
    </row>
    <row r="128" spans="1:12" x14ac:dyDescent="0.25">
      <c r="A128" s="9"/>
      <c r="B128" s="61"/>
      <c r="D128" s="63"/>
      <c r="E128" s="63"/>
      <c r="F128" s="63"/>
      <c r="K128" s="98"/>
      <c r="L128" s="98"/>
    </row>
    <row r="129" spans="1:12" x14ac:dyDescent="0.25">
      <c r="A129" s="9"/>
      <c r="B129" s="61"/>
      <c r="D129" s="63"/>
      <c r="E129" s="63"/>
      <c r="F129" s="63"/>
      <c r="K129" s="98"/>
      <c r="L129" s="98"/>
    </row>
    <row r="130" spans="1:12" x14ac:dyDescent="0.25">
      <c r="A130" s="9"/>
      <c r="B130" s="61"/>
      <c r="D130" s="63"/>
      <c r="E130" s="63"/>
      <c r="F130" s="63"/>
      <c r="K130" s="98"/>
      <c r="L130" s="98"/>
    </row>
    <row r="131" spans="1:12" x14ac:dyDescent="0.25">
      <c r="A131" s="9"/>
      <c r="B131" s="61"/>
      <c r="D131" s="63"/>
      <c r="E131" s="63"/>
      <c r="F131" s="63"/>
      <c r="K131" s="98"/>
      <c r="L131" s="98"/>
    </row>
    <row r="132" spans="1:12" x14ac:dyDescent="0.25">
      <c r="A132" s="9"/>
      <c r="B132" s="61"/>
      <c r="D132" s="63"/>
      <c r="E132" s="63"/>
      <c r="F132" s="63"/>
      <c r="K132" s="98"/>
      <c r="L132" s="98"/>
    </row>
    <row r="133" spans="1:12" x14ac:dyDescent="0.25">
      <c r="A133" s="9"/>
      <c r="B133" s="61"/>
      <c r="D133" s="63"/>
      <c r="E133" s="63"/>
      <c r="F133" s="63"/>
      <c r="K133" s="98"/>
      <c r="L133" s="98"/>
    </row>
    <row r="134" spans="1:12" x14ac:dyDescent="0.25">
      <c r="A134" s="9"/>
      <c r="B134" s="61"/>
      <c r="D134" s="63"/>
      <c r="E134" s="63"/>
      <c r="F134" s="63"/>
      <c r="K134" s="98"/>
      <c r="L134" s="98"/>
    </row>
    <row r="135" spans="1:12" x14ac:dyDescent="0.25">
      <c r="A135" s="9"/>
      <c r="B135" s="61"/>
      <c r="D135" s="63"/>
      <c r="E135" s="63"/>
      <c r="F135" s="63"/>
      <c r="K135" s="98"/>
      <c r="L135" s="98"/>
    </row>
    <row r="136" spans="1:12" x14ac:dyDescent="0.25">
      <c r="A136" s="9"/>
      <c r="B136" s="61"/>
      <c r="D136" s="63"/>
      <c r="E136" s="63"/>
      <c r="F136" s="63"/>
      <c r="K136" s="98"/>
      <c r="L136" s="98"/>
    </row>
    <row r="137" spans="1:12" x14ac:dyDescent="0.25">
      <c r="A137" s="9"/>
      <c r="B137" s="61"/>
      <c r="D137" s="63"/>
      <c r="E137" s="63"/>
      <c r="F137" s="63"/>
      <c r="K137" s="98"/>
      <c r="L137" s="98"/>
    </row>
    <row r="138" spans="1:12" x14ac:dyDescent="0.25">
      <c r="A138" s="9"/>
      <c r="B138" s="61"/>
      <c r="D138" s="63"/>
      <c r="E138" s="63"/>
      <c r="F138" s="63"/>
      <c r="K138" s="98"/>
      <c r="L138" s="98"/>
    </row>
    <row r="139" spans="1:12" x14ac:dyDescent="0.25">
      <c r="A139" s="9"/>
      <c r="B139" s="61"/>
      <c r="D139" s="63"/>
      <c r="E139" s="63"/>
      <c r="F139" s="63"/>
      <c r="K139" s="98"/>
      <c r="L139" s="98"/>
    </row>
    <row r="140" spans="1:12" x14ac:dyDescent="0.25">
      <c r="A140" s="9"/>
      <c r="B140" s="61"/>
      <c r="D140" s="63"/>
      <c r="E140" s="63"/>
      <c r="F140" s="63"/>
      <c r="K140" s="98"/>
      <c r="L140" s="98"/>
    </row>
    <row r="141" spans="1:12" x14ac:dyDescent="0.25">
      <c r="A141" s="9"/>
      <c r="B141" s="61"/>
      <c r="D141" s="63"/>
      <c r="E141" s="63"/>
      <c r="F141" s="63"/>
      <c r="K141" s="98"/>
      <c r="L141" s="98"/>
    </row>
    <row r="142" spans="1:12" x14ac:dyDescent="0.25">
      <c r="A142" s="9"/>
      <c r="B142" s="61"/>
      <c r="D142" s="63"/>
      <c r="E142" s="63"/>
      <c r="F142" s="63"/>
      <c r="K142" s="98"/>
      <c r="L142" s="98"/>
    </row>
    <row r="143" spans="1:12" x14ac:dyDescent="0.25">
      <c r="A143" s="9"/>
      <c r="B143" s="61"/>
      <c r="D143" s="63"/>
      <c r="E143" s="63"/>
      <c r="F143" s="63"/>
      <c r="K143" s="98"/>
      <c r="L143" s="98"/>
    </row>
    <row r="144" spans="1:12" x14ac:dyDescent="0.25">
      <c r="A144" s="9"/>
      <c r="B144" s="61"/>
      <c r="D144" s="63"/>
      <c r="E144" s="63"/>
      <c r="F144" s="63"/>
      <c r="K144" s="98"/>
      <c r="L144" s="98"/>
    </row>
    <row r="145" spans="1:12" x14ac:dyDescent="0.25">
      <c r="A145" s="9"/>
      <c r="B145" s="61"/>
      <c r="D145" s="63"/>
      <c r="E145" s="63"/>
      <c r="F145" s="63"/>
      <c r="K145" s="98"/>
      <c r="L145" s="98"/>
    </row>
    <row r="146" spans="1:12" x14ac:dyDescent="0.25">
      <c r="A146" s="9"/>
      <c r="B146" s="61"/>
      <c r="D146" s="63"/>
      <c r="E146" s="63"/>
      <c r="F146" s="63"/>
      <c r="K146" s="98"/>
      <c r="L146" s="98"/>
    </row>
    <row r="147" spans="1:12" x14ac:dyDescent="0.25">
      <c r="A147" s="9"/>
      <c r="B147" s="61"/>
      <c r="D147" s="63"/>
      <c r="E147" s="63"/>
      <c r="F147" s="63"/>
      <c r="K147" s="98"/>
      <c r="L147" s="98"/>
    </row>
    <row r="148" spans="1:12" x14ac:dyDescent="0.25">
      <c r="A148" s="9"/>
      <c r="B148" s="61"/>
      <c r="D148" s="63"/>
      <c r="E148" s="63"/>
      <c r="F148" s="63"/>
      <c r="K148" s="98"/>
      <c r="L148" s="98"/>
    </row>
    <row r="149" spans="1:12" x14ac:dyDescent="0.25">
      <c r="A149" s="9"/>
      <c r="B149" s="61"/>
      <c r="D149" s="63"/>
      <c r="E149" s="63"/>
      <c r="F149" s="63"/>
      <c r="K149" s="98"/>
      <c r="L149" s="98"/>
    </row>
    <row r="150" spans="1:12" x14ac:dyDescent="0.25">
      <c r="A150" s="9"/>
      <c r="B150" s="61"/>
      <c r="D150" s="63"/>
      <c r="E150" s="63"/>
      <c r="F150" s="63"/>
      <c r="K150" s="98"/>
      <c r="L150" s="98"/>
    </row>
    <row r="151" spans="1:12" x14ac:dyDescent="0.25">
      <c r="A151" s="9"/>
      <c r="B151" s="61"/>
      <c r="D151" s="63"/>
      <c r="E151" s="63"/>
      <c r="F151" s="63"/>
      <c r="K151" s="98"/>
      <c r="L151" s="98"/>
    </row>
    <row r="152" spans="1:12" x14ac:dyDescent="0.25">
      <c r="A152" s="9"/>
      <c r="B152" s="61"/>
      <c r="D152" s="63"/>
      <c r="E152" s="63"/>
      <c r="F152" s="63"/>
      <c r="K152" s="98"/>
      <c r="L152" s="98"/>
    </row>
    <row r="153" spans="1:12" x14ac:dyDescent="0.25">
      <c r="A153" s="9"/>
      <c r="B153" s="61"/>
      <c r="D153" s="63"/>
      <c r="E153" s="63"/>
      <c r="F153" s="63"/>
      <c r="K153" s="98"/>
      <c r="L153" s="98"/>
    </row>
    <row r="154" spans="1:12" x14ac:dyDescent="0.25">
      <c r="A154" s="9"/>
      <c r="B154" s="61"/>
      <c r="D154" s="63"/>
      <c r="E154" s="63"/>
      <c r="F154" s="63"/>
      <c r="K154" s="98"/>
      <c r="L154" s="98"/>
    </row>
    <row r="155" spans="1:12" x14ac:dyDescent="0.25">
      <c r="A155" s="9"/>
      <c r="B155" s="61"/>
      <c r="D155" s="63"/>
      <c r="E155" s="63"/>
      <c r="F155" s="63"/>
      <c r="K155" s="98"/>
      <c r="L155" s="98"/>
    </row>
    <row r="156" spans="1:12" x14ac:dyDescent="0.25">
      <c r="A156" s="9"/>
      <c r="B156" s="61"/>
      <c r="D156" s="63"/>
      <c r="E156" s="63"/>
      <c r="F156" s="63"/>
      <c r="K156" s="98"/>
      <c r="L156" s="98"/>
    </row>
    <row r="157" spans="1:12" x14ac:dyDescent="0.25">
      <c r="A157" s="9"/>
      <c r="B157" s="61"/>
      <c r="D157" s="63"/>
      <c r="E157" s="63"/>
      <c r="F157" s="63"/>
      <c r="K157" s="98"/>
      <c r="L157" s="98"/>
    </row>
    <row r="158" spans="1:12" x14ac:dyDescent="0.25">
      <c r="A158" s="9"/>
      <c r="B158" s="61"/>
      <c r="D158" s="63"/>
      <c r="E158" s="63"/>
      <c r="F158" s="63"/>
      <c r="K158" s="98"/>
      <c r="L158" s="98"/>
    </row>
    <row r="159" spans="1:12" x14ac:dyDescent="0.25">
      <c r="A159" s="9"/>
      <c r="B159" s="61"/>
      <c r="D159" s="63"/>
      <c r="E159" s="63"/>
      <c r="F159" s="63"/>
      <c r="K159" s="98"/>
      <c r="L159" s="98"/>
    </row>
    <row r="160" spans="1:12" x14ac:dyDescent="0.25">
      <c r="A160" s="9"/>
      <c r="B160" s="61"/>
      <c r="D160" s="63"/>
      <c r="E160" s="63"/>
      <c r="F160" s="63"/>
      <c r="K160" s="98"/>
      <c r="L160" s="98"/>
    </row>
    <row r="161" spans="1:12" x14ac:dyDescent="0.25">
      <c r="A161" s="9"/>
      <c r="B161" s="61"/>
      <c r="D161" s="63"/>
      <c r="E161" s="63"/>
      <c r="F161" s="63"/>
      <c r="K161" s="98"/>
      <c r="L161" s="98"/>
    </row>
    <row r="162" spans="1:12" x14ac:dyDescent="0.25">
      <c r="A162" s="9"/>
      <c r="B162" s="61"/>
      <c r="D162" s="63"/>
      <c r="E162" s="63"/>
      <c r="F162" s="63"/>
      <c r="K162" s="98"/>
      <c r="L162" s="98"/>
    </row>
    <row r="163" spans="1:12" x14ac:dyDescent="0.25">
      <c r="A163" s="9"/>
      <c r="B163" s="61"/>
      <c r="D163" s="63"/>
      <c r="E163" s="63"/>
      <c r="F163" s="63"/>
      <c r="K163" s="98"/>
      <c r="L163" s="98"/>
    </row>
    <row r="164" spans="1:12" x14ac:dyDescent="0.25">
      <c r="A164" s="9"/>
      <c r="B164" s="61"/>
      <c r="D164" s="63"/>
      <c r="E164" s="63"/>
      <c r="F164" s="63"/>
      <c r="K164" s="98"/>
      <c r="L164" s="98"/>
    </row>
    <row r="165" spans="1:12" x14ac:dyDescent="0.25">
      <c r="A165" s="9"/>
      <c r="B165" s="61"/>
      <c r="D165" s="63"/>
      <c r="E165" s="63"/>
      <c r="F165" s="63"/>
      <c r="K165" s="98"/>
      <c r="L165" s="98"/>
    </row>
    <row r="166" spans="1:12" x14ac:dyDescent="0.25">
      <c r="A166" s="9"/>
      <c r="B166" s="61"/>
      <c r="D166" s="63"/>
      <c r="E166" s="63"/>
      <c r="F166" s="63"/>
      <c r="K166" s="98"/>
      <c r="L166" s="98"/>
    </row>
    <row r="167" spans="1:12" x14ac:dyDescent="0.25">
      <c r="A167" s="9"/>
      <c r="B167" s="61"/>
      <c r="D167" s="63"/>
      <c r="E167" s="63"/>
      <c r="F167" s="63"/>
      <c r="K167" s="98"/>
      <c r="L167" s="98"/>
    </row>
    <row r="168" spans="1:12" x14ac:dyDescent="0.25">
      <c r="A168" s="9"/>
      <c r="B168" s="61"/>
      <c r="D168" s="63"/>
      <c r="E168" s="63"/>
      <c r="F168" s="63"/>
      <c r="K168" s="98"/>
      <c r="L168" s="98"/>
    </row>
    <row r="169" spans="1:12" x14ac:dyDescent="0.25">
      <c r="A169" s="9"/>
      <c r="B169" s="61"/>
      <c r="D169" s="63"/>
      <c r="E169" s="63"/>
      <c r="F169" s="63"/>
      <c r="K169" s="98"/>
      <c r="L169" s="98"/>
    </row>
    <row r="170" spans="1:12" x14ac:dyDescent="0.25">
      <c r="A170" s="9"/>
      <c r="B170" s="61"/>
      <c r="D170" s="63"/>
      <c r="E170" s="63"/>
      <c r="F170" s="63"/>
      <c r="K170" s="98"/>
      <c r="L170" s="98"/>
    </row>
    <row r="171" spans="1:12" x14ac:dyDescent="0.25">
      <c r="A171" s="9"/>
      <c r="B171" s="61"/>
      <c r="D171" s="63"/>
      <c r="E171" s="63"/>
      <c r="F171" s="63"/>
      <c r="K171" s="98"/>
      <c r="L171" s="98"/>
    </row>
    <row r="172" spans="1:12" x14ac:dyDescent="0.25">
      <c r="A172" s="9"/>
      <c r="B172" s="61"/>
      <c r="D172" s="63"/>
      <c r="E172" s="63"/>
      <c r="F172" s="63"/>
      <c r="K172" s="98"/>
      <c r="L172" s="98"/>
    </row>
    <row r="173" spans="1:12" x14ac:dyDescent="0.25">
      <c r="A173" s="9"/>
      <c r="B173" s="61"/>
      <c r="D173" s="63"/>
      <c r="E173" s="63"/>
      <c r="F173" s="63"/>
      <c r="K173" s="98"/>
      <c r="L173" s="98"/>
    </row>
    <row r="174" spans="1:12" x14ac:dyDescent="0.25">
      <c r="A174" s="9"/>
      <c r="B174" s="61"/>
      <c r="D174" s="63"/>
      <c r="E174" s="63"/>
      <c r="F174" s="63"/>
      <c r="K174" s="98"/>
      <c r="L174" s="98"/>
    </row>
    <row r="175" spans="1:12" x14ac:dyDescent="0.25">
      <c r="A175" s="9"/>
      <c r="B175" s="61"/>
      <c r="D175" s="63"/>
      <c r="E175" s="63"/>
      <c r="F175" s="63"/>
      <c r="K175" s="98"/>
      <c r="L175" s="98"/>
    </row>
    <row r="176" spans="1:12" x14ac:dyDescent="0.25">
      <c r="A176" s="9"/>
      <c r="B176" s="61"/>
      <c r="D176" s="63"/>
      <c r="E176" s="63"/>
      <c r="F176" s="63"/>
      <c r="K176" s="98"/>
      <c r="L176" s="98"/>
    </row>
    <row r="177" spans="1:12" x14ac:dyDescent="0.25">
      <c r="A177" s="9"/>
      <c r="B177" s="61"/>
      <c r="D177" s="63"/>
      <c r="E177" s="63"/>
      <c r="F177" s="63"/>
      <c r="K177" s="98"/>
      <c r="L177" s="98"/>
    </row>
    <row r="178" spans="1:12" x14ac:dyDescent="0.25">
      <c r="A178" s="9"/>
      <c r="B178" s="61"/>
      <c r="D178" s="63"/>
      <c r="E178" s="63"/>
      <c r="F178" s="63"/>
      <c r="K178" s="98"/>
      <c r="L178" s="98"/>
    </row>
    <row r="179" spans="1:12" x14ac:dyDescent="0.25">
      <c r="A179" s="9"/>
      <c r="B179" s="61"/>
      <c r="D179" s="63"/>
      <c r="E179" s="63"/>
      <c r="F179" s="63"/>
      <c r="K179" s="98"/>
      <c r="L179" s="98"/>
    </row>
    <row r="180" spans="1:12" x14ac:dyDescent="0.25">
      <c r="A180" s="9"/>
      <c r="B180" s="61"/>
      <c r="D180" s="63"/>
      <c r="E180" s="63"/>
      <c r="F180" s="63"/>
      <c r="K180" s="98"/>
      <c r="L180" s="98"/>
    </row>
    <row r="181" spans="1:12" x14ac:dyDescent="0.25">
      <c r="A181" s="9"/>
      <c r="B181" s="61"/>
      <c r="D181" s="63"/>
      <c r="E181" s="63"/>
      <c r="F181" s="63"/>
      <c r="K181" s="98"/>
      <c r="L181" s="98"/>
    </row>
    <row r="182" spans="1:12" x14ac:dyDescent="0.25">
      <c r="A182" s="9"/>
      <c r="B182" s="61"/>
      <c r="D182" s="63"/>
      <c r="E182" s="63"/>
      <c r="F182" s="63"/>
      <c r="K182" s="98"/>
      <c r="L182" s="98"/>
    </row>
    <row r="183" spans="1:12" x14ac:dyDescent="0.25">
      <c r="A183" s="9"/>
      <c r="B183" s="61"/>
      <c r="D183" s="63"/>
      <c r="E183" s="63"/>
      <c r="F183" s="63"/>
      <c r="K183" s="98"/>
      <c r="L183" s="98"/>
    </row>
    <row r="184" spans="1:12" x14ac:dyDescent="0.25">
      <c r="A184" s="9"/>
      <c r="B184" s="61"/>
      <c r="D184" s="63"/>
      <c r="E184" s="63"/>
      <c r="F184" s="63"/>
      <c r="K184" s="98"/>
      <c r="L184" s="98"/>
    </row>
    <row r="185" spans="1:12" x14ac:dyDescent="0.25">
      <c r="A185" s="9"/>
      <c r="B185" s="61"/>
      <c r="D185" s="63"/>
      <c r="E185" s="63"/>
      <c r="F185" s="63"/>
      <c r="K185" s="98"/>
      <c r="L185" s="98"/>
    </row>
    <row r="186" spans="1:12" x14ac:dyDescent="0.25">
      <c r="A186" s="9"/>
      <c r="B186" s="61"/>
      <c r="D186" s="63"/>
      <c r="E186" s="63"/>
      <c r="F186" s="63"/>
      <c r="K186" s="98"/>
      <c r="L186" s="98"/>
    </row>
    <row r="187" spans="1:12" x14ac:dyDescent="0.25">
      <c r="A187" s="9"/>
      <c r="B187" s="61"/>
      <c r="D187" s="63"/>
      <c r="E187" s="63"/>
      <c r="F187" s="63"/>
      <c r="K187" s="98"/>
      <c r="L187" s="98"/>
    </row>
    <row r="188" spans="1:12" x14ac:dyDescent="0.25">
      <c r="A188" s="9"/>
      <c r="B188" s="61"/>
      <c r="D188" s="63"/>
      <c r="E188" s="63"/>
      <c r="F188" s="63"/>
      <c r="K188" s="98"/>
      <c r="L188" s="98"/>
    </row>
    <row r="189" spans="1:12" x14ac:dyDescent="0.25">
      <c r="A189" s="9"/>
      <c r="B189" s="61"/>
      <c r="D189" s="63"/>
      <c r="E189" s="63"/>
      <c r="F189" s="63"/>
      <c r="K189" s="98"/>
      <c r="L189" s="98"/>
    </row>
    <row r="190" spans="1:12" x14ac:dyDescent="0.25">
      <c r="A190" s="9"/>
      <c r="B190" s="61"/>
      <c r="D190" s="63"/>
      <c r="E190" s="63"/>
      <c r="F190" s="63"/>
      <c r="K190" s="98"/>
      <c r="L190" s="98"/>
    </row>
    <row r="191" spans="1:12" x14ac:dyDescent="0.25">
      <c r="A191" s="9"/>
      <c r="B191" s="61"/>
      <c r="D191" s="63"/>
      <c r="E191" s="63"/>
      <c r="F191" s="63"/>
      <c r="K191" s="98"/>
      <c r="L191" s="98"/>
    </row>
    <row r="192" spans="1:12" x14ac:dyDescent="0.25">
      <c r="A192" s="9"/>
      <c r="B192" s="61"/>
      <c r="D192" s="63"/>
      <c r="E192" s="63"/>
      <c r="F192" s="63"/>
      <c r="K192" s="98"/>
      <c r="L192" s="98"/>
    </row>
    <row r="193" spans="1:12" x14ac:dyDescent="0.25">
      <c r="A193" s="9"/>
      <c r="B193" s="61"/>
      <c r="D193" s="63"/>
      <c r="E193" s="63"/>
      <c r="F193" s="63"/>
      <c r="K193" s="98"/>
      <c r="L193" s="98"/>
    </row>
    <row r="194" spans="1:12" x14ac:dyDescent="0.25">
      <c r="A194" s="9"/>
      <c r="B194" s="61"/>
      <c r="D194" s="63"/>
      <c r="E194" s="63"/>
      <c r="F194" s="63"/>
      <c r="K194" s="98"/>
      <c r="L194" s="98"/>
    </row>
    <row r="195" spans="1:12" x14ac:dyDescent="0.25">
      <c r="A195" s="9"/>
      <c r="B195" s="61"/>
      <c r="D195" s="63"/>
      <c r="E195" s="63"/>
      <c r="F195" s="63"/>
      <c r="K195" s="98"/>
      <c r="L195" s="98"/>
    </row>
    <row r="196" spans="1:12" x14ac:dyDescent="0.25">
      <c r="A196" s="9"/>
      <c r="B196" s="61"/>
      <c r="D196" s="63"/>
      <c r="E196" s="63"/>
      <c r="F196" s="63"/>
      <c r="K196" s="98"/>
      <c r="L196" s="98"/>
    </row>
    <row r="197" spans="1:12" x14ac:dyDescent="0.25">
      <c r="A197" s="9"/>
      <c r="B197" s="61"/>
      <c r="D197" s="63"/>
      <c r="E197" s="63"/>
      <c r="F197" s="63"/>
      <c r="K197" s="98"/>
      <c r="L197" s="98"/>
    </row>
    <row r="198" spans="1:12" x14ac:dyDescent="0.25">
      <c r="A198" s="9"/>
      <c r="B198" s="61"/>
      <c r="D198" s="63"/>
      <c r="E198" s="63"/>
      <c r="F198" s="63"/>
      <c r="K198" s="98"/>
      <c r="L198" s="98"/>
    </row>
    <row r="199" spans="1:12" x14ac:dyDescent="0.25">
      <c r="A199" s="9"/>
      <c r="B199" s="61"/>
      <c r="D199" s="63"/>
      <c r="E199" s="63"/>
      <c r="F199" s="63"/>
      <c r="K199" s="98"/>
      <c r="L199" s="98"/>
    </row>
    <row r="200" spans="1:12" x14ac:dyDescent="0.25">
      <c r="A200" s="9"/>
      <c r="B200" s="61"/>
      <c r="D200" s="63"/>
      <c r="E200" s="63"/>
      <c r="F200" s="63"/>
      <c r="K200" s="98"/>
      <c r="L200" s="98"/>
    </row>
    <row r="201" spans="1:12" x14ac:dyDescent="0.25">
      <c r="A201" s="9"/>
      <c r="B201" s="61"/>
      <c r="D201" s="63"/>
      <c r="E201" s="63"/>
      <c r="F201" s="63"/>
      <c r="K201" s="98"/>
      <c r="L201" s="98"/>
    </row>
    <row r="202" spans="1:12" x14ac:dyDescent="0.25">
      <c r="A202" s="9"/>
      <c r="B202" s="61"/>
      <c r="D202" s="63"/>
      <c r="E202" s="63"/>
      <c r="F202" s="63"/>
      <c r="K202" s="98"/>
      <c r="L202" s="98"/>
    </row>
    <row r="203" spans="1:12" x14ac:dyDescent="0.25">
      <c r="A203" s="9"/>
      <c r="B203" s="61"/>
      <c r="D203" s="63"/>
      <c r="E203" s="63"/>
      <c r="F203" s="63"/>
      <c r="K203" s="98"/>
      <c r="L203" s="98"/>
    </row>
    <row r="204" spans="1:12" x14ac:dyDescent="0.25">
      <c r="A204" s="9"/>
      <c r="B204" s="61"/>
      <c r="D204" s="63"/>
      <c r="E204" s="63"/>
      <c r="F204" s="63"/>
      <c r="K204" s="98"/>
      <c r="L204" s="98"/>
    </row>
    <row r="205" spans="1:12" x14ac:dyDescent="0.25">
      <c r="A205" s="9"/>
      <c r="B205" s="61"/>
      <c r="D205" s="63"/>
      <c r="E205" s="63"/>
      <c r="F205" s="63"/>
      <c r="K205" s="98"/>
      <c r="L205" s="98"/>
    </row>
    <row r="206" spans="1:12" x14ac:dyDescent="0.25">
      <c r="A206" s="9"/>
      <c r="B206" s="61"/>
      <c r="D206" s="63"/>
      <c r="E206" s="63"/>
      <c r="F206" s="63"/>
      <c r="K206" s="98"/>
      <c r="L206" s="98"/>
    </row>
    <row r="207" spans="1:12" x14ac:dyDescent="0.25">
      <c r="A207" s="9"/>
      <c r="B207" s="61"/>
      <c r="D207" s="63"/>
      <c r="E207" s="63"/>
      <c r="F207" s="63"/>
      <c r="K207" s="98"/>
      <c r="L207" s="98"/>
    </row>
    <row r="208" spans="1:12" x14ac:dyDescent="0.25">
      <c r="A208" s="9"/>
      <c r="B208" s="61"/>
      <c r="D208" s="63"/>
      <c r="E208" s="63"/>
      <c r="F208" s="63"/>
      <c r="K208" s="98"/>
      <c r="L208" s="98"/>
    </row>
    <row r="209" spans="1:12" x14ac:dyDescent="0.25">
      <c r="A209" s="9"/>
      <c r="B209" s="61"/>
      <c r="D209" s="63"/>
      <c r="E209" s="63"/>
      <c r="F209" s="63"/>
      <c r="K209" s="98"/>
      <c r="L209" s="98"/>
    </row>
    <row r="210" spans="1:12" x14ac:dyDescent="0.25">
      <c r="A210" s="9"/>
      <c r="B210" s="61"/>
      <c r="D210" s="63"/>
      <c r="E210" s="63"/>
      <c r="F210" s="63"/>
      <c r="K210" s="98"/>
      <c r="L210" s="98"/>
    </row>
    <row r="211" spans="1:12" x14ac:dyDescent="0.25">
      <c r="A211" s="9"/>
      <c r="B211" s="61"/>
      <c r="D211" s="63"/>
      <c r="E211" s="63"/>
      <c r="F211" s="63"/>
      <c r="K211" s="98"/>
      <c r="L211" s="98"/>
    </row>
    <row r="212" spans="1:12" x14ac:dyDescent="0.25">
      <c r="A212" s="9"/>
      <c r="B212" s="61"/>
      <c r="D212" s="63"/>
      <c r="E212" s="63"/>
      <c r="F212" s="63"/>
      <c r="K212" s="98"/>
      <c r="L212" s="98"/>
    </row>
    <row r="213" spans="1:12" x14ac:dyDescent="0.25">
      <c r="A213" s="9"/>
      <c r="B213" s="61"/>
      <c r="D213" s="63"/>
      <c r="E213" s="63"/>
      <c r="F213" s="63"/>
      <c r="K213" s="98"/>
      <c r="L213" s="98"/>
    </row>
    <row r="214" spans="1:12" x14ac:dyDescent="0.25">
      <c r="A214" s="9"/>
      <c r="B214" s="61"/>
      <c r="D214" s="63"/>
      <c r="E214" s="63"/>
      <c r="F214" s="63"/>
      <c r="K214" s="98"/>
      <c r="L214" s="98"/>
    </row>
    <row r="215" spans="1:12" x14ac:dyDescent="0.25">
      <c r="A215" s="9"/>
      <c r="B215" s="61"/>
      <c r="D215" s="63"/>
      <c r="E215" s="63"/>
      <c r="F215" s="63"/>
      <c r="K215" s="98"/>
      <c r="L215" s="98"/>
    </row>
    <row r="216" spans="1:12" x14ac:dyDescent="0.25">
      <c r="A216" s="9"/>
      <c r="B216" s="61"/>
      <c r="D216" s="63"/>
      <c r="E216" s="63"/>
      <c r="F216" s="63"/>
      <c r="K216" s="98"/>
      <c r="L216" s="98"/>
    </row>
    <row r="217" spans="1:12" x14ac:dyDescent="0.25">
      <c r="A217" s="9"/>
      <c r="B217" s="61"/>
      <c r="D217" s="63"/>
      <c r="E217" s="63"/>
      <c r="F217" s="63"/>
      <c r="K217" s="98"/>
      <c r="L217" s="98"/>
    </row>
    <row r="218" spans="1:12" x14ac:dyDescent="0.25">
      <c r="A218" s="9"/>
      <c r="B218" s="61"/>
      <c r="D218" s="63"/>
      <c r="E218" s="63"/>
      <c r="F218" s="63"/>
      <c r="K218" s="98"/>
      <c r="L218" s="98"/>
    </row>
    <row r="219" spans="1:12" x14ac:dyDescent="0.25">
      <c r="A219" s="9"/>
      <c r="B219" s="61"/>
      <c r="D219" s="63"/>
      <c r="E219" s="63"/>
      <c r="F219" s="63"/>
      <c r="K219" s="98"/>
      <c r="L219" s="98"/>
    </row>
    <row r="220" spans="1:12" x14ac:dyDescent="0.25">
      <c r="A220" s="9"/>
      <c r="B220" s="61"/>
      <c r="D220" s="63"/>
      <c r="E220" s="63"/>
      <c r="F220" s="63"/>
      <c r="K220" s="98"/>
      <c r="L220" s="98"/>
    </row>
    <row r="221" spans="1:12" x14ac:dyDescent="0.25">
      <c r="A221" s="9"/>
      <c r="B221" s="61"/>
      <c r="D221" s="63"/>
      <c r="E221" s="63"/>
      <c r="F221" s="63"/>
      <c r="K221" s="98"/>
      <c r="L221" s="98"/>
    </row>
    <row r="222" spans="1:12" x14ac:dyDescent="0.25">
      <c r="A222" s="9"/>
      <c r="B222" s="61"/>
      <c r="D222" s="63"/>
      <c r="E222" s="63"/>
      <c r="F222" s="63"/>
      <c r="K222" s="98"/>
      <c r="L222" s="98"/>
    </row>
    <row r="223" spans="1:12" x14ac:dyDescent="0.25">
      <c r="A223" s="9"/>
      <c r="B223" s="61"/>
      <c r="D223" s="63"/>
      <c r="E223" s="63"/>
      <c r="F223" s="63"/>
      <c r="K223" s="98"/>
      <c r="L223" s="98"/>
    </row>
    <row r="224" spans="1:12" x14ac:dyDescent="0.25">
      <c r="A224" s="9"/>
      <c r="B224" s="61"/>
      <c r="D224" s="63"/>
      <c r="E224" s="63"/>
      <c r="F224" s="63"/>
      <c r="K224" s="98"/>
      <c r="L224" s="98"/>
    </row>
    <row r="225" spans="1:12" x14ac:dyDescent="0.25">
      <c r="A225" s="9"/>
      <c r="B225" s="61"/>
      <c r="D225" s="63"/>
      <c r="E225" s="63"/>
      <c r="F225" s="63"/>
      <c r="K225" s="98"/>
      <c r="L225" s="98"/>
    </row>
    <row r="226" spans="1:12" x14ac:dyDescent="0.25">
      <c r="A226" s="9"/>
      <c r="B226" s="61"/>
      <c r="D226" s="63"/>
      <c r="E226" s="63"/>
      <c r="F226" s="63"/>
      <c r="K226" s="98"/>
      <c r="L226" s="98"/>
    </row>
    <row r="227" spans="1:12" x14ac:dyDescent="0.25">
      <c r="A227" s="9"/>
      <c r="B227" s="61"/>
      <c r="D227" s="63"/>
      <c r="E227" s="63"/>
      <c r="F227" s="63"/>
      <c r="K227" s="98"/>
      <c r="L227" s="98"/>
    </row>
    <row r="228" spans="1:12" x14ac:dyDescent="0.25">
      <c r="A228" s="9"/>
      <c r="B228" s="61"/>
      <c r="D228" s="63"/>
      <c r="E228" s="63"/>
      <c r="F228" s="63"/>
      <c r="K228" s="98"/>
      <c r="L228" s="98"/>
    </row>
    <row r="229" spans="1:12" x14ac:dyDescent="0.25">
      <c r="A229" s="9"/>
      <c r="B229" s="61"/>
      <c r="D229" s="63"/>
      <c r="E229" s="63"/>
      <c r="F229" s="63"/>
      <c r="K229" s="98"/>
      <c r="L229" s="98"/>
    </row>
    <row r="230" spans="1:12" x14ac:dyDescent="0.25">
      <c r="A230" s="9"/>
      <c r="B230" s="61"/>
      <c r="D230" s="63"/>
      <c r="E230" s="63"/>
      <c r="F230" s="63"/>
      <c r="K230" s="98"/>
      <c r="L230" s="98"/>
    </row>
    <row r="231" spans="1:12" x14ac:dyDescent="0.25">
      <c r="A231" s="9"/>
      <c r="B231" s="61"/>
      <c r="D231" s="63"/>
      <c r="E231" s="63"/>
      <c r="F231" s="63"/>
      <c r="K231" s="98"/>
      <c r="L231" s="98"/>
    </row>
    <row r="232" spans="1:12" x14ac:dyDescent="0.25">
      <c r="A232" s="9"/>
      <c r="B232" s="61"/>
      <c r="D232" s="63"/>
      <c r="E232" s="63"/>
      <c r="F232" s="63"/>
      <c r="K232" s="98"/>
      <c r="L232" s="98"/>
    </row>
    <row r="233" spans="1:12" x14ac:dyDescent="0.25">
      <c r="A233" s="9"/>
      <c r="B233" s="61"/>
      <c r="D233" s="63"/>
      <c r="E233" s="63"/>
      <c r="F233" s="63"/>
      <c r="K233" s="98"/>
      <c r="L233" s="98"/>
    </row>
    <row r="234" spans="1:12" x14ac:dyDescent="0.25">
      <c r="A234" s="9"/>
      <c r="B234" s="61"/>
      <c r="D234" s="63"/>
      <c r="E234" s="63"/>
      <c r="F234" s="63"/>
      <c r="K234" s="98"/>
      <c r="L234" s="98"/>
    </row>
    <row r="235" spans="1:12" x14ac:dyDescent="0.25">
      <c r="A235" s="9"/>
      <c r="B235" s="61"/>
      <c r="D235" s="63"/>
      <c r="E235" s="63"/>
      <c r="F235" s="63"/>
      <c r="K235" s="98"/>
      <c r="L235" s="98"/>
    </row>
    <row r="236" spans="1:12" x14ac:dyDescent="0.25">
      <c r="A236" s="9"/>
      <c r="B236" s="61"/>
      <c r="D236" s="63"/>
      <c r="E236" s="63"/>
      <c r="F236" s="63"/>
      <c r="K236" s="98"/>
      <c r="L236" s="98"/>
    </row>
    <row r="237" spans="1:12" x14ac:dyDescent="0.25">
      <c r="A237" s="9"/>
      <c r="B237" s="61"/>
      <c r="D237" s="63"/>
      <c r="E237" s="63"/>
      <c r="F237" s="63"/>
      <c r="K237" s="98"/>
      <c r="L237" s="98"/>
    </row>
    <row r="238" spans="1:12" x14ac:dyDescent="0.25">
      <c r="A238" s="9"/>
      <c r="B238" s="61"/>
      <c r="D238" s="63"/>
      <c r="E238" s="63"/>
      <c r="F238" s="63"/>
      <c r="K238" s="98"/>
      <c r="L238" s="98"/>
    </row>
    <row r="239" spans="1:12" x14ac:dyDescent="0.25">
      <c r="A239" s="9"/>
      <c r="B239" s="61"/>
      <c r="D239" s="63"/>
      <c r="E239" s="63"/>
      <c r="F239" s="63"/>
      <c r="K239" s="98"/>
      <c r="L239" s="98"/>
    </row>
    <row r="240" spans="1:12" x14ac:dyDescent="0.25">
      <c r="A240" s="9"/>
      <c r="B240" s="61"/>
      <c r="D240" s="63"/>
      <c r="E240" s="63"/>
      <c r="F240" s="63"/>
      <c r="K240" s="98"/>
      <c r="L240" s="98"/>
    </row>
    <row r="241" spans="1:12" x14ac:dyDescent="0.25">
      <c r="A241" s="9"/>
      <c r="B241" s="61"/>
      <c r="D241" s="63"/>
      <c r="E241" s="63"/>
      <c r="F241" s="63"/>
      <c r="K241" s="98"/>
      <c r="L241" s="98"/>
    </row>
    <row r="242" spans="1:12" x14ac:dyDescent="0.25">
      <c r="A242" s="9"/>
      <c r="B242" s="61"/>
      <c r="D242" s="63"/>
      <c r="E242" s="63"/>
      <c r="F242" s="63"/>
      <c r="K242" s="98"/>
      <c r="L242" s="98"/>
    </row>
    <row r="243" spans="1:12" x14ac:dyDescent="0.25">
      <c r="A243" s="9"/>
      <c r="B243" s="61"/>
      <c r="D243" s="63"/>
      <c r="E243" s="63"/>
      <c r="F243" s="63"/>
      <c r="K243" s="98"/>
      <c r="L243" s="98"/>
    </row>
    <row r="244" spans="1:12" x14ac:dyDescent="0.25">
      <c r="A244" s="9"/>
      <c r="B244" s="61"/>
      <c r="D244" s="63"/>
      <c r="E244" s="63"/>
      <c r="F244" s="63"/>
      <c r="K244" s="98"/>
      <c r="L244" s="98"/>
    </row>
    <row r="245" spans="1:12" x14ac:dyDescent="0.25">
      <c r="A245" s="9"/>
      <c r="B245" s="61"/>
      <c r="D245" s="63"/>
      <c r="E245" s="63"/>
      <c r="F245" s="63"/>
      <c r="K245" s="98"/>
      <c r="L245" s="98"/>
    </row>
    <row r="246" spans="1:12" x14ac:dyDescent="0.25">
      <c r="A246" s="9"/>
      <c r="B246" s="61"/>
      <c r="D246" s="63"/>
      <c r="E246" s="63"/>
      <c r="F246" s="63"/>
      <c r="K246" s="98"/>
      <c r="L246" s="98"/>
    </row>
    <row r="247" spans="1:12" x14ac:dyDescent="0.25">
      <c r="A247" s="9"/>
      <c r="B247" s="61"/>
      <c r="D247" s="63"/>
      <c r="E247" s="63"/>
      <c r="F247" s="63"/>
      <c r="K247" s="98"/>
      <c r="L247" s="98"/>
    </row>
    <row r="248" spans="1:12" x14ac:dyDescent="0.25">
      <c r="A248" s="9"/>
      <c r="B248" s="61"/>
      <c r="D248" s="63"/>
      <c r="E248" s="63"/>
      <c r="F248" s="63"/>
      <c r="K248" s="98"/>
      <c r="L248" s="98"/>
    </row>
    <row r="249" spans="1:12" x14ac:dyDescent="0.25">
      <c r="A249" s="9"/>
      <c r="B249" s="61"/>
      <c r="D249" s="63"/>
      <c r="E249" s="63"/>
      <c r="F249" s="63"/>
      <c r="K249" s="98"/>
      <c r="L249" s="98"/>
    </row>
    <row r="250" spans="1:12" x14ac:dyDescent="0.25">
      <c r="A250" s="9"/>
      <c r="B250" s="61"/>
      <c r="D250" s="63"/>
      <c r="E250" s="63"/>
      <c r="F250" s="63"/>
      <c r="K250" s="98"/>
      <c r="L250" s="98"/>
    </row>
    <row r="251" spans="1:12" x14ac:dyDescent="0.25">
      <c r="A251" s="9"/>
      <c r="B251" s="61"/>
      <c r="D251" s="63"/>
      <c r="E251" s="63"/>
      <c r="F251" s="63"/>
      <c r="K251" s="98"/>
      <c r="L251" s="98"/>
    </row>
    <row r="252" spans="1:12" x14ac:dyDescent="0.25">
      <c r="A252" s="9"/>
      <c r="B252" s="61"/>
      <c r="D252" s="63"/>
      <c r="E252" s="63"/>
      <c r="F252" s="63"/>
      <c r="K252" s="98"/>
      <c r="L252" s="98"/>
    </row>
    <row r="253" spans="1:12" x14ac:dyDescent="0.25">
      <c r="A253" s="9"/>
      <c r="B253" s="61"/>
      <c r="D253" s="63"/>
      <c r="E253" s="63"/>
      <c r="F253" s="63"/>
      <c r="K253" s="98"/>
      <c r="L253" s="98"/>
    </row>
    <row r="254" spans="1:12" x14ac:dyDescent="0.25">
      <c r="A254" s="9"/>
      <c r="B254" s="61"/>
      <c r="D254" s="63"/>
      <c r="E254" s="63"/>
      <c r="F254" s="63"/>
      <c r="K254" s="98"/>
      <c r="L254" s="98"/>
    </row>
    <row r="255" spans="1:12" x14ac:dyDescent="0.25">
      <c r="A255" s="9"/>
      <c r="B255" s="61"/>
      <c r="D255" s="63"/>
      <c r="E255" s="63"/>
      <c r="F255" s="63"/>
      <c r="K255" s="98"/>
      <c r="L255" s="98"/>
    </row>
    <row r="256" spans="1:12" x14ac:dyDescent="0.25">
      <c r="A256" s="9"/>
      <c r="B256" s="61"/>
      <c r="D256" s="63"/>
      <c r="E256" s="63"/>
      <c r="F256" s="63"/>
      <c r="K256" s="98"/>
      <c r="L256" s="98"/>
    </row>
    <row r="257" spans="1:12" x14ac:dyDescent="0.25">
      <c r="A257" s="9"/>
      <c r="B257" s="61"/>
      <c r="D257" s="63"/>
      <c r="E257" s="63"/>
      <c r="F257" s="63"/>
      <c r="K257" s="98"/>
      <c r="L257" s="98"/>
    </row>
    <row r="258" spans="1:12" x14ac:dyDescent="0.25">
      <c r="A258" s="9"/>
      <c r="B258" s="61"/>
      <c r="D258" s="63"/>
      <c r="E258" s="63"/>
      <c r="F258" s="63"/>
      <c r="K258" s="98"/>
      <c r="L258" s="98"/>
    </row>
    <row r="259" spans="1:12" x14ac:dyDescent="0.25">
      <c r="A259" s="9"/>
      <c r="B259" s="61"/>
      <c r="D259" s="63"/>
      <c r="E259" s="63"/>
      <c r="F259" s="63"/>
      <c r="K259" s="98"/>
      <c r="L259" s="98"/>
    </row>
    <row r="260" spans="1:12" x14ac:dyDescent="0.25">
      <c r="A260" s="9"/>
      <c r="B260" s="61"/>
      <c r="D260" s="63"/>
      <c r="E260" s="63"/>
      <c r="F260" s="63"/>
      <c r="K260" s="98"/>
      <c r="L260" s="98"/>
    </row>
    <row r="261" spans="1:12" x14ac:dyDescent="0.25">
      <c r="A261" s="9"/>
      <c r="B261" s="61"/>
      <c r="D261" s="63"/>
      <c r="E261" s="63"/>
      <c r="F261" s="63"/>
      <c r="K261" s="98"/>
      <c r="L261" s="98"/>
    </row>
    <row r="262" spans="1:12" x14ac:dyDescent="0.25">
      <c r="A262" s="9"/>
      <c r="B262" s="61"/>
      <c r="D262" s="63"/>
      <c r="E262" s="63"/>
      <c r="F262" s="63"/>
      <c r="K262" s="98"/>
      <c r="L262" s="98"/>
    </row>
    <row r="263" spans="1:12" x14ac:dyDescent="0.25">
      <c r="A263" s="9"/>
      <c r="B263" s="61"/>
      <c r="D263" s="63"/>
      <c r="E263" s="63"/>
      <c r="F263" s="63"/>
      <c r="K263" s="98"/>
      <c r="L263" s="98"/>
    </row>
    <row r="264" spans="1:12" x14ac:dyDescent="0.25">
      <c r="A264" s="9"/>
      <c r="B264" s="61"/>
      <c r="D264" s="63"/>
      <c r="E264" s="63"/>
      <c r="F264" s="63"/>
      <c r="K264" s="98"/>
      <c r="L264" s="98"/>
    </row>
    <row r="265" spans="1:12" x14ac:dyDescent="0.25">
      <c r="A265" s="9"/>
      <c r="B265" s="61"/>
      <c r="D265" s="63"/>
      <c r="E265" s="63"/>
      <c r="F265" s="63"/>
      <c r="K265" s="98"/>
      <c r="L265" s="98"/>
    </row>
    <row r="266" spans="1:12" x14ac:dyDescent="0.25">
      <c r="A266" s="9"/>
      <c r="B266" s="61"/>
      <c r="D266" s="63"/>
      <c r="E266" s="63"/>
      <c r="F266" s="63"/>
      <c r="K266" s="98"/>
      <c r="L266" s="98"/>
    </row>
    <row r="267" spans="1:12" x14ac:dyDescent="0.25">
      <c r="A267" s="9"/>
      <c r="B267" s="61"/>
      <c r="D267" s="63"/>
      <c r="E267" s="63"/>
      <c r="F267" s="63"/>
      <c r="K267" s="98"/>
      <c r="L267" s="98"/>
    </row>
    <row r="268" spans="1:12" x14ac:dyDescent="0.25">
      <c r="A268" s="9"/>
      <c r="B268" s="61"/>
      <c r="D268" s="63"/>
      <c r="E268" s="63"/>
      <c r="F268" s="63"/>
      <c r="K268" s="98"/>
      <c r="L268" s="98"/>
    </row>
    <row r="269" spans="1:12" x14ac:dyDescent="0.25">
      <c r="A269" s="9"/>
      <c r="B269" s="61"/>
      <c r="D269" s="63"/>
      <c r="E269" s="63"/>
      <c r="F269" s="63"/>
      <c r="K269" s="98"/>
      <c r="L269" s="98"/>
    </row>
    <row r="270" spans="1:12" x14ac:dyDescent="0.25">
      <c r="A270" s="9"/>
      <c r="B270" s="61"/>
      <c r="D270" s="63"/>
      <c r="E270" s="63"/>
      <c r="F270" s="63"/>
      <c r="K270" s="98"/>
      <c r="L270" s="98"/>
    </row>
    <row r="271" spans="1:12" x14ac:dyDescent="0.25">
      <c r="A271" s="9"/>
      <c r="B271" s="61"/>
      <c r="D271" s="63"/>
      <c r="E271" s="63"/>
      <c r="F271" s="63"/>
      <c r="K271" s="98"/>
      <c r="L271" s="98"/>
    </row>
    <row r="272" spans="1:12" x14ac:dyDescent="0.25">
      <c r="A272" s="9"/>
      <c r="B272" s="61"/>
      <c r="D272" s="63"/>
      <c r="E272" s="63"/>
      <c r="F272" s="63"/>
      <c r="K272" s="98"/>
      <c r="L272" s="98"/>
    </row>
    <row r="273" spans="1:12" x14ac:dyDescent="0.25">
      <c r="A273" s="9"/>
      <c r="B273" s="61"/>
      <c r="D273" s="63"/>
      <c r="E273" s="63"/>
      <c r="F273" s="63"/>
      <c r="K273" s="98"/>
      <c r="L273" s="98"/>
    </row>
    <row r="274" spans="1:12" x14ac:dyDescent="0.25">
      <c r="A274" s="9"/>
      <c r="B274" s="61"/>
      <c r="D274" s="63"/>
      <c r="E274" s="63"/>
      <c r="F274" s="63"/>
      <c r="K274" s="98"/>
      <c r="L274" s="98"/>
    </row>
    <row r="275" spans="1:12" x14ac:dyDescent="0.25">
      <c r="A275" s="9"/>
      <c r="B275" s="61"/>
      <c r="D275" s="63"/>
      <c r="E275" s="63"/>
      <c r="F275" s="63"/>
      <c r="K275" s="98"/>
      <c r="L275" s="98"/>
    </row>
    <row r="276" spans="1:12" x14ac:dyDescent="0.25">
      <c r="A276" s="9"/>
      <c r="B276" s="61"/>
      <c r="D276" s="63"/>
      <c r="E276" s="63"/>
      <c r="F276" s="63"/>
      <c r="K276" s="98"/>
      <c r="L276" s="98"/>
    </row>
    <row r="277" spans="1:12" x14ac:dyDescent="0.25">
      <c r="A277" s="9"/>
      <c r="B277" s="61"/>
      <c r="D277" s="63"/>
      <c r="E277" s="63"/>
      <c r="F277" s="63"/>
      <c r="K277" s="98"/>
      <c r="L277" s="98"/>
    </row>
    <row r="278" spans="1:12" x14ac:dyDescent="0.25">
      <c r="A278" s="9"/>
      <c r="B278" s="61"/>
      <c r="D278" s="63"/>
      <c r="E278" s="63"/>
      <c r="F278" s="63"/>
      <c r="K278" s="98"/>
      <c r="L278" s="98"/>
    </row>
    <row r="279" spans="1:12" x14ac:dyDescent="0.25">
      <c r="B279" s="61"/>
      <c r="D279" s="63"/>
      <c r="E279" s="63"/>
      <c r="F279" s="63"/>
      <c r="K279" s="98"/>
      <c r="L279" s="98"/>
    </row>
    <row r="280" spans="1:12" x14ac:dyDescent="0.25">
      <c r="B280" s="61"/>
      <c r="D280" s="63"/>
      <c r="E280" s="63"/>
      <c r="F280" s="63"/>
      <c r="K280" s="98"/>
      <c r="L280" s="98"/>
    </row>
    <row r="281" spans="1:12" x14ac:dyDescent="0.25">
      <c r="B281" s="61"/>
      <c r="D281" s="63"/>
      <c r="E281" s="63"/>
      <c r="F281" s="63"/>
      <c r="K281" s="98"/>
      <c r="L281" s="98"/>
    </row>
    <row r="282" spans="1:12" x14ac:dyDescent="0.25">
      <c r="B282" s="61"/>
      <c r="D282" s="63"/>
      <c r="E282" s="63"/>
      <c r="F282" s="63"/>
      <c r="K282" s="98"/>
      <c r="L282" s="98"/>
    </row>
    <row r="283" spans="1:12" x14ac:dyDescent="0.25">
      <c r="B283" s="61"/>
      <c r="D283" s="63"/>
      <c r="E283" s="63"/>
      <c r="F283" s="63"/>
      <c r="K283" s="98"/>
      <c r="L283" s="98"/>
    </row>
    <row r="284" spans="1:12" x14ac:dyDescent="0.25">
      <c r="B284" s="61"/>
      <c r="D284" s="63"/>
      <c r="E284" s="63"/>
      <c r="F284" s="63"/>
      <c r="K284" s="98"/>
      <c r="L284" s="98"/>
    </row>
    <row r="285" spans="1:12" x14ac:dyDescent="0.25">
      <c r="B285" s="61"/>
      <c r="D285" s="63"/>
      <c r="E285" s="63"/>
      <c r="F285" s="63"/>
      <c r="K285" s="98"/>
      <c r="L285" s="98"/>
    </row>
    <row r="286" spans="1:12" x14ac:dyDescent="0.25">
      <c r="B286" s="61"/>
      <c r="D286" s="63"/>
      <c r="E286" s="63"/>
      <c r="F286" s="63"/>
      <c r="K286" s="98"/>
      <c r="L286" s="98"/>
    </row>
    <row r="287" spans="1:12" x14ac:dyDescent="0.25">
      <c r="B287" s="61"/>
      <c r="D287" s="63"/>
      <c r="E287" s="63"/>
      <c r="F287" s="63"/>
      <c r="K287" s="98"/>
      <c r="L287" s="98"/>
    </row>
    <row r="288" spans="1:12" x14ac:dyDescent="0.25">
      <c r="B288" s="61"/>
      <c r="D288" s="63"/>
      <c r="E288" s="63"/>
      <c r="F288" s="63"/>
      <c r="K288" s="98"/>
      <c r="L288" s="98"/>
    </row>
    <row r="289" spans="2:12" x14ac:dyDescent="0.25">
      <c r="B289" s="61"/>
      <c r="D289" s="63"/>
      <c r="E289" s="63"/>
      <c r="F289" s="63"/>
      <c r="K289" s="98"/>
      <c r="L289" s="98"/>
    </row>
    <row r="290" spans="2:12" x14ac:dyDescent="0.25">
      <c r="B290" s="61"/>
      <c r="D290" s="63"/>
      <c r="E290" s="63"/>
      <c r="F290" s="63"/>
      <c r="K290" s="98"/>
      <c r="L290" s="98"/>
    </row>
    <row r="291" spans="2:12" x14ac:dyDescent="0.25">
      <c r="B291" s="61"/>
      <c r="D291" s="63"/>
      <c r="E291" s="63"/>
      <c r="F291" s="63"/>
      <c r="K291" s="98"/>
      <c r="L291" s="98"/>
    </row>
    <row r="292" spans="2:12" x14ac:dyDescent="0.25">
      <c r="B292" s="61"/>
      <c r="D292" s="63"/>
      <c r="E292" s="63"/>
      <c r="F292" s="63"/>
      <c r="K292" s="98"/>
      <c r="L292" s="98"/>
    </row>
    <row r="293" spans="2:12" x14ac:dyDescent="0.25">
      <c r="B293" s="61"/>
      <c r="D293" s="63"/>
      <c r="E293" s="63"/>
      <c r="F293" s="63"/>
      <c r="K293" s="98"/>
      <c r="L293" s="98"/>
    </row>
    <row r="294" spans="2:12" x14ac:dyDescent="0.25">
      <c r="B294" s="61"/>
      <c r="D294" s="63"/>
      <c r="E294" s="63"/>
      <c r="F294" s="63"/>
      <c r="K294" s="98"/>
      <c r="L294" s="98"/>
    </row>
    <row r="295" spans="2:12" x14ac:dyDescent="0.25">
      <c r="B295" s="61"/>
      <c r="D295" s="63"/>
      <c r="E295" s="63"/>
      <c r="F295" s="63"/>
      <c r="K295" s="98"/>
      <c r="L295" s="98"/>
    </row>
    <row r="296" spans="2:12" x14ac:dyDescent="0.25">
      <c r="B296" s="61"/>
      <c r="D296" s="63"/>
      <c r="E296" s="63"/>
      <c r="F296" s="63"/>
      <c r="K296" s="98"/>
      <c r="L296" s="98"/>
    </row>
    <row r="297" spans="2:12" x14ac:dyDescent="0.25">
      <c r="B297" s="61"/>
      <c r="D297" s="63"/>
      <c r="E297" s="63"/>
      <c r="F297" s="63"/>
      <c r="K297" s="98"/>
      <c r="L297" s="98"/>
    </row>
    <row r="298" spans="2:12" x14ac:dyDescent="0.25">
      <c r="B298" s="61"/>
      <c r="D298" s="63"/>
      <c r="E298" s="63"/>
      <c r="F298" s="63"/>
      <c r="K298" s="98"/>
      <c r="L298" s="98"/>
    </row>
    <row r="299" spans="2:12" x14ac:dyDescent="0.25">
      <c r="B299" s="61"/>
      <c r="D299" s="63"/>
      <c r="E299" s="63"/>
      <c r="F299" s="63"/>
      <c r="K299" s="98"/>
      <c r="L299" s="98"/>
    </row>
    <row r="300" spans="2:12" x14ac:dyDescent="0.25">
      <c r="B300" s="61"/>
      <c r="D300" s="63"/>
      <c r="E300" s="63"/>
      <c r="F300" s="63"/>
      <c r="K300" s="98"/>
      <c r="L300" s="98"/>
    </row>
    <row r="301" spans="2:12" x14ac:dyDescent="0.25">
      <c r="B301" s="61"/>
      <c r="D301" s="63"/>
      <c r="E301" s="63"/>
      <c r="F301" s="63"/>
      <c r="K301" s="98"/>
      <c r="L301" s="98"/>
    </row>
    <row r="302" spans="2:12" x14ac:dyDescent="0.25">
      <c r="B302" s="61"/>
      <c r="D302" s="63"/>
      <c r="E302" s="63"/>
      <c r="F302" s="63"/>
      <c r="K302" s="98"/>
      <c r="L302" s="98"/>
    </row>
    <row r="303" spans="2:12" x14ac:dyDescent="0.25">
      <c r="B303" s="61"/>
      <c r="D303" s="63"/>
      <c r="E303" s="63"/>
      <c r="F303" s="63"/>
      <c r="K303" s="98"/>
      <c r="L303" s="98"/>
    </row>
    <row r="304" spans="2:12" x14ac:dyDescent="0.25">
      <c r="B304" s="61"/>
      <c r="D304" s="63"/>
      <c r="E304" s="63"/>
      <c r="F304" s="63"/>
      <c r="K304" s="98"/>
      <c r="L304" s="98"/>
    </row>
    <row r="305" spans="2:12" x14ac:dyDescent="0.25">
      <c r="B305" s="61"/>
      <c r="D305" s="63"/>
      <c r="E305" s="63"/>
      <c r="F305" s="63"/>
      <c r="K305" s="98"/>
      <c r="L305" s="98"/>
    </row>
    <row r="306" spans="2:12" x14ac:dyDescent="0.25">
      <c r="B306" s="61"/>
      <c r="D306" s="63"/>
      <c r="E306" s="63"/>
      <c r="F306" s="63"/>
      <c r="K306" s="98"/>
      <c r="L306" s="98"/>
    </row>
    <row r="307" spans="2:12" x14ac:dyDescent="0.25">
      <c r="B307" s="61"/>
      <c r="D307" s="63"/>
      <c r="E307" s="63"/>
      <c r="F307" s="63"/>
      <c r="K307" s="98"/>
      <c r="L307" s="98"/>
    </row>
    <row r="308" spans="2:12" x14ac:dyDescent="0.25">
      <c r="B308" s="61"/>
      <c r="D308" s="63"/>
      <c r="E308" s="63"/>
      <c r="F308" s="63"/>
      <c r="K308" s="98"/>
      <c r="L308" s="98"/>
    </row>
    <row r="309" spans="2:12" x14ac:dyDescent="0.25">
      <c r="B309" s="61"/>
      <c r="D309" s="63"/>
      <c r="E309" s="63"/>
      <c r="F309" s="63"/>
      <c r="K309" s="98"/>
      <c r="L309" s="98"/>
    </row>
    <row r="310" spans="2:12" x14ac:dyDescent="0.25">
      <c r="B310" s="61"/>
      <c r="D310" s="63"/>
      <c r="E310" s="63"/>
      <c r="F310" s="63"/>
      <c r="K310" s="98"/>
      <c r="L310" s="98"/>
    </row>
    <row r="311" spans="2:12" x14ac:dyDescent="0.25">
      <c r="B311" s="61"/>
      <c r="D311" s="63"/>
      <c r="E311" s="63"/>
      <c r="F311" s="63"/>
      <c r="K311" s="98"/>
      <c r="L311" s="98"/>
    </row>
    <row r="312" spans="2:12" x14ac:dyDescent="0.25">
      <c r="B312" s="61"/>
      <c r="D312" s="63"/>
      <c r="E312" s="63"/>
      <c r="F312" s="63"/>
      <c r="K312" s="98"/>
      <c r="L312" s="98"/>
    </row>
    <row r="313" spans="2:12" x14ac:dyDescent="0.25">
      <c r="B313" s="61"/>
      <c r="D313" s="63"/>
      <c r="E313" s="63"/>
      <c r="F313" s="63"/>
      <c r="K313" s="98"/>
      <c r="L313" s="98"/>
    </row>
    <row r="314" spans="2:12" x14ac:dyDescent="0.25">
      <c r="B314" s="61"/>
      <c r="D314" s="63"/>
      <c r="E314" s="63"/>
      <c r="F314" s="63"/>
      <c r="K314" s="98"/>
      <c r="L314" s="98"/>
    </row>
    <row r="315" spans="2:12" x14ac:dyDescent="0.25">
      <c r="B315" s="61"/>
      <c r="D315" s="63"/>
      <c r="E315" s="63"/>
      <c r="F315" s="63"/>
      <c r="K315" s="98"/>
      <c r="L315" s="98"/>
    </row>
    <row r="316" spans="2:12" x14ac:dyDescent="0.25">
      <c r="B316" s="61"/>
      <c r="D316" s="63"/>
      <c r="E316" s="63"/>
      <c r="F316" s="63"/>
      <c r="K316" s="98"/>
      <c r="L316" s="98"/>
    </row>
    <row r="317" spans="2:12" x14ac:dyDescent="0.25">
      <c r="B317" s="61"/>
      <c r="D317" s="63"/>
      <c r="E317" s="63"/>
      <c r="F317" s="63"/>
      <c r="K317" s="98"/>
      <c r="L317" s="98"/>
    </row>
    <row r="318" spans="2:12" x14ac:dyDescent="0.25">
      <c r="B318" s="61"/>
      <c r="D318" s="63"/>
      <c r="E318" s="63"/>
      <c r="F318" s="63"/>
      <c r="K318" s="98"/>
      <c r="L318" s="98"/>
    </row>
    <row r="319" spans="2:12" x14ac:dyDescent="0.25">
      <c r="B319" s="61"/>
      <c r="D319" s="63"/>
      <c r="E319" s="63"/>
      <c r="F319" s="63"/>
      <c r="K319" s="98"/>
      <c r="L319" s="98"/>
    </row>
    <row r="320" spans="2:12" x14ac:dyDescent="0.25">
      <c r="B320" s="61"/>
      <c r="D320" s="63"/>
      <c r="E320" s="63"/>
      <c r="F320" s="63"/>
      <c r="K320" s="98"/>
      <c r="L320" s="98"/>
    </row>
    <row r="321" spans="2:12" x14ac:dyDescent="0.25">
      <c r="B321" s="61"/>
      <c r="D321" s="63"/>
      <c r="E321" s="63"/>
      <c r="F321" s="63"/>
      <c r="K321" s="98"/>
      <c r="L321" s="98"/>
    </row>
    <row r="322" spans="2:12" x14ac:dyDescent="0.25">
      <c r="B322" s="61"/>
      <c r="D322" s="63"/>
      <c r="E322" s="63"/>
      <c r="F322" s="63"/>
      <c r="K322" s="98"/>
      <c r="L322" s="98"/>
    </row>
    <row r="323" spans="2:12" x14ac:dyDescent="0.25">
      <c r="B323" s="61"/>
      <c r="D323" s="63"/>
      <c r="E323" s="63"/>
      <c r="F323" s="63"/>
      <c r="K323" s="98"/>
      <c r="L323" s="98"/>
    </row>
    <row r="324" spans="2:12" x14ac:dyDescent="0.25">
      <c r="B324" s="61"/>
      <c r="D324" s="63"/>
      <c r="E324" s="63"/>
      <c r="F324" s="63"/>
      <c r="K324" s="98"/>
      <c r="L324" s="98"/>
    </row>
    <row r="325" spans="2:12" x14ac:dyDescent="0.25">
      <c r="B325" s="61"/>
      <c r="D325" s="63"/>
      <c r="E325" s="63"/>
      <c r="F325" s="63"/>
      <c r="K325" s="98"/>
      <c r="L325" s="98"/>
    </row>
    <row r="326" spans="2:12" x14ac:dyDescent="0.25">
      <c r="B326" s="61"/>
      <c r="D326" s="63"/>
      <c r="E326" s="63"/>
      <c r="F326" s="63"/>
      <c r="K326" s="98"/>
      <c r="L326" s="98"/>
    </row>
    <row r="327" spans="2:12" x14ac:dyDescent="0.25">
      <c r="B327" s="61"/>
      <c r="D327" s="63"/>
      <c r="E327" s="63"/>
      <c r="F327" s="63"/>
      <c r="K327" s="98"/>
      <c r="L327" s="98"/>
    </row>
    <row r="328" spans="2:12" x14ac:dyDescent="0.25">
      <c r="B328" s="61"/>
      <c r="D328" s="63"/>
      <c r="E328" s="63"/>
      <c r="F328" s="63"/>
      <c r="K328" s="98"/>
      <c r="L328" s="98"/>
    </row>
    <row r="329" spans="2:12" x14ac:dyDescent="0.25">
      <c r="B329" s="61"/>
      <c r="D329" s="63"/>
      <c r="E329" s="63"/>
      <c r="F329" s="63"/>
      <c r="K329" s="98"/>
      <c r="L329" s="98"/>
    </row>
    <row r="330" spans="2:12" x14ac:dyDescent="0.25">
      <c r="B330" s="61"/>
      <c r="D330" s="63"/>
      <c r="E330" s="63"/>
      <c r="F330" s="63"/>
      <c r="K330" s="98"/>
      <c r="L330" s="98"/>
    </row>
    <row r="331" spans="2:12" x14ac:dyDescent="0.25">
      <c r="B331" s="61"/>
      <c r="D331" s="63"/>
      <c r="E331" s="63"/>
      <c r="F331" s="63"/>
      <c r="K331" s="98"/>
      <c r="L331" s="98"/>
    </row>
    <row r="332" spans="2:12" x14ac:dyDescent="0.25">
      <c r="B332" s="61"/>
      <c r="D332" s="63"/>
      <c r="E332" s="63"/>
      <c r="F332" s="63"/>
      <c r="K332" s="98"/>
      <c r="L332" s="98"/>
    </row>
    <row r="333" spans="2:12" x14ac:dyDescent="0.25">
      <c r="B333" s="61"/>
      <c r="D333" s="63"/>
      <c r="E333" s="63"/>
      <c r="F333" s="63"/>
      <c r="K333" s="98"/>
      <c r="L333" s="98"/>
    </row>
    <row r="334" spans="2:12" x14ac:dyDescent="0.25">
      <c r="B334" s="61"/>
      <c r="D334" s="63"/>
      <c r="E334" s="63"/>
      <c r="F334" s="63"/>
      <c r="K334" s="98"/>
      <c r="L334" s="98"/>
    </row>
    <row r="335" spans="2:12" x14ac:dyDescent="0.25">
      <c r="B335" s="61"/>
      <c r="D335" s="63"/>
      <c r="E335" s="63"/>
      <c r="F335" s="63"/>
      <c r="K335" s="98"/>
      <c r="L335" s="98"/>
    </row>
    <row r="336" spans="2:12" x14ac:dyDescent="0.25">
      <c r="B336" s="61"/>
      <c r="D336" s="63"/>
      <c r="E336" s="63"/>
      <c r="F336" s="63"/>
      <c r="K336" s="98"/>
      <c r="L336" s="98"/>
    </row>
    <row r="337" spans="2:12" x14ac:dyDescent="0.25">
      <c r="B337" s="61"/>
      <c r="D337" s="63"/>
      <c r="E337" s="63"/>
      <c r="F337" s="63"/>
      <c r="K337" s="98"/>
      <c r="L337" s="98"/>
    </row>
    <row r="338" spans="2:12" x14ac:dyDescent="0.25">
      <c r="B338" s="61"/>
      <c r="D338" s="63"/>
      <c r="E338" s="63"/>
      <c r="F338" s="63"/>
      <c r="K338" s="98"/>
      <c r="L338" s="98"/>
    </row>
    <row r="339" spans="2:12" x14ac:dyDescent="0.25">
      <c r="B339" s="61"/>
      <c r="D339" s="63"/>
      <c r="E339" s="63"/>
      <c r="F339" s="63"/>
      <c r="K339" s="98"/>
      <c r="L339" s="98"/>
    </row>
    <row r="340" spans="2:12" x14ac:dyDescent="0.25">
      <c r="B340" s="61"/>
      <c r="D340" s="63"/>
      <c r="E340" s="63"/>
      <c r="F340" s="63"/>
      <c r="K340" s="98"/>
      <c r="L340" s="98"/>
    </row>
    <row r="341" spans="2:12" x14ac:dyDescent="0.25">
      <c r="B341" s="61"/>
      <c r="D341" s="63"/>
      <c r="E341" s="63"/>
      <c r="F341" s="63"/>
      <c r="K341" s="98"/>
      <c r="L341" s="98"/>
    </row>
    <row r="342" spans="2:12" x14ac:dyDescent="0.25">
      <c r="B342" s="61"/>
      <c r="D342" s="63"/>
      <c r="E342" s="63"/>
      <c r="F342" s="63"/>
      <c r="K342" s="98"/>
      <c r="L342" s="98"/>
    </row>
    <row r="343" spans="2:12" x14ac:dyDescent="0.25">
      <c r="B343" s="61"/>
      <c r="D343" s="63"/>
      <c r="E343" s="63"/>
      <c r="F343" s="63"/>
      <c r="K343" s="98"/>
      <c r="L343" s="98"/>
    </row>
    <row r="344" spans="2:12" x14ac:dyDescent="0.25">
      <c r="B344" s="61"/>
      <c r="D344" s="63"/>
      <c r="E344" s="63"/>
      <c r="F344" s="63"/>
      <c r="K344" s="98"/>
      <c r="L344" s="98"/>
    </row>
    <row r="345" spans="2:12" x14ac:dyDescent="0.25">
      <c r="B345" s="61"/>
      <c r="D345" s="63"/>
      <c r="E345" s="63"/>
      <c r="F345" s="63"/>
      <c r="K345" s="98"/>
      <c r="L345" s="98"/>
    </row>
    <row r="346" spans="2:12" x14ac:dyDescent="0.25">
      <c r="B346" s="61"/>
      <c r="D346" s="63"/>
      <c r="E346" s="63"/>
      <c r="F346" s="63"/>
      <c r="K346" s="98"/>
      <c r="L346" s="98"/>
    </row>
    <row r="347" spans="2:12" x14ac:dyDescent="0.25">
      <c r="B347" s="61"/>
      <c r="D347" s="63"/>
      <c r="E347" s="63"/>
      <c r="F347" s="63"/>
      <c r="K347" s="98"/>
      <c r="L347" s="98"/>
    </row>
    <row r="348" spans="2:12" x14ac:dyDescent="0.25">
      <c r="B348" s="61"/>
      <c r="D348" s="63"/>
      <c r="E348" s="63"/>
      <c r="F348" s="63"/>
      <c r="K348" s="98"/>
      <c r="L348" s="98"/>
    </row>
    <row r="349" spans="2:12" x14ac:dyDescent="0.25">
      <c r="B349" s="61"/>
      <c r="D349" s="63"/>
      <c r="E349" s="63"/>
      <c r="F349" s="63"/>
      <c r="K349" s="98"/>
      <c r="L349" s="98"/>
    </row>
    <row r="350" spans="2:12" x14ac:dyDescent="0.25">
      <c r="B350" s="61"/>
      <c r="D350" s="63"/>
      <c r="E350" s="63"/>
      <c r="F350" s="63"/>
      <c r="K350" s="98"/>
      <c r="L350" s="98"/>
    </row>
    <row r="351" spans="2:12" x14ac:dyDescent="0.25">
      <c r="B351" s="61"/>
      <c r="D351" s="63"/>
      <c r="E351" s="63"/>
      <c r="F351" s="63"/>
      <c r="K351" s="98"/>
      <c r="L351" s="98"/>
    </row>
    <row r="352" spans="2:12" x14ac:dyDescent="0.25">
      <c r="B352" s="61"/>
      <c r="D352" s="63"/>
      <c r="E352" s="63"/>
      <c r="F352" s="63"/>
      <c r="K352" s="98"/>
      <c r="L352" s="98"/>
    </row>
    <row r="353" spans="2:12" x14ac:dyDescent="0.25">
      <c r="B353" s="61"/>
      <c r="D353" s="63"/>
      <c r="E353" s="63"/>
      <c r="F353" s="63"/>
      <c r="K353" s="98"/>
      <c r="L353" s="98"/>
    </row>
    <row r="354" spans="2:12" x14ac:dyDescent="0.25">
      <c r="B354" s="61"/>
      <c r="D354" s="63"/>
      <c r="E354" s="63"/>
      <c r="F354" s="63"/>
      <c r="K354" s="98"/>
      <c r="L354" s="98"/>
    </row>
    <row r="355" spans="2:12" x14ac:dyDescent="0.25">
      <c r="B355" s="61"/>
      <c r="D355" s="63"/>
      <c r="E355" s="63"/>
      <c r="F355" s="63"/>
      <c r="K355" s="98"/>
      <c r="L355" s="98"/>
    </row>
    <row r="356" spans="2:12" x14ac:dyDescent="0.25">
      <c r="B356" s="61"/>
      <c r="D356" s="63"/>
      <c r="E356" s="63"/>
      <c r="F356" s="63"/>
      <c r="K356" s="98"/>
      <c r="L356" s="98"/>
    </row>
    <row r="357" spans="2:12" x14ac:dyDescent="0.25">
      <c r="B357" s="61"/>
      <c r="D357" s="63"/>
      <c r="E357" s="63"/>
      <c r="F357" s="63"/>
      <c r="K357" s="98"/>
      <c r="L357" s="98"/>
    </row>
    <row r="358" spans="2:12" x14ac:dyDescent="0.25">
      <c r="B358" s="61"/>
      <c r="D358" s="63"/>
      <c r="E358" s="63"/>
      <c r="F358" s="63"/>
      <c r="K358" s="98"/>
      <c r="L358" s="98"/>
    </row>
    <row r="359" spans="2:12" x14ac:dyDescent="0.25">
      <c r="B359" s="61"/>
      <c r="D359" s="63"/>
      <c r="E359" s="63"/>
      <c r="F359" s="63"/>
      <c r="K359" s="98"/>
      <c r="L359" s="98"/>
    </row>
    <row r="360" spans="2:12" x14ac:dyDescent="0.25">
      <c r="B360" s="61"/>
      <c r="D360" s="63"/>
      <c r="E360" s="63"/>
      <c r="F360" s="63"/>
      <c r="K360" s="98"/>
      <c r="L360" s="98"/>
    </row>
    <row r="361" spans="2:12" x14ac:dyDescent="0.25">
      <c r="B361" s="61"/>
      <c r="D361" s="63"/>
      <c r="E361" s="63"/>
      <c r="F361" s="63"/>
      <c r="K361" s="98"/>
      <c r="L361" s="98"/>
    </row>
    <row r="362" spans="2:12" x14ac:dyDescent="0.25">
      <c r="B362" s="61"/>
      <c r="D362" s="63"/>
      <c r="E362" s="63"/>
      <c r="F362" s="63"/>
      <c r="K362" s="98"/>
      <c r="L362" s="98"/>
    </row>
    <row r="363" spans="2:12" x14ac:dyDescent="0.25">
      <c r="B363" s="61"/>
      <c r="D363" s="63"/>
      <c r="E363" s="63"/>
      <c r="F363" s="63"/>
      <c r="K363" s="98"/>
      <c r="L363" s="98"/>
    </row>
    <row r="364" spans="2:12" x14ac:dyDescent="0.25">
      <c r="B364" s="61"/>
      <c r="D364" s="63"/>
      <c r="E364" s="63"/>
      <c r="F364" s="63"/>
      <c r="K364" s="98"/>
      <c r="L364" s="98"/>
    </row>
    <row r="365" spans="2:12" x14ac:dyDescent="0.25">
      <c r="B365" s="61"/>
      <c r="D365" s="63"/>
      <c r="E365" s="63"/>
      <c r="F365" s="63"/>
      <c r="K365" s="98"/>
      <c r="L365" s="98"/>
    </row>
    <row r="366" spans="2:12" x14ac:dyDescent="0.25">
      <c r="B366" s="61"/>
      <c r="D366" s="63"/>
      <c r="E366" s="63"/>
      <c r="F366" s="63"/>
      <c r="K366" s="98"/>
      <c r="L366" s="98"/>
    </row>
    <row r="367" spans="2:12" x14ac:dyDescent="0.25">
      <c r="B367" s="61"/>
      <c r="D367" s="63"/>
      <c r="E367" s="63"/>
      <c r="F367" s="63"/>
      <c r="K367" s="98"/>
      <c r="L367" s="98"/>
    </row>
    <row r="368" spans="2:12" x14ac:dyDescent="0.25">
      <c r="B368" s="61"/>
      <c r="D368" s="63"/>
      <c r="E368" s="63"/>
      <c r="F368" s="63"/>
      <c r="K368" s="98"/>
      <c r="L368" s="98"/>
    </row>
    <row r="369" spans="2:12" x14ac:dyDescent="0.25">
      <c r="B369" s="61"/>
      <c r="D369" s="63"/>
      <c r="E369" s="63"/>
      <c r="F369" s="63"/>
      <c r="K369" s="98"/>
      <c r="L369" s="98"/>
    </row>
    <row r="370" spans="2:12" x14ac:dyDescent="0.25">
      <c r="B370" s="61"/>
      <c r="D370" s="63"/>
      <c r="E370" s="63"/>
      <c r="F370" s="63"/>
      <c r="K370" s="98"/>
      <c r="L370" s="98"/>
    </row>
    <row r="371" spans="2:12" x14ac:dyDescent="0.25">
      <c r="B371" s="61"/>
      <c r="D371" s="63"/>
      <c r="E371" s="63"/>
      <c r="F371" s="63"/>
      <c r="K371" s="98"/>
      <c r="L371" s="98"/>
    </row>
    <row r="372" spans="2:12" x14ac:dyDescent="0.25">
      <c r="B372" s="61"/>
      <c r="D372" s="63"/>
      <c r="E372" s="63"/>
      <c r="F372" s="63"/>
      <c r="K372" s="98"/>
      <c r="L372" s="98"/>
    </row>
    <row r="373" spans="2:12" x14ac:dyDescent="0.25">
      <c r="B373" s="61"/>
      <c r="D373" s="63"/>
      <c r="E373" s="63"/>
      <c r="F373" s="63"/>
      <c r="K373" s="98"/>
      <c r="L373" s="98"/>
    </row>
    <row r="374" spans="2:12" x14ac:dyDescent="0.25">
      <c r="B374" s="61"/>
      <c r="D374" s="63"/>
      <c r="E374" s="63"/>
      <c r="F374" s="63"/>
      <c r="K374" s="98"/>
      <c r="L374" s="98"/>
    </row>
    <row r="375" spans="2:12" x14ac:dyDescent="0.25">
      <c r="B375" s="61"/>
      <c r="D375" s="63"/>
      <c r="E375" s="63"/>
      <c r="F375" s="63"/>
      <c r="K375" s="98"/>
      <c r="L375" s="98"/>
    </row>
    <row r="376" spans="2:12" x14ac:dyDescent="0.25">
      <c r="B376" s="61"/>
      <c r="D376" s="63"/>
      <c r="E376" s="63"/>
      <c r="F376" s="63"/>
      <c r="K376" s="98"/>
      <c r="L376" s="98"/>
    </row>
    <row r="377" spans="2:12" x14ac:dyDescent="0.25">
      <c r="B377" s="61"/>
      <c r="D377" s="63"/>
      <c r="E377" s="63"/>
      <c r="F377" s="63"/>
      <c r="K377" s="98"/>
      <c r="L377" s="98"/>
    </row>
    <row r="378" spans="2:12" x14ac:dyDescent="0.25">
      <c r="B378" s="61"/>
      <c r="D378" s="63"/>
      <c r="E378" s="63"/>
      <c r="F378" s="63"/>
      <c r="K378" s="98"/>
      <c r="L378" s="98"/>
    </row>
    <row r="379" spans="2:12" x14ac:dyDescent="0.25">
      <c r="B379" s="61"/>
      <c r="D379" s="63"/>
      <c r="E379" s="63"/>
      <c r="F379" s="63"/>
      <c r="K379" s="98"/>
      <c r="L379" s="98"/>
    </row>
    <row r="380" spans="2:12" x14ac:dyDescent="0.25">
      <c r="B380" s="61"/>
      <c r="D380" s="63"/>
      <c r="E380" s="63"/>
      <c r="F380" s="63"/>
      <c r="K380" s="98"/>
      <c r="L380" s="98"/>
    </row>
    <row r="381" spans="2:12" x14ac:dyDescent="0.25">
      <c r="B381" s="61"/>
      <c r="D381" s="63"/>
      <c r="E381" s="63"/>
      <c r="F381" s="63"/>
      <c r="K381" s="98"/>
      <c r="L381" s="98"/>
    </row>
    <row r="382" spans="2:12" x14ac:dyDescent="0.25">
      <c r="B382" s="61"/>
      <c r="D382" s="64"/>
      <c r="E382" s="65"/>
      <c r="F382" s="64"/>
      <c r="K382" s="98"/>
      <c r="L382" s="98"/>
    </row>
    <row r="383" spans="2:12" x14ac:dyDescent="0.25">
      <c r="B383" s="61"/>
      <c r="D383" s="64"/>
      <c r="E383" s="65"/>
      <c r="F383" s="64"/>
      <c r="K383" s="98"/>
      <c r="L383" s="98"/>
    </row>
    <row r="384" spans="2:12" x14ac:dyDescent="0.25">
      <c r="B384" s="61"/>
      <c r="D384" s="64"/>
      <c r="E384" s="65"/>
      <c r="F384" s="64"/>
      <c r="K384" s="98"/>
      <c r="L384" s="98"/>
    </row>
    <row r="385" spans="2:12" x14ac:dyDescent="0.25">
      <c r="B385" s="61"/>
      <c r="E385" s="65"/>
      <c r="K385" s="98"/>
      <c r="L385" s="98"/>
    </row>
    <row r="386" spans="2:12" x14ac:dyDescent="0.25">
      <c r="B386" s="61"/>
      <c r="D386" s="63"/>
      <c r="E386" s="65"/>
      <c r="F386" s="63"/>
      <c r="K386" s="98"/>
      <c r="L386" s="98"/>
    </row>
    <row r="387" spans="2:12" x14ac:dyDescent="0.25">
      <c r="B387" s="61"/>
      <c r="D387" s="63"/>
      <c r="E387" s="65"/>
      <c r="F387" s="63"/>
      <c r="K387" s="98"/>
      <c r="L387" s="98"/>
    </row>
    <row r="388" spans="2:12" x14ac:dyDescent="0.25">
      <c r="B388" s="61"/>
      <c r="D388" s="63"/>
      <c r="E388" s="65"/>
      <c r="F388" s="63"/>
      <c r="K388" s="98"/>
      <c r="L388" s="98"/>
    </row>
    <row r="389" spans="2:12" x14ac:dyDescent="0.25">
      <c r="B389" s="61"/>
      <c r="D389" s="63"/>
      <c r="E389" s="65"/>
      <c r="F389" s="63"/>
      <c r="K389" s="98"/>
      <c r="L389" s="98"/>
    </row>
    <row r="390" spans="2:12" x14ac:dyDescent="0.25">
      <c r="B390" s="61"/>
      <c r="D390" s="63"/>
      <c r="E390" s="65"/>
      <c r="F390" s="63"/>
      <c r="K390" s="98"/>
      <c r="L390" s="98"/>
    </row>
    <row r="391" spans="2:12" x14ac:dyDescent="0.25">
      <c r="B391" s="61"/>
      <c r="D391" s="63"/>
      <c r="E391" s="65"/>
      <c r="F391" s="63"/>
      <c r="K391" s="98"/>
      <c r="L391" s="98"/>
    </row>
    <row r="392" spans="2:12" x14ac:dyDescent="0.25">
      <c r="B392" s="61"/>
      <c r="D392" s="63"/>
      <c r="E392" s="65"/>
      <c r="F392" s="63"/>
      <c r="K392" s="98"/>
      <c r="L392" s="98"/>
    </row>
    <row r="393" spans="2:12" x14ac:dyDescent="0.25">
      <c r="B393" s="61"/>
      <c r="D393" s="64"/>
      <c r="E393" s="65"/>
      <c r="F393" s="64"/>
      <c r="K393" s="98"/>
      <c r="L393" s="98"/>
    </row>
    <row r="394" spans="2:12" x14ac:dyDescent="0.25">
      <c r="B394" s="61"/>
      <c r="D394" s="64"/>
      <c r="E394" s="65"/>
      <c r="F394" s="64"/>
      <c r="K394" s="98"/>
      <c r="L394" s="98"/>
    </row>
    <row r="395" spans="2:12" x14ac:dyDescent="0.25">
      <c r="B395" s="61"/>
      <c r="D395" s="64"/>
      <c r="E395" s="65"/>
      <c r="F395" s="63"/>
      <c r="K395" s="98"/>
      <c r="L395" s="98"/>
    </row>
    <row r="396" spans="2:12" x14ac:dyDescent="0.25">
      <c r="B396" s="61"/>
      <c r="D396" s="64"/>
      <c r="E396" s="65"/>
      <c r="F396" s="64"/>
      <c r="K396" s="98"/>
      <c r="L396" s="98"/>
    </row>
    <row r="397" spans="2:12" x14ac:dyDescent="0.25">
      <c r="B397" s="61"/>
      <c r="D397" s="64"/>
      <c r="E397" s="65"/>
      <c r="F397" s="64"/>
      <c r="K397" s="98"/>
      <c r="L397" s="98"/>
    </row>
    <row r="398" spans="2:12" x14ac:dyDescent="0.25">
      <c r="B398" s="61"/>
      <c r="D398" s="64"/>
      <c r="E398" s="65"/>
      <c r="F398" s="63"/>
      <c r="K398" s="98"/>
      <c r="L398" s="98"/>
    </row>
    <row r="399" spans="2:12" x14ac:dyDescent="0.25">
      <c r="B399" s="61"/>
      <c r="D399" s="64"/>
      <c r="E399" s="65"/>
      <c r="F399" s="63"/>
      <c r="K399" s="98"/>
      <c r="L399" s="98"/>
    </row>
    <row r="400" spans="2:12" x14ac:dyDescent="0.25">
      <c r="B400" s="61"/>
      <c r="D400" s="64"/>
      <c r="E400" s="65"/>
      <c r="F400" s="64"/>
      <c r="K400" s="98"/>
      <c r="L400" s="98"/>
    </row>
    <row r="401" spans="2:12" x14ac:dyDescent="0.25">
      <c r="B401" s="61"/>
      <c r="D401" s="64"/>
      <c r="E401" s="65"/>
      <c r="F401" s="64"/>
      <c r="K401" s="98"/>
      <c r="L401" s="98"/>
    </row>
    <row r="402" spans="2:12" x14ac:dyDescent="0.25">
      <c r="B402" s="61"/>
      <c r="D402" s="64"/>
      <c r="E402" s="65"/>
      <c r="F402" s="64"/>
      <c r="K402" s="98"/>
      <c r="L402" s="98"/>
    </row>
    <row r="403" spans="2:12" x14ac:dyDescent="0.25">
      <c r="B403" s="61"/>
      <c r="D403" s="64"/>
      <c r="E403" s="65"/>
      <c r="F403" s="64"/>
      <c r="K403" s="98"/>
      <c r="L403" s="98"/>
    </row>
    <row r="404" spans="2:12" x14ac:dyDescent="0.25">
      <c r="B404" s="61"/>
      <c r="D404" s="64"/>
      <c r="E404" s="65"/>
      <c r="F404" s="63"/>
      <c r="K404" s="98"/>
      <c r="L404" s="98"/>
    </row>
    <row r="405" spans="2:12" x14ac:dyDescent="0.25">
      <c r="B405" s="61"/>
      <c r="D405" s="64"/>
      <c r="E405" s="65"/>
      <c r="F405" s="63"/>
      <c r="K405" s="98"/>
      <c r="L405" s="98"/>
    </row>
    <row r="406" spans="2:12" x14ac:dyDescent="0.25">
      <c r="B406" s="61"/>
      <c r="D406" s="64"/>
      <c r="E406" s="65"/>
      <c r="F406" s="63"/>
      <c r="K406" s="98"/>
      <c r="L406" s="98"/>
    </row>
    <row r="407" spans="2:12" x14ac:dyDescent="0.25">
      <c r="B407" s="61"/>
      <c r="D407" s="64"/>
      <c r="E407" s="65"/>
      <c r="F407" s="63"/>
      <c r="K407" s="98"/>
      <c r="L407" s="98"/>
    </row>
    <row r="408" spans="2:12" x14ac:dyDescent="0.25">
      <c r="B408" s="61"/>
      <c r="D408" s="64"/>
      <c r="E408" s="65"/>
      <c r="F408" s="63"/>
      <c r="K408" s="98"/>
      <c r="L408" s="98"/>
    </row>
    <row r="409" spans="2:12" x14ac:dyDescent="0.25">
      <c r="B409" s="61"/>
      <c r="D409" s="64"/>
      <c r="E409" s="65"/>
      <c r="F409" s="64"/>
      <c r="K409" s="98"/>
      <c r="L409" s="98"/>
    </row>
    <row r="410" spans="2:12" x14ac:dyDescent="0.25">
      <c r="B410" s="61"/>
      <c r="D410" s="64"/>
      <c r="E410" s="65"/>
      <c r="F410" s="64"/>
      <c r="K410" s="98"/>
      <c r="L410" s="98"/>
    </row>
    <row r="411" spans="2:12" x14ac:dyDescent="0.25">
      <c r="B411" s="61"/>
      <c r="D411" s="64"/>
      <c r="E411" s="65"/>
      <c r="F411" s="64"/>
      <c r="K411" s="98"/>
      <c r="L411" s="98"/>
    </row>
    <row r="412" spans="2:12" x14ac:dyDescent="0.25">
      <c r="B412" s="61"/>
      <c r="D412" s="64"/>
      <c r="E412" s="65"/>
      <c r="F412" s="63"/>
      <c r="K412" s="98"/>
      <c r="L412" s="98"/>
    </row>
    <row r="413" spans="2:12" x14ac:dyDescent="0.25">
      <c r="B413" s="61"/>
      <c r="D413" s="64"/>
      <c r="E413" s="65"/>
      <c r="F413" s="63"/>
      <c r="K413" s="98"/>
      <c r="L413" s="98"/>
    </row>
    <row r="414" spans="2:12" x14ac:dyDescent="0.25">
      <c r="B414" s="61"/>
      <c r="D414" s="64"/>
      <c r="E414" s="65"/>
      <c r="F414" s="63"/>
      <c r="K414" s="98"/>
      <c r="L414" s="98"/>
    </row>
    <row r="415" spans="2:12" x14ac:dyDescent="0.25">
      <c r="B415" s="61"/>
      <c r="D415" s="64"/>
      <c r="E415" s="65"/>
      <c r="F415" s="64"/>
      <c r="K415" s="98"/>
      <c r="L415" s="98"/>
    </row>
    <row r="416" spans="2:12" x14ac:dyDescent="0.25">
      <c r="B416" s="61"/>
      <c r="D416" s="64"/>
      <c r="E416" s="65"/>
      <c r="F416" s="63"/>
      <c r="K416" s="98"/>
      <c r="L416" s="98"/>
    </row>
    <row r="417" spans="2:12" x14ac:dyDescent="0.25">
      <c r="B417" s="61"/>
      <c r="D417" s="64"/>
      <c r="E417" s="65"/>
      <c r="F417" s="64"/>
      <c r="K417" s="98"/>
      <c r="L417" s="98"/>
    </row>
    <row r="418" spans="2:12" x14ac:dyDescent="0.25">
      <c r="B418" s="61"/>
      <c r="D418" s="64"/>
      <c r="E418" s="65"/>
      <c r="F418" s="64"/>
      <c r="K418" s="98"/>
      <c r="L418" s="98"/>
    </row>
    <row r="419" spans="2:12" x14ac:dyDescent="0.25">
      <c r="B419" s="61"/>
      <c r="D419" s="64"/>
      <c r="E419" s="65"/>
      <c r="F419" s="64"/>
      <c r="K419" s="98"/>
      <c r="L419" s="98"/>
    </row>
    <row r="420" spans="2:12" x14ac:dyDescent="0.25">
      <c r="B420" s="61"/>
      <c r="D420" s="64"/>
      <c r="E420" s="65"/>
      <c r="F420" s="64"/>
      <c r="K420" s="98"/>
      <c r="L420" s="98"/>
    </row>
    <row r="421" spans="2:12" x14ac:dyDescent="0.25">
      <c r="B421" s="61"/>
      <c r="D421" s="65"/>
      <c r="E421" s="65"/>
      <c r="F421" s="64"/>
      <c r="K421" s="98"/>
      <c r="L421" s="98"/>
    </row>
    <row r="422" spans="2:12" x14ac:dyDescent="0.25">
      <c r="B422" s="61"/>
      <c r="D422" s="65"/>
      <c r="E422" s="65"/>
      <c r="F422" s="64"/>
      <c r="K422" s="98"/>
      <c r="L422" s="98"/>
    </row>
    <row r="423" spans="2:12" x14ac:dyDescent="0.25">
      <c r="B423" s="61"/>
      <c r="E423" s="65"/>
      <c r="F423" s="64"/>
      <c r="K423" s="98"/>
      <c r="L423" s="98"/>
    </row>
    <row r="424" spans="2:12" x14ac:dyDescent="0.25">
      <c r="B424" s="61"/>
      <c r="E424" s="65"/>
      <c r="F424" s="64"/>
      <c r="K424" s="98"/>
      <c r="L424" s="98"/>
    </row>
    <row r="425" spans="2:12" x14ac:dyDescent="0.25">
      <c r="B425" s="61"/>
      <c r="E425" s="65"/>
      <c r="F425" s="61"/>
      <c r="K425" s="98"/>
      <c r="L425" s="98"/>
    </row>
    <row r="426" spans="2:12" x14ac:dyDescent="0.25">
      <c r="B426" s="61"/>
      <c r="E426" s="65"/>
      <c r="K426" s="98"/>
      <c r="L426" s="98"/>
    </row>
    <row r="427" spans="2:12" x14ac:dyDescent="0.25">
      <c r="B427" s="61"/>
      <c r="D427" s="65"/>
      <c r="E427" s="65"/>
      <c r="F427" s="64"/>
      <c r="K427" s="98"/>
      <c r="L427" s="98"/>
    </row>
    <row r="428" spans="2:12" x14ac:dyDescent="0.25">
      <c r="B428" s="61"/>
      <c r="D428" s="64"/>
      <c r="E428" s="65"/>
      <c r="F428" s="64"/>
      <c r="K428" s="98"/>
      <c r="L428" s="98"/>
    </row>
    <row r="429" spans="2:12" x14ac:dyDescent="0.25">
      <c r="B429" s="61"/>
      <c r="E429" s="64"/>
      <c r="F429" s="64"/>
      <c r="K429" s="98"/>
      <c r="L429" s="98"/>
    </row>
    <row r="430" spans="2:12" x14ac:dyDescent="0.25">
      <c r="B430" s="61"/>
      <c r="E430" s="64"/>
      <c r="F430" s="64"/>
      <c r="K430" s="98"/>
      <c r="L430" s="98"/>
    </row>
    <row r="431" spans="2:12" x14ac:dyDescent="0.25">
      <c r="B431" s="61"/>
      <c r="E431" s="64"/>
      <c r="F431" s="64"/>
      <c r="K431" s="98"/>
      <c r="L431" s="98"/>
    </row>
    <row r="432" spans="2:12" x14ac:dyDescent="0.25">
      <c r="B432" s="61"/>
      <c r="E432" s="64"/>
      <c r="F432" s="64"/>
      <c r="K432" s="98"/>
      <c r="L432" s="98"/>
    </row>
    <row r="433" spans="2:12" x14ac:dyDescent="0.25">
      <c r="B433" s="61"/>
      <c r="E433" s="64"/>
      <c r="F433" s="64"/>
      <c r="K433" s="98"/>
      <c r="L433" s="98"/>
    </row>
    <row r="434" spans="2:12" x14ac:dyDescent="0.25">
      <c r="B434" s="61"/>
      <c r="E434" s="64"/>
      <c r="F434" s="64"/>
      <c r="K434" s="98"/>
      <c r="L434" s="98"/>
    </row>
    <row r="435" spans="2:12" x14ac:dyDescent="0.25">
      <c r="B435" s="61"/>
      <c r="E435" s="64"/>
      <c r="F435" s="64"/>
      <c r="K435" s="98"/>
      <c r="L435" s="98"/>
    </row>
    <row r="436" spans="2:12" x14ac:dyDescent="0.25">
      <c r="B436" s="61"/>
      <c r="E436" s="64"/>
      <c r="F436" s="64"/>
      <c r="K436" s="98"/>
      <c r="L436" s="98"/>
    </row>
    <row r="437" spans="2:12" x14ac:dyDescent="0.25">
      <c r="B437" s="61"/>
      <c r="E437" s="64"/>
      <c r="F437" s="64"/>
      <c r="K437" s="98"/>
      <c r="L437" s="98"/>
    </row>
    <row r="438" spans="2:12" x14ac:dyDescent="0.25">
      <c r="B438" s="61"/>
      <c r="E438" s="64"/>
      <c r="F438" s="64"/>
      <c r="K438" s="98"/>
      <c r="L438" s="98"/>
    </row>
    <row r="439" spans="2:12" x14ac:dyDescent="0.25">
      <c r="B439" s="61"/>
      <c r="K439" s="98"/>
      <c r="L439" s="98"/>
    </row>
    <row r="440" spans="2:12" x14ac:dyDescent="0.25">
      <c r="B440" s="61"/>
      <c r="K440" s="98"/>
      <c r="L440" s="98"/>
    </row>
    <row r="441" spans="2:12" x14ac:dyDescent="0.25">
      <c r="B441" s="61"/>
      <c r="K441" s="98"/>
      <c r="L441" s="98"/>
    </row>
    <row r="442" spans="2:12" x14ac:dyDescent="0.25">
      <c r="B442" s="61"/>
      <c r="K442" s="98"/>
      <c r="L442" s="98"/>
    </row>
    <row r="443" spans="2:12" x14ac:dyDescent="0.25">
      <c r="B443" s="61"/>
      <c r="K443" s="98"/>
      <c r="L443" s="98"/>
    </row>
    <row r="444" spans="2:12" x14ac:dyDescent="0.25">
      <c r="B444" s="61"/>
      <c r="K444" s="98"/>
      <c r="L444" s="98"/>
    </row>
    <row r="445" spans="2:12" x14ac:dyDescent="0.25">
      <c r="B445" s="61"/>
      <c r="D445" s="65"/>
      <c r="E445" s="64"/>
      <c r="F445" s="64"/>
      <c r="K445" s="98"/>
      <c r="L445" s="98"/>
    </row>
    <row r="446" spans="2:12" x14ac:dyDescent="0.25">
      <c r="B446" s="61"/>
      <c r="D446" s="65"/>
      <c r="E446" s="64"/>
      <c r="F446" s="64"/>
      <c r="K446" s="98"/>
      <c r="L446" s="98"/>
    </row>
    <row r="447" spans="2:12" x14ac:dyDescent="0.25">
      <c r="B447" s="61"/>
      <c r="D447" s="65"/>
      <c r="E447" s="64"/>
      <c r="F447" s="64"/>
      <c r="K447" s="98"/>
      <c r="L447" s="98"/>
    </row>
    <row r="448" spans="2:12" x14ac:dyDescent="0.25">
      <c r="B448" s="61"/>
      <c r="D448" s="64"/>
      <c r="E448" s="64"/>
      <c r="F448" s="64"/>
      <c r="K448" s="98"/>
      <c r="L448" s="98"/>
    </row>
    <row r="449" spans="2:12" x14ac:dyDescent="0.25">
      <c r="B449" s="61"/>
      <c r="D449" s="64"/>
      <c r="E449" s="64"/>
      <c r="F449" s="64"/>
      <c r="K449" s="98"/>
      <c r="L449" s="98"/>
    </row>
    <row r="450" spans="2:12" x14ac:dyDescent="0.25">
      <c r="B450" s="61"/>
      <c r="E450" s="64"/>
      <c r="F450" s="64"/>
      <c r="K450" s="98"/>
      <c r="L450" s="98"/>
    </row>
    <row r="451" spans="2:12" x14ac:dyDescent="0.25">
      <c r="B451" s="61"/>
      <c r="D451" s="64"/>
      <c r="E451" s="64"/>
      <c r="F451" s="64"/>
      <c r="K451" s="98"/>
      <c r="L451" s="98"/>
    </row>
    <row r="452" spans="2:12" x14ac:dyDescent="0.25">
      <c r="B452" s="61"/>
      <c r="D452" s="64"/>
      <c r="E452" s="64"/>
      <c r="F452" s="64"/>
      <c r="K452" s="98"/>
      <c r="L452" s="98"/>
    </row>
    <row r="453" spans="2:12" x14ac:dyDescent="0.25">
      <c r="B453" s="61"/>
      <c r="E453" s="64"/>
      <c r="F453" s="64"/>
      <c r="K453" s="98"/>
      <c r="L453" s="98"/>
    </row>
    <row r="454" spans="2:12" x14ac:dyDescent="0.25">
      <c r="B454" s="61"/>
      <c r="E454" s="64"/>
      <c r="F454" s="64"/>
      <c r="K454" s="98"/>
      <c r="L454" s="98"/>
    </row>
    <row r="455" spans="2:12" x14ac:dyDescent="0.25">
      <c r="B455" s="61"/>
      <c r="D455" s="64"/>
      <c r="E455" s="64"/>
      <c r="F455" s="64"/>
      <c r="K455" s="98"/>
      <c r="L455" s="98"/>
    </row>
    <row r="456" spans="2:12" x14ac:dyDescent="0.25">
      <c r="B456" s="61"/>
      <c r="D456" s="65"/>
      <c r="E456" s="64"/>
      <c r="F456" s="64"/>
      <c r="K456" s="98"/>
      <c r="L456" s="98"/>
    </row>
    <row r="457" spans="2:12" x14ac:dyDescent="0.25">
      <c r="B457" s="61"/>
      <c r="D457" s="65"/>
      <c r="E457" s="64"/>
      <c r="F457" s="64"/>
      <c r="K457" s="98"/>
      <c r="L457" s="98"/>
    </row>
    <row r="458" spans="2:12" x14ac:dyDescent="0.25">
      <c r="B458" s="61"/>
      <c r="D458" s="65"/>
      <c r="E458" s="64"/>
      <c r="F458" s="64"/>
      <c r="K458" s="98"/>
      <c r="L458" s="98"/>
    </row>
    <row r="459" spans="2:12" x14ac:dyDescent="0.25">
      <c r="B459" s="61"/>
      <c r="D459" s="65"/>
      <c r="E459" s="64"/>
      <c r="F459" s="64"/>
      <c r="K459" s="98"/>
      <c r="L459" s="98"/>
    </row>
    <row r="460" spans="2:12" x14ac:dyDescent="0.25">
      <c r="B460" s="61"/>
      <c r="D460" s="65"/>
      <c r="E460" s="64"/>
      <c r="F460" s="64"/>
      <c r="K460" s="98"/>
      <c r="L460" s="98"/>
    </row>
    <row r="461" spans="2:12" x14ac:dyDescent="0.25">
      <c r="B461" s="61"/>
      <c r="D461" s="65"/>
      <c r="E461" s="64"/>
      <c r="F461" s="64"/>
      <c r="K461" s="98"/>
      <c r="L461" s="98"/>
    </row>
    <row r="462" spans="2:12" x14ac:dyDescent="0.25">
      <c r="B462" s="61"/>
      <c r="D462" s="65"/>
      <c r="E462" s="64"/>
      <c r="F462" s="64"/>
      <c r="K462" s="98"/>
      <c r="L462" s="98"/>
    </row>
    <row r="463" spans="2:12" x14ac:dyDescent="0.25">
      <c r="B463" s="61"/>
      <c r="D463" s="65"/>
      <c r="E463" s="64"/>
      <c r="F463" s="64"/>
      <c r="K463" s="98"/>
      <c r="L463" s="98"/>
    </row>
    <row r="464" spans="2:12" x14ac:dyDescent="0.25">
      <c r="B464" s="61"/>
      <c r="D464" s="65"/>
      <c r="E464" s="64"/>
      <c r="F464" s="64"/>
      <c r="K464" s="98"/>
      <c r="L464" s="98"/>
    </row>
    <row r="465" spans="2:12" x14ac:dyDescent="0.25">
      <c r="B465" s="61"/>
      <c r="D465" s="65"/>
      <c r="E465" s="64"/>
      <c r="F465" s="64"/>
      <c r="K465" s="98"/>
      <c r="L465" s="98"/>
    </row>
    <row r="466" spans="2:12" x14ac:dyDescent="0.25">
      <c r="B466" s="61"/>
      <c r="D466" s="65"/>
      <c r="E466" s="64"/>
      <c r="F466" s="64"/>
      <c r="K466" s="98"/>
      <c r="L466" s="98"/>
    </row>
    <row r="467" spans="2:12" x14ac:dyDescent="0.25">
      <c r="B467" s="61"/>
      <c r="D467" s="65"/>
      <c r="E467" s="64"/>
      <c r="F467" s="64"/>
      <c r="K467" s="98"/>
      <c r="L467" s="98"/>
    </row>
    <row r="468" spans="2:12" x14ac:dyDescent="0.25">
      <c r="B468" s="61"/>
      <c r="D468" s="65"/>
      <c r="E468" s="64"/>
      <c r="F468" s="64"/>
      <c r="K468" s="98"/>
      <c r="L468" s="98"/>
    </row>
    <row r="469" spans="2:12" x14ac:dyDescent="0.25">
      <c r="B469" s="61"/>
      <c r="D469" s="65"/>
      <c r="E469" s="64"/>
      <c r="F469" s="64"/>
      <c r="K469" s="98"/>
      <c r="L469" s="98"/>
    </row>
    <row r="470" spans="2:12" x14ac:dyDescent="0.25">
      <c r="B470" s="61"/>
      <c r="D470" s="65"/>
      <c r="E470" s="64"/>
      <c r="F470" s="64"/>
      <c r="K470" s="98"/>
      <c r="L470" s="98"/>
    </row>
    <row r="471" spans="2:12" x14ac:dyDescent="0.25">
      <c r="B471" s="61"/>
      <c r="D471" s="65"/>
      <c r="E471" s="64"/>
      <c r="F471" s="64"/>
      <c r="K471" s="98"/>
      <c r="L471" s="98"/>
    </row>
    <row r="472" spans="2:12" x14ac:dyDescent="0.25">
      <c r="B472" s="61"/>
      <c r="D472" s="65"/>
      <c r="E472" s="64"/>
      <c r="F472" s="64"/>
      <c r="K472" s="98"/>
      <c r="L472" s="98"/>
    </row>
    <row r="473" spans="2:12" x14ac:dyDescent="0.25">
      <c r="B473" s="61"/>
      <c r="D473" s="65"/>
      <c r="E473" s="64"/>
      <c r="F473" s="64"/>
      <c r="K473" s="98"/>
      <c r="L473" s="98"/>
    </row>
    <row r="474" spans="2:12" x14ac:dyDescent="0.25">
      <c r="B474" s="61"/>
      <c r="D474" s="65"/>
      <c r="E474" s="64"/>
      <c r="F474" s="64"/>
      <c r="K474" s="98"/>
      <c r="L474" s="98"/>
    </row>
    <row r="475" spans="2:12" x14ac:dyDescent="0.25">
      <c r="B475" s="61"/>
      <c r="D475" s="65"/>
      <c r="E475" s="64"/>
      <c r="F475" s="64"/>
      <c r="K475" s="98"/>
      <c r="L475" s="98"/>
    </row>
    <row r="476" spans="2:12" x14ac:dyDescent="0.25">
      <c r="B476" s="61"/>
      <c r="D476" s="65"/>
      <c r="E476" s="64"/>
      <c r="F476" s="64"/>
      <c r="K476" s="98"/>
      <c r="L476" s="98"/>
    </row>
    <row r="477" spans="2:12" x14ac:dyDescent="0.25">
      <c r="B477" s="61"/>
      <c r="D477" s="65"/>
      <c r="E477" s="64"/>
      <c r="F477" s="64"/>
      <c r="K477" s="98"/>
      <c r="L477" s="98"/>
    </row>
    <row r="478" spans="2:12" x14ac:dyDescent="0.25">
      <c r="B478" s="61"/>
      <c r="D478" s="65"/>
      <c r="E478" s="64"/>
      <c r="F478" s="64"/>
      <c r="K478" s="98"/>
      <c r="L478" s="98"/>
    </row>
    <row r="479" spans="2:12" x14ac:dyDescent="0.25">
      <c r="B479" s="61"/>
      <c r="D479" s="65"/>
      <c r="F479" s="64"/>
      <c r="K479" s="98"/>
      <c r="L479" s="98"/>
    </row>
    <row r="480" spans="2:12" x14ac:dyDescent="0.25">
      <c r="B480" s="61"/>
      <c r="D480" s="65"/>
      <c r="F480" s="64"/>
      <c r="K480" s="98"/>
      <c r="L480" s="98"/>
    </row>
    <row r="481" spans="2:12" x14ac:dyDescent="0.25">
      <c r="B481" s="61"/>
      <c r="D481" s="65"/>
      <c r="F481" s="64"/>
      <c r="K481" s="98"/>
      <c r="L481" s="98"/>
    </row>
    <row r="482" spans="2:12" x14ac:dyDescent="0.25">
      <c r="B482" s="61"/>
      <c r="D482" s="65"/>
      <c r="E482" s="64"/>
      <c r="F482" s="64"/>
      <c r="K482" s="98"/>
      <c r="L482" s="98"/>
    </row>
    <row r="483" spans="2:12" x14ac:dyDescent="0.25">
      <c r="B483" s="61"/>
      <c r="D483" s="65"/>
      <c r="E483" s="64"/>
      <c r="F483" s="64"/>
      <c r="K483" s="98"/>
      <c r="L483" s="98"/>
    </row>
    <row r="484" spans="2:12" x14ac:dyDescent="0.25">
      <c r="B484" s="61"/>
      <c r="D484" s="65"/>
      <c r="E484" s="64"/>
      <c r="F484" s="64"/>
      <c r="K484" s="98"/>
      <c r="L484" s="98"/>
    </row>
    <row r="485" spans="2:12" x14ac:dyDescent="0.25">
      <c r="B485" s="61"/>
      <c r="D485" s="63"/>
      <c r="E485" s="63"/>
      <c r="F485" s="63"/>
      <c r="K485" s="98"/>
      <c r="L485" s="98"/>
    </row>
    <row r="486" spans="2:12" x14ac:dyDescent="0.25">
      <c r="B486" s="61"/>
      <c r="D486" s="63"/>
      <c r="E486" s="63"/>
      <c r="F486" s="63"/>
      <c r="K486" s="98"/>
      <c r="L486" s="98"/>
    </row>
    <row r="487" spans="2:12" x14ac:dyDescent="0.25">
      <c r="B487" s="61"/>
      <c r="D487" s="63"/>
      <c r="E487" s="63"/>
      <c r="F487" s="63"/>
      <c r="K487" s="98"/>
      <c r="L487" s="98"/>
    </row>
    <row r="488" spans="2:12" x14ac:dyDescent="0.25">
      <c r="B488" s="61"/>
      <c r="D488" s="63"/>
      <c r="E488" s="63"/>
      <c r="F488" s="63"/>
      <c r="K488" s="98"/>
      <c r="L488" s="98"/>
    </row>
    <row r="489" spans="2:12" x14ac:dyDescent="0.25">
      <c r="B489" s="61"/>
      <c r="D489" s="63"/>
      <c r="E489" s="63"/>
      <c r="F489" s="63"/>
      <c r="K489" s="98"/>
      <c r="L489" s="98"/>
    </row>
    <row r="490" spans="2:12" x14ac:dyDescent="0.25">
      <c r="B490" s="61"/>
      <c r="D490" s="63"/>
      <c r="E490" s="63"/>
      <c r="F490" s="63"/>
      <c r="K490" s="98"/>
      <c r="L490" s="98"/>
    </row>
    <row r="491" spans="2:12" x14ac:dyDescent="0.25">
      <c r="B491" s="61"/>
      <c r="D491" s="63"/>
      <c r="E491" s="63"/>
      <c r="F491" s="63"/>
      <c r="K491" s="98"/>
      <c r="L491" s="98"/>
    </row>
    <row r="492" spans="2:12" x14ac:dyDescent="0.25">
      <c r="B492" s="61"/>
      <c r="D492" s="63"/>
      <c r="E492" s="63"/>
      <c r="F492" s="63"/>
      <c r="K492" s="98"/>
      <c r="L492" s="98"/>
    </row>
    <row r="493" spans="2:12" x14ac:dyDescent="0.25">
      <c r="B493" s="61"/>
      <c r="D493" s="63"/>
      <c r="E493" s="63"/>
      <c r="F493" s="63"/>
      <c r="K493" s="98"/>
      <c r="L493" s="98"/>
    </row>
    <row r="494" spans="2:12" x14ac:dyDescent="0.25">
      <c r="B494" s="61"/>
      <c r="D494" s="63"/>
      <c r="E494" s="63"/>
      <c r="F494" s="63"/>
      <c r="K494" s="98"/>
      <c r="L494" s="98"/>
    </row>
    <row r="495" spans="2:12" x14ac:dyDescent="0.25">
      <c r="B495" s="61"/>
      <c r="D495" s="63"/>
      <c r="E495" s="63"/>
      <c r="F495" s="63"/>
      <c r="K495" s="98"/>
      <c r="L495" s="98"/>
    </row>
    <row r="496" spans="2:12" x14ac:dyDescent="0.25">
      <c r="B496" s="61"/>
      <c r="D496" s="63"/>
      <c r="E496" s="63"/>
      <c r="F496" s="63"/>
      <c r="K496" s="98"/>
      <c r="L496" s="98"/>
    </row>
    <row r="497" spans="2:12" x14ac:dyDescent="0.25">
      <c r="B497" s="61"/>
      <c r="D497" s="63"/>
      <c r="E497" s="63"/>
      <c r="F497" s="63"/>
      <c r="K497" s="98"/>
      <c r="L497" s="98"/>
    </row>
    <row r="498" spans="2:12" x14ac:dyDescent="0.25">
      <c r="B498" s="61"/>
      <c r="D498" s="63"/>
      <c r="E498" s="63"/>
      <c r="F498" s="63"/>
      <c r="K498" s="98"/>
      <c r="L498" s="98"/>
    </row>
    <row r="499" spans="2:12" x14ac:dyDescent="0.25">
      <c r="B499" s="61"/>
      <c r="D499" s="63"/>
      <c r="E499" s="63"/>
      <c r="F499" s="63"/>
      <c r="K499" s="98"/>
      <c r="L499" s="98"/>
    </row>
    <row r="500" spans="2:12" x14ac:dyDescent="0.25">
      <c r="B500" s="61"/>
      <c r="D500" s="63"/>
      <c r="E500" s="63"/>
      <c r="F500" s="63"/>
      <c r="K500" s="98"/>
      <c r="L500" s="98"/>
    </row>
    <row r="501" spans="2:12" x14ac:dyDescent="0.25">
      <c r="B501" s="61"/>
      <c r="D501" s="63"/>
      <c r="E501" s="63"/>
      <c r="F501" s="63"/>
      <c r="K501" s="98"/>
      <c r="L501" s="98"/>
    </row>
    <row r="502" spans="2:12" x14ac:dyDescent="0.25">
      <c r="B502" s="61"/>
      <c r="D502" s="63"/>
      <c r="E502" s="63"/>
      <c r="F502" s="63"/>
      <c r="K502" s="98"/>
      <c r="L502" s="98"/>
    </row>
    <row r="503" spans="2:12" x14ac:dyDescent="0.25">
      <c r="B503" s="61"/>
      <c r="D503" s="63"/>
      <c r="E503" s="63"/>
      <c r="F503" s="63"/>
      <c r="K503" s="98"/>
      <c r="L503" s="98"/>
    </row>
    <row r="504" spans="2:12" x14ac:dyDescent="0.25">
      <c r="B504" s="61"/>
      <c r="D504" s="63"/>
      <c r="E504" s="63"/>
      <c r="F504" s="63"/>
      <c r="K504" s="98"/>
      <c r="L504" s="98"/>
    </row>
    <row r="505" spans="2:12" x14ac:dyDescent="0.25">
      <c r="B505" s="61"/>
      <c r="D505" s="63"/>
      <c r="E505" s="63"/>
      <c r="F505" s="63"/>
      <c r="K505" s="98"/>
      <c r="L505" s="98"/>
    </row>
    <row r="506" spans="2:12" x14ac:dyDescent="0.25">
      <c r="B506" s="61"/>
      <c r="D506" s="63"/>
      <c r="E506" s="63"/>
      <c r="F506" s="63"/>
      <c r="K506" s="98"/>
      <c r="L506" s="98"/>
    </row>
    <row r="507" spans="2:12" x14ac:dyDescent="0.25">
      <c r="B507" s="61"/>
      <c r="D507" s="63"/>
      <c r="E507" s="63"/>
      <c r="F507" s="63"/>
      <c r="K507" s="98"/>
      <c r="L507" s="98"/>
    </row>
    <row r="508" spans="2:12" x14ac:dyDescent="0.25">
      <c r="B508" s="61"/>
      <c r="D508" s="63"/>
      <c r="E508" s="63"/>
      <c r="F508" s="63"/>
      <c r="K508" s="98"/>
      <c r="L508" s="98"/>
    </row>
    <row r="509" spans="2:12" x14ac:dyDescent="0.25">
      <c r="B509" s="61"/>
      <c r="D509" s="63"/>
      <c r="E509" s="63"/>
      <c r="F509" s="63"/>
      <c r="K509" s="98"/>
      <c r="L509" s="98"/>
    </row>
    <row r="510" spans="2:12" x14ac:dyDescent="0.25">
      <c r="B510" s="61"/>
      <c r="D510" s="63"/>
      <c r="E510" s="63"/>
      <c r="F510" s="63"/>
      <c r="K510" s="98"/>
      <c r="L510" s="98"/>
    </row>
    <row r="511" spans="2:12" x14ac:dyDescent="0.25">
      <c r="B511" s="61"/>
      <c r="D511" s="63"/>
      <c r="E511" s="63"/>
      <c r="F511" s="63"/>
      <c r="K511" s="98"/>
      <c r="L511" s="98"/>
    </row>
    <row r="512" spans="2:12" x14ac:dyDescent="0.25">
      <c r="B512" s="61"/>
      <c r="D512" s="63"/>
      <c r="E512" s="63"/>
      <c r="F512" s="63"/>
      <c r="K512" s="98"/>
      <c r="L512" s="98"/>
    </row>
    <row r="513" spans="2:12" x14ac:dyDescent="0.25">
      <c r="B513" s="61"/>
      <c r="D513" s="63"/>
      <c r="E513" s="63"/>
      <c r="F513" s="63"/>
      <c r="K513" s="98"/>
      <c r="L513" s="98"/>
    </row>
    <row r="514" spans="2:12" x14ac:dyDescent="0.25">
      <c r="B514" s="61"/>
      <c r="D514" s="63"/>
      <c r="E514" s="63"/>
      <c r="F514" s="63"/>
      <c r="K514" s="98"/>
      <c r="L514" s="98"/>
    </row>
    <row r="515" spans="2:12" x14ac:dyDescent="0.25">
      <c r="B515" s="61"/>
      <c r="D515" s="63"/>
      <c r="E515" s="63"/>
      <c r="F515" s="63"/>
      <c r="K515" s="98"/>
      <c r="L515" s="98"/>
    </row>
    <row r="516" spans="2:12" x14ac:dyDescent="0.25">
      <c r="B516" s="61"/>
      <c r="D516" s="63"/>
      <c r="E516" s="63"/>
      <c r="F516" s="63"/>
      <c r="K516" s="98"/>
      <c r="L516" s="98"/>
    </row>
    <row r="517" spans="2:12" x14ac:dyDescent="0.25">
      <c r="B517" s="61"/>
      <c r="D517" s="63"/>
      <c r="E517" s="63"/>
      <c r="F517" s="63"/>
      <c r="K517" s="98"/>
      <c r="L517" s="98"/>
    </row>
    <row r="518" spans="2:12" x14ac:dyDescent="0.25">
      <c r="B518" s="61"/>
      <c r="D518" s="63"/>
      <c r="E518" s="63"/>
      <c r="F518" s="63"/>
      <c r="K518" s="98"/>
      <c r="L518" s="98"/>
    </row>
    <row r="519" spans="2:12" x14ac:dyDescent="0.25">
      <c r="B519" s="61"/>
      <c r="D519" s="63"/>
      <c r="E519" s="63"/>
      <c r="F519" s="63"/>
      <c r="K519" s="98"/>
      <c r="L519" s="98"/>
    </row>
    <row r="520" spans="2:12" x14ac:dyDescent="0.25">
      <c r="B520" s="61"/>
      <c r="D520" s="63"/>
      <c r="E520" s="63"/>
      <c r="F520" s="63"/>
      <c r="K520" s="98"/>
      <c r="L520" s="98"/>
    </row>
    <row r="521" spans="2:12" x14ac:dyDescent="0.25">
      <c r="B521" s="61"/>
      <c r="D521" s="63"/>
      <c r="E521" s="63"/>
      <c r="F521" s="63"/>
      <c r="K521" s="98"/>
      <c r="L521" s="98"/>
    </row>
    <row r="522" spans="2:12" x14ac:dyDescent="0.25">
      <c r="B522" s="61"/>
      <c r="D522" s="63"/>
      <c r="E522" s="63"/>
      <c r="F522" s="63"/>
      <c r="K522" s="98"/>
      <c r="L522" s="98"/>
    </row>
    <row r="523" spans="2:12" x14ac:dyDescent="0.25">
      <c r="B523" s="61"/>
      <c r="D523" s="63"/>
      <c r="E523" s="63"/>
      <c r="F523" s="63"/>
      <c r="K523" s="98"/>
      <c r="L523" s="98"/>
    </row>
    <row r="524" spans="2:12" x14ac:dyDescent="0.25">
      <c r="B524" s="61"/>
      <c r="D524" s="63"/>
      <c r="E524" s="63"/>
      <c r="F524" s="63"/>
      <c r="K524" s="98"/>
      <c r="L524" s="98"/>
    </row>
    <row r="525" spans="2:12" x14ac:dyDescent="0.25">
      <c r="B525" s="61"/>
      <c r="D525" s="63"/>
      <c r="E525" s="63"/>
      <c r="F525" s="63"/>
      <c r="K525" s="98"/>
      <c r="L525" s="98"/>
    </row>
    <row r="526" spans="2:12" x14ac:dyDescent="0.25">
      <c r="B526" s="61"/>
      <c r="D526" s="63"/>
      <c r="E526" s="63"/>
      <c r="F526" s="63"/>
      <c r="K526" s="98"/>
      <c r="L526" s="98"/>
    </row>
    <row r="527" spans="2:12" x14ac:dyDescent="0.25">
      <c r="B527" s="61"/>
      <c r="D527" s="63"/>
      <c r="E527" s="63"/>
      <c r="F527" s="63"/>
      <c r="K527" s="98"/>
      <c r="L527" s="98"/>
    </row>
    <row r="528" spans="2:12" x14ac:dyDescent="0.25">
      <c r="B528" s="61"/>
      <c r="D528" s="63"/>
      <c r="E528" s="63"/>
      <c r="F528" s="63"/>
      <c r="K528" s="98"/>
      <c r="L528" s="98"/>
    </row>
    <row r="529" spans="2:12" x14ac:dyDescent="0.25">
      <c r="B529" s="61"/>
      <c r="D529" s="63"/>
      <c r="E529" s="63"/>
      <c r="F529" s="63"/>
      <c r="K529" s="98"/>
      <c r="L529" s="98"/>
    </row>
    <row r="530" spans="2:12" x14ac:dyDescent="0.25">
      <c r="B530" s="61"/>
      <c r="D530" s="63"/>
      <c r="E530" s="63"/>
      <c r="F530" s="63"/>
      <c r="K530" s="98"/>
      <c r="L530" s="98"/>
    </row>
    <row r="531" spans="2:12" x14ac:dyDescent="0.25">
      <c r="B531" s="61"/>
      <c r="D531" s="63"/>
      <c r="E531" s="63"/>
      <c r="F531" s="63"/>
      <c r="K531" s="98"/>
      <c r="L531" s="98"/>
    </row>
    <row r="532" spans="2:12" x14ac:dyDescent="0.25">
      <c r="B532" s="61"/>
      <c r="D532" s="63"/>
      <c r="E532" s="63"/>
      <c r="F532" s="63"/>
      <c r="K532" s="98"/>
      <c r="L532" s="98"/>
    </row>
    <row r="533" spans="2:12" x14ac:dyDescent="0.25">
      <c r="B533" s="61"/>
      <c r="D533" s="63"/>
      <c r="E533" s="63"/>
      <c r="F533" s="63"/>
      <c r="K533" s="98"/>
      <c r="L533" s="98"/>
    </row>
    <row r="534" spans="2:12" x14ac:dyDescent="0.25">
      <c r="B534" s="61"/>
      <c r="D534" s="63"/>
      <c r="E534" s="63"/>
      <c r="F534" s="63"/>
      <c r="K534" s="98"/>
      <c r="L534" s="98"/>
    </row>
    <row r="535" spans="2:12" x14ac:dyDescent="0.25">
      <c r="B535" s="61"/>
      <c r="D535" s="63"/>
      <c r="E535" s="63"/>
      <c r="F535" s="63"/>
      <c r="K535" s="98"/>
      <c r="L535" s="98"/>
    </row>
    <row r="536" spans="2:12" x14ac:dyDescent="0.25">
      <c r="B536" s="61"/>
      <c r="D536" s="63"/>
      <c r="E536" s="63"/>
      <c r="F536" s="63"/>
      <c r="K536" s="98"/>
      <c r="L536" s="98"/>
    </row>
    <row r="537" spans="2:12" x14ac:dyDescent="0.25">
      <c r="B537" s="61"/>
      <c r="D537" s="63"/>
      <c r="E537" s="63"/>
      <c r="F537" s="63"/>
      <c r="K537" s="98"/>
      <c r="L537" s="98"/>
    </row>
    <row r="538" spans="2:12" x14ac:dyDescent="0.25">
      <c r="B538" s="61"/>
      <c r="D538" s="63"/>
      <c r="E538" s="63"/>
      <c r="F538" s="63"/>
      <c r="K538" s="98"/>
      <c r="L538" s="98"/>
    </row>
    <row r="539" spans="2:12" x14ac:dyDescent="0.25">
      <c r="B539" s="61"/>
      <c r="D539" s="63"/>
      <c r="E539" s="63"/>
      <c r="F539" s="63"/>
      <c r="K539" s="98"/>
      <c r="L539" s="98"/>
    </row>
    <row r="540" spans="2:12" x14ac:dyDescent="0.25">
      <c r="B540" s="61"/>
      <c r="D540" s="63"/>
      <c r="E540" s="63"/>
      <c r="F540" s="63"/>
      <c r="K540" s="98"/>
      <c r="L540" s="98"/>
    </row>
    <row r="541" spans="2:12" x14ac:dyDescent="0.25">
      <c r="B541" s="61"/>
      <c r="D541" s="63"/>
      <c r="E541" s="63"/>
      <c r="F541" s="63"/>
      <c r="K541" s="98"/>
      <c r="L541" s="98"/>
    </row>
    <row r="542" spans="2:12" x14ac:dyDescent="0.25">
      <c r="B542" s="61"/>
      <c r="D542" s="63"/>
      <c r="E542" s="63"/>
      <c r="F542" s="63"/>
      <c r="K542" s="98"/>
      <c r="L542" s="98"/>
    </row>
    <row r="543" spans="2:12" x14ac:dyDescent="0.25">
      <c r="B543" s="61"/>
      <c r="D543" s="63"/>
      <c r="E543" s="63"/>
      <c r="F543" s="63"/>
      <c r="K543" s="98"/>
      <c r="L543" s="98"/>
    </row>
    <row r="544" spans="2:12" x14ac:dyDescent="0.25">
      <c r="B544" s="61"/>
      <c r="D544" s="63"/>
      <c r="E544" s="63"/>
      <c r="F544" s="63"/>
      <c r="K544" s="98"/>
      <c r="L544" s="98"/>
    </row>
    <row r="545" spans="2:12" x14ac:dyDescent="0.25">
      <c r="B545" s="61"/>
      <c r="D545" s="63"/>
      <c r="E545" s="63"/>
      <c r="F545" s="63"/>
      <c r="K545" s="98"/>
      <c r="L545" s="98"/>
    </row>
    <row r="546" spans="2:12" x14ac:dyDescent="0.25">
      <c r="B546" s="61"/>
      <c r="D546" s="63"/>
      <c r="E546" s="63"/>
      <c r="F546" s="63"/>
      <c r="K546" s="98"/>
      <c r="L546" s="98"/>
    </row>
    <row r="547" spans="2:12" x14ac:dyDescent="0.25">
      <c r="B547" s="61"/>
      <c r="D547" s="63"/>
      <c r="E547" s="63"/>
      <c r="F547" s="63"/>
      <c r="K547" s="98"/>
      <c r="L547" s="98"/>
    </row>
    <row r="548" spans="2:12" x14ac:dyDescent="0.25">
      <c r="B548" s="61"/>
      <c r="D548" s="63"/>
      <c r="E548" s="63"/>
      <c r="F548" s="63"/>
      <c r="K548" s="98"/>
      <c r="L548" s="98"/>
    </row>
    <row r="549" spans="2:12" x14ac:dyDescent="0.25">
      <c r="B549" s="61"/>
      <c r="D549" s="63"/>
      <c r="E549" s="63"/>
      <c r="F549" s="63"/>
      <c r="K549" s="98"/>
      <c r="L549" s="98"/>
    </row>
    <row r="550" spans="2:12" x14ac:dyDescent="0.25">
      <c r="B550" s="61"/>
      <c r="D550" s="63"/>
      <c r="E550" s="63"/>
      <c r="F550" s="63"/>
      <c r="K550" s="98"/>
      <c r="L550" s="98"/>
    </row>
    <row r="551" spans="2:12" x14ac:dyDescent="0.25">
      <c r="B551" s="61"/>
      <c r="D551" s="63"/>
      <c r="E551" s="63"/>
      <c r="F551" s="63"/>
      <c r="K551" s="98"/>
      <c r="L551" s="98"/>
    </row>
    <row r="552" spans="2:12" x14ac:dyDescent="0.25">
      <c r="B552" s="61"/>
      <c r="D552" s="63"/>
      <c r="E552" s="63"/>
      <c r="F552" s="63"/>
      <c r="K552" s="98"/>
      <c r="L552" s="98"/>
    </row>
    <row r="553" spans="2:12" x14ac:dyDescent="0.25">
      <c r="B553" s="61"/>
      <c r="D553" s="63"/>
      <c r="E553" s="63"/>
      <c r="F553" s="63"/>
      <c r="K553" s="98"/>
      <c r="L553" s="98"/>
    </row>
    <row r="554" spans="2:12" x14ac:dyDescent="0.25">
      <c r="B554" s="61"/>
      <c r="D554" s="63"/>
      <c r="E554" s="63"/>
      <c r="F554" s="63"/>
      <c r="K554" s="98"/>
      <c r="L554" s="98"/>
    </row>
    <row r="555" spans="2:12" x14ac:dyDescent="0.25">
      <c r="B555" s="61"/>
      <c r="D555" s="63"/>
      <c r="E555" s="63"/>
      <c r="F555" s="63"/>
      <c r="K555" s="98"/>
      <c r="L555" s="98"/>
    </row>
    <row r="556" spans="2:12" x14ac:dyDescent="0.25">
      <c r="B556" s="61"/>
      <c r="D556" s="63"/>
      <c r="E556" s="63"/>
      <c r="F556" s="63"/>
      <c r="K556" s="98"/>
      <c r="L556" s="98"/>
    </row>
    <row r="557" spans="2:12" x14ac:dyDescent="0.25">
      <c r="B557" s="61"/>
      <c r="D557" s="63"/>
      <c r="E557" s="63"/>
      <c r="F557" s="63"/>
      <c r="K557" s="98"/>
      <c r="L557" s="98"/>
    </row>
    <row r="558" spans="2:12" x14ac:dyDescent="0.25">
      <c r="B558" s="61"/>
      <c r="D558" s="63"/>
      <c r="E558" s="63"/>
      <c r="F558" s="63"/>
      <c r="K558" s="98"/>
      <c r="L558" s="98"/>
    </row>
    <row r="559" spans="2:12" x14ac:dyDescent="0.25">
      <c r="B559" s="61"/>
      <c r="D559" s="63"/>
      <c r="E559" s="63"/>
      <c r="F559" s="63"/>
      <c r="K559" s="98"/>
      <c r="L559" s="98"/>
    </row>
    <row r="560" spans="2:12" x14ac:dyDescent="0.25">
      <c r="B560" s="61"/>
      <c r="D560" s="63"/>
      <c r="E560" s="63"/>
      <c r="F560" s="63"/>
      <c r="K560" s="98"/>
      <c r="L560" s="98"/>
    </row>
    <row r="561" spans="2:12" x14ac:dyDescent="0.25">
      <c r="B561" s="61"/>
      <c r="D561" s="63"/>
      <c r="E561" s="63"/>
      <c r="F561" s="63"/>
      <c r="K561" s="98"/>
      <c r="L561" s="98"/>
    </row>
    <row r="562" spans="2:12" x14ac:dyDescent="0.25">
      <c r="B562" s="61"/>
      <c r="D562" s="63"/>
      <c r="E562" s="63"/>
      <c r="F562" s="63"/>
      <c r="K562" s="98"/>
      <c r="L562" s="98"/>
    </row>
    <row r="563" spans="2:12" x14ac:dyDescent="0.25">
      <c r="B563" s="61"/>
      <c r="D563" s="63"/>
      <c r="E563" s="63"/>
      <c r="F563" s="63"/>
      <c r="K563" s="98"/>
      <c r="L563" s="98"/>
    </row>
    <row r="564" spans="2:12" x14ac:dyDescent="0.25">
      <c r="B564" s="61"/>
      <c r="D564" s="63"/>
      <c r="E564" s="63"/>
      <c r="F564" s="63"/>
      <c r="K564" s="98"/>
      <c r="L564" s="98"/>
    </row>
    <row r="565" spans="2:12" x14ac:dyDescent="0.25">
      <c r="B565" s="61"/>
      <c r="D565" s="63"/>
      <c r="E565" s="63"/>
      <c r="F565" s="63"/>
      <c r="K565" s="98"/>
      <c r="L565" s="98"/>
    </row>
    <row r="566" spans="2:12" x14ac:dyDescent="0.25">
      <c r="B566" s="61"/>
      <c r="D566" s="63"/>
      <c r="E566" s="63"/>
      <c r="F566" s="63"/>
      <c r="K566" s="98"/>
      <c r="L566" s="98"/>
    </row>
    <row r="567" spans="2:12" x14ac:dyDescent="0.25">
      <c r="B567" s="61"/>
      <c r="D567" s="63"/>
      <c r="E567" s="63"/>
      <c r="F567" s="63"/>
      <c r="K567" s="98"/>
      <c r="L567" s="98"/>
    </row>
    <row r="568" spans="2:12" x14ac:dyDescent="0.25">
      <c r="B568" s="61"/>
      <c r="D568" s="63"/>
      <c r="E568" s="63"/>
      <c r="F568" s="63"/>
      <c r="K568" s="98"/>
      <c r="L568" s="98"/>
    </row>
    <row r="569" spans="2:12" x14ac:dyDescent="0.25">
      <c r="B569" s="61"/>
      <c r="D569" s="63"/>
      <c r="E569" s="63"/>
      <c r="F569" s="63"/>
      <c r="K569" s="98"/>
      <c r="L569" s="98"/>
    </row>
    <row r="570" spans="2:12" x14ac:dyDescent="0.25">
      <c r="B570" s="61"/>
      <c r="D570" s="63"/>
      <c r="E570" s="63"/>
      <c r="F570" s="63"/>
      <c r="K570" s="98"/>
      <c r="L570" s="98"/>
    </row>
    <row r="571" spans="2:12" x14ac:dyDescent="0.25">
      <c r="B571" s="61"/>
      <c r="D571" s="63"/>
      <c r="E571" s="63"/>
      <c r="F571" s="63"/>
      <c r="K571" s="98"/>
      <c r="L571" s="98"/>
    </row>
    <row r="572" spans="2:12" x14ac:dyDescent="0.25">
      <c r="B572" s="61"/>
      <c r="D572" s="63"/>
      <c r="E572" s="63"/>
      <c r="F572" s="63"/>
      <c r="K572" s="98"/>
      <c r="L572" s="98"/>
    </row>
    <row r="573" spans="2:12" x14ac:dyDescent="0.25">
      <c r="B573" s="61"/>
      <c r="D573" s="63"/>
      <c r="E573" s="63"/>
      <c r="F573" s="63"/>
      <c r="K573" s="98"/>
      <c r="L573" s="98"/>
    </row>
    <row r="574" spans="2:12" x14ac:dyDescent="0.25">
      <c r="B574" s="61"/>
      <c r="D574" s="63"/>
      <c r="E574" s="63"/>
      <c r="F574" s="63"/>
      <c r="K574" s="98"/>
      <c r="L574" s="98"/>
    </row>
    <row r="575" spans="2:12" x14ac:dyDescent="0.25">
      <c r="B575" s="61"/>
      <c r="D575" s="63"/>
      <c r="E575" s="63"/>
      <c r="F575" s="63"/>
      <c r="K575" s="98"/>
      <c r="L575" s="98"/>
    </row>
    <row r="576" spans="2:12" x14ac:dyDescent="0.25">
      <c r="B576" s="61"/>
      <c r="D576" s="63"/>
      <c r="E576" s="63"/>
      <c r="F576" s="63"/>
      <c r="K576" s="98"/>
      <c r="L576" s="98"/>
    </row>
    <row r="577" spans="2:12" x14ac:dyDescent="0.25">
      <c r="B577" s="61"/>
      <c r="D577" s="63"/>
      <c r="E577" s="63"/>
      <c r="F577" s="63"/>
      <c r="K577" s="98"/>
      <c r="L577" s="98"/>
    </row>
    <row r="578" spans="2:12" x14ac:dyDescent="0.25">
      <c r="B578" s="61"/>
      <c r="D578" s="63"/>
      <c r="E578" s="63"/>
      <c r="F578" s="63"/>
      <c r="K578" s="98"/>
      <c r="L578" s="98"/>
    </row>
    <row r="579" spans="2:12" x14ac:dyDescent="0.25">
      <c r="B579" s="61"/>
      <c r="D579" s="63"/>
      <c r="E579" s="63"/>
      <c r="F579" s="63"/>
      <c r="K579" s="98"/>
      <c r="L579" s="98"/>
    </row>
    <row r="580" spans="2:12" x14ac:dyDescent="0.25">
      <c r="B580" s="61"/>
      <c r="D580" s="63"/>
      <c r="E580" s="63"/>
      <c r="F580" s="63"/>
      <c r="K580" s="98"/>
      <c r="L580" s="98"/>
    </row>
    <row r="581" spans="2:12" x14ac:dyDescent="0.25">
      <c r="B581" s="61"/>
      <c r="D581" s="63"/>
      <c r="E581" s="63"/>
      <c r="F581" s="63"/>
      <c r="K581" s="98"/>
      <c r="L581" s="98"/>
    </row>
    <row r="582" spans="2:12" x14ac:dyDescent="0.25">
      <c r="B582" s="61"/>
      <c r="D582" s="63"/>
      <c r="E582" s="63"/>
      <c r="F582" s="63"/>
      <c r="K582" s="98"/>
      <c r="L582" s="98"/>
    </row>
    <row r="583" spans="2:12" x14ac:dyDescent="0.25">
      <c r="B583" s="61"/>
      <c r="D583" s="63"/>
      <c r="E583" s="63"/>
      <c r="F583" s="63"/>
      <c r="K583" s="98"/>
      <c r="L583" s="98"/>
    </row>
    <row r="584" spans="2:12" x14ac:dyDescent="0.25">
      <c r="B584" s="61"/>
      <c r="D584" s="63"/>
      <c r="E584" s="63"/>
      <c r="F584" s="63"/>
      <c r="K584" s="98"/>
      <c r="L584" s="98"/>
    </row>
    <row r="585" spans="2:12" x14ac:dyDescent="0.25">
      <c r="B585" s="61"/>
      <c r="D585" s="63"/>
      <c r="E585" s="63"/>
      <c r="F585" s="63"/>
      <c r="K585" s="98"/>
      <c r="L585" s="98"/>
    </row>
    <row r="586" spans="2:12" x14ac:dyDescent="0.25">
      <c r="B586" s="61"/>
      <c r="D586" s="63"/>
      <c r="E586" s="63"/>
      <c r="F586" s="63"/>
      <c r="K586" s="98"/>
      <c r="L586" s="98"/>
    </row>
    <row r="587" spans="2:12" x14ac:dyDescent="0.25">
      <c r="B587" s="61"/>
      <c r="D587" s="63"/>
      <c r="E587" s="63"/>
      <c r="F587" s="63"/>
      <c r="K587" s="98"/>
      <c r="L587" s="98"/>
    </row>
    <row r="588" spans="2:12" x14ac:dyDescent="0.25">
      <c r="B588" s="61"/>
      <c r="D588" s="63"/>
      <c r="E588" s="63"/>
      <c r="F588" s="63"/>
      <c r="K588" s="98"/>
      <c r="L588" s="98"/>
    </row>
    <row r="589" spans="2:12" x14ac:dyDescent="0.25">
      <c r="B589" s="61"/>
      <c r="D589" s="63"/>
      <c r="E589" s="63"/>
      <c r="F589" s="63"/>
      <c r="K589" s="98"/>
      <c r="L589" s="98"/>
    </row>
    <row r="590" spans="2:12" x14ac:dyDescent="0.25">
      <c r="B590" s="61"/>
      <c r="D590" s="63"/>
      <c r="E590" s="63"/>
      <c r="F590" s="63"/>
      <c r="K590" s="98"/>
      <c r="L590" s="98"/>
    </row>
    <row r="591" spans="2:12" x14ac:dyDescent="0.25">
      <c r="B591" s="61"/>
      <c r="D591" s="63"/>
      <c r="E591" s="63"/>
      <c r="F591" s="63"/>
      <c r="K591" s="98"/>
      <c r="L591" s="98"/>
    </row>
    <row r="592" spans="2:12" x14ac:dyDescent="0.25">
      <c r="B592" s="61"/>
      <c r="D592" s="63"/>
      <c r="E592" s="63"/>
      <c r="F592" s="63"/>
      <c r="K592" s="98"/>
      <c r="L592" s="98"/>
    </row>
    <row r="593" spans="2:12" x14ac:dyDescent="0.25">
      <c r="B593" s="61"/>
      <c r="D593" s="63"/>
      <c r="E593" s="63"/>
      <c r="F593" s="63"/>
      <c r="K593" s="98"/>
      <c r="L593" s="98"/>
    </row>
    <row r="594" spans="2:12" x14ac:dyDescent="0.25">
      <c r="B594" s="61"/>
      <c r="D594" s="63"/>
      <c r="E594" s="63"/>
      <c r="F594" s="63"/>
      <c r="K594" s="98"/>
      <c r="L594" s="98"/>
    </row>
    <row r="595" spans="2:12" x14ac:dyDescent="0.25">
      <c r="B595" s="61"/>
      <c r="D595" s="63"/>
      <c r="E595" s="63"/>
      <c r="F595" s="63"/>
      <c r="K595" s="98"/>
      <c r="L595" s="98"/>
    </row>
    <row r="596" spans="2:12" x14ac:dyDescent="0.25">
      <c r="B596" s="61"/>
      <c r="D596" s="63"/>
      <c r="E596" s="63"/>
      <c r="F596" s="63"/>
      <c r="K596" s="98"/>
      <c r="L596" s="98"/>
    </row>
    <row r="597" spans="2:12" x14ac:dyDescent="0.25">
      <c r="B597" s="61"/>
      <c r="D597" s="63"/>
      <c r="E597" s="63"/>
      <c r="F597" s="63"/>
      <c r="K597" s="98"/>
      <c r="L597" s="98"/>
    </row>
    <row r="598" spans="2:12" x14ac:dyDescent="0.25">
      <c r="B598" s="61"/>
      <c r="D598" s="63"/>
      <c r="E598" s="63"/>
      <c r="F598" s="63"/>
      <c r="K598" s="98"/>
      <c r="L598" s="98"/>
    </row>
    <row r="599" spans="2:12" x14ac:dyDescent="0.25">
      <c r="B599" s="61"/>
      <c r="D599" s="63"/>
      <c r="E599" s="63"/>
      <c r="F599" s="63"/>
      <c r="K599" s="98"/>
      <c r="L599" s="98"/>
    </row>
    <row r="600" spans="2:12" x14ac:dyDescent="0.25">
      <c r="B600" s="61"/>
      <c r="D600" s="63"/>
      <c r="E600" s="63"/>
      <c r="F600" s="63"/>
      <c r="K600" s="98"/>
      <c r="L600" s="98"/>
    </row>
    <row r="601" spans="2:12" x14ac:dyDescent="0.25">
      <c r="B601" s="61"/>
      <c r="D601" s="63"/>
      <c r="E601" s="63"/>
      <c r="F601" s="63"/>
      <c r="K601" s="98"/>
      <c r="L601" s="98"/>
    </row>
    <row r="602" spans="2:12" x14ac:dyDescent="0.25">
      <c r="B602" s="61"/>
      <c r="D602" s="63"/>
      <c r="E602" s="63"/>
      <c r="F602" s="63"/>
      <c r="K602" s="98"/>
      <c r="L602" s="98"/>
    </row>
    <row r="603" spans="2:12" x14ac:dyDescent="0.25">
      <c r="B603" s="61"/>
      <c r="D603" s="63"/>
      <c r="E603" s="63"/>
      <c r="F603" s="63"/>
      <c r="K603" s="98"/>
      <c r="L603" s="98"/>
    </row>
    <row r="604" spans="2:12" x14ac:dyDescent="0.25">
      <c r="B604" s="61"/>
      <c r="D604" s="63"/>
      <c r="E604" s="63"/>
      <c r="F604" s="63"/>
      <c r="K604" s="98"/>
      <c r="L604" s="98"/>
    </row>
    <row r="605" spans="2:12" x14ac:dyDescent="0.25">
      <c r="B605" s="61"/>
      <c r="D605" s="63"/>
      <c r="E605" s="63"/>
      <c r="F605" s="63"/>
      <c r="K605" s="98"/>
      <c r="L605" s="98"/>
    </row>
    <row r="606" spans="2:12" x14ac:dyDescent="0.25">
      <c r="B606" s="61"/>
      <c r="D606" s="63"/>
      <c r="E606" s="63"/>
      <c r="F606" s="63"/>
      <c r="K606" s="98"/>
      <c r="L606" s="98"/>
    </row>
    <row r="607" spans="2:12" x14ac:dyDescent="0.25">
      <c r="B607" s="61"/>
      <c r="D607" s="63"/>
      <c r="E607" s="63"/>
      <c r="F607" s="63"/>
      <c r="K607" s="98"/>
      <c r="L607" s="98"/>
    </row>
    <row r="608" spans="2:12" x14ac:dyDescent="0.25">
      <c r="B608" s="61"/>
      <c r="D608" s="63"/>
      <c r="E608" s="63"/>
      <c r="F608" s="63"/>
      <c r="K608" s="98"/>
      <c r="L608" s="98"/>
    </row>
    <row r="609" spans="2:12" x14ac:dyDescent="0.25">
      <c r="B609" s="61"/>
      <c r="D609" s="63"/>
      <c r="E609" s="63"/>
      <c r="F609" s="63"/>
      <c r="K609" s="98"/>
      <c r="L609" s="98"/>
    </row>
    <row r="610" spans="2:12" x14ac:dyDescent="0.25">
      <c r="B610" s="61"/>
      <c r="D610" s="63"/>
      <c r="E610" s="63"/>
      <c r="F610" s="63"/>
      <c r="K610" s="98"/>
      <c r="L610" s="98"/>
    </row>
    <row r="611" spans="2:12" x14ac:dyDescent="0.25">
      <c r="B611" s="61"/>
      <c r="D611" s="63"/>
      <c r="E611" s="63"/>
      <c r="F611" s="63"/>
      <c r="K611" s="98"/>
      <c r="L611" s="98"/>
    </row>
    <row r="612" spans="2:12" x14ac:dyDescent="0.25">
      <c r="B612" s="61"/>
      <c r="D612" s="63"/>
      <c r="E612" s="63"/>
      <c r="F612" s="63"/>
      <c r="K612" s="98"/>
      <c r="L612" s="98"/>
    </row>
    <row r="613" spans="2:12" x14ac:dyDescent="0.25">
      <c r="B613" s="61"/>
      <c r="D613" s="63"/>
      <c r="E613" s="63"/>
      <c r="F613" s="63"/>
      <c r="K613" s="98"/>
      <c r="L613" s="98"/>
    </row>
    <row r="614" spans="2:12" x14ac:dyDescent="0.25">
      <c r="B614" s="61"/>
      <c r="D614" s="63"/>
      <c r="E614" s="63"/>
      <c r="F614" s="63"/>
      <c r="K614" s="98"/>
      <c r="L614" s="98"/>
    </row>
    <row r="615" spans="2:12" x14ac:dyDescent="0.25">
      <c r="B615" s="61"/>
      <c r="D615" s="63"/>
      <c r="E615" s="63"/>
      <c r="F615" s="63"/>
      <c r="K615" s="98"/>
      <c r="L615" s="98"/>
    </row>
    <row r="616" spans="2:12" x14ac:dyDescent="0.25">
      <c r="B616" s="61"/>
      <c r="D616" s="63"/>
      <c r="E616" s="63"/>
      <c r="F616" s="63"/>
      <c r="K616" s="98"/>
      <c r="L616" s="98"/>
    </row>
    <row r="617" spans="2:12" x14ac:dyDescent="0.25">
      <c r="B617" s="61"/>
      <c r="D617" s="63"/>
      <c r="E617" s="63"/>
      <c r="F617" s="63"/>
      <c r="K617" s="98"/>
      <c r="L617" s="98"/>
    </row>
    <row r="618" spans="2:12" x14ac:dyDescent="0.25">
      <c r="B618" s="61"/>
      <c r="D618" s="63"/>
      <c r="E618" s="63"/>
      <c r="F618" s="63"/>
      <c r="K618" s="98"/>
      <c r="L618" s="98"/>
    </row>
    <row r="619" spans="2:12" x14ac:dyDescent="0.25">
      <c r="B619" s="61"/>
      <c r="D619" s="63"/>
      <c r="E619" s="63"/>
      <c r="F619" s="63"/>
      <c r="K619" s="98"/>
      <c r="L619" s="98"/>
    </row>
    <row r="620" spans="2:12" x14ac:dyDescent="0.25">
      <c r="B620" s="61"/>
      <c r="D620" s="63"/>
      <c r="E620" s="63"/>
      <c r="F620" s="63"/>
      <c r="K620" s="98"/>
      <c r="L620" s="98"/>
    </row>
    <row r="621" spans="2:12" x14ac:dyDescent="0.25">
      <c r="B621" s="61"/>
      <c r="D621" s="63"/>
      <c r="E621" s="63"/>
      <c r="F621" s="63"/>
      <c r="K621" s="98"/>
      <c r="L621" s="98"/>
    </row>
    <row r="622" spans="2:12" x14ac:dyDescent="0.25">
      <c r="B622" s="61"/>
      <c r="D622" s="63"/>
      <c r="E622" s="63"/>
      <c r="F622" s="63"/>
      <c r="K622" s="98"/>
      <c r="L622" s="98"/>
    </row>
    <row r="623" spans="2:12" x14ac:dyDescent="0.25">
      <c r="B623" s="61"/>
      <c r="D623" s="63"/>
      <c r="E623" s="63"/>
      <c r="F623" s="63"/>
      <c r="K623" s="98"/>
      <c r="L623" s="98"/>
    </row>
    <row r="624" spans="2:12" x14ac:dyDescent="0.25">
      <c r="B624" s="61"/>
      <c r="D624" s="63"/>
      <c r="E624" s="63"/>
      <c r="F624" s="63"/>
      <c r="K624" s="98"/>
      <c r="L624" s="98"/>
    </row>
    <row r="625" spans="2:12" x14ac:dyDescent="0.25">
      <c r="B625" s="61"/>
      <c r="D625" s="63"/>
      <c r="E625" s="63"/>
      <c r="F625" s="63"/>
      <c r="K625" s="98"/>
      <c r="L625" s="98"/>
    </row>
    <row r="626" spans="2:12" x14ac:dyDescent="0.25">
      <c r="B626" s="61"/>
      <c r="D626" s="63"/>
      <c r="E626" s="63"/>
      <c r="F626" s="63"/>
      <c r="K626" s="98"/>
      <c r="L626" s="98"/>
    </row>
    <row r="627" spans="2:12" x14ac:dyDescent="0.25">
      <c r="B627" s="61"/>
      <c r="D627" s="63"/>
      <c r="E627" s="63"/>
      <c r="F627" s="63"/>
      <c r="K627" s="98"/>
      <c r="L627" s="98"/>
    </row>
    <row r="628" spans="2:12" x14ac:dyDescent="0.25">
      <c r="B628" s="61"/>
      <c r="D628" s="63"/>
      <c r="E628" s="63"/>
      <c r="F628" s="63"/>
      <c r="K628" s="98"/>
      <c r="L628" s="98"/>
    </row>
    <row r="629" spans="2:12" x14ac:dyDescent="0.25">
      <c r="B629" s="61"/>
      <c r="D629" s="63"/>
      <c r="E629" s="63"/>
      <c r="F629" s="63"/>
      <c r="K629" s="98"/>
      <c r="L629" s="98"/>
    </row>
    <row r="630" spans="2:12" x14ac:dyDescent="0.25">
      <c r="B630" s="61"/>
      <c r="D630" s="63"/>
      <c r="E630" s="63"/>
      <c r="F630" s="63"/>
      <c r="K630" s="98"/>
      <c r="L630" s="98"/>
    </row>
    <row r="631" spans="2:12" x14ac:dyDescent="0.25">
      <c r="B631" s="61"/>
      <c r="D631" s="63"/>
      <c r="E631" s="63"/>
      <c r="F631" s="63"/>
      <c r="K631" s="98"/>
      <c r="L631" s="98"/>
    </row>
    <row r="632" spans="2:12" x14ac:dyDescent="0.25">
      <c r="B632" s="61"/>
      <c r="D632" s="63"/>
      <c r="E632" s="63"/>
      <c r="F632" s="63"/>
      <c r="K632" s="98"/>
      <c r="L632" s="98"/>
    </row>
    <row r="633" spans="2:12" x14ac:dyDescent="0.25">
      <c r="B633" s="61"/>
      <c r="D633" s="63"/>
      <c r="E633" s="63"/>
      <c r="F633" s="63"/>
      <c r="K633" s="98"/>
      <c r="L633" s="98"/>
    </row>
    <row r="634" spans="2:12" x14ac:dyDescent="0.25">
      <c r="B634" s="61"/>
      <c r="D634" s="63"/>
      <c r="E634" s="63"/>
      <c r="F634" s="63"/>
      <c r="K634" s="98"/>
      <c r="L634" s="98"/>
    </row>
    <row r="635" spans="2:12" x14ac:dyDescent="0.25">
      <c r="B635" s="61"/>
      <c r="D635" s="63"/>
      <c r="E635" s="63"/>
      <c r="F635" s="63"/>
      <c r="K635" s="98"/>
      <c r="L635" s="98"/>
    </row>
    <row r="636" spans="2:12" x14ac:dyDescent="0.25">
      <c r="B636" s="61"/>
      <c r="D636" s="64"/>
      <c r="E636" s="64"/>
      <c r="F636" s="64"/>
      <c r="K636" s="98"/>
      <c r="L636" s="98"/>
    </row>
    <row r="637" spans="2:12" x14ac:dyDescent="0.25">
      <c r="B637" s="61"/>
      <c r="D637" s="64"/>
      <c r="E637" s="64"/>
      <c r="F637" s="64"/>
      <c r="K637" s="98"/>
      <c r="L637" s="98"/>
    </row>
    <row r="638" spans="2:12" x14ac:dyDescent="0.25">
      <c r="B638" s="61"/>
      <c r="D638" s="64"/>
      <c r="E638" s="64"/>
      <c r="F638" s="64"/>
      <c r="K638" s="98"/>
      <c r="L638" s="98"/>
    </row>
    <row r="639" spans="2:12" x14ac:dyDescent="0.25">
      <c r="B639" s="61"/>
      <c r="D639" s="64"/>
      <c r="E639" s="64"/>
      <c r="F639" s="64"/>
      <c r="K639" s="98"/>
      <c r="L639" s="98"/>
    </row>
    <row r="640" spans="2:12" x14ac:dyDescent="0.25">
      <c r="B640" s="61"/>
      <c r="D640" s="64"/>
      <c r="E640" s="64"/>
      <c r="F640" s="64"/>
      <c r="K640" s="98"/>
      <c r="L640" s="98"/>
    </row>
    <row r="641" spans="2:12" x14ac:dyDescent="0.25">
      <c r="B641" s="61"/>
      <c r="D641" s="64"/>
      <c r="E641" s="64"/>
      <c r="F641" s="64"/>
      <c r="K641" s="98"/>
      <c r="L641" s="98"/>
    </row>
    <row r="642" spans="2:12" x14ac:dyDescent="0.25">
      <c r="B642" s="61"/>
      <c r="D642" s="64"/>
      <c r="E642" s="64"/>
      <c r="F642" s="64"/>
      <c r="K642" s="98"/>
      <c r="L642" s="98"/>
    </row>
    <row r="643" spans="2:12" x14ac:dyDescent="0.25">
      <c r="B643" s="61"/>
      <c r="D643" s="63"/>
      <c r="E643" s="63"/>
      <c r="F643" s="63"/>
      <c r="K643" s="98"/>
      <c r="L643" s="98"/>
    </row>
    <row r="644" spans="2:12" x14ac:dyDescent="0.25">
      <c r="B644" s="61"/>
      <c r="D644" s="63"/>
      <c r="E644" s="63"/>
      <c r="F644" s="63"/>
      <c r="K644" s="98"/>
      <c r="L644" s="98"/>
    </row>
    <row r="645" spans="2:12" x14ac:dyDescent="0.25">
      <c r="B645" s="61"/>
      <c r="D645" s="63"/>
      <c r="E645" s="63"/>
      <c r="F645" s="63"/>
      <c r="K645" s="98"/>
      <c r="L645" s="98"/>
    </row>
    <row r="646" spans="2:12" x14ac:dyDescent="0.25">
      <c r="B646" s="61"/>
      <c r="D646" s="63"/>
      <c r="E646" s="63"/>
      <c r="F646" s="63"/>
      <c r="K646" s="98"/>
      <c r="L646" s="98"/>
    </row>
    <row r="647" spans="2:12" x14ac:dyDescent="0.25">
      <c r="B647" s="61"/>
      <c r="D647" s="64"/>
      <c r="E647" s="64"/>
      <c r="F647" s="64"/>
      <c r="K647" s="98"/>
      <c r="L647" s="98"/>
    </row>
    <row r="648" spans="2:12" x14ac:dyDescent="0.25">
      <c r="B648" s="61"/>
      <c r="D648" s="64"/>
      <c r="E648" s="64"/>
      <c r="F648" s="64"/>
      <c r="K648" s="98"/>
      <c r="L648" s="98"/>
    </row>
    <row r="649" spans="2:12" x14ac:dyDescent="0.25">
      <c r="B649" s="61"/>
      <c r="D649" s="63"/>
      <c r="E649" s="63"/>
      <c r="F649" s="63"/>
      <c r="K649" s="98"/>
      <c r="L649" s="98"/>
    </row>
    <row r="650" spans="2:12" x14ac:dyDescent="0.25">
      <c r="B650" s="61"/>
      <c r="D650" s="63"/>
      <c r="E650" s="63"/>
      <c r="F650" s="63"/>
      <c r="K650" s="98"/>
      <c r="L650" s="98"/>
    </row>
    <row r="651" spans="2:12" x14ac:dyDescent="0.25">
      <c r="B651" s="61"/>
      <c r="D651" s="63"/>
      <c r="E651" s="63"/>
      <c r="F651" s="63"/>
      <c r="K651" s="98"/>
      <c r="L651" s="98"/>
    </row>
    <row r="652" spans="2:12" x14ac:dyDescent="0.25">
      <c r="B652" s="61"/>
      <c r="D652" s="63"/>
      <c r="E652" s="63"/>
      <c r="F652" s="63"/>
      <c r="K652" s="98"/>
      <c r="L652" s="98"/>
    </row>
    <row r="653" spans="2:12" x14ac:dyDescent="0.25">
      <c r="B653" s="61"/>
      <c r="D653" s="64"/>
      <c r="E653" s="64"/>
      <c r="F653" s="64"/>
      <c r="K653" s="98"/>
      <c r="L653" s="98"/>
    </row>
    <row r="654" spans="2:12" x14ac:dyDescent="0.25">
      <c r="B654" s="61"/>
      <c r="D654" s="64"/>
      <c r="E654" s="64"/>
      <c r="F654" s="64"/>
      <c r="K654" s="98"/>
      <c r="L654" s="98"/>
    </row>
    <row r="655" spans="2:12" x14ac:dyDescent="0.25">
      <c r="B655" s="61"/>
      <c r="D655" s="64"/>
      <c r="E655" s="64"/>
      <c r="F655" s="64"/>
      <c r="K655" s="98"/>
      <c r="L655" s="98"/>
    </row>
    <row r="656" spans="2:12" x14ac:dyDescent="0.25">
      <c r="B656" s="61"/>
      <c r="D656" s="64"/>
      <c r="E656" s="64"/>
      <c r="F656" s="64"/>
      <c r="K656" s="98"/>
      <c r="L656" s="98"/>
    </row>
    <row r="657" spans="2:12" x14ac:dyDescent="0.25">
      <c r="B657" s="61"/>
      <c r="D657" s="64"/>
      <c r="E657" s="64"/>
      <c r="F657" s="64"/>
      <c r="K657" s="98"/>
      <c r="L657" s="98"/>
    </row>
    <row r="658" spans="2:12" x14ac:dyDescent="0.25">
      <c r="B658" s="61"/>
      <c r="D658" s="64"/>
      <c r="E658" s="64"/>
      <c r="F658" s="64"/>
      <c r="K658" s="98"/>
      <c r="L658" s="98"/>
    </row>
    <row r="659" spans="2:12" x14ac:dyDescent="0.25">
      <c r="B659" s="61"/>
      <c r="D659" s="64"/>
      <c r="E659" s="64"/>
      <c r="F659" s="64"/>
      <c r="K659" s="98"/>
      <c r="L659" s="98"/>
    </row>
    <row r="660" spans="2:12" x14ac:dyDescent="0.25">
      <c r="B660" s="61"/>
      <c r="D660" s="64"/>
      <c r="E660" s="64"/>
      <c r="F660" s="64"/>
      <c r="K660" s="98"/>
      <c r="L660" s="98"/>
    </row>
    <row r="661" spans="2:12" x14ac:dyDescent="0.25">
      <c r="B661" s="61"/>
      <c r="D661" s="64"/>
      <c r="E661" s="64"/>
      <c r="F661" s="64"/>
      <c r="K661" s="98"/>
      <c r="L661" s="98"/>
    </row>
    <row r="662" spans="2:12" x14ac:dyDescent="0.25">
      <c r="B662" s="61"/>
      <c r="D662" s="64"/>
      <c r="E662" s="64"/>
      <c r="F662" s="64"/>
      <c r="K662" s="98"/>
      <c r="L662" s="98"/>
    </row>
    <row r="663" spans="2:12" x14ac:dyDescent="0.25">
      <c r="B663" s="61"/>
      <c r="D663" s="64"/>
      <c r="E663" s="64"/>
      <c r="F663" s="64"/>
      <c r="K663" s="98"/>
      <c r="L663" s="98"/>
    </row>
    <row r="664" spans="2:12" x14ac:dyDescent="0.25">
      <c r="B664" s="61"/>
      <c r="D664" s="64"/>
      <c r="E664" s="64"/>
      <c r="F664" s="64"/>
      <c r="K664" s="98"/>
      <c r="L664" s="98"/>
    </row>
    <row r="665" spans="2:12" x14ac:dyDescent="0.25">
      <c r="B665" s="61"/>
      <c r="D665" s="64"/>
      <c r="E665" s="64"/>
      <c r="F665" s="64"/>
      <c r="K665" s="98"/>
      <c r="L665" s="98"/>
    </row>
    <row r="666" spans="2:12" x14ac:dyDescent="0.25">
      <c r="B666" s="61"/>
      <c r="D666" s="64"/>
      <c r="E666" s="64"/>
      <c r="F666" s="64"/>
      <c r="K666" s="98"/>
      <c r="L666" s="98"/>
    </row>
    <row r="667" spans="2:12" x14ac:dyDescent="0.25">
      <c r="B667" s="61"/>
      <c r="D667" s="64"/>
      <c r="E667" s="64"/>
      <c r="F667" s="64"/>
      <c r="K667" s="98"/>
      <c r="L667" s="98"/>
    </row>
    <row r="668" spans="2:12" x14ac:dyDescent="0.25">
      <c r="B668" s="61"/>
      <c r="D668" s="64"/>
      <c r="E668" s="64"/>
      <c r="F668" s="64"/>
      <c r="K668" s="98"/>
      <c r="L668" s="98"/>
    </row>
    <row r="669" spans="2:12" x14ac:dyDescent="0.25">
      <c r="B669" s="61"/>
      <c r="D669" s="64"/>
      <c r="E669" s="64"/>
      <c r="F669" s="64"/>
      <c r="K669" s="98"/>
      <c r="L669" s="98"/>
    </row>
    <row r="670" spans="2:12" x14ac:dyDescent="0.25">
      <c r="B670" s="61"/>
      <c r="D670" s="64"/>
      <c r="E670" s="64"/>
      <c r="F670" s="64"/>
      <c r="K670" s="98"/>
      <c r="L670" s="98"/>
    </row>
    <row r="671" spans="2:12" x14ac:dyDescent="0.25">
      <c r="B671" s="61"/>
      <c r="D671" s="64"/>
      <c r="E671" s="64"/>
      <c r="F671" s="64"/>
      <c r="K671" s="98"/>
      <c r="L671" s="98"/>
    </row>
    <row r="672" spans="2:12" x14ac:dyDescent="0.25">
      <c r="B672" s="61"/>
      <c r="D672" s="64"/>
      <c r="E672" s="64"/>
      <c r="F672" s="64"/>
      <c r="K672" s="98"/>
      <c r="L672" s="98"/>
    </row>
    <row r="673" spans="2:12" x14ac:dyDescent="0.25">
      <c r="B673" s="61"/>
      <c r="D673" s="64"/>
      <c r="E673" s="64"/>
      <c r="F673" s="64"/>
      <c r="K673" s="98"/>
      <c r="L673" s="98"/>
    </row>
    <row r="674" spans="2:12" x14ac:dyDescent="0.25">
      <c r="B674" s="61"/>
      <c r="D674" s="64"/>
      <c r="E674" s="64"/>
      <c r="F674" s="64"/>
      <c r="K674" s="98"/>
      <c r="L674" s="98"/>
    </row>
    <row r="675" spans="2:12" x14ac:dyDescent="0.25">
      <c r="B675" s="61"/>
      <c r="D675" s="64"/>
      <c r="E675" s="64"/>
      <c r="F675" s="64"/>
      <c r="K675" s="98"/>
      <c r="L675" s="98"/>
    </row>
    <row r="676" spans="2:12" x14ac:dyDescent="0.25">
      <c r="B676" s="61"/>
      <c r="D676" s="64"/>
      <c r="E676" s="64"/>
      <c r="F676" s="64"/>
      <c r="K676" s="98"/>
      <c r="L676" s="98"/>
    </row>
    <row r="677" spans="2:12" x14ac:dyDescent="0.25">
      <c r="B677" s="61"/>
      <c r="D677" s="64"/>
      <c r="E677" s="64"/>
      <c r="F677" s="64"/>
      <c r="K677" s="98"/>
      <c r="L677" s="98"/>
    </row>
    <row r="678" spans="2:12" x14ac:dyDescent="0.25">
      <c r="B678" s="61"/>
      <c r="D678" s="64"/>
      <c r="E678" s="64"/>
      <c r="F678" s="64"/>
      <c r="K678" s="98"/>
      <c r="L678" s="98"/>
    </row>
    <row r="679" spans="2:12" x14ac:dyDescent="0.25">
      <c r="B679" s="61"/>
      <c r="D679" s="64"/>
      <c r="E679" s="64"/>
      <c r="F679" s="64"/>
      <c r="K679" s="98"/>
      <c r="L679" s="98"/>
    </row>
    <row r="680" spans="2:12" x14ac:dyDescent="0.25">
      <c r="B680" s="61"/>
      <c r="D680" s="63"/>
      <c r="E680" s="63"/>
      <c r="F680" s="63"/>
      <c r="K680" s="98"/>
      <c r="L680" s="98"/>
    </row>
    <row r="681" spans="2:12" x14ac:dyDescent="0.25">
      <c r="B681" s="61"/>
      <c r="D681" s="63"/>
      <c r="E681" s="63"/>
      <c r="F681" s="63"/>
      <c r="K681" s="98"/>
      <c r="L681" s="98"/>
    </row>
    <row r="682" spans="2:12" x14ac:dyDescent="0.25">
      <c r="B682" s="61"/>
      <c r="D682" s="63"/>
      <c r="E682" s="63"/>
      <c r="F682" s="63"/>
      <c r="K682" s="98"/>
      <c r="L682" s="98"/>
    </row>
    <row r="683" spans="2:12" x14ac:dyDescent="0.25">
      <c r="B683" s="61"/>
      <c r="D683" s="63"/>
      <c r="E683" s="63"/>
      <c r="F683" s="63"/>
      <c r="K683" s="98"/>
      <c r="L683" s="98"/>
    </row>
    <row r="684" spans="2:12" x14ac:dyDescent="0.25">
      <c r="B684" s="61"/>
      <c r="D684" s="63"/>
      <c r="E684" s="63"/>
      <c r="F684" s="63"/>
      <c r="K684" s="98"/>
      <c r="L684" s="98"/>
    </row>
    <row r="685" spans="2:12" x14ac:dyDescent="0.25">
      <c r="B685" s="61"/>
      <c r="D685" s="63"/>
      <c r="E685" s="63"/>
      <c r="F685" s="63"/>
      <c r="K685" s="98"/>
      <c r="L685" s="98"/>
    </row>
    <row r="686" spans="2:12" x14ac:dyDescent="0.25">
      <c r="B686" s="61"/>
      <c r="D686" s="63"/>
      <c r="E686" s="63"/>
      <c r="F686" s="63"/>
      <c r="K686" s="98"/>
      <c r="L686" s="98"/>
    </row>
    <row r="687" spans="2:12" x14ac:dyDescent="0.25">
      <c r="B687" s="61"/>
      <c r="D687" s="63"/>
      <c r="E687" s="63"/>
      <c r="F687" s="63"/>
      <c r="K687" s="98"/>
      <c r="L687" s="98"/>
    </row>
    <row r="688" spans="2:12" x14ac:dyDescent="0.25">
      <c r="B688" s="61"/>
      <c r="D688" s="63"/>
      <c r="E688" s="63"/>
      <c r="F688" s="63"/>
      <c r="K688" s="98"/>
      <c r="L688" s="98"/>
    </row>
    <row r="689" spans="2:12" x14ac:dyDescent="0.25">
      <c r="B689" s="61"/>
      <c r="D689" s="63"/>
      <c r="E689" s="63"/>
      <c r="F689" s="63"/>
      <c r="K689" s="98"/>
      <c r="L689" s="98"/>
    </row>
    <row r="690" spans="2:12" x14ac:dyDescent="0.25">
      <c r="B690" s="61"/>
      <c r="D690" s="63"/>
      <c r="E690" s="63"/>
      <c r="F690" s="63"/>
      <c r="K690" s="98"/>
      <c r="L690" s="98"/>
    </row>
    <row r="691" spans="2:12" x14ac:dyDescent="0.25">
      <c r="B691" s="61"/>
      <c r="D691" s="63"/>
      <c r="E691" s="63"/>
      <c r="F691" s="63"/>
      <c r="K691" s="98"/>
      <c r="L691" s="98"/>
    </row>
    <row r="692" spans="2:12" x14ac:dyDescent="0.25">
      <c r="B692" s="61"/>
      <c r="D692" s="63"/>
      <c r="E692" s="63"/>
      <c r="F692" s="63"/>
      <c r="K692" s="98"/>
      <c r="L692" s="98"/>
    </row>
    <row r="693" spans="2:12" x14ac:dyDescent="0.25">
      <c r="B693" s="61"/>
      <c r="D693" s="63"/>
      <c r="E693" s="63"/>
      <c r="F693" s="63"/>
      <c r="K693" s="98"/>
      <c r="L693" s="98"/>
    </row>
    <row r="694" spans="2:12" x14ac:dyDescent="0.25">
      <c r="B694" s="61"/>
      <c r="D694" s="63"/>
      <c r="E694" s="63"/>
      <c r="F694" s="63"/>
      <c r="K694" s="98"/>
      <c r="L694" s="98"/>
    </row>
    <row r="695" spans="2:12" x14ac:dyDescent="0.25">
      <c r="B695" s="61"/>
      <c r="D695" s="63"/>
      <c r="E695" s="63"/>
      <c r="F695" s="63"/>
      <c r="K695" s="98"/>
      <c r="L695" s="98"/>
    </row>
    <row r="696" spans="2:12" x14ac:dyDescent="0.25">
      <c r="B696" s="61"/>
      <c r="D696" s="63"/>
      <c r="E696" s="63"/>
      <c r="F696" s="63"/>
      <c r="K696" s="98"/>
      <c r="L696" s="98"/>
    </row>
    <row r="697" spans="2:12" x14ac:dyDescent="0.25">
      <c r="B697" s="61"/>
      <c r="D697" s="63"/>
      <c r="E697" s="63"/>
      <c r="F697" s="63"/>
      <c r="K697" s="98"/>
      <c r="L697" s="98"/>
    </row>
    <row r="698" spans="2:12" x14ac:dyDescent="0.25">
      <c r="B698" s="61"/>
      <c r="D698" s="63"/>
      <c r="E698" s="63"/>
      <c r="F698" s="63"/>
      <c r="K698" s="98"/>
      <c r="L698" s="98"/>
    </row>
    <row r="699" spans="2:12" x14ac:dyDescent="0.25">
      <c r="B699" s="61"/>
      <c r="D699" s="63"/>
      <c r="E699" s="63"/>
      <c r="F699" s="63"/>
      <c r="K699" s="98"/>
      <c r="L699" s="98"/>
    </row>
    <row r="700" spans="2:12" x14ac:dyDescent="0.25">
      <c r="B700" s="61"/>
      <c r="D700" s="63"/>
      <c r="E700" s="63"/>
      <c r="F700" s="63"/>
      <c r="K700" s="98"/>
      <c r="L700" s="98"/>
    </row>
    <row r="701" spans="2:12" x14ac:dyDescent="0.25">
      <c r="B701" s="61"/>
      <c r="D701" s="63"/>
      <c r="E701" s="63"/>
      <c r="F701" s="63"/>
      <c r="K701" s="98"/>
      <c r="L701" s="98"/>
    </row>
    <row r="702" spans="2:12" x14ac:dyDescent="0.25">
      <c r="B702" s="61"/>
      <c r="D702" s="63"/>
      <c r="E702" s="63"/>
      <c r="F702" s="63"/>
      <c r="K702" s="98"/>
      <c r="L702" s="98"/>
    </row>
    <row r="703" spans="2:12" x14ac:dyDescent="0.25">
      <c r="B703" s="61"/>
      <c r="D703" s="63"/>
      <c r="E703" s="63"/>
      <c r="F703" s="63"/>
      <c r="K703" s="98"/>
      <c r="L703" s="98"/>
    </row>
    <row r="704" spans="2:12" x14ac:dyDescent="0.25">
      <c r="B704" s="61"/>
      <c r="D704" s="63"/>
      <c r="E704" s="63"/>
      <c r="F704" s="63"/>
      <c r="K704" s="98"/>
      <c r="L704" s="98"/>
    </row>
    <row r="705" spans="2:12" x14ac:dyDescent="0.25">
      <c r="B705" s="61"/>
      <c r="D705" s="63"/>
      <c r="E705" s="63"/>
      <c r="F705" s="63"/>
      <c r="K705" s="98"/>
      <c r="L705" s="98"/>
    </row>
    <row r="706" spans="2:12" x14ac:dyDescent="0.25">
      <c r="B706" s="61"/>
      <c r="D706" s="63"/>
      <c r="E706" s="63"/>
      <c r="F706" s="63"/>
      <c r="K706" s="98"/>
      <c r="L706" s="98"/>
    </row>
    <row r="707" spans="2:12" x14ac:dyDescent="0.25">
      <c r="B707" s="61"/>
      <c r="D707" s="63"/>
      <c r="E707" s="63"/>
      <c r="F707" s="63"/>
      <c r="K707" s="98"/>
      <c r="L707" s="98"/>
    </row>
    <row r="708" spans="2:12" x14ac:dyDescent="0.25">
      <c r="B708" s="61"/>
      <c r="D708" s="63"/>
      <c r="E708" s="63"/>
      <c r="F708" s="63"/>
      <c r="K708" s="98"/>
      <c r="L708" s="98"/>
    </row>
    <row r="709" spans="2:12" x14ac:dyDescent="0.25">
      <c r="B709" s="61"/>
      <c r="D709" s="63"/>
      <c r="E709" s="63"/>
      <c r="F709" s="63"/>
      <c r="K709" s="98"/>
      <c r="L709" s="98"/>
    </row>
    <row r="710" spans="2:12" x14ac:dyDescent="0.25">
      <c r="B710" s="61"/>
      <c r="D710" s="63"/>
      <c r="E710" s="63"/>
      <c r="F710" s="63"/>
      <c r="K710" s="98"/>
      <c r="L710" s="98"/>
    </row>
    <row r="711" spans="2:12" x14ac:dyDescent="0.25">
      <c r="B711" s="61"/>
      <c r="D711" s="63"/>
      <c r="E711" s="63"/>
      <c r="F711" s="63"/>
      <c r="K711" s="98"/>
      <c r="L711" s="98"/>
    </row>
    <row r="712" spans="2:12" x14ac:dyDescent="0.25">
      <c r="B712" s="61"/>
      <c r="D712" s="63"/>
      <c r="E712" s="63"/>
      <c r="F712" s="63"/>
      <c r="K712" s="98"/>
      <c r="L712" s="98"/>
    </row>
    <row r="713" spans="2:12" x14ac:dyDescent="0.25">
      <c r="B713" s="61"/>
      <c r="D713" s="63"/>
      <c r="E713" s="63"/>
      <c r="F713" s="63"/>
      <c r="K713" s="98"/>
      <c r="L713" s="98"/>
    </row>
    <row r="714" spans="2:12" x14ac:dyDescent="0.25">
      <c r="B714" s="61"/>
      <c r="D714" s="63"/>
      <c r="E714" s="63"/>
      <c r="F714" s="63"/>
      <c r="K714" s="98"/>
      <c r="L714" s="98"/>
    </row>
    <row r="715" spans="2:12" x14ac:dyDescent="0.25">
      <c r="B715" s="61"/>
      <c r="D715" s="63"/>
      <c r="E715" s="63"/>
      <c r="F715" s="63"/>
      <c r="K715" s="98"/>
      <c r="L715" s="98"/>
    </row>
    <row r="716" spans="2:12" x14ac:dyDescent="0.25">
      <c r="B716" s="61"/>
      <c r="D716" s="63"/>
      <c r="E716" s="63"/>
      <c r="F716" s="63"/>
      <c r="K716" s="98"/>
      <c r="L716" s="98"/>
    </row>
    <row r="717" spans="2:12" x14ac:dyDescent="0.25">
      <c r="B717" s="61"/>
      <c r="D717" s="63"/>
      <c r="E717" s="63"/>
      <c r="F717" s="63"/>
      <c r="K717" s="98"/>
      <c r="L717" s="98"/>
    </row>
    <row r="718" spans="2:12" x14ac:dyDescent="0.25">
      <c r="B718" s="61"/>
      <c r="D718" s="63"/>
      <c r="E718" s="63"/>
      <c r="F718" s="63"/>
      <c r="K718" s="98"/>
      <c r="L718" s="98"/>
    </row>
    <row r="719" spans="2:12" x14ac:dyDescent="0.25">
      <c r="B719" s="61"/>
      <c r="D719" s="63"/>
      <c r="E719" s="63"/>
      <c r="F719" s="63"/>
      <c r="K719" s="98"/>
      <c r="L719" s="98"/>
    </row>
    <row r="720" spans="2:12" x14ac:dyDescent="0.25">
      <c r="B720" s="61"/>
      <c r="D720" s="63"/>
      <c r="E720" s="63"/>
      <c r="F720" s="63"/>
      <c r="K720" s="98"/>
      <c r="L720" s="98"/>
    </row>
    <row r="721" spans="2:12" x14ac:dyDescent="0.25">
      <c r="B721" s="61"/>
      <c r="D721" s="63"/>
      <c r="E721" s="63"/>
      <c r="F721" s="63"/>
      <c r="K721" s="98"/>
      <c r="L721" s="98"/>
    </row>
    <row r="722" spans="2:12" x14ac:dyDescent="0.25">
      <c r="B722" s="61"/>
      <c r="D722" s="63"/>
      <c r="E722" s="63"/>
      <c r="F722" s="63"/>
      <c r="K722" s="98"/>
      <c r="L722" s="98"/>
    </row>
    <row r="723" spans="2:12" x14ac:dyDescent="0.25">
      <c r="B723" s="61"/>
      <c r="D723" s="63"/>
      <c r="E723" s="63"/>
      <c r="F723" s="63"/>
      <c r="K723" s="98"/>
      <c r="L723" s="98"/>
    </row>
    <row r="724" spans="2:12" x14ac:dyDescent="0.25">
      <c r="B724" s="61"/>
      <c r="D724" s="63"/>
      <c r="E724" s="63"/>
      <c r="F724" s="63"/>
      <c r="K724" s="98"/>
      <c r="L724" s="98"/>
    </row>
    <row r="725" spans="2:12" x14ac:dyDescent="0.25">
      <c r="B725" s="61"/>
      <c r="D725" s="63"/>
      <c r="E725" s="63"/>
      <c r="F725" s="63"/>
      <c r="K725" s="98"/>
      <c r="L725" s="98"/>
    </row>
    <row r="726" spans="2:12" x14ac:dyDescent="0.25">
      <c r="B726" s="61"/>
      <c r="D726" s="63"/>
      <c r="E726" s="63"/>
      <c r="F726" s="63"/>
      <c r="K726" s="98"/>
      <c r="L726" s="98"/>
    </row>
    <row r="727" spans="2:12" x14ac:dyDescent="0.25">
      <c r="B727" s="61"/>
      <c r="D727" s="63"/>
      <c r="E727" s="63"/>
      <c r="F727" s="63"/>
      <c r="K727" s="98"/>
      <c r="L727" s="98"/>
    </row>
    <row r="728" spans="2:12" x14ac:dyDescent="0.25">
      <c r="B728" s="61"/>
      <c r="D728" s="63"/>
      <c r="E728" s="63"/>
      <c r="F728" s="63"/>
      <c r="K728" s="98"/>
      <c r="L728" s="98"/>
    </row>
    <row r="729" spans="2:12" x14ac:dyDescent="0.25">
      <c r="B729" s="61"/>
      <c r="D729" s="63"/>
      <c r="E729" s="63"/>
      <c r="F729" s="63"/>
      <c r="K729" s="98"/>
      <c r="L729" s="98"/>
    </row>
    <row r="730" spans="2:12" x14ac:dyDescent="0.25">
      <c r="B730" s="61"/>
      <c r="D730" s="63"/>
      <c r="E730" s="63"/>
      <c r="F730" s="63"/>
      <c r="K730" s="98"/>
      <c r="L730" s="98"/>
    </row>
    <row r="731" spans="2:12" x14ac:dyDescent="0.25">
      <c r="B731" s="61"/>
      <c r="D731" s="63"/>
      <c r="E731" s="63"/>
      <c r="F731" s="63"/>
      <c r="K731" s="98"/>
      <c r="L731" s="98"/>
    </row>
    <row r="732" spans="2:12" x14ac:dyDescent="0.25">
      <c r="B732" s="61"/>
      <c r="D732" s="63"/>
      <c r="E732" s="63"/>
      <c r="F732" s="63"/>
      <c r="K732" s="98"/>
      <c r="L732" s="98"/>
    </row>
    <row r="733" spans="2:12" x14ac:dyDescent="0.25">
      <c r="B733" s="61"/>
      <c r="D733" s="63"/>
      <c r="E733" s="63"/>
      <c r="F733" s="63"/>
      <c r="K733" s="98"/>
      <c r="L733" s="98"/>
    </row>
    <row r="734" spans="2:12" x14ac:dyDescent="0.25">
      <c r="B734" s="61"/>
      <c r="D734" s="63"/>
      <c r="E734" s="63"/>
      <c r="F734" s="63"/>
      <c r="K734" s="98"/>
      <c r="L734" s="98"/>
    </row>
    <row r="735" spans="2:12" x14ac:dyDescent="0.25">
      <c r="B735" s="61"/>
      <c r="D735" s="63"/>
      <c r="E735" s="63"/>
      <c r="F735" s="63"/>
      <c r="K735" s="98"/>
      <c r="L735" s="98"/>
    </row>
    <row r="736" spans="2:12" x14ac:dyDescent="0.25">
      <c r="B736" s="61"/>
      <c r="D736" s="63"/>
      <c r="E736" s="63"/>
      <c r="F736" s="63"/>
      <c r="K736" s="98"/>
      <c r="L736" s="98"/>
    </row>
    <row r="737" spans="2:12" x14ac:dyDescent="0.25">
      <c r="B737" s="61"/>
      <c r="D737" s="63"/>
      <c r="E737" s="63"/>
      <c r="F737" s="63"/>
      <c r="K737" s="98"/>
      <c r="L737" s="98"/>
    </row>
    <row r="738" spans="2:12" x14ac:dyDescent="0.25">
      <c r="B738" s="61"/>
      <c r="D738" s="63"/>
      <c r="E738" s="63"/>
      <c r="F738" s="63"/>
      <c r="K738" s="98"/>
      <c r="L738" s="98"/>
    </row>
    <row r="739" spans="2:12" x14ac:dyDescent="0.25">
      <c r="B739" s="61"/>
      <c r="D739" s="63"/>
      <c r="E739" s="63"/>
      <c r="F739" s="63"/>
      <c r="K739" s="98"/>
      <c r="L739" s="98"/>
    </row>
    <row r="740" spans="2:12" x14ac:dyDescent="0.25">
      <c r="B740" s="61"/>
      <c r="D740" s="63"/>
      <c r="E740" s="63"/>
      <c r="F740" s="63"/>
      <c r="K740" s="98"/>
      <c r="L740" s="98"/>
    </row>
    <row r="741" spans="2:12" x14ac:dyDescent="0.25">
      <c r="B741" s="61"/>
      <c r="D741" s="63"/>
      <c r="E741" s="63"/>
      <c r="F741" s="63"/>
      <c r="K741" s="98"/>
      <c r="L741" s="98"/>
    </row>
    <row r="742" spans="2:12" x14ac:dyDescent="0.25">
      <c r="B742" s="61"/>
      <c r="D742" s="63"/>
      <c r="E742" s="63"/>
      <c r="F742" s="63"/>
      <c r="K742" s="98"/>
      <c r="L742" s="98"/>
    </row>
    <row r="743" spans="2:12" x14ac:dyDescent="0.25">
      <c r="B743" s="61"/>
      <c r="D743" s="63"/>
      <c r="E743" s="63"/>
      <c r="F743" s="63"/>
      <c r="K743" s="98"/>
      <c r="L743" s="98"/>
    </row>
    <row r="744" spans="2:12" x14ac:dyDescent="0.25">
      <c r="B744" s="61"/>
      <c r="D744" s="63"/>
      <c r="E744" s="63"/>
      <c r="F744" s="63"/>
      <c r="K744" s="98"/>
      <c r="L744" s="98"/>
    </row>
    <row r="745" spans="2:12" x14ac:dyDescent="0.25">
      <c r="B745" s="61"/>
      <c r="D745" s="63"/>
      <c r="E745" s="63"/>
      <c r="F745" s="63"/>
      <c r="K745" s="98"/>
      <c r="L745" s="98"/>
    </row>
    <row r="746" spans="2:12" x14ac:dyDescent="0.25">
      <c r="B746" s="61"/>
      <c r="D746" s="63"/>
      <c r="E746" s="63"/>
      <c r="F746" s="63"/>
      <c r="K746" s="98"/>
      <c r="L746" s="98"/>
    </row>
    <row r="747" spans="2:12" x14ac:dyDescent="0.25">
      <c r="B747" s="61"/>
      <c r="D747" s="63"/>
      <c r="E747" s="63"/>
      <c r="F747" s="63"/>
      <c r="K747" s="98"/>
      <c r="L747" s="98"/>
    </row>
    <row r="748" spans="2:12" x14ac:dyDescent="0.25">
      <c r="B748" s="61"/>
      <c r="D748" s="63"/>
      <c r="E748" s="63"/>
      <c r="F748" s="63"/>
      <c r="K748" s="98"/>
      <c r="L748" s="98"/>
    </row>
    <row r="749" spans="2:12" x14ac:dyDescent="0.25">
      <c r="B749" s="61"/>
      <c r="D749" s="63"/>
      <c r="E749" s="63"/>
      <c r="F749" s="63"/>
      <c r="K749" s="98"/>
      <c r="L749" s="98"/>
    </row>
    <row r="750" spans="2:12" x14ac:dyDescent="0.25">
      <c r="B750" s="61"/>
      <c r="D750" s="63"/>
      <c r="E750" s="63"/>
      <c r="F750" s="63"/>
      <c r="K750" s="98"/>
      <c r="L750" s="98"/>
    </row>
    <row r="751" spans="2:12" x14ac:dyDescent="0.25">
      <c r="B751" s="61"/>
      <c r="D751" s="63"/>
      <c r="E751" s="63"/>
      <c r="F751" s="63"/>
      <c r="K751" s="98"/>
      <c r="L751" s="98"/>
    </row>
    <row r="752" spans="2:12" x14ac:dyDescent="0.25">
      <c r="B752" s="61"/>
      <c r="D752" s="63"/>
      <c r="E752" s="63"/>
      <c r="F752" s="63"/>
      <c r="K752" s="98"/>
      <c r="L752" s="98"/>
    </row>
    <row r="753" spans="2:12" x14ac:dyDescent="0.25">
      <c r="B753" s="61"/>
      <c r="D753" s="63"/>
      <c r="E753" s="63"/>
      <c r="F753" s="63"/>
      <c r="K753" s="98"/>
      <c r="L753" s="98"/>
    </row>
    <row r="754" spans="2:12" x14ac:dyDescent="0.25">
      <c r="B754" s="61"/>
      <c r="D754" s="63"/>
      <c r="E754" s="63"/>
      <c r="F754" s="63"/>
      <c r="K754" s="98"/>
      <c r="L754" s="98"/>
    </row>
    <row r="755" spans="2:12" x14ac:dyDescent="0.25">
      <c r="B755" s="61"/>
      <c r="D755" s="63"/>
      <c r="E755" s="63"/>
      <c r="F755" s="63"/>
      <c r="K755" s="98"/>
      <c r="L755" s="98"/>
    </row>
    <row r="756" spans="2:12" x14ac:dyDescent="0.25">
      <c r="B756" s="61"/>
      <c r="D756" s="63"/>
      <c r="E756" s="63"/>
      <c r="F756" s="63"/>
      <c r="K756" s="98"/>
      <c r="L756" s="98"/>
    </row>
    <row r="757" spans="2:12" x14ac:dyDescent="0.25">
      <c r="B757" s="61"/>
      <c r="D757" s="63"/>
      <c r="E757" s="63"/>
      <c r="F757" s="63"/>
      <c r="K757" s="98"/>
      <c r="L757" s="98"/>
    </row>
    <row r="758" spans="2:12" x14ac:dyDescent="0.25">
      <c r="B758" s="61"/>
      <c r="D758" s="63"/>
      <c r="E758" s="63"/>
      <c r="F758" s="63"/>
      <c r="K758" s="98"/>
      <c r="L758" s="98"/>
    </row>
    <row r="759" spans="2:12" x14ac:dyDescent="0.25">
      <c r="B759" s="61"/>
      <c r="D759" s="63"/>
      <c r="E759" s="63"/>
      <c r="F759" s="63"/>
      <c r="K759" s="98"/>
      <c r="L759" s="98"/>
    </row>
    <row r="760" spans="2:12" x14ac:dyDescent="0.25">
      <c r="B760" s="61"/>
      <c r="D760" s="63"/>
      <c r="E760" s="63"/>
      <c r="F760" s="63"/>
      <c r="K760" s="98"/>
      <c r="L760" s="98"/>
    </row>
    <row r="761" spans="2:12" x14ac:dyDescent="0.25">
      <c r="B761" s="61"/>
      <c r="D761" s="63"/>
      <c r="E761" s="63"/>
      <c r="F761" s="63"/>
      <c r="K761" s="98"/>
      <c r="L761" s="98"/>
    </row>
    <row r="762" spans="2:12" x14ac:dyDescent="0.25">
      <c r="B762" s="61"/>
      <c r="D762" s="63"/>
      <c r="E762" s="63"/>
      <c r="F762" s="63"/>
      <c r="K762" s="98"/>
      <c r="L762" s="98"/>
    </row>
    <row r="763" spans="2:12" x14ac:dyDescent="0.25">
      <c r="B763" s="61"/>
      <c r="D763" s="63"/>
      <c r="E763" s="63"/>
      <c r="F763" s="63"/>
      <c r="K763" s="98"/>
      <c r="L763" s="98"/>
    </row>
    <row r="764" spans="2:12" x14ac:dyDescent="0.25">
      <c r="B764" s="61"/>
      <c r="D764" s="63"/>
      <c r="E764" s="63"/>
      <c r="F764" s="63"/>
      <c r="K764" s="98"/>
      <c r="L764" s="98"/>
    </row>
    <row r="765" spans="2:12" x14ac:dyDescent="0.25">
      <c r="B765" s="61"/>
      <c r="D765" s="63"/>
      <c r="E765" s="63"/>
      <c r="F765" s="63"/>
      <c r="K765" s="98"/>
      <c r="L765" s="98"/>
    </row>
    <row r="766" spans="2:12" x14ac:dyDescent="0.25">
      <c r="B766" s="61"/>
      <c r="D766" s="63"/>
      <c r="E766" s="63"/>
      <c r="F766" s="63"/>
      <c r="K766" s="98"/>
      <c r="L766" s="98"/>
    </row>
    <row r="767" spans="2:12" x14ac:dyDescent="0.25">
      <c r="B767" s="61"/>
      <c r="D767" s="63"/>
      <c r="E767" s="63"/>
      <c r="F767" s="63"/>
      <c r="K767" s="98"/>
      <c r="L767" s="98"/>
    </row>
    <row r="768" spans="2:12" x14ac:dyDescent="0.25">
      <c r="B768" s="61"/>
      <c r="D768" s="63"/>
      <c r="E768" s="63"/>
      <c r="F768" s="63"/>
      <c r="K768" s="98"/>
      <c r="L768" s="98"/>
    </row>
    <row r="769" spans="2:12" x14ac:dyDescent="0.25">
      <c r="B769" s="61"/>
      <c r="D769" s="63"/>
      <c r="E769" s="63"/>
      <c r="F769" s="63"/>
      <c r="K769" s="98"/>
      <c r="L769" s="98"/>
    </row>
    <row r="770" spans="2:12" x14ac:dyDescent="0.25">
      <c r="B770" s="61"/>
      <c r="D770" s="63"/>
      <c r="E770" s="63"/>
      <c r="F770" s="63"/>
      <c r="K770" s="98"/>
      <c r="L770" s="98"/>
    </row>
    <row r="771" spans="2:12" x14ac:dyDescent="0.25">
      <c r="B771" s="61"/>
      <c r="D771" s="63"/>
      <c r="E771" s="63"/>
      <c r="F771" s="63"/>
      <c r="K771" s="98"/>
      <c r="L771" s="98"/>
    </row>
    <row r="772" spans="2:12" x14ac:dyDescent="0.25">
      <c r="B772" s="61"/>
      <c r="D772" s="63"/>
      <c r="E772" s="63"/>
      <c r="F772" s="63"/>
      <c r="K772" s="98"/>
      <c r="L772" s="98"/>
    </row>
    <row r="773" spans="2:12" x14ac:dyDescent="0.25">
      <c r="B773" s="61"/>
      <c r="D773" s="63"/>
      <c r="E773" s="63"/>
      <c r="F773" s="63"/>
      <c r="K773" s="98"/>
      <c r="L773" s="98"/>
    </row>
    <row r="774" spans="2:12" x14ac:dyDescent="0.25">
      <c r="B774" s="61"/>
      <c r="D774" s="63"/>
      <c r="E774" s="63"/>
      <c r="F774" s="63"/>
      <c r="K774" s="98"/>
      <c r="L774" s="98"/>
    </row>
    <row r="775" spans="2:12" x14ac:dyDescent="0.25">
      <c r="B775" s="61"/>
      <c r="D775" s="63"/>
      <c r="E775" s="63"/>
      <c r="F775" s="63"/>
      <c r="K775" s="98"/>
      <c r="L775" s="98"/>
    </row>
    <row r="776" spans="2:12" x14ac:dyDescent="0.25">
      <c r="B776" s="61"/>
      <c r="D776" s="63"/>
      <c r="E776" s="63"/>
      <c r="F776" s="63"/>
      <c r="K776" s="98"/>
      <c r="L776" s="98"/>
    </row>
    <row r="777" spans="2:12" x14ac:dyDescent="0.25">
      <c r="B777" s="61"/>
      <c r="D777" s="63"/>
      <c r="E777" s="63"/>
      <c r="F777" s="63"/>
      <c r="K777" s="98"/>
      <c r="L777" s="98"/>
    </row>
    <row r="778" spans="2:12" x14ac:dyDescent="0.25">
      <c r="B778" s="61"/>
      <c r="D778" s="63"/>
      <c r="E778" s="63"/>
      <c r="F778" s="63"/>
      <c r="K778" s="98"/>
      <c r="L778" s="98"/>
    </row>
    <row r="779" spans="2:12" x14ac:dyDescent="0.25">
      <c r="B779" s="61"/>
      <c r="D779" s="63"/>
      <c r="E779" s="63"/>
      <c r="F779" s="63"/>
      <c r="K779" s="98"/>
      <c r="L779" s="98"/>
    </row>
    <row r="780" spans="2:12" x14ac:dyDescent="0.25">
      <c r="B780" s="61"/>
      <c r="D780" s="63"/>
      <c r="E780" s="63"/>
      <c r="F780" s="63"/>
      <c r="K780" s="98"/>
      <c r="L780" s="98"/>
    </row>
    <row r="781" spans="2:12" x14ac:dyDescent="0.25">
      <c r="B781" s="61"/>
      <c r="D781" s="63"/>
      <c r="E781" s="63"/>
      <c r="F781" s="63"/>
      <c r="K781" s="98"/>
      <c r="L781" s="98"/>
    </row>
    <row r="782" spans="2:12" x14ac:dyDescent="0.25">
      <c r="B782" s="61"/>
      <c r="D782" s="63"/>
      <c r="E782" s="63"/>
      <c r="F782" s="63"/>
      <c r="K782" s="98"/>
      <c r="L782" s="98"/>
    </row>
    <row r="783" spans="2:12" x14ac:dyDescent="0.25">
      <c r="B783" s="61"/>
      <c r="D783" s="63"/>
      <c r="E783" s="63"/>
      <c r="F783" s="63"/>
      <c r="K783" s="98"/>
      <c r="L783" s="98"/>
    </row>
    <row r="784" spans="2:12" x14ac:dyDescent="0.25">
      <c r="B784" s="61"/>
      <c r="D784" s="63"/>
      <c r="E784" s="63"/>
      <c r="F784" s="63"/>
      <c r="K784" s="98"/>
      <c r="L784" s="98"/>
    </row>
    <row r="785" spans="2:12" x14ac:dyDescent="0.25">
      <c r="B785" s="61"/>
      <c r="D785" s="63"/>
      <c r="E785" s="63"/>
      <c r="F785" s="63"/>
      <c r="K785" s="98"/>
      <c r="L785" s="98"/>
    </row>
    <row r="786" spans="2:12" x14ac:dyDescent="0.25">
      <c r="B786" s="61"/>
      <c r="D786" s="63"/>
      <c r="E786" s="63"/>
      <c r="F786" s="63"/>
      <c r="K786" s="98"/>
      <c r="L786" s="98"/>
    </row>
    <row r="787" spans="2:12" x14ac:dyDescent="0.25">
      <c r="B787" s="61"/>
      <c r="D787" s="63"/>
      <c r="E787" s="63"/>
      <c r="F787" s="63"/>
      <c r="K787" s="98"/>
      <c r="L787" s="98"/>
    </row>
    <row r="788" spans="2:12" x14ac:dyDescent="0.25">
      <c r="B788" s="61"/>
      <c r="D788" s="63"/>
      <c r="E788" s="63"/>
      <c r="F788" s="63"/>
      <c r="K788" s="98"/>
      <c r="L788" s="98"/>
    </row>
    <row r="789" spans="2:12" x14ac:dyDescent="0.25">
      <c r="B789" s="61"/>
      <c r="D789" s="63"/>
      <c r="E789" s="63"/>
      <c r="F789" s="63"/>
      <c r="K789" s="98"/>
      <c r="L789" s="98"/>
    </row>
    <row r="790" spans="2:12" x14ac:dyDescent="0.25">
      <c r="B790" s="61"/>
      <c r="D790" s="63"/>
      <c r="E790" s="63"/>
      <c r="F790" s="63"/>
      <c r="K790" s="98"/>
      <c r="L790" s="98"/>
    </row>
    <row r="791" spans="2:12" x14ac:dyDescent="0.25">
      <c r="B791" s="61"/>
      <c r="D791" s="63"/>
      <c r="E791" s="63"/>
      <c r="F791" s="63"/>
      <c r="K791" s="98"/>
      <c r="L791" s="98"/>
    </row>
    <row r="792" spans="2:12" x14ac:dyDescent="0.25">
      <c r="B792" s="61"/>
      <c r="D792" s="63"/>
      <c r="E792" s="63"/>
      <c r="F792" s="63"/>
      <c r="K792" s="98"/>
      <c r="L792" s="98"/>
    </row>
    <row r="793" spans="2:12" x14ac:dyDescent="0.25">
      <c r="B793" s="61"/>
      <c r="D793" s="63"/>
      <c r="E793" s="63"/>
      <c r="F793" s="63"/>
      <c r="K793" s="98"/>
      <c r="L793" s="98"/>
    </row>
    <row r="794" spans="2:12" x14ac:dyDescent="0.25">
      <c r="B794" s="61"/>
      <c r="D794" s="63"/>
      <c r="E794" s="63"/>
      <c r="F794" s="63"/>
      <c r="K794" s="98"/>
      <c r="L794" s="98"/>
    </row>
    <row r="795" spans="2:12" x14ac:dyDescent="0.25">
      <c r="B795" s="61"/>
      <c r="D795" s="63"/>
      <c r="E795" s="63"/>
      <c r="F795" s="63"/>
      <c r="K795" s="98"/>
      <c r="L795" s="98"/>
    </row>
    <row r="796" spans="2:12" x14ac:dyDescent="0.25">
      <c r="B796" s="61"/>
      <c r="D796" s="63"/>
      <c r="E796" s="63"/>
      <c r="F796" s="63"/>
      <c r="K796" s="98"/>
      <c r="L796" s="98"/>
    </row>
    <row r="797" spans="2:12" x14ac:dyDescent="0.25">
      <c r="B797" s="61"/>
      <c r="D797" s="63"/>
      <c r="E797" s="63"/>
      <c r="F797" s="63"/>
      <c r="K797" s="98"/>
      <c r="L797" s="98"/>
    </row>
    <row r="798" spans="2:12" x14ac:dyDescent="0.25">
      <c r="B798" s="61"/>
      <c r="D798" s="63"/>
      <c r="E798" s="63"/>
      <c r="F798" s="63"/>
      <c r="K798" s="98"/>
      <c r="L798" s="98"/>
    </row>
    <row r="799" spans="2:12" x14ac:dyDescent="0.25">
      <c r="B799" s="61"/>
      <c r="D799" s="63"/>
      <c r="E799" s="63"/>
      <c r="F799" s="63"/>
      <c r="K799" s="98"/>
      <c r="L799" s="98"/>
    </row>
    <row r="800" spans="2:12" x14ac:dyDescent="0.25">
      <c r="B800" s="61"/>
      <c r="D800" s="63"/>
      <c r="E800" s="63"/>
      <c r="F800" s="63"/>
      <c r="K800" s="98"/>
      <c r="L800" s="98"/>
    </row>
    <row r="801" spans="2:12" x14ac:dyDescent="0.25">
      <c r="B801" s="61"/>
      <c r="D801" s="63"/>
      <c r="E801" s="63"/>
      <c r="F801" s="63"/>
      <c r="K801" s="98"/>
      <c r="L801" s="98"/>
    </row>
    <row r="802" spans="2:12" x14ac:dyDescent="0.25">
      <c r="B802" s="61"/>
      <c r="D802" s="63"/>
      <c r="E802" s="63"/>
      <c r="F802" s="63"/>
      <c r="K802" s="98"/>
      <c r="L802" s="98"/>
    </row>
    <row r="803" spans="2:12" x14ac:dyDescent="0.25">
      <c r="B803" s="61"/>
      <c r="D803" s="63"/>
      <c r="E803" s="63"/>
      <c r="F803" s="63"/>
      <c r="K803" s="98"/>
      <c r="L803" s="98"/>
    </row>
    <row r="804" spans="2:12" x14ac:dyDescent="0.25">
      <c r="B804" s="61"/>
      <c r="D804" s="63"/>
      <c r="E804" s="63"/>
      <c r="F804" s="63"/>
      <c r="K804" s="98"/>
      <c r="L804" s="98"/>
    </row>
    <row r="805" spans="2:12" x14ac:dyDescent="0.25">
      <c r="B805" s="61"/>
      <c r="D805" s="63"/>
      <c r="E805" s="63"/>
      <c r="F805" s="63"/>
      <c r="K805" s="98"/>
      <c r="L805" s="98"/>
    </row>
    <row r="806" spans="2:12" x14ac:dyDescent="0.25">
      <c r="B806" s="61"/>
      <c r="D806" s="63"/>
      <c r="E806" s="63"/>
      <c r="F806" s="63"/>
      <c r="K806" s="98"/>
      <c r="L806" s="98"/>
    </row>
    <row r="807" spans="2:12" x14ac:dyDescent="0.25">
      <c r="B807" s="61"/>
      <c r="D807" s="63"/>
      <c r="E807" s="63"/>
      <c r="F807" s="63"/>
      <c r="K807" s="98"/>
      <c r="L807" s="98"/>
    </row>
    <row r="808" spans="2:12" x14ac:dyDescent="0.25">
      <c r="B808" s="61"/>
      <c r="D808" s="63"/>
      <c r="E808" s="63"/>
      <c r="F808" s="63"/>
      <c r="K808" s="98"/>
      <c r="L808" s="98"/>
    </row>
    <row r="809" spans="2:12" x14ac:dyDescent="0.25">
      <c r="B809" s="61"/>
      <c r="D809" s="63"/>
      <c r="E809" s="63"/>
      <c r="F809" s="63"/>
      <c r="K809" s="98"/>
      <c r="L809" s="98"/>
    </row>
    <row r="810" spans="2:12" x14ac:dyDescent="0.25">
      <c r="B810" s="61"/>
      <c r="D810" s="63"/>
      <c r="E810" s="63"/>
      <c r="F810" s="63"/>
      <c r="K810" s="98"/>
      <c r="L810" s="98"/>
    </row>
    <row r="811" spans="2:12" x14ac:dyDescent="0.25">
      <c r="B811" s="61"/>
      <c r="D811" s="63"/>
      <c r="E811" s="63"/>
      <c r="F811" s="63"/>
      <c r="K811" s="98"/>
      <c r="L811" s="98"/>
    </row>
    <row r="812" spans="2:12" x14ac:dyDescent="0.25">
      <c r="B812" s="61"/>
      <c r="D812" s="64"/>
      <c r="E812" s="64"/>
      <c r="F812" s="64"/>
      <c r="K812" s="98"/>
      <c r="L812" s="98"/>
    </row>
    <row r="813" spans="2:12" x14ac:dyDescent="0.25">
      <c r="B813" s="61"/>
      <c r="D813" s="64"/>
      <c r="E813" s="64"/>
      <c r="F813" s="64"/>
      <c r="K813" s="98"/>
      <c r="L813" s="98"/>
    </row>
    <row r="814" spans="2:12" x14ac:dyDescent="0.25">
      <c r="B814" s="61"/>
      <c r="D814" s="64"/>
      <c r="E814" s="64"/>
      <c r="F814" s="64"/>
      <c r="K814" s="98"/>
      <c r="L814" s="98"/>
    </row>
    <row r="815" spans="2:12" x14ac:dyDescent="0.25">
      <c r="B815" s="61"/>
      <c r="D815" s="64"/>
      <c r="E815" s="64"/>
      <c r="F815" s="64"/>
      <c r="K815" s="98"/>
      <c r="L815" s="98"/>
    </row>
    <row r="816" spans="2:12" x14ac:dyDescent="0.25">
      <c r="B816" s="61"/>
      <c r="D816" s="64"/>
      <c r="E816" s="64"/>
      <c r="F816" s="64"/>
      <c r="K816" s="98"/>
      <c r="L816" s="98"/>
    </row>
    <row r="817" spans="2:12" x14ac:dyDescent="0.25">
      <c r="B817" s="61"/>
      <c r="D817" s="63"/>
      <c r="E817" s="63"/>
      <c r="F817" s="63"/>
      <c r="K817" s="98"/>
      <c r="L817" s="98"/>
    </row>
    <row r="818" spans="2:12" x14ac:dyDescent="0.25">
      <c r="B818" s="61"/>
      <c r="D818" s="63"/>
      <c r="E818" s="63"/>
      <c r="F818" s="63"/>
      <c r="K818" s="98"/>
      <c r="L818" s="98"/>
    </row>
    <row r="819" spans="2:12" x14ac:dyDescent="0.25">
      <c r="B819" s="61"/>
      <c r="D819" s="63"/>
      <c r="E819" s="63"/>
      <c r="F819" s="63"/>
      <c r="K819" s="98"/>
      <c r="L819" s="98"/>
    </row>
    <row r="820" spans="2:12" x14ac:dyDescent="0.25">
      <c r="B820" s="61"/>
      <c r="D820" s="63"/>
      <c r="E820" s="63"/>
      <c r="F820" s="63"/>
      <c r="K820" s="98"/>
      <c r="L820" s="98"/>
    </row>
    <row r="821" spans="2:12" x14ac:dyDescent="0.25">
      <c r="B821" s="61"/>
      <c r="D821" s="63"/>
      <c r="E821" s="63"/>
      <c r="F821" s="63"/>
      <c r="K821" s="98"/>
      <c r="L821" s="98"/>
    </row>
    <row r="822" spans="2:12" x14ac:dyDescent="0.25">
      <c r="B822" s="61"/>
      <c r="D822" s="63"/>
      <c r="E822" s="63"/>
      <c r="F822" s="63"/>
      <c r="K822" s="98"/>
      <c r="L822" s="98"/>
    </row>
    <row r="823" spans="2:12" x14ac:dyDescent="0.25">
      <c r="B823" s="61"/>
      <c r="D823" s="63"/>
      <c r="E823" s="63"/>
      <c r="F823" s="63"/>
      <c r="K823" s="98"/>
      <c r="L823" s="98"/>
    </row>
    <row r="824" spans="2:12" x14ac:dyDescent="0.25">
      <c r="B824" s="61"/>
      <c r="D824" s="63"/>
      <c r="E824" s="63"/>
      <c r="F824" s="63"/>
      <c r="K824" s="98"/>
      <c r="L824" s="98"/>
    </row>
    <row r="825" spans="2:12" x14ac:dyDescent="0.25">
      <c r="B825" s="61"/>
      <c r="D825" s="63"/>
      <c r="E825" s="63"/>
      <c r="F825" s="63"/>
      <c r="K825" s="98"/>
      <c r="L825" s="98"/>
    </row>
    <row r="826" spans="2:12" x14ac:dyDescent="0.25">
      <c r="B826" s="61"/>
      <c r="D826" s="63"/>
      <c r="E826" s="63"/>
      <c r="F826" s="63"/>
      <c r="K826" s="98"/>
      <c r="L826" s="98"/>
    </row>
    <row r="827" spans="2:12" x14ac:dyDescent="0.25">
      <c r="B827" s="61"/>
      <c r="D827" s="63"/>
      <c r="E827" s="63"/>
      <c r="F827" s="63"/>
      <c r="K827" s="98"/>
      <c r="L827" s="98"/>
    </row>
    <row r="828" spans="2:12" x14ac:dyDescent="0.25">
      <c r="B828" s="61"/>
      <c r="D828" s="63"/>
      <c r="E828" s="63"/>
      <c r="F828" s="63"/>
      <c r="K828" s="98"/>
      <c r="L828" s="98"/>
    </row>
    <row r="829" spans="2:12" x14ac:dyDescent="0.25">
      <c r="B829" s="61"/>
      <c r="D829" s="63"/>
      <c r="E829" s="63"/>
      <c r="F829" s="63"/>
      <c r="K829" s="98"/>
      <c r="L829" s="98"/>
    </row>
    <row r="830" spans="2:12" x14ac:dyDescent="0.25">
      <c r="B830" s="61"/>
      <c r="D830" s="63"/>
      <c r="E830" s="63"/>
      <c r="F830" s="63"/>
      <c r="K830" s="98"/>
      <c r="L830" s="98"/>
    </row>
    <row r="831" spans="2:12" x14ac:dyDescent="0.25">
      <c r="B831" s="61"/>
      <c r="D831" s="63"/>
      <c r="E831" s="63"/>
      <c r="F831" s="63"/>
      <c r="K831" s="98"/>
      <c r="L831" s="98"/>
    </row>
    <row r="832" spans="2:12" x14ac:dyDescent="0.25">
      <c r="B832" s="61"/>
      <c r="D832" s="63"/>
      <c r="E832" s="63"/>
      <c r="F832" s="63"/>
      <c r="K832" s="98"/>
      <c r="L832" s="98"/>
    </row>
    <row r="833" spans="2:12" x14ac:dyDescent="0.25">
      <c r="B833" s="61"/>
      <c r="D833" s="63"/>
      <c r="E833" s="63"/>
      <c r="F833" s="63"/>
      <c r="K833" s="98"/>
      <c r="L833" s="98"/>
    </row>
    <row r="834" spans="2:12" x14ac:dyDescent="0.25">
      <c r="B834" s="61"/>
      <c r="D834" s="63"/>
      <c r="E834" s="63"/>
      <c r="F834" s="63"/>
      <c r="K834" s="98"/>
      <c r="L834" s="98"/>
    </row>
    <row r="835" spans="2:12" x14ac:dyDescent="0.25">
      <c r="B835" s="61"/>
      <c r="D835" s="63"/>
      <c r="E835" s="63"/>
      <c r="F835" s="63"/>
      <c r="K835" s="98"/>
      <c r="L835" s="98"/>
    </row>
    <row r="836" spans="2:12" x14ac:dyDescent="0.25">
      <c r="B836" s="61"/>
      <c r="D836" s="63"/>
      <c r="E836" s="63"/>
      <c r="F836" s="63"/>
      <c r="K836" s="98"/>
      <c r="L836" s="98"/>
    </row>
    <row r="837" spans="2:12" x14ac:dyDescent="0.25">
      <c r="B837" s="61"/>
      <c r="D837" s="63"/>
      <c r="E837" s="63"/>
      <c r="F837" s="63"/>
      <c r="K837" s="98"/>
      <c r="L837" s="98"/>
    </row>
    <row r="838" spans="2:12" x14ac:dyDescent="0.25">
      <c r="B838" s="61"/>
      <c r="D838" s="63"/>
      <c r="E838" s="63"/>
      <c r="F838" s="63"/>
      <c r="K838" s="98"/>
      <c r="L838" s="98"/>
    </row>
    <row r="839" spans="2:12" x14ac:dyDescent="0.25">
      <c r="B839" s="61"/>
      <c r="D839" s="63"/>
      <c r="E839" s="63"/>
      <c r="F839" s="63"/>
      <c r="K839" s="98"/>
      <c r="L839" s="98"/>
    </row>
    <row r="840" spans="2:12" x14ac:dyDescent="0.25">
      <c r="B840" s="61"/>
      <c r="D840" s="63"/>
      <c r="E840" s="63"/>
      <c r="F840" s="63"/>
      <c r="K840" s="98"/>
      <c r="L840" s="98"/>
    </row>
    <row r="841" spans="2:12" x14ac:dyDescent="0.25">
      <c r="B841" s="61"/>
      <c r="D841" s="63"/>
      <c r="E841" s="63"/>
      <c r="F841" s="63"/>
      <c r="K841" s="98"/>
      <c r="L841" s="98"/>
    </row>
    <row r="842" spans="2:12" x14ac:dyDescent="0.25">
      <c r="B842" s="61"/>
      <c r="D842" s="63"/>
      <c r="E842" s="63"/>
      <c r="F842" s="63"/>
      <c r="K842" s="98"/>
      <c r="L842" s="98"/>
    </row>
    <row r="843" spans="2:12" x14ac:dyDescent="0.25">
      <c r="B843" s="61"/>
      <c r="D843" s="63"/>
      <c r="E843" s="63"/>
      <c r="F843" s="63"/>
      <c r="K843" s="98"/>
      <c r="L843" s="98"/>
    </row>
    <row r="844" spans="2:12" x14ac:dyDescent="0.25">
      <c r="B844" s="61"/>
      <c r="D844" s="63"/>
      <c r="E844" s="63"/>
      <c r="F844" s="63"/>
      <c r="K844" s="98"/>
      <c r="L844" s="98"/>
    </row>
    <row r="845" spans="2:12" x14ac:dyDescent="0.25">
      <c r="B845" s="61"/>
      <c r="D845" s="63"/>
      <c r="E845" s="63"/>
      <c r="F845" s="63"/>
      <c r="K845" s="98"/>
      <c r="L845" s="98"/>
    </row>
    <row r="846" spans="2:12" x14ac:dyDescent="0.25">
      <c r="B846" s="61"/>
      <c r="D846" s="63"/>
      <c r="E846" s="63"/>
      <c r="F846" s="63"/>
      <c r="K846" s="98"/>
      <c r="L846" s="98"/>
    </row>
    <row r="847" spans="2:12" x14ac:dyDescent="0.25">
      <c r="B847" s="61"/>
      <c r="D847" s="63"/>
      <c r="E847" s="63"/>
      <c r="F847" s="63"/>
      <c r="K847" s="98"/>
      <c r="L847" s="98"/>
    </row>
    <row r="848" spans="2:12" x14ac:dyDescent="0.25">
      <c r="B848" s="61"/>
      <c r="D848" s="66"/>
      <c r="E848" s="66"/>
      <c r="F848" s="63"/>
      <c r="K848" s="98"/>
      <c r="L848" s="98"/>
    </row>
    <row r="849" spans="2:12" x14ac:dyDescent="0.25">
      <c r="B849" s="61"/>
      <c r="D849" s="66"/>
      <c r="E849" s="66"/>
      <c r="F849" s="63"/>
      <c r="K849" s="98"/>
      <c r="L849" s="98"/>
    </row>
    <row r="850" spans="2:12" x14ac:dyDescent="0.25">
      <c r="B850" s="61"/>
      <c r="D850" s="66"/>
      <c r="E850" s="66"/>
      <c r="F850" s="63"/>
      <c r="K850" s="98"/>
      <c r="L850" s="98"/>
    </row>
    <row r="851" spans="2:12" x14ac:dyDescent="0.25">
      <c r="B851" s="61"/>
      <c r="D851" s="66"/>
      <c r="E851" s="66"/>
      <c r="F851" s="63"/>
      <c r="K851" s="98"/>
      <c r="L851" s="98"/>
    </row>
    <row r="852" spans="2:12" x14ac:dyDescent="0.25">
      <c r="B852" s="61"/>
      <c r="D852" s="66"/>
      <c r="E852" s="66"/>
      <c r="F852" s="63"/>
      <c r="K852" s="98"/>
      <c r="L852" s="98"/>
    </row>
    <row r="853" spans="2:12" x14ac:dyDescent="0.25">
      <c r="B853" s="61"/>
      <c r="D853" s="63"/>
      <c r="E853" s="63"/>
      <c r="F853" s="63"/>
      <c r="K853" s="98"/>
      <c r="L853" s="98"/>
    </row>
    <row r="854" spans="2:12" x14ac:dyDescent="0.25">
      <c r="B854" s="61"/>
      <c r="D854" s="63"/>
      <c r="E854" s="63"/>
      <c r="F854" s="63"/>
      <c r="K854" s="98"/>
      <c r="L854" s="98"/>
    </row>
    <row r="855" spans="2:12" x14ac:dyDescent="0.25">
      <c r="B855" s="61"/>
      <c r="D855" s="63"/>
      <c r="E855" s="63"/>
      <c r="F855" s="63"/>
      <c r="K855" s="98"/>
      <c r="L855" s="98"/>
    </row>
    <row r="856" spans="2:12" x14ac:dyDescent="0.25">
      <c r="B856" s="61"/>
      <c r="D856" s="63"/>
      <c r="E856" s="63"/>
      <c r="F856" s="63"/>
      <c r="K856" s="98"/>
      <c r="L856" s="98"/>
    </row>
    <row r="857" spans="2:12" x14ac:dyDescent="0.25">
      <c r="B857" s="61"/>
      <c r="D857" s="63"/>
      <c r="E857" s="63"/>
      <c r="F857" s="63"/>
      <c r="K857" s="98"/>
      <c r="L857" s="98"/>
    </row>
    <row r="858" spans="2:12" x14ac:dyDescent="0.25">
      <c r="B858" s="61"/>
      <c r="D858" s="63"/>
      <c r="E858" s="63"/>
      <c r="F858" s="63"/>
      <c r="K858" s="98"/>
      <c r="L858" s="98"/>
    </row>
    <row r="859" spans="2:12" x14ac:dyDescent="0.25">
      <c r="B859" s="61"/>
      <c r="D859" s="63"/>
      <c r="E859" s="63"/>
      <c r="F859" s="63"/>
      <c r="K859" s="98"/>
      <c r="L859" s="98"/>
    </row>
    <row r="860" spans="2:12" x14ac:dyDescent="0.25">
      <c r="B860" s="61"/>
      <c r="D860" s="63"/>
      <c r="E860" s="63"/>
      <c r="F860" s="63"/>
      <c r="K860" s="98"/>
      <c r="L860" s="98"/>
    </row>
    <row r="861" spans="2:12" x14ac:dyDescent="0.25">
      <c r="B861" s="61"/>
      <c r="D861" s="63"/>
      <c r="E861" s="63"/>
      <c r="F861" s="63"/>
      <c r="K861" s="98"/>
      <c r="L861" s="98"/>
    </row>
    <row r="862" spans="2:12" x14ac:dyDescent="0.25">
      <c r="B862" s="61"/>
      <c r="D862" s="63"/>
      <c r="E862" s="63"/>
      <c r="F862" s="63"/>
      <c r="K862" s="98"/>
      <c r="L862" s="98"/>
    </row>
    <row r="863" spans="2:12" x14ac:dyDescent="0.25">
      <c r="B863" s="61"/>
      <c r="D863" s="63"/>
      <c r="E863" s="63"/>
      <c r="F863" s="63"/>
      <c r="K863" s="98"/>
      <c r="L863" s="98"/>
    </row>
    <row r="864" spans="2:12" x14ac:dyDescent="0.25">
      <c r="B864" s="61"/>
      <c r="D864" s="63"/>
      <c r="E864" s="63"/>
      <c r="F864" s="63"/>
      <c r="K864" s="98"/>
      <c r="L864" s="98"/>
    </row>
    <row r="865" spans="2:12" x14ac:dyDescent="0.25">
      <c r="B865" s="61"/>
      <c r="D865" s="63"/>
      <c r="E865" s="63"/>
      <c r="F865" s="63"/>
      <c r="K865" s="98"/>
      <c r="L865" s="98"/>
    </row>
    <row r="866" spans="2:12" x14ac:dyDescent="0.25">
      <c r="B866" s="61"/>
      <c r="D866" s="63"/>
      <c r="E866" s="63"/>
      <c r="F866" s="63"/>
      <c r="K866" s="98"/>
      <c r="L866" s="98"/>
    </row>
    <row r="867" spans="2:12" x14ac:dyDescent="0.25">
      <c r="B867" s="61"/>
      <c r="D867" s="63"/>
      <c r="E867" s="63"/>
      <c r="F867" s="63"/>
      <c r="K867" s="98"/>
      <c r="L867" s="98"/>
    </row>
    <row r="868" spans="2:12" x14ac:dyDescent="0.25">
      <c r="B868" s="61"/>
      <c r="D868" s="63"/>
      <c r="E868" s="63"/>
      <c r="F868" s="63"/>
      <c r="K868" s="98"/>
      <c r="L868" s="98"/>
    </row>
    <row r="869" spans="2:12" x14ac:dyDescent="0.25">
      <c r="B869" s="61"/>
      <c r="D869" s="63"/>
      <c r="E869" s="63"/>
      <c r="F869" s="63"/>
      <c r="K869" s="98"/>
      <c r="L869" s="98"/>
    </row>
    <row r="870" spans="2:12" x14ac:dyDescent="0.25">
      <c r="B870" s="61"/>
      <c r="D870" s="63"/>
      <c r="E870" s="63"/>
      <c r="F870" s="63"/>
      <c r="K870" s="98"/>
      <c r="L870" s="98"/>
    </row>
    <row r="871" spans="2:12" x14ac:dyDescent="0.25">
      <c r="B871" s="61"/>
      <c r="D871" s="63"/>
      <c r="E871" s="63"/>
      <c r="F871" s="63"/>
      <c r="K871" s="98"/>
      <c r="L871" s="98"/>
    </row>
    <row r="872" spans="2:12" x14ac:dyDescent="0.25">
      <c r="B872" s="61"/>
      <c r="D872" s="63"/>
      <c r="E872" s="63"/>
      <c r="F872" s="63"/>
      <c r="K872" s="98"/>
      <c r="L872" s="98"/>
    </row>
    <row r="873" spans="2:12" x14ac:dyDescent="0.25">
      <c r="B873" s="61"/>
      <c r="D873" s="63"/>
      <c r="E873" s="63"/>
      <c r="F873" s="63"/>
      <c r="K873" s="98"/>
      <c r="L873" s="98"/>
    </row>
    <row r="874" spans="2:12" x14ac:dyDescent="0.25">
      <c r="B874" s="61"/>
      <c r="D874" s="63"/>
      <c r="E874" s="63"/>
      <c r="F874" s="63"/>
      <c r="K874" s="98"/>
      <c r="L874" s="98"/>
    </row>
    <row r="875" spans="2:12" x14ac:dyDescent="0.25">
      <c r="B875" s="61"/>
      <c r="D875" s="63"/>
      <c r="E875" s="63"/>
      <c r="F875" s="63"/>
      <c r="K875" s="98"/>
      <c r="L875" s="98"/>
    </row>
    <row r="876" spans="2:12" x14ac:dyDescent="0.25">
      <c r="B876" s="61"/>
      <c r="D876" s="63"/>
      <c r="E876" s="63"/>
      <c r="F876" s="63"/>
      <c r="K876" s="98"/>
      <c r="L876" s="98"/>
    </row>
    <row r="877" spans="2:12" x14ac:dyDescent="0.25">
      <c r="B877" s="61"/>
      <c r="D877" s="63"/>
      <c r="E877" s="63"/>
      <c r="F877" s="63"/>
      <c r="K877" s="98"/>
      <c r="L877" s="98"/>
    </row>
    <row r="878" spans="2:12" x14ac:dyDescent="0.25">
      <c r="B878" s="61"/>
      <c r="D878" s="63"/>
      <c r="E878" s="63"/>
      <c r="F878" s="63"/>
      <c r="K878" s="98"/>
      <c r="L878" s="98"/>
    </row>
    <row r="879" spans="2:12" x14ac:dyDescent="0.25">
      <c r="B879" s="61"/>
      <c r="D879" s="63"/>
      <c r="E879" s="63"/>
      <c r="F879" s="63"/>
      <c r="K879" s="98"/>
      <c r="L879" s="98"/>
    </row>
    <row r="880" spans="2:12" x14ac:dyDescent="0.25">
      <c r="B880" s="61"/>
      <c r="D880" s="63"/>
      <c r="E880" s="63"/>
      <c r="F880" s="63"/>
      <c r="K880" s="98"/>
      <c r="L880" s="98"/>
    </row>
    <row r="881" spans="2:12" x14ac:dyDescent="0.25">
      <c r="B881" s="61"/>
      <c r="D881" s="63"/>
      <c r="E881" s="63"/>
      <c r="F881" s="63"/>
      <c r="K881" s="98"/>
      <c r="L881" s="98"/>
    </row>
    <row r="882" spans="2:12" x14ac:dyDescent="0.25">
      <c r="B882" s="61"/>
      <c r="D882" s="63"/>
      <c r="E882" s="63"/>
      <c r="F882" s="63"/>
      <c r="K882" s="98"/>
      <c r="L882" s="98"/>
    </row>
    <row r="883" spans="2:12" x14ac:dyDescent="0.25">
      <c r="B883" s="61"/>
      <c r="D883" s="63"/>
      <c r="E883" s="63"/>
      <c r="F883" s="63"/>
      <c r="K883" s="98"/>
      <c r="L883" s="98"/>
    </row>
    <row r="884" spans="2:12" x14ac:dyDescent="0.25">
      <c r="B884" s="61"/>
      <c r="D884" s="63"/>
      <c r="E884" s="63"/>
      <c r="F884" s="63"/>
      <c r="K884" s="98"/>
      <c r="L884" s="98"/>
    </row>
    <row r="885" spans="2:12" x14ac:dyDescent="0.25">
      <c r="B885" s="61"/>
      <c r="D885" s="63"/>
      <c r="E885" s="63"/>
      <c r="F885" s="63"/>
      <c r="K885" s="98"/>
      <c r="L885" s="98"/>
    </row>
    <row r="886" spans="2:12" x14ac:dyDescent="0.25">
      <c r="B886" s="61"/>
      <c r="D886" s="63"/>
      <c r="E886" s="63"/>
      <c r="F886" s="63"/>
      <c r="K886" s="98"/>
      <c r="L886" s="98"/>
    </row>
    <row r="887" spans="2:12" x14ac:dyDescent="0.25">
      <c r="B887" s="61"/>
      <c r="D887" s="63"/>
      <c r="E887" s="63"/>
      <c r="F887" s="63"/>
      <c r="K887" s="98"/>
      <c r="L887" s="98"/>
    </row>
    <row r="888" spans="2:12" x14ac:dyDescent="0.25">
      <c r="B888" s="61"/>
      <c r="D888" s="63"/>
      <c r="E888" s="63"/>
      <c r="F888" s="63"/>
      <c r="K888" s="98"/>
      <c r="L888" s="98"/>
    </row>
    <row r="889" spans="2:12" x14ac:dyDescent="0.25">
      <c r="B889" s="61"/>
      <c r="D889" s="63"/>
      <c r="E889" s="63"/>
      <c r="F889" s="63"/>
      <c r="K889" s="98"/>
      <c r="L889" s="98"/>
    </row>
    <row r="890" spans="2:12" x14ac:dyDescent="0.25">
      <c r="B890" s="61"/>
      <c r="D890" s="63"/>
      <c r="E890" s="63"/>
      <c r="F890" s="63"/>
      <c r="K890" s="98"/>
      <c r="L890" s="98"/>
    </row>
    <row r="891" spans="2:12" x14ac:dyDescent="0.25">
      <c r="B891" s="61"/>
      <c r="D891" s="63"/>
      <c r="E891" s="63"/>
      <c r="F891" s="63"/>
      <c r="K891" s="98"/>
      <c r="L891" s="98"/>
    </row>
    <row r="892" spans="2:12" x14ac:dyDescent="0.25">
      <c r="B892" s="61"/>
      <c r="D892" s="63"/>
      <c r="E892" s="63"/>
      <c r="F892" s="63"/>
      <c r="K892" s="98"/>
      <c r="L892" s="98"/>
    </row>
    <row r="893" spans="2:12" x14ac:dyDescent="0.25">
      <c r="B893" s="61"/>
      <c r="D893" s="63"/>
      <c r="E893" s="63"/>
      <c r="F893" s="63"/>
      <c r="K893" s="98"/>
      <c r="L893" s="98"/>
    </row>
    <row r="894" spans="2:12" x14ac:dyDescent="0.25">
      <c r="B894" s="61"/>
      <c r="D894" s="63"/>
      <c r="E894" s="63"/>
      <c r="F894" s="63"/>
      <c r="K894" s="98"/>
      <c r="L894" s="98"/>
    </row>
    <row r="895" spans="2:12" x14ac:dyDescent="0.25">
      <c r="B895" s="61"/>
      <c r="D895" s="63"/>
      <c r="E895" s="63"/>
      <c r="F895" s="63"/>
      <c r="K895" s="98"/>
      <c r="L895" s="98"/>
    </row>
    <row r="896" spans="2:12" x14ac:dyDescent="0.25">
      <c r="B896" s="61"/>
      <c r="D896" s="63"/>
      <c r="E896" s="63"/>
      <c r="F896" s="63"/>
      <c r="K896" s="98"/>
      <c r="L896" s="98"/>
    </row>
    <row r="897" spans="2:12" x14ac:dyDescent="0.25">
      <c r="B897" s="61"/>
      <c r="D897" s="63"/>
      <c r="E897" s="63"/>
      <c r="F897" s="63"/>
      <c r="K897" s="98"/>
      <c r="L897" s="98"/>
    </row>
    <row r="898" spans="2:12" x14ac:dyDescent="0.25">
      <c r="B898" s="61"/>
      <c r="D898" s="63"/>
      <c r="E898" s="63"/>
      <c r="F898" s="63"/>
      <c r="K898" s="98"/>
      <c r="L898" s="98"/>
    </row>
    <row r="899" spans="2:12" x14ac:dyDescent="0.25">
      <c r="B899" s="61"/>
      <c r="D899" s="63"/>
      <c r="E899" s="63"/>
      <c r="F899" s="63"/>
      <c r="K899" s="98"/>
      <c r="L899" s="98"/>
    </row>
    <row r="900" spans="2:12" x14ac:dyDescent="0.25">
      <c r="B900" s="61"/>
      <c r="D900" s="63"/>
      <c r="E900" s="63"/>
      <c r="F900" s="63"/>
      <c r="K900" s="98"/>
      <c r="L900" s="98"/>
    </row>
    <row r="901" spans="2:12" x14ac:dyDescent="0.25">
      <c r="B901" s="61"/>
      <c r="D901" s="63"/>
      <c r="E901" s="63"/>
      <c r="F901" s="63"/>
      <c r="K901" s="98"/>
      <c r="L901" s="98"/>
    </row>
    <row r="902" spans="2:12" x14ac:dyDescent="0.25">
      <c r="B902" s="61"/>
      <c r="D902" s="63"/>
      <c r="E902" s="63"/>
      <c r="F902" s="63"/>
      <c r="K902" s="98"/>
      <c r="L902" s="98"/>
    </row>
    <row r="903" spans="2:12" x14ac:dyDescent="0.25">
      <c r="B903" s="61"/>
      <c r="D903" s="63"/>
      <c r="E903" s="63"/>
      <c r="F903" s="63"/>
      <c r="K903" s="98"/>
      <c r="L903" s="98"/>
    </row>
    <row r="904" spans="2:12" x14ac:dyDescent="0.25">
      <c r="B904" s="61"/>
      <c r="D904" s="63"/>
      <c r="E904" s="63"/>
      <c r="F904" s="63"/>
      <c r="K904" s="98"/>
      <c r="L904" s="98"/>
    </row>
    <row r="905" spans="2:12" x14ac:dyDescent="0.25">
      <c r="B905" s="61"/>
      <c r="D905" s="63"/>
      <c r="E905" s="63"/>
      <c r="F905" s="63"/>
      <c r="K905" s="98"/>
      <c r="L905" s="98"/>
    </row>
    <row r="906" spans="2:12" x14ac:dyDescent="0.25">
      <c r="B906" s="61"/>
      <c r="D906" s="63"/>
      <c r="E906" s="63"/>
      <c r="F906" s="63"/>
      <c r="K906" s="98"/>
      <c r="L906" s="98"/>
    </row>
    <row r="907" spans="2:12" x14ac:dyDescent="0.25">
      <c r="B907" s="61"/>
      <c r="D907" s="63"/>
      <c r="E907" s="63"/>
      <c r="F907" s="63"/>
      <c r="K907" s="98"/>
      <c r="L907" s="98"/>
    </row>
    <row r="908" spans="2:12" x14ac:dyDescent="0.25">
      <c r="B908" s="61"/>
      <c r="D908" s="63"/>
      <c r="E908" s="63"/>
      <c r="F908" s="63"/>
      <c r="K908" s="98"/>
      <c r="L908" s="98"/>
    </row>
    <row r="909" spans="2:12" x14ac:dyDescent="0.25">
      <c r="B909" s="61"/>
      <c r="D909" s="63"/>
      <c r="E909" s="63"/>
      <c r="F909" s="63"/>
      <c r="K909" s="98"/>
      <c r="L909" s="98"/>
    </row>
    <row r="910" spans="2:12" x14ac:dyDescent="0.25">
      <c r="B910" s="61"/>
      <c r="D910" s="63"/>
      <c r="E910" s="63"/>
      <c r="F910" s="63"/>
      <c r="K910" s="98"/>
      <c r="L910" s="98"/>
    </row>
    <row r="911" spans="2:12" x14ac:dyDescent="0.25">
      <c r="B911" s="61"/>
      <c r="D911" s="63"/>
      <c r="E911" s="63"/>
      <c r="F911" s="63"/>
      <c r="K911" s="98"/>
      <c r="L911" s="98"/>
    </row>
    <row r="912" spans="2:12" x14ac:dyDescent="0.25">
      <c r="B912" s="61"/>
      <c r="D912" s="63"/>
      <c r="E912" s="63"/>
      <c r="F912" s="63"/>
      <c r="K912" s="98"/>
      <c r="L912" s="98"/>
    </row>
    <row r="913" spans="2:12" x14ac:dyDescent="0.25">
      <c r="B913" s="61"/>
      <c r="D913" s="63"/>
      <c r="E913" s="63"/>
      <c r="F913" s="63"/>
      <c r="K913" s="98"/>
      <c r="L913" s="98"/>
    </row>
    <row r="914" spans="2:12" x14ac:dyDescent="0.25">
      <c r="B914" s="61"/>
      <c r="D914" s="63"/>
      <c r="E914" s="63"/>
      <c r="F914" s="63"/>
      <c r="K914" s="98"/>
      <c r="L914" s="98"/>
    </row>
    <row r="915" spans="2:12" x14ac:dyDescent="0.25">
      <c r="B915" s="61"/>
      <c r="D915" s="63"/>
      <c r="E915" s="63"/>
      <c r="F915" s="63"/>
      <c r="K915" s="98"/>
      <c r="L915" s="98"/>
    </row>
    <row r="916" spans="2:12" x14ac:dyDescent="0.25">
      <c r="B916" s="61"/>
      <c r="D916" s="63"/>
      <c r="E916" s="63"/>
      <c r="F916" s="63"/>
      <c r="K916" s="98"/>
      <c r="L916" s="98"/>
    </row>
    <row r="917" spans="2:12" x14ac:dyDescent="0.25">
      <c r="B917" s="61"/>
      <c r="D917" s="63"/>
      <c r="E917" s="63"/>
      <c r="F917" s="63"/>
      <c r="K917" s="98"/>
      <c r="L917" s="98"/>
    </row>
    <row r="918" spans="2:12" x14ac:dyDescent="0.25">
      <c r="B918" s="61"/>
      <c r="D918" s="63"/>
      <c r="E918" s="63"/>
      <c r="F918" s="63"/>
      <c r="K918" s="98"/>
      <c r="L918" s="98"/>
    </row>
    <row r="919" spans="2:12" x14ac:dyDescent="0.25">
      <c r="B919" s="61"/>
      <c r="D919" s="63"/>
      <c r="E919" s="63"/>
      <c r="F919" s="63"/>
      <c r="K919" s="98"/>
      <c r="L919" s="98"/>
    </row>
    <row r="920" spans="2:12" x14ac:dyDescent="0.25">
      <c r="B920" s="61"/>
      <c r="D920" s="63"/>
      <c r="E920" s="63"/>
      <c r="F920" s="63"/>
      <c r="K920" s="98"/>
      <c r="L920" s="98"/>
    </row>
    <row r="921" spans="2:12" x14ac:dyDescent="0.25">
      <c r="B921" s="61"/>
      <c r="D921" s="63"/>
      <c r="E921" s="63"/>
      <c r="F921" s="63"/>
      <c r="K921" s="98"/>
      <c r="L921" s="98"/>
    </row>
    <row r="922" spans="2:12" x14ac:dyDescent="0.25">
      <c r="B922" s="61"/>
      <c r="D922" s="63"/>
      <c r="E922" s="63"/>
      <c r="F922" s="63"/>
      <c r="K922" s="98"/>
      <c r="L922" s="98"/>
    </row>
    <row r="923" spans="2:12" x14ac:dyDescent="0.25">
      <c r="B923" s="61"/>
      <c r="D923" s="65"/>
      <c r="E923" s="64"/>
      <c r="F923" s="63"/>
      <c r="K923" s="98"/>
      <c r="L923" s="98"/>
    </row>
    <row r="924" spans="2:12" x14ac:dyDescent="0.25">
      <c r="B924" s="61"/>
      <c r="D924" s="64"/>
      <c r="E924" s="64"/>
      <c r="F924" s="63"/>
      <c r="K924" s="98"/>
      <c r="L924" s="98"/>
    </row>
    <row r="925" spans="2:12" x14ac:dyDescent="0.25">
      <c r="B925" s="61"/>
      <c r="D925" s="64"/>
      <c r="E925" s="64"/>
      <c r="F925" s="63"/>
      <c r="K925" s="98"/>
      <c r="L925" s="98"/>
    </row>
    <row r="926" spans="2:12" x14ac:dyDescent="0.25">
      <c r="B926" s="61"/>
      <c r="D926" s="64"/>
      <c r="E926" s="64"/>
      <c r="F926" s="63"/>
      <c r="K926" s="98"/>
      <c r="L926" s="98"/>
    </row>
    <row r="927" spans="2:12" x14ac:dyDescent="0.25">
      <c r="B927" s="61"/>
      <c r="D927" s="64"/>
      <c r="E927" s="64"/>
      <c r="F927" s="63"/>
      <c r="K927" s="98"/>
      <c r="L927" s="98"/>
    </row>
    <row r="928" spans="2:12" x14ac:dyDescent="0.25">
      <c r="B928" s="61"/>
      <c r="D928" s="64"/>
      <c r="E928" s="64"/>
      <c r="F928" s="63"/>
      <c r="K928" s="98"/>
      <c r="L928" s="98"/>
    </row>
    <row r="929" spans="2:12" x14ac:dyDescent="0.25">
      <c r="B929" s="61"/>
      <c r="D929" s="64"/>
      <c r="E929" s="64"/>
      <c r="F929" s="63"/>
      <c r="K929" s="98"/>
      <c r="L929" s="98"/>
    </row>
    <row r="930" spans="2:12" x14ac:dyDescent="0.25">
      <c r="B930" s="61"/>
      <c r="D930" s="64"/>
      <c r="E930" s="64"/>
      <c r="F930" s="63"/>
      <c r="K930" s="98"/>
      <c r="L930" s="98"/>
    </row>
    <row r="931" spans="2:12" x14ac:dyDescent="0.25">
      <c r="B931" s="61"/>
      <c r="D931" s="64"/>
      <c r="E931" s="64"/>
      <c r="F931" s="63"/>
      <c r="K931" s="98"/>
      <c r="L931" s="98"/>
    </row>
    <row r="932" spans="2:12" x14ac:dyDescent="0.25">
      <c r="B932" s="61"/>
      <c r="E932" s="64"/>
      <c r="F932" s="63"/>
      <c r="K932" s="98"/>
      <c r="L932" s="98"/>
    </row>
    <row r="933" spans="2:12" x14ac:dyDescent="0.25">
      <c r="B933" s="61"/>
      <c r="E933" s="64"/>
      <c r="F933" s="63"/>
      <c r="K933" s="98"/>
      <c r="L933" s="98"/>
    </row>
    <row r="934" spans="2:12" x14ac:dyDescent="0.25">
      <c r="B934" s="61"/>
      <c r="E934" s="64"/>
      <c r="F934" s="63"/>
      <c r="K934" s="98"/>
      <c r="L934" s="98"/>
    </row>
    <row r="935" spans="2:12" x14ac:dyDescent="0.25">
      <c r="B935" s="61"/>
      <c r="E935" s="64"/>
      <c r="F935" s="63"/>
      <c r="K935" s="98"/>
      <c r="L935" s="98"/>
    </row>
    <row r="936" spans="2:12" x14ac:dyDescent="0.25">
      <c r="B936" s="61"/>
      <c r="E936" s="64"/>
      <c r="F936" s="63"/>
      <c r="K936" s="98"/>
      <c r="L936" s="98"/>
    </row>
    <row r="937" spans="2:12" x14ac:dyDescent="0.25">
      <c r="B937" s="61"/>
      <c r="E937" s="64"/>
      <c r="F937" s="63"/>
      <c r="K937" s="98"/>
      <c r="L937" s="98"/>
    </row>
    <row r="938" spans="2:12" x14ac:dyDescent="0.25">
      <c r="B938" s="61"/>
      <c r="E938" s="64"/>
      <c r="F938" s="63"/>
      <c r="K938" s="98"/>
      <c r="L938" s="98"/>
    </row>
    <row r="939" spans="2:12" x14ac:dyDescent="0.25">
      <c r="B939" s="61"/>
      <c r="E939" s="64"/>
      <c r="F939" s="63"/>
      <c r="K939" s="98"/>
      <c r="L939" s="98"/>
    </row>
    <row r="940" spans="2:12" x14ac:dyDescent="0.25">
      <c r="B940" s="61"/>
      <c r="E940" s="64"/>
      <c r="F940" s="63"/>
      <c r="K940" s="98"/>
      <c r="L940" s="98"/>
    </row>
    <row r="941" spans="2:12" x14ac:dyDescent="0.25">
      <c r="B941" s="61"/>
      <c r="E941" s="64"/>
      <c r="F941" s="63"/>
      <c r="K941" s="98"/>
      <c r="L941" s="98"/>
    </row>
    <row r="942" spans="2:12" x14ac:dyDescent="0.25">
      <c r="B942" s="61"/>
      <c r="E942" s="64"/>
      <c r="F942" s="63"/>
      <c r="K942" s="98"/>
      <c r="L942" s="98"/>
    </row>
    <row r="943" spans="2:12" x14ac:dyDescent="0.25">
      <c r="B943" s="61"/>
      <c r="E943" s="64"/>
      <c r="F943" s="63"/>
      <c r="K943" s="98"/>
      <c r="L943" s="98"/>
    </row>
    <row r="944" spans="2:12" x14ac:dyDescent="0.25">
      <c r="B944" s="61"/>
      <c r="E944" s="64"/>
      <c r="F944" s="63"/>
      <c r="K944" s="98"/>
      <c r="L944" s="98"/>
    </row>
    <row r="945" spans="2:12" x14ac:dyDescent="0.25">
      <c r="B945" s="61"/>
      <c r="E945" s="64"/>
      <c r="F945" s="63"/>
      <c r="K945" s="98"/>
      <c r="L945" s="98"/>
    </row>
    <row r="946" spans="2:12" x14ac:dyDescent="0.25">
      <c r="B946" s="61"/>
      <c r="E946" s="64"/>
      <c r="F946" s="63"/>
      <c r="K946" s="98"/>
      <c r="L946" s="98"/>
    </row>
    <row r="947" spans="2:12" x14ac:dyDescent="0.25">
      <c r="B947" s="61"/>
      <c r="E947" s="64"/>
      <c r="F947" s="63"/>
      <c r="K947" s="98"/>
      <c r="L947" s="98"/>
    </row>
    <row r="948" spans="2:12" x14ac:dyDescent="0.25">
      <c r="B948" s="61"/>
      <c r="E948" s="64"/>
      <c r="F948" s="63"/>
      <c r="K948" s="98"/>
      <c r="L948" s="98"/>
    </row>
    <row r="949" spans="2:12" x14ac:dyDescent="0.25">
      <c r="B949" s="61"/>
      <c r="E949" s="64"/>
      <c r="F949" s="63"/>
      <c r="K949" s="98"/>
      <c r="L949" s="98"/>
    </row>
    <row r="950" spans="2:12" x14ac:dyDescent="0.25">
      <c r="B950" s="61"/>
      <c r="E950" s="64"/>
      <c r="F950" s="63"/>
      <c r="K950" s="98"/>
      <c r="L950" s="98"/>
    </row>
    <row r="951" spans="2:12" x14ac:dyDescent="0.25">
      <c r="B951" s="61"/>
      <c r="E951" s="64"/>
      <c r="F951" s="63"/>
      <c r="K951" s="98"/>
      <c r="L951" s="98"/>
    </row>
    <row r="952" spans="2:12" x14ac:dyDescent="0.25">
      <c r="B952" s="61"/>
      <c r="E952" s="64"/>
      <c r="F952" s="63"/>
      <c r="K952" s="98"/>
      <c r="L952" s="98"/>
    </row>
    <row r="953" spans="2:12" x14ac:dyDescent="0.25">
      <c r="B953" s="61"/>
      <c r="E953" s="64"/>
      <c r="F953" s="63"/>
      <c r="K953" s="98"/>
      <c r="L953" s="98"/>
    </row>
    <row r="954" spans="2:12" x14ac:dyDescent="0.25">
      <c r="B954" s="61"/>
      <c r="E954" s="64"/>
      <c r="F954" s="63"/>
      <c r="K954" s="98"/>
      <c r="L954" s="98"/>
    </row>
    <row r="955" spans="2:12" x14ac:dyDescent="0.25">
      <c r="B955" s="61"/>
      <c r="E955" s="64"/>
      <c r="F955" s="63"/>
      <c r="K955" s="98"/>
      <c r="L955" s="98"/>
    </row>
    <row r="956" spans="2:12" x14ac:dyDescent="0.25">
      <c r="B956" s="61"/>
      <c r="E956" s="64"/>
      <c r="F956" s="63"/>
      <c r="K956" s="98"/>
      <c r="L956" s="98"/>
    </row>
    <row r="957" spans="2:12" x14ac:dyDescent="0.25">
      <c r="B957" s="61"/>
      <c r="E957" s="64"/>
      <c r="F957" s="63"/>
      <c r="K957" s="98"/>
      <c r="L957" s="98"/>
    </row>
    <row r="958" spans="2:12" x14ac:dyDescent="0.25">
      <c r="B958" s="61"/>
      <c r="E958" s="64"/>
      <c r="F958" s="63"/>
      <c r="K958" s="98"/>
      <c r="L958" s="98"/>
    </row>
    <row r="959" spans="2:12" x14ac:dyDescent="0.25">
      <c r="B959" s="61"/>
      <c r="D959" s="64"/>
      <c r="E959" s="64"/>
      <c r="F959" s="63"/>
      <c r="K959" s="98"/>
      <c r="L959" s="98"/>
    </row>
    <row r="960" spans="2:12" x14ac:dyDescent="0.25">
      <c r="B960" s="61"/>
      <c r="D960" s="64"/>
      <c r="E960" s="64"/>
      <c r="F960" s="63"/>
      <c r="K960" s="98"/>
      <c r="L960" s="98"/>
    </row>
    <row r="961" spans="2:12" x14ac:dyDescent="0.25">
      <c r="B961" s="61"/>
      <c r="D961" s="64"/>
      <c r="E961" s="64"/>
      <c r="F961" s="63"/>
      <c r="K961" s="98"/>
      <c r="L961" s="98"/>
    </row>
    <row r="962" spans="2:12" x14ac:dyDescent="0.25">
      <c r="B962" s="61"/>
      <c r="D962" s="64"/>
      <c r="E962" s="64"/>
      <c r="F962" s="63"/>
      <c r="K962" s="98"/>
      <c r="L962" s="98"/>
    </row>
    <row r="963" spans="2:12" x14ac:dyDescent="0.25">
      <c r="B963" s="61"/>
      <c r="D963" s="64"/>
      <c r="E963" s="64"/>
      <c r="F963" s="63"/>
      <c r="K963" s="98"/>
      <c r="L963" s="98"/>
    </row>
    <row r="964" spans="2:12" x14ac:dyDescent="0.25">
      <c r="B964" s="61"/>
      <c r="D964" s="64"/>
      <c r="E964" s="64"/>
      <c r="F964" s="63"/>
      <c r="K964" s="98"/>
      <c r="L964" s="98"/>
    </row>
    <row r="965" spans="2:12" x14ac:dyDescent="0.25">
      <c r="B965" s="61"/>
      <c r="D965" s="64"/>
      <c r="E965" s="64"/>
      <c r="F965" s="63"/>
      <c r="K965" s="98"/>
      <c r="L965" s="98"/>
    </row>
    <row r="966" spans="2:12" x14ac:dyDescent="0.25">
      <c r="B966" s="61"/>
      <c r="D966" s="64"/>
      <c r="E966" s="64"/>
      <c r="F966" s="63"/>
      <c r="K966" s="98"/>
      <c r="L966" s="98"/>
    </row>
    <row r="967" spans="2:12" x14ac:dyDescent="0.25">
      <c r="B967" s="61"/>
      <c r="D967" s="64"/>
      <c r="E967" s="64"/>
      <c r="F967" s="63"/>
      <c r="K967" s="98"/>
      <c r="L967" s="98"/>
    </row>
    <row r="968" spans="2:12" x14ac:dyDescent="0.25">
      <c r="B968" s="61"/>
      <c r="D968" s="64"/>
      <c r="E968" s="64"/>
      <c r="F968" s="63"/>
      <c r="K968" s="98"/>
      <c r="L968" s="98"/>
    </row>
    <row r="969" spans="2:12" x14ac:dyDescent="0.25">
      <c r="B969" s="61"/>
      <c r="D969" s="64"/>
      <c r="E969" s="64"/>
      <c r="F969" s="63"/>
      <c r="K969" s="98"/>
      <c r="L969" s="98"/>
    </row>
    <row r="970" spans="2:12" x14ac:dyDescent="0.25">
      <c r="B970" s="61"/>
      <c r="D970" s="64"/>
      <c r="E970" s="64"/>
      <c r="F970" s="63"/>
      <c r="K970" s="98"/>
      <c r="L970" s="98"/>
    </row>
    <row r="971" spans="2:12" x14ac:dyDescent="0.25">
      <c r="B971" s="61"/>
      <c r="D971" s="64"/>
      <c r="E971" s="64"/>
      <c r="F971" s="63"/>
      <c r="K971" s="98"/>
      <c r="L971" s="98"/>
    </row>
    <row r="972" spans="2:12" x14ac:dyDescent="0.25">
      <c r="B972" s="61"/>
      <c r="D972" s="64"/>
      <c r="E972" s="64"/>
      <c r="F972" s="63"/>
      <c r="K972" s="98"/>
      <c r="L972" s="98"/>
    </row>
    <row r="973" spans="2:12" x14ac:dyDescent="0.25">
      <c r="B973" s="61"/>
      <c r="D973" s="64"/>
      <c r="E973" s="64"/>
      <c r="F973" s="63"/>
      <c r="K973" s="98"/>
      <c r="L973" s="98"/>
    </row>
    <row r="974" spans="2:12" x14ac:dyDescent="0.25">
      <c r="B974" s="61"/>
      <c r="D974" s="64"/>
      <c r="E974" s="64"/>
      <c r="F974" s="63"/>
      <c r="K974" s="98"/>
      <c r="L974" s="98"/>
    </row>
    <row r="975" spans="2:12" x14ac:dyDescent="0.25">
      <c r="B975" s="61"/>
      <c r="D975" s="64"/>
      <c r="E975" s="64"/>
      <c r="F975" s="63"/>
      <c r="K975" s="98"/>
      <c r="L975" s="98"/>
    </row>
    <row r="976" spans="2:12" x14ac:dyDescent="0.25">
      <c r="B976" s="61"/>
      <c r="D976" s="64"/>
      <c r="E976" s="64"/>
      <c r="F976" s="63"/>
      <c r="K976" s="98"/>
      <c r="L976" s="98"/>
    </row>
    <row r="977" spans="2:12" x14ac:dyDescent="0.25">
      <c r="B977" s="61"/>
      <c r="D977" s="64"/>
      <c r="E977" s="64"/>
      <c r="F977" s="63"/>
      <c r="K977" s="98"/>
      <c r="L977" s="98"/>
    </row>
    <row r="978" spans="2:12" x14ac:dyDescent="0.25">
      <c r="B978" s="61"/>
      <c r="D978" s="64"/>
      <c r="E978" s="64"/>
      <c r="F978" s="63"/>
      <c r="K978" s="98"/>
      <c r="L978" s="98"/>
    </row>
    <row r="979" spans="2:12" x14ac:dyDescent="0.25">
      <c r="B979" s="61"/>
      <c r="D979" s="64"/>
      <c r="E979" s="64"/>
      <c r="F979" s="63"/>
      <c r="K979" s="98"/>
      <c r="L979" s="98"/>
    </row>
    <row r="980" spans="2:12" x14ac:dyDescent="0.25">
      <c r="B980" s="61"/>
      <c r="D980" s="64"/>
      <c r="E980" s="64"/>
      <c r="F980" s="63"/>
      <c r="K980" s="98"/>
      <c r="L980" s="98"/>
    </row>
    <row r="981" spans="2:12" x14ac:dyDescent="0.25">
      <c r="B981" s="61"/>
      <c r="D981" s="64"/>
      <c r="E981" s="64"/>
      <c r="F981" s="63"/>
      <c r="K981" s="98"/>
      <c r="L981" s="98"/>
    </row>
    <row r="982" spans="2:12" x14ac:dyDescent="0.25">
      <c r="B982" s="61"/>
      <c r="D982" s="64"/>
      <c r="E982" s="64"/>
      <c r="F982" s="63"/>
      <c r="K982" s="98"/>
      <c r="L982" s="98"/>
    </row>
    <row r="983" spans="2:12" x14ac:dyDescent="0.25">
      <c r="B983" s="61"/>
      <c r="D983" s="64"/>
      <c r="E983" s="64"/>
      <c r="F983" s="63"/>
      <c r="K983" s="98"/>
      <c r="L983" s="98"/>
    </row>
    <row r="984" spans="2:12" x14ac:dyDescent="0.25">
      <c r="B984" s="61"/>
      <c r="D984" s="64"/>
      <c r="E984" s="64"/>
      <c r="F984" s="63"/>
      <c r="K984" s="98"/>
      <c r="L984" s="98"/>
    </row>
    <row r="985" spans="2:12" x14ac:dyDescent="0.25">
      <c r="B985" s="61"/>
      <c r="D985" s="64"/>
      <c r="E985" s="64"/>
      <c r="F985" s="63"/>
      <c r="K985" s="98"/>
      <c r="L985" s="98"/>
    </row>
    <row r="986" spans="2:12" x14ac:dyDescent="0.25">
      <c r="B986" s="61"/>
      <c r="D986" s="64"/>
      <c r="E986" s="64"/>
      <c r="F986" s="63"/>
      <c r="K986" s="98"/>
      <c r="L986" s="98"/>
    </row>
    <row r="987" spans="2:12" x14ac:dyDescent="0.25">
      <c r="B987" s="61"/>
      <c r="D987" s="64"/>
      <c r="E987" s="64"/>
      <c r="F987" s="63"/>
      <c r="K987" s="98"/>
      <c r="L987" s="98"/>
    </row>
    <row r="988" spans="2:12" x14ac:dyDescent="0.25">
      <c r="B988" s="61"/>
      <c r="D988" s="64"/>
      <c r="E988" s="64"/>
      <c r="F988" s="63"/>
      <c r="K988" s="98"/>
      <c r="L988" s="98"/>
    </row>
    <row r="989" spans="2:12" x14ac:dyDescent="0.25">
      <c r="B989" s="61"/>
      <c r="D989" s="64"/>
      <c r="E989" s="64"/>
      <c r="F989" s="63"/>
      <c r="K989" s="98"/>
      <c r="L989" s="98"/>
    </row>
    <row r="990" spans="2:12" x14ac:dyDescent="0.25">
      <c r="B990" s="61"/>
      <c r="D990" s="64"/>
      <c r="E990" s="64"/>
      <c r="F990" s="63"/>
      <c r="K990" s="98"/>
      <c r="L990" s="98"/>
    </row>
    <row r="991" spans="2:12" x14ac:dyDescent="0.25">
      <c r="B991" s="61"/>
      <c r="D991" s="64"/>
      <c r="E991" s="64"/>
      <c r="F991" s="63"/>
      <c r="K991" s="98"/>
      <c r="L991" s="98"/>
    </row>
    <row r="992" spans="2:12" x14ac:dyDescent="0.25">
      <c r="B992" s="61"/>
      <c r="D992" s="64"/>
      <c r="E992" s="64"/>
      <c r="F992" s="63"/>
      <c r="K992" s="98"/>
      <c r="L992" s="98"/>
    </row>
    <row r="993" spans="2:12" x14ac:dyDescent="0.25">
      <c r="B993" s="61"/>
      <c r="D993" s="64"/>
      <c r="E993" s="64"/>
      <c r="F993" s="63"/>
      <c r="K993" s="98"/>
      <c r="L993" s="98"/>
    </row>
    <row r="994" spans="2:12" x14ac:dyDescent="0.25">
      <c r="B994" s="61"/>
      <c r="D994" s="64"/>
      <c r="E994" s="64"/>
      <c r="F994" s="63"/>
      <c r="K994" s="98"/>
      <c r="L994" s="98"/>
    </row>
    <row r="995" spans="2:12" x14ac:dyDescent="0.25">
      <c r="B995" s="61"/>
      <c r="D995" s="66"/>
      <c r="E995" s="66"/>
      <c r="F995" s="64"/>
      <c r="K995" s="98"/>
      <c r="L995" s="98"/>
    </row>
    <row r="996" spans="2:12" x14ac:dyDescent="0.25">
      <c r="B996" s="61"/>
      <c r="D996" s="64"/>
      <c r="E996" s="64"/>
      <c r="F996" s="64"/>
      <c r="K996" s="98"/>
      <c r="L996" s="98"/>
    </row>
    <row r="997" spans="2:12" x14ac:dyDescent="0.25">
      <c r="B997" s="61"/>
      <c r="D997" s="64"/>
      <c r="E997" s="64"/>
      <c r="F997" s="64"/>
      <c r="K997" s="98"/>
      <c r="L997" s="98"/>
    </row>
    <row r="998" spans="2:12" x14ac:dyDescent="0.25">
      <c r="B998" s="61"/>
      <c r="D998" s="64"/>
      <c r="E998" s="64"/>
      <c r="F998" s="64"/>
      <c r="K998" s="98"/>
      <c r="L998" s="98"/>
    </row>
    <row r="999" spans="2:12" x14ac:dyDescent="0.25">
      <c r="B999" s="61"/>
      <c r="E999" s="64"/>
      <c r="F999" s="64"/>
      <c r="K999" s="98"/>
      <c r="L999" s="98"/>
    </row>
    <row r="1000" spans="2:12" x14ac:dyDescent="0.25">
      <c r="B1000" s="61"/>
      <c r="E1000" s="64"/>
      <c r="F1000" s="64"/>
      <c r="K1000" s="98"/>
      <c r="L1000" s="98"/>
    </row>
    <row r="1001" spans="2:12" x14ac:dyDescent="0.25">
      <c r="B1001" s="61"/>
      <c r="E1001" s="64"/>
      <c r="F1001" s="64"/>
      <c r="K1001" s="98"/>
      <c r="L1001" s="98"/>
    </row>
    <row r="1002" spans="2:12" x14ac:dyDescent="0.25">
      <c r="B1002" s="61"/>
      <c r="E1002" s="64"/>
      <c r="F1002" s="64"/>
      <c r="K1002" s="98"/>
      <c r="L1002" s="98"/>
    </row>
    <row r="1003" spans="2:12" x14ac:dyDescent="0.25">
      <c r="B1003" s="61"/>
      <c r="E1003" s="64"/>
      <c r="F1003" s="64"/>
      <c r="K1003" s="98"/>
      <c r="L1003" s="98"/>
    </row>
    <row r="1004" spans="2:12" x14ac:dyDescent="0.25">
      <c r="D1004" s="64"/>
      <c r="E1004" s="64"/>
      <c r="F1004" s="64"/>
      <c r="K1004" s="98"/>
      <c r="L1004" s="98"/>
    </row>
    <row r="1005" spans="2:12" x14ac:dyDescent="0.25">
      <c r="D1005" s="64"/>
      <c r="E1005" s="64"/>
      <c r="F1005" s="64"/>
      <c r="K1005" s="98"/>
      <c r="L1005" s="98"/>
    </row>
    <row r="1006" spans="2:12" x14ac:dyDescent="0.25">
      <c r="D1006" s="64"/>
      <c r="E1006" s="64"/>
      <c r="F1006" s="64"/>
      <c r="K1006" s="98"/>
      <c r="L1006" s="98"/>
    </row>
    <row r="1007" spans="2:12" x14ac:dyDescent="0.25">
      <c r="D1007" s="64"/>
      <c r="E1007" s="64"/>
      <c r="F1007" s="64"/>
      <c r="K1007" s="98"/>
      <c r="L1007" s="98"/>
    </row>
    <row r="1008" spans="2:12" x14ac:dyDescent="0.25">
      <c r="D1008" s="64"/>
      <c r="E1008" s="64"/>
      <c r="F1008" s="64"/>
      <c r="K1008" s="98"/>
      <c r="L1008" s="98"/>
    </row>
    <row r="1009" spans="4:12" x14ac:dyDescent="0.25">
      <c r="D1009" s="64"/>
      <c r="E1009" s="64"/>
      <c r="F1009" s="64"/>
      <c r="K1009" s="98"/>
      <c r="L1009" s="98"/>
    </row>
    <row r="1010" spans="4:12" x14ac:dyDescent="0.25">
      <c r="D1010" s="64"/>
      <c r="E1010" s="64"/>
      <c r="F1010" s="64"/>
      <c r="K1010" s="98"/>
      <c r="L1010" s="98"/>
    </row>
    <row r="1011" spans="4:12" x14ac:dyDescent="0.25">
      <c r="D1011" s="64"/>
      <c r="E1011" s="64"/>
      <c r="F1011" s="64"/>
      <c r="K1011" s="98"/>
      <c r="L1011" s="98"/>
    </row>
    <row r="1012" spans="4:12" x14ac:dyDescent="0.25">
      <c r="D1012" s="64"/>
      <c r="E1012" s="64"/>
      <c r="F1012" s="64"/>
      <c r="K1012" s="98"/>
      <c r="L1012" s="98"/>
    </row>
    <row r="1013" spans="4:12" x14ac:dyDescent="0.25">
      <c r="D1013" s="64"/>
      <c r="E1013" s="64"/>
      <c r="F1013" s="64"/>
      <c r="K1013" s="98"/>
      <c r="L1013" s="98"/>
    </row>
    <row r="1014" spans="4:12" x14ac:dyDescent="0.25">
      <c r="D1014" s="66"/>
      <c r="E1014" s="66"/>
      <c r="F1014" s="66"/>
      <c r="K1014" s="98"/>
      <c r="L1014" s="98"/>
    </row>
    <row r="1015" spans="4:12" x14ac:dyDescent="0.25">
      <c r="D1015" s="66"/>
      <c r="E1015" s="66"/>
      <c r="F1015" s="66"/>
      <c r="K1015" s="98"/>
      <c r="L1015" s="98"/>
    </row>
    <row r="1016" spans="4:12" x14ac:dyDescent="0.25">
      <c r="D1016" s="66"/>
      <c r="E1016" s="66"/>
      <c r="F1016" s="66"/>
      <c r="K1016" s="98"/>
      <c r="L1016" s="98"/>
    </row>
    <row r="1017" spans="4:12" x14ac:dyDescent="0.25">
      <c r="D1017" s="66"/>
      <c r="E1017" s="66"/>
      <c r="F1017" s="66"/>
      <c r="K1017" s="98"/>
      <c r="L1017" s="98"/>
    </row>
    <row r="1018" spans="4:12" x14ac:dyDescent="0.25">
      <c r="D1018" s="64"/>
      <c r="E1018" s="62"/>
      <c r="F1018" s="64"/>
      <c r="K1018" s="98"/>
      <c r="L1018" s="98"/>
    </row>
    <row r="1019" spans="4:12" x14ac:dyDescent="0.25">
      <c r="D1019" s="64"/>
      <c r="E1019" s="62"/>
      <c r="F1019" s="64"/>
      <c r="K1019" s="98"/>
      <c r="L1019" s="98"/>
    </row>
    <row r="1020" spans="4:12" x14ac:dyDescent="0.25">
      <c r="D1020" s="64"/>
      <c r="E1020" s="62"/>
      <c r="F1020" s="64"/>
      <c r="K1020" s="98"/>
      <c r="L1020" s="98"/>
    </row>
    <row r="1021" spans="4:12" x14ac:dyDescent="0.25">
      <c r="D1021" s="64"/>
      <c r="E1021" s="62"/>
      <c r="F1021" s="64"/>
      <c r="K1021" s="98"/>
      <c r="L1021" s="98"/>
    </row>
    <row r="1022" spans="4:12" x14ac:dyDescent="0.25">
      <c r="D1022" s="64"/>
      <c r="E1022" s="62"/>
      <c r="F1022" s="64"/>
      <c r="K1022" s="98"/>
      <c r="L1022" s="98"/>
    </row>
    <row r="1023" spans="4:12" x14ac:dyDescent="0.25">
      <c r="D1023" s="64"/>
      <c r="E1023" s="62"/>
      <c r="F1023" s="64"/>
      <c r="K1023" s="98"/>
      <c r="L1023" s="98"/>
    </row>
    <row r="1024" spans="4:12" x14ac:dyDescent="0.25">
      <c r="D1024" s="64"/>
      <c r="E1024" s="62"/>
      <c r="F1024" s="64"/>
      <c r="K1024" s="98"/>
      <c r="L1024" s="98"/>
    </row>
    <row r="1025" spans="4:12" x14ac:dyDescent="0.25">
      <c r="D1025" s="64"/>
      <c r="E1025" s="62"/>
      <c r="F1025" s="64"/>
      <c r="K1025" s="98"/>
      <c r="L1025" s="98"/>
    </row>
    <row r="1026" spans="4:12" x14ac:dyDescent="0.25">
      <c r="D1026" s="64"/>
      <c r="E1026" s="62"/>
      <c r="F1026" s="64"/>
      <c r="K1026" s="98"/>
      <c r="L1026" s="98"/>
    </row>
    <row r="1027" spans="4:12" x14ac:dyDescent="0.25">
      <c r="D1027" s="64"/>
      <c r="E1027" s="62"/>
      <c r="F1027" s="64"/>
      <c r="K1027" s="98"/>
      <c r="L1027" s="98"/>
    </row>
    <row r="1028" spans="4:12" x14ac:dyDescent="0.25">
      <c r="D1028" s="64"/>
      <c r="E1028" s="62"/>
      <c r="F1028" s="64"/>
      <c r="K1028" s="98"/>
      <c r="L1028" s="98"/>
    </row>
    <row r="1029" spans="4:12" x14ac:dyDescent="0.25">
      <c r="D1029" s="64"/>
      <c r="E1029" s="62"/>
      <c r="F1029" s="64"/>
      <c r="K1029" s="98"/>
      <c r="L1029" s="98"/>
    </row>
    <row r="1030" spans="4:12" x14ac:dyDescent="0.25">
      <c r="D1030" s="64"/>
      <c r="E1030" s="62"/>
      <c r="F1030" s="64"/>
      <c r="K1030" s="98"/>
      <c r="L1030" s="98"/>
    </row>
    <row r="1031" spans="4:12" x14ac:dyDescent="0.25">
      <c r="D1031" s="64"/>
      <c r="E1031" s="62"/>
      <c r="F1031" s="64"/>
      <c r="K1031" s="98"/>
      <c r="L1031" s="98"/>
    </row>
    <row r="1032" spans="4:12" x14ac:dyDescent="0.25">
      <c r="D1032" s="64"/>
      <c r="E1032" s="62"/>
      <c r="F1032" s="64"/>
      <c r="K1032" s="98"/>
      <c r="L1032" s="98"/>
    </row>
    <row r="1033" spans="4:12" x14ac:dyDescent="0.25">
      <c r="D1033" s="64"/>
      <c r="E1033" s="62"/>
      <c r="F1033" s="64"/>
      <c r="K1033" s="98"/>
      <c r="L1033" s="98"/>
    </row>
    <row r="1034" spans="4:12" x14ac:dyDescent="0.25">
      <c r="D1034" s="64"/>
      <c r="E1034" s="62"/>
      <c r="F1034" s="64"/>
      <c r="K1034" s="98"/>
      <c r="L1034" s="98"/>
    </row>
    <row r="1035" spans="4:12" x14ac:dyDescent="0.25">
      <c r="D1035" s="64"/>
      <c r="E1035" s="62"/>
      <c r="F1035" s="64"/>
      <c r="K1035" s="98"/>
      <c r="L1035" s="98"/>
    </row>
    <row r="1036" spans="4:12" x14ac:dyDescent="0.25">
      <c r="E1036" s="64"/>
      <c r="F1036" s="64"/>
      <c r="K1036" s="98"/>
      <c r="L1036" s="98"/>
    </row>
    <row r="1037" spans="4:12" x14ac:dyDescent="0.25">
      <c r="E1037" s="64"/>
      <c r="F1037" s="64"/>
      <c r="K1037" s="98"/>
      <c r="L1037" s="98"/>
    </row>
    <row r="1038" spans="4:12" x14ac:dyDescent="0.25">
      <c r="E1038" s="64"/>
      <c r="F1038" s="64"/>
      <c r="K1038" s="98"/>
      <c r="L1038" s="98"/>
    </row>
    <row r="1039" spans="4:12" x14ac:dyDescent="0.25">
      <c r="E1039" s="64"/>
      <c r="F1039" s="64"/>
      <c r="K1039" s="98"/>
      <c r="L1039" s="98"/>
    </row>
    <row r="1040" spans="4:12" x14ac:dyDescent="0.25">
      <c r="E1040" s="64"/>
      <c r="F1040" s="64"/>
      <c r="K1040" s="98"/>
      <c r="L1040" s="98"/>
    </row>
    <row r="1041" spans="5:12" x14ac:dyDescent="0.25">
      <c r="E1041" s="64"/>
      <c r="F1041" s="64"/>
      <c r="K1041" s="98"/>
      <c r="L1041" s="98"/>
    </row>
    <row r="1042" spans="5:12" x14ac:dyDescent="0.25">
      <c r="E1042" s="64"/>
      <c r="F1042" s="64"/>
      <c r="K1042" s="98"/>
      <c r="L1042" s="98"/>
    </row>
    <row r="1043" spans="5:12" x14ac:dyDescent="0.25">
      <c r="E1043" s="64"/>
      <c r="F1043" s="64"/>
      <c r="K1043" s="98"/>
      <c r="L1043" s="98"/>
    </row>
    <row r="1044" spans="5:12" x14ac:dyDescent="0.25">
      <c r="E1044" s="64"/>
      <c r="F1044" s="64"/>
      <c r="K1044" s="98"/>
      <c r="L1044" s="98"/>
    </row>
    <row r="1045" spans="5:12" x14ac:dyDescent="0.25">
      <c r="E1045" s="64"/>
      <c r="F1045" s="64"/>
      <c r="K1045" s="98"/>
      <c r="L1045" s="98"/>
    </row>
    <row r="1046" spans="5:12" x14ac:dyDescent="0.25">
      <c r="E1046" s="64"/>
      <c r="F1046" s="64"/>
      <c r="K1046" s="98"/>
      <c r="L1046" s="98"/>
    </row>
    <row r="1047" spans="5:12" x14ac:dyDescent="0.25">
      <c r="E1047" s="64"/>
      <c r="F1047" s="64"/>
      <c r="K1047" s="98"/>
      <c r="L1047" s="98"/>
    </row>
    <row r="1048" spans="5:12" x14ac:dyDescent="0.25">
      <c r="E1048" s="64"/>
      <c r="F1048" s="64"/>
      <c r="K1048" s="98"/>
      <c r="L1048" s="98"/>
    </row>
    <row r="1049" spans="5:12" x14ac:dyDescent="0.25">
      <c r="E1049" s="64"/>
      <c r="F1049" s="64"/>
      <c r="K1049" s="98"/>
      <c r="L1049" s="98"/>
    </row>
    <row r="1050" spans="5:12" x14ac:dyDescent="0.25">
      <c r="E1050" s="64"/>
      <c r="F1050" s="64"/>
      <c r="K1050" s="98"/>
      <c r="L1050" s="98"/>
    </row>
    <row r="1051" spans="5:12" x14ac:dyDescent="0.25">
      <c r="E1051" s="64"/>
      <c r="F1051" s="64"/>
      <c r="K1051" s="98"/>
      <c r="L1051" s="98"/>
    </row>
    <row r="1052" spans="5:12" x14ac:dyDescent="0.25">
      <c r="E1052" s="64"/>
      <c r="F1052" s="64"/>
      <c r="K1052" s="98"/>
      <c r="L1052" s="98"/>
    </row>
    <row r="1053" spans="5:12" x14ac:dyDescent="0.25">
      <c r="E1053" s="64"/>
      <c r="F1053" s="64"/>
      <c r="K1053" s="98"/>
      <c r="L1053" s="98"/>
    </row>
    <row r="1054" spans="5:12" x14ac:dyDescent="0.25">
      <c r="E1054" s="64"/>
      <c r="F1054" s="64"/>
      <c r="K1054" s="98"/>
      <c r="L1054" s="98"/>
    </row>
    <row r="1055" spans="5:12" x14ac:dyDescent="0.25">
      <c r="E1055" s="64"/>
      <c r="F1055" s="64"/>
      <c r="K1055" s="98"/>
      <c r="L1055" s="98"/>
    </row>
    <row r="1056" spans="5:12" x14ac:dyDescent="0.25">
      <c r="E1056" s="64"/>
      <c r="F1056" s="64"/>
      <c r="K1056" s="98"/>
      <c r="L1056" s="98"/>
    </row>
    <row r="1057" spans="4:12" x14ac:dyDescent="0.25">
      <c r="E1057" s="64"/>
      <c r="F1057" s="64"/>
      <c r="K1057" s="98"/>
      <c r="L1057" s="98"/>
    </row>
    <row r="1058" spans="4:12" x14ac:dyDescent="0.25">
      <c r="E1058" s="64"/>
      <c r="F1058" s="64"/>
      <c r="K1058" s="98"/>
      <c r="L1058" s="98"/>
    </row>
    <row r="1059" spans="4:12" x14ac:dyDescent="0.25">
      <c r="E1059" s="64"/>
      <c r="F1059" s="64"/>
      <c r="K1059" s="98"/>
      <c r="L1059" s="98"/>
    </row>
    <row r="1060" spans="4:12" x14ac:dyDescent="0.25">
      <c r="E1060" s="64"/>
      <c r="F1060" s="64"/>
      <c r="K1060" s="98"/>
      <c r="L1060" s="98"/>
    </row>
    <row r="1061" spans="4:12" x14ac:dyDescent="0.25">
      <c r="E1061" s="64"/>
      <c r="F1061" s="64"/>
      <c r="K1061" s="98"/>
      <c r="L1061" s="98"/>
    </row>
    <row r="1062" spans="4:12" x14ac:dyDescent="0.25">
      <c r="E1062" s="64"/>
      <c r="F1062" s="64"/>
      <c r="K1062" s="98"/>
      <c r="L1062" s="98"/>
    </row>
    <row r="1063" spans="4:12" x14ac:dyDescent="0.25">
      <c r="D1063" s="64"/>
      <c r="E1063" s="64"/>
      <c r="F1063" s="64"/>
      <c r="K1063" s="98"/>
      <c r="L1063" s="98"/>
    </row>
    <row r="1064" spans="4:12" x14ac:dyDescent="0.25">
      <c r="E1064" s="64"/>
      <c r="F1064" s="64"/>
      <c r="K1064" s="98"/>
      <c r="L1064" s="98"/>
    </row>
    <row r="1065" spans="4:12" x14ac:dyDescent="0.25">
      <c r="E1065" s="64"/>
      <c r="F1065" s="64"/>
      <c r="K1065" s="98"/>
      <c r="L1065" s="98"/>
    </row>
    <row r="1066" spans="4:12" x14ac:dyDescent="0.25">
      <c r="E1066" s="64"/>
      <c r="F1066" s="64"/>
      <c r="K1066" s="98"/>
      <c r="L1066" s="98"/>
    </row>
    <row r="1067" spans="4:12" x14ac:dyDescent="0.25">
      <c r="E1067" s="64"/>
      <c r="F1067" s="64"/>
      <c r="K1067" s="98"/>
      <c r="L1067" s="98"/>
    </row>
    <row r="1068" spans="4:12" x14ac:dyDescent="0.25">
      <c r="E1068" s="64"/>
      <c r="F1068" s="64"/>
      <c r="K1068" s="98"/>
      <c r="L1068" s="98"/>
    </row>
    <row r="1069" spans="4:12" x14ac:dyDescent="0.25">
      <c r="E1069" s="64"/>
      <c r="F1069" s="64"/>
      <c r="K1069" s="98"/>
      <c r="L1069" s="98"/>
    </row>
    <row r="1070" spans="4:12" x14ac:dyDescent="0.25">
      <c r="E1070" s="64"/>
      <c r="F1070" s="64"/>
      <c r="K1070" s="98"/>
      <c r="L1070" s="98"/>
    </row>
    <row r="1071" spans="4:12" x14ac:dyDescent="0.25">
      <c r="E1071" s="64"/>
      <c r="F1071" s="64"/>
      <c r="K1071" s="98"/>
      <c r="L1071" s="98"/>
    </row>
    <row r="1072" spans="4:12" x14ac:dyDescent="0.25">
      <c r="E1072" s="64"/>
      <c r="F1072" s="64"/>
      <c r="K1072" s="98"/>
      <c r="L1072" s="98"/>
    </row>
    <row r="1073" spans="4:12" x14ac:dyDescent="0.25">
      <c r="E1073" s="64"/>
      <c r="F1073" s="64"/>
      <c r="K1073" s="98"/>
      <c r="L1073" s="98"/>
    </row>
    <row r="1074" spans="4:12" x14ac:dyDescent="0.25">
      <c r="E1074" s="64"/>
      <c r="F1074" s="64"/>
      <c r="K1074" s="98"/>
      <c r="L1074" s="98"/>
    </row>
    <row r="1075" spans="4:12" x14ac:dyDescent="0.25">
      <c r="E1075" s="64"/>
      <c r="F1075" s="64"/>
      <c r="K1075" s="98"/>
      <c r="L1075" s="98"/>
    </row>
    <row r="1076" spans="4:12" x14ac:dyDescent="0.25">
      <c r="D1076" s="64"/>
      <c r="E1076" s="64"/>
      <c r="F1076" s="64"/>
      <c r="K1076" s="98"/>
      <c r="L1076" s="98"/>
    </row>
    <row r="1077" spans="4:12" x14ac:dyDescent="0.25">
      <c r="E1077" s="64"/>
      <c r="F1077" s="64"/>
      <c r="K1077" s="98"/>
      <c r="L1077" s="98"/>
    </row>
    <row r="1078" spans="4:12" x14ac:dyDescent="0.25">
      <c r="E1078" s="64"/>
      <c r="F1078" s="64"/>
      <c r="K1078" s="98"/>
      <c r="L1078" s="98"/>
    </row>
    <row r="1079" spans="4:12" x14ac:dyDescent="0.25">
      <c r="E1079" s="64"/>
      <c r="F1079" s="64"/>
      <c r="K1079" s="98"/>
      <c r="L1079" s="98"/>
    </row>
    <row r="1080" spans="4:12" x14ac:dyDescent="0.25">
      <c r="E1080" s="64"/>
      <c r="F1080" s="64"/>
      <c r="K1080" s="98"/>
      <c r="L1080" s="98"/>
    </row>
    <row r="1081" spans="4:12" x14ac:dyDescent="0.25">
      <c r="D1081" s="64"/>
      <c r="E1081" s="64"/>
      <c r="F1081" s="64"/>
      <c r="K1081" s="98"/>
      <c r="L1081" s="98"/>
    </row>
    <row r="1082" spans="4:12" x14ac:dyDescent="0.25">
      <c r="D1082" s="64"/>
      <c r="E1082" s="64"/>
      <c r="F1082" s="64"/>
      <c r="K1082" s="98"/>
      <c r="L1082" s="98"/>
    </row>
    <row r="1083" spans="4:12" x14ac:dyDescent="0.25">
      <c r="D1083" s="64"/>
      <c r="E1083" s="64"/>
      <c r="F1083" s="64"/>
      <c r="K1083" s="98"/>
      <c r="L1083" s="98"/>
    </row>
    <row r="1084" spans="4:12" x14ac:dyDescent="0.25">
      <c r="D1084" s="64"/>
      <c r="E1084" s="64"/>
      <c r="F1084" s="64"/>
      <c r="K1084" s="98"/>
      <c r="L1084" s="98"/>
    </row>
    <row r="1085" spans="4:12" x14ac:dyDescent="0.25">
      <c r="D1085" s="64"/>
      <c r="E1085" s="64"/>
      <c r="F1085" s="64"/>
      <c r="K1085" s="98"/>
      <c r="L1085" s="98"/>
    </row>
    <row r="1086" spans="4:12" x14ac:dyDescent="0.25">
      <c r="D1086" s="64"/>
      <c r="E1086" s="64"/>
      <c r="F1086" s="64"/>
      <c r="K1086" s="98"/>
      <c r="L1086" s="98"/>
    </row>
    <row r="1087" spans="4:12" x14ac:dyDescent="0.25">
      <c r="D1087" s="64"/>
      <c r="E1087" s="64"/>
      <c r="F1087" s="64"/>
      <c r="K1087" s="98"/>
      <c r="L1087" s="98"/>
    </row>
    <row r="1088" spans="4:12" x14ac:dyDescent="0.25">
      <c r="D1088" s="64"/>
      <c r="E1088" s="64"/>
      <c r="F1088" s="64"/>
      <c r="K1088" s="98"/>
      <c r="L1088" s="98"/>
    </row>
    <row r="1089" spans="4:12" x14ac:dyDescent="0.25">
      <c r="D1089" s="64"/>
      <c r="E1089" s="64"/>
      <c r="F1089" s="64"/>
      <c r="K1089" s="98"/>
      <c r="L1089" s="98"/>
    </row>
    <row r="1090" spans="4:12" x14ac:dyDescent="0.25">
      <c r="D1090" s="64"/>
      <c r="E1090" s="64"/>
      <c r="F1090" s="64"/>
      <c r="K1090" s="98"/>
      <c r="L1090" s="98"/>
    </row>
    <row r="1091" spans="4:12" x14ac:dyDescent="0.25">
      <c r="D1091" s="64"/>
      <c r="E1091" s="64"/>
      <c r="F1091" s="64"/>
      <c r="K1091" s="98"/>
      <c r="L1091" s="98"/>
    </row>
    <row r="1092" spans="4:12" x14ac:dyDescent="0.25">
      <c r="D1092" s="64"/>
      <c r="E1092" s="64"/>
      <c r="F1092" s="64"/>
      <c r="K1092" s="98"/>
      <c r="L1092" s="98"/>
    </row>
    <row r="1093" spans="4:12" x14ac:dyDescent="0.25">
      <c r="D1093" s="64"/>
      <c r="E1093" s="64"/>
      <c r="F1093" s="64"/>
      <c r="K1093" s="98"/>
      <c r="L1093" s="98"/>
    </row>
    <row r="1094" spans="4:12" x14ac:dyDescent="0.25">
      <c r="D1094" s="64"/>
      <c r="E1094" s="64"/>
      <c r="F1094" s="64"/>
      <c r="K1094" s="98"/>
      <c r="L1094" s="98"/>
    </row>
    <row r="1095" spans="4:12" x14ac:dyDescent="0.25">
      <c r="D1095" s="64"/>
      <c r="E1095" s="64"/>
      <c r="F1095" s="64"/>
      <c r="K1095" s="98"/>
      <c r="L1095" s="98"/>
    </row>
    <row r="1096" spans="4:12" x14ac:dyDescent="0.25">
      <c r="D1096" s="64"/>
      <c r="E1096" s="64"/>
      <c r="F1096" s="64"/>
      <c r="K1096" s="98"/>
      <c r="L1096" s="98"/>
    </row>
    <row r="1097" spans="4:12" x14ac:dyDescent="0.25">
      <c r="D1097" s="64"/>
      <c r="E1097" s="64"/>
      <c r="F1097" s="64"/>
      <c r="K1097" s="98"/>
      <c r="L1097" s="98"/>
    </row>
    <row r="1098" spans="4:12" x14ac:dyDescent="0.25">
      <c r="D1098" s="64"/>
      <c r="E1098" s="64"/>
      <c r="F1098" s="64"/>
      <c r="K1098" s="98"/>
      <c r="L1098" s="98"/>
    </row>
    <row r="1099" spans="4:12" x14ac:dyDescent="0.25">
      <c r="D1099" s="64"/>
      <c r="E1099" s="64"/>
      <c r="F1099" s="64"/>
      <c r="K1099" s="98"/>
      <c r="L1099" s="98"/>
    </row>
    <row r="1100" spans="4:12" x14ac:dyDescent="0.25">
      <c r="D1100" s="64"/>
      <c r="E1100" s="64"/>
      <c r="F1100" s="64"/>
      <c r="K1100" s="98"/>
      <c r="L1100" s="98"/>
    </row>
    <row r="1101" spans="4:12" x14ac:dyDescent="0.25">
      <c r="D1101" s="64"/>
      <c r="E1101" s="64"/>
      <c r="F1101" s="64"/>
      <c r="K1101" s="98"/>
      <c r="L1101" s="98"/>
    </row>
    <row r="1102" spans="4:12" x14ac:dyDescent="0.25">
      <c r="D1102" s="64"/>
      <c r="E1102" s="64"/>
      <c r="F1102" s="64"/>
      <c r="K1102" s="98"/>
      <c r="L1102" s="98"/>
    </row>
    <row r="1103" spans="4:12" x14ac:dyDescent="0.25">
      <c r="D1103" s="64"/>
      <c r="E1103" s="64"/>
      <c r="F1103" s="64"/>
      <c r="K1103" s="98"/>
      <c r="L1103" s="98"/>
    </row>
    <row r="1104" spans="4:12" x14ac:dyDescent="0.25">
      <c r="D1104" s="64"/>
      <c r="E1104" s="64"/>
      <c r="F1104" s="64"/>
      <c r="K1104" s="98"/>
      <c r="L1104" s="98"/>
    </row>
    <row r="1105" spans="4:12" x14ac:dyDescent="0.25">
      <c r="D1105" s="64"/>
      <c r="E1105" s="64"/>
      <c r="F1105" s="64"/>
      <c r="K1105" s="98"/>
      <c r="L1105" s="98"/>
    </row>
    <row r="1106" spans="4:12" x14ac:dyDescent="0.25">
      <c r="D1106" s="64"/>
      <c r="E1106" s="64"/>
      <c r="F1106" s="64"/>
      <c r="K1106" s="98"/>
      <c r="L1106" s="98"/>
    </row>
    <row r="1107" spans="4:12" x14ac:dyDescent="0.25">
      <c r="D1107" s="64"/>
      <c r="E1107" s="66"/>
      <c r="F1107" s="66"/>
      <c r="K1107" s="98"/>
      <c r="L1107" s="98"/>
    </row>
    <row r="1108" spans="4:12" x14ac:dyDescent="0.25">
      <c r="D1108" s="64"/>
      <c r="E1108" s="66"/>
      <c r="F1108" s="66"/>
      <c r="K1108" s="98"/>
      <c r="L1108" s="98"/>
    </row>
    <row r="1109" spans="4:12" x14ac:dyDescent="0.25">
      <c r="D1109" s="64"/>
      <c r="E1109" s="66"/>
      <c r="F1109" s="66"/>
      <c r="K1109" s="98"/>
      <c r="L1109" s="98"/>
    </row>
    <row r="1110" spans="4:12" x14ac:dyDescent="0.25">
      <c r="D1110" s="64"/>
      <c r="E1110" s="66"/>
      <c r="F1110" s="66"/>
      <c r="K1110" s="98"/>
      <c r="L1110" s="98"/>
    </row>
    <row r="1111" spans="4:12" x14ac:dyDescent="0.25">
      <c r="D1111" s="64"/>
      <c r="E1111" s="66"/>
      <c r="F1111" s="66"/>
      <c r="K1111" s="98"/>
      <c r="L1111" s="98"/>
    </row>
    <row r="1112" spans="4:12" x14ac:dyDescent="0.25">
      <c r="D1112" s="64"/>
      <c r="E1112" s="66"/>
      <c r="F1112" s="66"/>
      <c r="K1112" s="98"/>
      <c r="L1112" s="98"/>
    </row>
    <row r="1113" spans="4:12" x14ac:dyDescent="0.25">
      <c r="D1113" s="64"/>
      <c r="E1113" s="66"/>
      <c r="F1113" s="66"/>
      <c r="K1113" s="98"/>
      <c r="L1113" s="98"/>
    </row>
    <row r="1114" spans="4:12" x14ac:dyDescent="0.25">
      <c r="D1114" s="64"/>
      <c r="E1114" s="66"/>
      <c r="F1114" s="66"/>
      <c r="K1114" s="98"/>
      <c r="L1114" s="98"/>
    </row>
    <row r="1115" spans="4:12" x14ac:dyDescent="0.25">
      <c r="D1115" s="64"/>
      <c r="E1115" s="66"/>
      <c r="F1115" s="66"/>
      <c r="K1115" s="98"/>
      <c r="L1115" s="98"/>
    </row>
    <row r="1116" spans="4:12" x14ac:dyDescent="0.25">
      <c r="D1116" s="64"/>
      <c r="E1116" s="66"/>
      <c r="F1116" s="66"/>
      <c r="K1116" s="98"/>
      <c r="L1116" s="98"/>
    </row>
    <row r="1117" spans="4:12" x14ac:dyDescent="0.25">
      <c r="D1117" s="64"/>
      <c r="E1117" s="66"/>
      <c r="F1117" s="66"/>
      <c r="K1117" s="98"/>
      <c r="L1117" s="98"/>
    </row>
    <row r="1118" spans="4:12" x14ac:dyDescent="0.25">
      <c r="D1118" s="64"/>
      <c r="E1118" s="66"/>
      <c r="F1118" s="66"/>
      <c r="K1118" s="98"/>
      <c r="L1118" s="98"/>
    </row>
    <row r="1119" spans="4:12" x14ac:dyDescent="0.25">
      <c r="D1119" s="64"/>
      <c r="E1119" s="66"/>
      <c r="F1119" s="66"/>
      <c r="K1119" s="98"/>
      <c r="L1119" s="98"/>
    </row>
    <row r="1120" spans="4:12" x14ac:dyDescent="0.25">
      <c r="D1120" s="64"/>
      <c r="E1120" s="66"/>
      <c r="F1120" s="66"/>
      <c r="K1120" s="98"/>
      <c r="L1120" s="98"/>
    </row>
    <row r="1121" spans="4:12" x14ac:dyDescent="0.25">
      <c r="D1121" s="64"/>
      <c r="E1121" s="66"/>
      <c r="F1121" s="66"/>
      <c r="K1121" s="98"/>
      <c r="L1121" s="98"/>
    </row>
    <row r="1122" spans="4:12" x14ac:dyDescent="0.25">
      <c r="D1122" s="64"/>
      <c r="E1122" s="66"/>
      <c r="F1122" s="66"/>
      <c r="K1122" s="98"/>
      <c r="L1122" s="98"/>
    </row>
    <row r="1123" spans="4:12" x14ac:dyDescent="0.25">
      <c r="D1123" s="64"/>
      <c r="E1123" s="66"/>
      <c r="F1123" s="66"/>
      <c r="K1123" s="98"/>
      <c r="L1123" s="98"/>
    </row>
    <row r="1124" spans="4:12" x14ac:dyDescent="0.25">
      <c r="D1124" s="64"/>
      <c r="E1124" s="66"/>
      <c r="F1124" s="66"/>
      <c r="K1124" s="98"/>
      <c r="L1124" s="98"/>
    </row>
    <row r="1125" spans="4:12" x14ac:dyDescent="0.25">
      <c r="D1125" s="64"/>
      <c r="E1125" s="66"/>
      <c r="F1125" s="66"/>
      <c r="K1125" s="98"/>
      <c r="L1125" s="98"/>
    </row>
    <row r="1126" spans="4:12" x14ac:dyDescent="0.25">
      <c r="D1126" s="64"/>
      <c r="E1126" s="66"/>
      <c r="F1126" s="66"/>
      <c r="K1126" s="98"/>
      <c r="L1126" s="98"/>
    </row>
    <row r="1127" spans="4:12" x14ac:dyDescent="0.25">
      <c r="D1127" s="64"/>
      <c r="E1127" s="64"/>
      <c r="F1127" s="66"/>
      <c r="K1127" s="98"/>
      <c r="L1127" s="98"/>
    </row>
    <row r="1128" spans="4:12" x14ac:dyDescent="0.25">
      <c r="D1128" s="64"/>
      <c r="E1128" s="64"/>
      <c r="F1128" s="66"/>
      <c r="K1128" s="98"/>
      <c r="L1128" s="98"/>
    </row>
    <row r="1129" spans="4:12" x14ac:dyDescent="0.25">
      <c r="D1129" s="64"/>
      <c r="E1129" s="66"/>
      <c r="F1129" s="66"/>
      <c r="K1129" s="98"/>
      <c r="L1129" s="98"/>
    </row>
    <row r="1130" spans="4:12" x14ac:dyDescent="0.25">
      <c r="D1130" s="64"/>
      <c r="E1130" s="66"/>
      <c r="F1130" s="66"/>
      <c r="K1130" s="98"/>
      <c r="L1130" s="98"/>
    </row>
    <row r="1131" spans="4:12" x14ac:dyDescent="0.25">
      <c r="D1131" s="64"/>
      <c r="E1131" s="66"/>
      <c r="F1131" s="66"/>
      <c r="K1131" s="98"/>
      <c r="L1131" s="98"/>
    </row>
    <row r="1132" spans="4:12" x14ac:dyDescent="0.25">
      <c r="D1132" s="64"/>
      <c r="E1132" s="66"/>
      <c r="F1132" s="66"/>
      <c r="K1132" s="98"/>
      <c r="L1132" s="98"/>
    </row>
    <row r="1133" spans="4:12" x14ac:dyDescent="0.25">
      <c r="D1133" s="64"/>
      <c r="E1133" s="66"/>
      <c r="F1133" s="66"/>
      <c r="K1133" s="98"/>
      <c r="L1133" s="98"/>
    </row>
    <row r="1134" spans="4:12" x14ac:dyDescent="0.25">
      <c r="D1134" s="64"/>
      <c r="E1134" s="66"/>
      <c r="F1134" s="66"/>
      <c r="K1134" s="98"/>
      <c r="L1134" s="98"/>
    </row>
    <row r="1135" spans="4:12" x14ac:dyDescent="0.25">
      <c r="D1135" s="64"/>
      <c r="E1135" s="66"/>
      <c r="F1135" s="66"/>
      <c r="K1135" s="98"/>
      <c r="L1135" s="98"/>
    </row>
    <row r="1136" spans="4:12" x14ac:dyDescent="0.25">
      <c r="D1136" s="64"/>
      <c r="E1136" s="66"/>
      <c r="F1136" s="66"/>
      <c r="K1136" s="98"/>
      <c r="L1136" s="98"/>
    </row>
    <row r="1137" spans="4:12" x14ac:dyDescent="0.25">
      <c r="D1137" s="64"/>
      <c r="E1137" s="66"/>
      <c r="F1137" s="66"/>
      <c r="K1137" s="98"/>
      <c r="L1137" s="98"/>
    </row>
    <row r="1138" spans="4:12" x14ac:dyDescent="0.25">
      <c r="D1138" s="64"/>
      <c r="E1138" s="66"/>
      <c r="F1138" s="66"/>
      <c r="K1138" s="98"/>
      <c r="L1138" s="98"/>
    </row>
    <row r="1139" spans="4:12" x14ac:dyDescent="0.25">
      <c r="D1139" s="64"/>
      <c r="E1139" s="66"/>
      <c r="F1139" s="66"/>
      <c r="K1139" s="98"/>
      <c r="L1139" s="98"/>
    </row>
    <row r="1140" spans="4:12" x14ac:dyDescent="0.25">
      <c r="D1140" s="64"/>
      <c r="E1140" s="66"/>
      <c r="F1140" s="66"/>
      <c r="K1140" s="98"/>
      <c r="L1140" s="98"/>
    </row>
    <row r="1141" spans="4:12" x14ac:dyDescent="0.25">
      <c r="D1141" s="64"/>
      <c r="E1141" s="66"/>
      <c r="F1141" s="66"/>
      <c r="K1141" s="98"/>
      <c r="L1141" s="98"/>
    </row>
    <row r="1142" spans="4:12" x14ac:dyDescent="0.25">
      <c r="D1142" s="64"/>
      <c r="E1142" s="66"/>
      <c r="F1142" s="66"/>
      <c r="K1142" s="98"/>
      <c r="L1142" s="98"/>
    </row>
    <row r="1143" spans="4:12" x14ac:dyDescent="0.25">
      <c r="D1143" s="64"/>
      <c r="E1143" s="66"/>
      <c r="F1143" s="66"/>
      <c r="K1143" s="98"/>
      <c r="L1143" s="98"/>
    </row>
    <row r="1144" spans="4:12" x14ac:dyDescent="0.25">
      <c r="D1144" s="64"/>
      <c r="E1144" s="66"/>
      <c r="F1144" s="66"/>
      <c r="K1144" s="98"/>
      <c r="L1144" s="98"/>
    </row>
    <row r="1145" spans="4:12" x14ac:dyDescent="0.25">
      <c r="D1145" s="64"/>
      <c r="E1145" s="66"/>
      <c r="F1145" s="66"/>
      <c r="K1145" s="98"/>
      <c r="L1145" s="98"/>
    </row>
    <row r="1146" spans="4:12" x14ac:dyDescent="0.25">
      <c r="D1146" s="64"/>
      <c r="E1146" s="66"/>
      <c r="F1146" s="66"/>
      <c r="K1146" s="98"/>
      <c r="L1146" s="98"/>
    </row>
    <row r="1147" spans="4:12" x14ac:dyDescent="0.25">
      <c r="D1147" s="64"/>
      <c r="E1147" s="66"/>
      <c r="F1147" s="66"/>
      <c r="K1147" s="98"/>
      <c r="L1147" s="98"/>
    </row>
    <row r="1148" spans="4:12" x14ac:dyDescent="0.25">
      <c r="D1148" s="64"/>
      <c r="E1148" s="66"/>
      <c r="F1148" s="66"/>
      <c r="K1148" s="98"/>
      <c r="L1148" s="98"/>
    </row>
    <row r="1149" spans="4:12" x14ac:dyDescent="0.25">
      <c r="D1149" s="64"/>
      <c r="E1149" s="66"/>
      <c r="F1149" s="66"/>
      <c r="K1149" s="98"/>
      <c r="L1149" s="98"/>
    </row>
    <row r="1150" spans="4:12" x14ac:dyDescent="0.25">
      <c r="D1150" s="64"/>
      <c r="E1150" s="66"/>
      <c r="F1150" s="66"/>
      <c r="K1150" s="98"/>
      <c r="L1150" s="98"/>
    </row>
    <row r="1151" spans="4:12" x14ac:dyDescent="0.25">
      <c r="D1151" s="64"/>
      <c r="E1151" s="66"/>
      <c r="F1151" s="66"/>
      <c r="K1151" s="98"/>
      <c r="L1151" s="98"/>
    </row>
    <row r="1152" spans="4:12" x14ac:dyDescent="0.25">
      <c r="D1152" s="64"/>
      <c r="E1152" s="66"/>
      <c r="F1152" s="66"/>
      <c r="K1152" s="98"/>
      <c r="L1152" s="98"/>
    </row>
    <row r="1153" spans="4:12" x14ac:dyDescent="0.25">
      <c r="D1153" s="64"/>
      <c r="E1153" s="66"/>
      <c r="F1153" s="66"/>
      <c r="K1153" s="98"/>
      <c r="L1153" s="98"/>
    </row>
    <row r="1154" spans="4:12" x14ac:dyDescent="0.25">
      <c r="D1154" s="64"/>
      <c r="E1154" s="66"/>
      <c r="F1154" s="66"/>
      <c r="K1154" s="98"/>
      <c r="L1154" s="98"/>
    </row>
    <row r="1155" spans="4:12" x14ac:dyDescent="0.25">
      <c r="D1155" s="64"/>
      <c r="E1155" s="66"/>
      <c r="F1155" s="66"/>
      <c r="K1155" s="98"/>
      <c r="L1155" s="98"/>
    </row>
    <row r="1156" spans="4:12" x14ac:dyDescent="0.25">
      <c r="D1156" s="64"/>
      <c r="E1156" s="66"/>
      <c r="F1156" s="66"/>
      <c r="K1156" s="98"/>
      <c r="L1156" s="98"/>
    </row>
    <row r="1157" spans="4:12" x14ac:dyDescent="0.25">
      <c r="D1157" s="64"/>
      <c r="E1157" s="66"/>
      <c r="F1157" s="66"/>
      <c r="K1157" s="98"/>
      <c r="L1157" s="98"/>
    </row>
    <row r="1158" spans="4:12" x14ac:dyDescent="0.25">
      <c r="D1158" s="64"/>
      <c r="E1158" s="66"/>
      <c r="F1158" s="66"/>
      <c r="K1158" s="98"/>
      <c r="L1158" s="98"/>
    </row>
    <row r="1159" spans="4:12" x14ac:dyDescent="0.25">
      <c r="D1159" s="64"/>
      <c r="E1159" s="66"/>
      <c r="F1159" s="66"/>
      <c r="K1159" s="98"/>
      <c r="L1159" s="98"/>
    </row>
    <row r="1160" spans="4:12" x14ac:dyDescent="0.25">
      <c r="D1160" s="64"/>
      <c r="E1160" s="64"/>
      <c r="F1160" s="64"/>
      <c r="K1160" s="98"/>
      <c r="L1160" s="98"/>
    </row>
    <row r="1161" spans="4:12" x14ac:dyDescent="0.25">
      <c r="D1161" s="64"/>
      <c r="E1161" s="64"/>
      <c r="F1161" s="64"/>
      <c r="K1161" s="98"/>
      <c r="L1161" s="98"/>
    </row>
    <row r="1162" spans="4:12" x14ac:dyDescent="0.25">
      <c r="D1162" s="64"/>
      <c r="E1162" s="64"/>
      <c r="F1162" s="64"/>
      <c r="K1162" s="98"/>
      <c r="L1162" s="98"/>
    </row>
    <row r="1163" spans="4:12" x14ac:dyDescent="0.25">
      <c r="D1163" s="64"/>
      <c r="E1163" s="64"/>
      <c r="F1163" s="64"/>
      <c r="K1163" s="98"/>
      <c r="L1163" s="98"/>
    </row>
    <row r="1164" spans="4:12" x14ac:dyDescent="0.25">
      <c r="D1164" s="64"/>
      <c r="E1164" s="64"/>
      <c r="F1164" s="64"/>
      <c r="K1164" s="98"/>
      <c r="L1164" s="98"/>
    </row>
    <row r="1165" spans="4:12" x14ac:dyDescent="0.25">
      <c r="D1165" s="64"/>
      <c r="E1165" s="64"/>
      <c r="F1165" s="64"/>
      <c r="K1165" s="98"/>
      <c r="L1165" s="98"/>
    </row>
    <row r="1166" spans="4:12" x14ac:dyDescent="0.25">
      <c r="D1166" s="64"/>
      <c r="E1166" s="64"/>
      <c r="F1166" s="64"/>
      <c r="K1166" s="98"/>
      <c r="L1166" s="98"/>
    </row>
    <row r="1167" spans="4:12" x14ac:dyDescent="0.25">
      <c r="D1167" s="64"/>
      <c r="E1167" s="64"/>
      <c r="F1167" s="64"/>
      <c r="K1167" s="98"/>
      <c r="L1167" s="98"/>
    </row>
    <row r="1168" spans="4:12" x14ac:dyDescent="0.25">
      <c r="D1168" s="64"/>
      <c r="E1168" s="64"/>
      <c r="F1168" s="64"/>
      <c r="K1168" s="98"/>
      <c r="L1168" s="98"/>
    </row>
    <row r="1169" spans="4:12" x14ac:dyDescent="0.25">
      <c r="D1169" s="64"/>
      <c r="E1169" s="64"/>
      <c r="F1169" s="64"/>
      <c r="K1169" s="98"/>
      <c r="L1169" s="98"/>
    </row>
    <row r="1170" spans="4:12" x14ac:dyDescent="0.25">
      <c r="D1170" s="64"/>
      <c r="E1170" s="64"/>
      <c r="F1170" s="64"/>
      <c r="K1170" s="98"/>
      <c r="L1170" s="98"/>
    </row>
    <row r="1171" spans="4:12" x14ac:dyDescent="0.25">
      <c r="D1171" s="64"/>
      <c r="E1171" s="64"/>
      <c r="F1171" s="64"/>
      <c r="K1171" s="98"/>
      <c r="L1171" s="98"/>
    </row>
    <row r="1172" spans="4:12" x14ac:dyDescent="0.25">
      <c r="D1172" s="64"/>
      <c r="E1172" s="64"/>
      <c r="F1172" s="64"/>
      <c r="K1172" s="98"/>
      <c r="L1172" s="98"/>
    </row>
    <row r="1173" spans="4:12" x14ac:dyDescent="0.25">
      <c r="D1173" s="64"/>
      <c r="E1173" s="64"/>
      <c r="F1173" s="64"/>
      <c r="K1173" s="98"/>
      <c r="L1173" s="98"/>
    </row>
    <row r="1174" spans="4:12" x14ac:dyDescent="0.25">
      <c r="D1174" s="64"/>
      <c r="E1174" s="64"/>
      <c r="F1174" s="64"/>
      <c r="K1174" s="98"/>
      <c r="L1174" s="98"/>
    </row>
    <row r="1175" spans="4:12" x14ac:dyDescent="0.25">
      <c r="D1175" s="64"/>
      <c r="E1175" s="64"/>
      <c r="F1175" s="64"/>
      <c r="K1175" s="98"/>
      <c r="L1175" s="98"/>
    </row>
    <row r="1176" spans="4:12" x14ac:dyDescent="0.25">
      <c r="D1176" s="64"/>
      <c r="E1176" s="64"/>
      <c r="F1176" s="64"/>
      <c r="K1176" s="98"/>
      <c r="L1176" s="98"/>
    </row>
    <row r="1177" spans="4:12" x14ac:dyDescent="0.25">
      <c r="D1177" s="64"/>
      <c r="E1177" s="64"/>
      <c r="F1177" s="64"/>
      <c r="K1177" s="98"/>
      <c r="L1177" s="98"/>
    </row>
    <row r="1178" spans="4:12" x14ac:dyDescent="0.25">
      <c r="D1178" s="64"/>
      <c r="E1178" s="64"/>
      <c r="F1178" s="64"/>
      <c r="K1178" s="98"/>
      <c r="L1178" s="98"/>
    </row>
    <row r="1179" spans="4:12" x14ac:dyDescent="0.25">
      <c r="D1179" s="64"/>
      <c r="E1179" s="64"/>
      <c r="F1179" s="64"/>
      <c r="K1179" s="98"/>
      <c r="L1179" s="98"/>
    </row>
    <row r="1180" spans="4:12" x14ac:dyDescent="0.25">
      <c r="D1180" s="64"/>
      <c r="E1180" s="64"/>
      <c r="F1180" s="64"/>
      <c r="K1180" s="98"/>
      <c r="L1180" s="98"/>
    </row>
    <row r="1181" spans="4:12" x14ac:dyDescent="0.25">
      <c r="D1181" s="64"/>
      <c r="E1181" s="66"/>
      <c r="F1181" s="66"/>
      <c r="K1181" s="98"/>
      <c r="L1181" s="98"/>
    </row>
    <row r="1182" spans="4:12" x14ac:dyDescent="0.25">
      <c r="D1182" s="64"/>
      <c r="E1182" s="64"/>
      <c r="F1182" s="64"/>
      <c r="K1182" s="98"/>
      <c r="L1182" s="98"/>
    </row>
    <row r="1183" spans="4:12" x14ac:dyDescent="0.25">
      <c r="D1183" s="64"/>
      <c r="E1183" s="64"/>
      <c r="F1183" s="64"/>
      <c r="K1183" s="98"/>
      <c r="L1183" s="98"/>
    </row>
    <row r="1184" spans="4:12" x14ac:dyDescent="0.25">
      <c r="D1184" s="64"/>
      <c r="E1184" s="64"/>
      <c r="F1184" s="64"/>
      <c r="K1184" s="98"/>
      <c r="L1184" s="98"/>
    </row>
    <row r="1185" spans="4:12" x14ac:dyDescent="0.25">
      <c r="D1185" s="64"/>
      <c r="E1185" s="66"/>
      <c r="F1185" s="66"/>
      <c r="K1185" s="98"/>
      <c r="L1185" s="98"/>
    </row>
    <row r="1186" spans="4:12" x14ac:dyDescent="0.25">
      <c r="D1186" s="64"/>
      <c r="E1186" s="66"/>
      <c r="F1186" s="66"/>
      <c r="K1186" s="98"/>
      <c r="L1186" s="98"/>
    </row>
    <row r="1187" spans="4:12" x14ac:dyDescent="0.25">
      <c r="D1187" s="64"/>
      <c r="E1187" s="66"/>
      <c r="F1187" s="66"/>
      <c r="K1187" s="98"/>
      <c r="L1187" s="98"/>
    </row>
    <row r="1188" spans="4:12" x14ac:dyDescent="0.25">
      <c r="D1188" s="64"/>
      <c r="E1188" s="66"/>
      <c r="F1188" s="66"/>
      <c r="K1188" s="98"/>
      <c r="L1188" s="98"/>
    </row>
    <row r="1189" spans="4:12" x14ac:dyDescent="0.25">
      <c r="D1189" s="64"/>
      <c r="E1189" s="66"/>
      <c r="F1189" s="66"/>
      <c r="K1189" s="98"/>
      <c r="L1189" s="98"/>
    </row>
    <row r="1190" spans="4:12" x14ac:dyDescent="0.25">
      <c r="D1190" s="64"/>
      <c r="E1190" s="66"/>
      <c r="F1190" s="66"/>
      <c r="K1190" s="98"/>
      <c r="L1190" s="98"/>
    </row>
    <row r="1191" spans="4:12" x14ac:dyDescent="0.25">
      <c r="D1191" s="64"/>
      <c r="E1191" s="66"/>
      <c r="F1191" s="66"/>
      <c r="K1191" s="98"/>
      <c r="L1191" s="98"/>
    </row>
    <row r="1192" spans="4:12" x14ac:dyDescent="0.25">
      <c r="D1192" s="64"/>
      <c r="E1192" s="66"/>
      <c r="F1192" s="66"/>
      <c r="K1192" s="98"/>
      <c r="L1192" s="98"/>
    </row>
    <row r="1193" spans="4:12" x14ac:dyDescent="0.25">
      <c r="D1193" s="64"/>
      <c r="E1193" s="66"/>
      <c r="F1193" s="66"/>
      <c r="K1193" s="98"/>
      <c r="L1193" s="98"/>
    </row>
    <row r="1194" spans="4:12" x14ac:dyDescent="0.25">
      <c r="D1194" s="64"/>
      <c r="E1194" s="66"/>
      <c r="F1194" s="66"/>
      <c r="K1194" s="98"/>
      <c r="L1194" s="98"/>
    </row>
    <row r="1195" spans="4:12" x14ac:dyDescent="0.25">
      <c r="D1195" s="64"/>
      <c r="E1195" s="66"/>
      <c r="F1195" s="66"/>
      <c r="K1195" s="98"/>
      <c r="L1195" s="98"/>
    </row>
    <row r="1196" spans="4:12" x14ac:dyDescent="0.25">
      <c r="D1196" s="64"/>
      <c r="E1196" s="66"/>
      <c r="F1196" s="66"/>
      <c r="K1196" s="98"/>
      <c r="L1196" s="98"/>
    </row>
    <row r="1197" spans="4:12" x14ac:dyDescent="0.25">
      <c r="D1197" s="64"/>
      <c r="E1197" s="66"/>
      <c r="F1197" s="66"/>
      <c r="K1197" s="98"/>
      <c r="L1197" s="98"/>
    </row>
    <row r="1198" spans="4:12" x14ac:dyDescent="0.25">
      <c r="D1198" s="64"/>
      <c r="E1198" s="66"/>
      <c r="F1198" s="66"/>
      <c r="K1198" s="98"/>
      <c r="L1198" s="98"/>
    </row>
    <row r="1199" spans="4:12" x14ac:dyDescent="0.25">
      <c r="D1199" s="64"/>
      <c r="E1199" s="66"/>
      <c r="F1199" s="66"/>
      <c r="K1199" s="98"/>
      <c r="L1199" s="98"/>
    </row>
    <row r="1200" spans="4:12" x14ac:dyDescent="0.25">
      <c r="D1200" s="64"/>
      <c r="E1200" s="66"/>
      <c r="F1200" s="66"/>
      <c r="K1200" s="98"/>
      <c r="L1200" s="98"/>
    </row>
    <row r="1201" spans="4:12" x14ac:dyDescent="0.25">
      <c r="D1201" s="64"/>
      <c r="E1201" s="66"/>
      <c r="F1201" s="66"/>
      <c r="K1201" s="98"/>
      <c r="L1201" s="98"/>
    </row>
    <row r="1202" spans="4:12" x14ac:dyDescent="0.25">
      <c r="D1202" s="64"/>
      <c r="E1202" s="66"/>
      <c r="F1202" s="66"/>
      <c r="K1202" s="98"/>
      <c r="L1202" s="98"/>
    </row>
    <row r="1203" spans="4:12" x14ac:dyDescent="0.25">
      <c r="D1203" s="64"/>
      <c r="E1203" s="66"/>
      <c r="F1203" s="66"/>
      <c r="K1203" s="98"/>
      <c r="L1203" s="98"/>
    </row>
    <row r="1204" spans="4:12" x14ac:dyDescent="0.25">
      <c r="D1204" s="64"/>
      <c r="E1204" s="66"/>
      <c r="F1204" s="66"/>
      <c r="K1204" s="98"/>
      <c r="L1204" s="98"/>
    </row>
    <row r="1205" spans="4:12" x14ac:dyDescent="0.25">
      <c r="D1205" s="64"/>
      <c r="E1205" s="66"/>
      <c r="F1205" s="66"/>
      <c r="K1205" s="98"/>
      <c r="L1205" s="98"/>
    </row>
    <row r="1206" spans="4:12" x14ac:dyDescent="0.25">
      <c r="D1206" s="64"/>
      <c r="E1206" s="66"/>
      <c r="F1206" s="66"/>
      <c r="K1206" s="98"/>
      <c r="L1206" s="98"/>
    </row>
    <row r="1207" spans="4:12" x14ac:dyDescent="0.25">
      <c r="D1207" s="64"/>
      <c r="E1207" s="66"/>
      <c r="F1207" s="66"/>
      <c r="K1207" s="98"/>
      <c r="L1207" s="98"/>
    </row>
    <row r="1208" spans="4:12" x14ac:dyDescent="0.25">
      <c r="D1208" s="64"/>
      <c r="E1208" s="66"/>
      <c r="F1208" s="66"/>
      <c r="K1208" s="98"/>
      <c r="L1208" s="98"/>
    </row>
    <row r="1209" spans="4:12" x14ac:dyDescent="0.25">
      <c r="D1209" s="64"/>
      <c r="E1209" s="66"/>
      <c r="F1209" s="66"/>
      <c r="K1209" s="98"/>
      <c r="L1209" s="98"/>
    </row>
    <row r="1210" spans="4:12" x14ac:dyDescent="0.25">
      <c r="D1210" s="64"/>
      <c r="E1210" s="66"/>
      <c r="F1210" s="66"/>
      <c r="K1210" s="98"/>
      <c r="L1210" s="98"/>
    </row>
    <row r="1211" spans="4:12" x14ac:dyDescent="0.25">
      <c r="D1211" s="64"/>
      <c r="E1211" s="66"/>
      <c r="F1211" s="66"/>
      <c r="K1211" s="98"/>
      <c r="L1211" s="98"/>
    </row>
    <row r="1212" spans="4:12" x14ac:dyDescent="0.25">
      <c r="D1212" s="64"/>
      <c r="E1212" s="66"/>
      <c r="F1212" s="66"/>
      <c r="K1212" s="98"/>
      <c r="L1212" s="98"/>
    </row>
    <row r="1213" spans="4:12" x14ac:dyDescent="0.25">
      <c r="D1213" s="64"/>
      <c r="E1213" s="66"/>
      <c r="F1213" s="66"/>
      <c r="K1213" s="98"/>
      <c r="L1213" s="98"/>
    </row>
    <row r="1214" spans="4:12" x14ac:dyDescent="0.25">
      <c r="D1214" s="64"/>
      <c r="E1214" s="66"/>
      <c r="F1214" s="66"/>
      <c r="K1214" s="98"/>
      <c r="L1214" s="98"/>
    </row>
    <row r="1215" spans="4:12" x14ac:dyDescent="0.25">
      <c r="D1215" s="64"/>
      <c r="E1215" s="66"/>
      <c r="F1215" s="66"/>
      <c r="K1215" s="98"/>
      <c r="L1215" s="98"/>
    </row>
    <row r="1216" spans="4:12" x14ac:dyDescent="0.25">
      <c r="D1216" s="64"/>
      <c r="E1216" s="66"/>
      <c r="F1216" s="66"/>
      <c r="K1216" s="98"/>
      <c r="L1216" s="98"/>
    </row>
    <row r="1217" spans="4:12" x14ac:dyDescent="0.25">
      <c r="D1217" s="64"/>
      <c r="E1217" s="66"/>
      <c r="F1217" s="66"/>
      <c r="K1217" s="98"/>
      <c r="L1217" s="98"/>
    </row>
    <row r="1218" spans="4:12" x14ac:dyDescent="0.25">
      <c r="D1218" s="64"/>
      <c r="E1218" s="66"/>
      <c r="F1218" s="66"/>
      <c r="K1218" s="98"/>
      <c r="L1218" s="98"/>
    </row>
    <row r="1219" spans="4:12" x14ac:dyDescent="0.25">
      <c r="D1219" s="64"/>
      <c r="E1219" s="66"/>
      <c r="F1219" s="66"/>
      <c r="K1219" s="98"/>
      <c r="L1219" s="98"/>
    </row>
    <row r="1220" spans="4:12" x14ac:dyDescent="0.25">
      <c r="D1220" s="64"/>
      <c r="E1220" s="66"/>
      <c r="F1220" s="66"/>
      <c r="K1220" s="98"/>
      <c r="L1220" s="98"/>
    </row>
    <row r="1221" spans="4:12" x14ac:dyDescent="0.25">
      <c r="K1221" s="98"/>
      <c r="L1221" s="98"/>
    </row>
    <row r="1222" spans="4:12" x14ac:dyDescent="0.25">
      <c r="D1222" s="64"/>
      <c r="E1222" s="64"/>
      <c r="F1222" s="64"/>
      <c r="K1222" s="98"/>
      <c r="L1222" s="98"/>
    </row>
    <row r="1223" spans="4:12" x14ac:dyDescent="0.25">
      <c r="D1223" s="64"/>
      <c r="E1223" s="64"/>
      <c r="F1223" s="64"/>
      <c r="K1223" s="98"/>
      <c r="L1223" s="98"/>
    </row>
    <row r="1224" spans="4:12" x14ac:dyDescent="0.25">
      <c r="D1224" s="64"/>
      <c r="E1224" s="66"/>
      <c r="F1224" s="66"/>
      <c r="K1224" s="98"/>
      <c r="L1224" s="98"/>
    </row>
    <row r="1225" spans="4:12" x14ac:dyDescent="0.25">
      <c r="D1225" s="64"/>
      <c r="E1225" s="64"/>
      <c r="F1225" s="64"/>
      <c r="K1225" s="98"/>
      <c r="L1225" s="98"/>
    </row>
    <row r="1226" spans="4:12" x14ac:dyDescent="0.25">
      <c r="D1226" s="64"/>
      <c r="E1226" s="64"/>
      <c r="F1226" s="64"/>
      <c r="K1226" s="98"/>
      <c r="L1226" s="98"/>
    </row>
    <row r="1227" spans="4:12" x14ac:dyDescent="0.25">
      <c r="D1227" s="64"/>
      <c r="E1227" s="64"/>
      <c r="F1227" s="64"/>
      <c r="K1227" s="98"/>
      <c r="L1227" s="98"/>
    </row>
    <row r="1228" spans="4:12" x14ac:dyDescent="0.25">
      <c r="D1228" s="64"/>
      <c r="E1228" s="64"/>
      <c r="F1228" s="64"/>
      <c r="K1228" s="98"/>
      <c r="L1228" s="98"/>
    </row>
    <row r="1229" spans="4:12" x14ac:dyDescent="0.25">
      <c r="D1229" s="64"/>
      <c r="E1229" s="64"/>
      <c r="F1229" s="64"/>
      <c r="K1229" s="98"/>
      <c r="L1229" s="98"/>
    </row>
    <row r="1230" spans="4:12" x14ac:dyDescent="0.25">
      <c r="D1230" s="64"/>
      <c r="E1230" s="66"/>
      <c r="F1230" s="66"/>
      <c r="K1230" s="98"/>
      <c r="L1230" s="98"/>
    </row>
    <row r="1231" spans="4:12" x14ac:dyDescent="0.25">
      <c r="D1231" s="64"/>
      <c r="E1231" s="64"/>
      <c r="F1231" s="64"/>
      <c r="K1231" s="98"/>
      <c r="L1231" s="98"/>
    </row>
    <row r="1232" spans="4:12" x14ac:dyDescent="0.25">
      <c r="D1232" s="64"/>
      <c r="E1232" s="66"/>
      <c r="F1232" s="66"/>
      <c r="K1232" s="98"/>
      <c r="L1232" s="98"/>
    </row>
    <row r="1233" spans="4:12" x14ac:dyDescent="0.25">
      <c r="D1233" s="64"/>
      <c r="E1233" s="66"/>
      <c r="F1233" s="66"/>
      <c r="K1233" s="98"/>
      <c r="L1233" s="98"/>
    </row>
    <row r="1234" spans="4:12" x14ac:dyDescent="0.25">
      <c r="D1234" s="64"/>
      <c r="E1234" s="66"/>
      <c r="F1234" s="66"/>
      <c r="K1234" s="98"/>
      <c r="L1234" s="98"/>
    </row>
    <row r="1235" spans="4:12" x14ac:dyDescent="0.25">
      <c r="D1235" s="64"/>
      <c r="E1235" s="66"/>
      <c r="F1235" s="66"/>
      <c r="K1235" s="98"/>
      <c r="L1235" s="98"/>
    </row>
    <row r="1236" spans="4:12" x14ac:dyDescent="0.25">
      <c r="D1236" s="64"/>
      <c r="E1236" s="66"/>
      <c r="F1236" s="66"/>
      <c r="K1236" s="98"/>
      <c r="L1236" s="98"/>
    </row>
    <row r="1237" spans="4:12" x14ac:dyDescent="0.25">
      <c r="D1237" s="64"/>
      <c r="E1237" s="66"/>
      <c r="F1237" s="66"/>
      <c r="K1237" s="98"/>
      <c r="L1237" s="98"/>
    </row>
    <row r="1238" spans="4:12" x14ac:dyDescent="0.25">
      <c r="D1238" s="64"/>
      <c r="E1238" s="66"/>
      <c r="F1238" s="66"/>
      <c r="K1238" s="98"/>
      <c r="L1238" s="98"/>
    </row>
    <row r="1239" spans="4:12" x14ac:dyDescent="0.25">
      <c r="D1239" s="66"/>
      <c r="E1239" s="66"/>
      <c r="F1239" s="66"/>
      <c r="K1239" s="98"/>
      <c r="L1239" s="98"/>
    </row>
    <row r="1240" spans="4:12" x14ac:dyDescent="0.25">
      <c r="D1240" s="66"/>
      <c r="E1240" s="66"/>
      <c r="F1240" s="66"/>
      <c r="K1240" s="98"/>
      <c r="L1240" s="98"/>
    </row>
    <row r="1241" spans="4:12" x14ac:dyDescent="0.25">
      <c r="D1241" s="66"/>
      <c r="E1241" s="66"/>
      <c r="F1241" s="66"/>
      <c r="K1241" s="98"/>
      <c r="L1241" s="98"/>
    </row>
    <row r="1242" spans="4:12" x14ac:dyDescent="0.25">
      <c r="D1242" s="66"/>
      <c r="E1242" s="66"/>
      <c r="F1242" s="66"/>
      <c r="K1242" s="98"/>
      <c r="L1242" s="98"/>
    </row>
    <row r="1243" spans="4:12" x14ac:dyDescent="0.25">
      <c r="D1243" s="66"/>
      <c r="E1243" s="66"/>
      <c r="F1243" s="66"/>
      <c r="K1243" s="98"/>
      <c r="L1243" s="98"/>
    </row>
    <row r="1244" spans="4:12" x14ac:dyDescent="0.25">
      <c r="D1244" s="66"/>
      <c r="E1244" s="66"/>
      <c r="F1244" s="66"/>
      <c r="K1244" s="98"/>
      <c r="L1244" s="98"/>
    </row>
    <row r="1245" spans="4:12" x14ac:dyDescent="0.25">
      <c r="D1245" s="66"/>
      <c r="E1245" s="66"/>
      <c r="F1245" s="66"/>
      <c r="K1245" s="98"/>
      <c r="L1245" s="98"/>
    </row>
    <row r="1246" spans="4:12" x14ac:dyDescent="0.25">
      <c r="D1246" s="66"/>
      <c r="E1246" s="66"/>
      <c r="F1246" s="66"/>
      <c r="K1246" s="98"/>
      <c r="L1246" s="98"/>
    </row>
    <row r="1247" spans="4:12" x14ac:dyDescent="0.25">
      <c r="D1247" s="66"/>
      <c r="E1247" s="66"/>
      <c r="F1247" s="66"/>
      <c r="K1247" s="98"/>
      <c r="L1247" s="98"/>
    </row>
    <row r="1248" spans="4:12" x14ac:dyDescent="0.25">
      <c r="D1248" s="66"/>
      <c r="E1248" s="66"/>
      <c r="F1248" s="66"/>
      <c r="K1248" s="98"/>
      <c r="L1248" s="98"/>
    </row>
    <row r="1249" spans="4:12" x14ac:dyDescent="0.25">
      <c r="D1249" s="66"/>
      <c r="E1249" s="66"/>
      <c r="F1249" s="66"/>
      <c r="K1249" s="98"/>
      <c r="L1249" s="98"/>
    </row>
    <row r="1250" spans="4:12" x14ac:dyDescent="0.25">
      <c r="D1250" s="66"/>
      <c r="E1250" s="66"/>
      <c r="F1250" s="66"/>
      <c r="K1250" s="98"/>
      <c r="L1250" s="98"/>
    </row>
    <row r="1251" spans="4:12" x14ac:dyDescent="0.25">
      <c r="D1251" s="64"/>
      <c r="E1251" s="66"/>
      <c r="F1251" s="66"/>
      <c r="K1251" s="98"/>
      <c r="L1251" s="98"/>
    </row>
    <row r="1252" spans="4:12" x14ac:dyDescent="0.25">
      <c r="D1252" s="64"/>
      <c r="E1252" s="66"/>
      <c r="F1252" s="66"/>
      <c r="K1252" s="98"/>
      <c r="L1252" s="98"/>
    </row>
    <row r="1253" spans="4:12" x14ac:dyDescent="0.25">
      <c r="D1253" s="64"/>
      <c r="E1253" s="66"/>
      <c r="F1253" s="66"/>
      <c r="K1253" s="98"/>
      <c r="L1253" s="98"/>
    </row>
    <row r="1254" spans="4:12" x14ac:dyDescent="0.25">
      <c r="D1254" s="64"/>
      <c r="E1254" s="66"/>
      <c r="F1254" s="66"/>
      <c r="K1254" s="98"/>
      <c r="L1254" s="98"/>
    </row>
    <row r="1255" spans="4:12" x14ac:dyDescent="0.25">
      <c r="D1255" s="64"/>
      <c r="E1255" s="66"/>
      <c r="F1255" s="66"/>
      <c r="K1255" s="98"/>
      <c r="L1255" s="98"/>
    </row>
    <row r="1256" spans="4:12" x14ac:dyDescent="0.25">
      <c r="D1256" s="64"/>
      <c r="E1256" s="66"/>
      <c r="F1256" s="66"/>
      <c r="K1256" s="98"/>
      <c r="L1256" s="98"/>
    </row>
    <row r="1257" spans="4:12" x14ac:dyDescent="0.25">
      <c r="D1257" s="64"/>
      <c r="E1257" s="66"/>
      <c r="F1257" s="66"/>
      <c r="K1257" s="98"/>
      <c r="L1257" s="98"/>
    </row>
    <row r="1258" spans="4:12" x14ac:dyDescent="0.25">
      <c r="D1258" s="64"/>
      <c r="E1258" s="66"/>
      <c r="F1258" s="66"/>
      <c r="K1258" s="98"/>
      <c r="L1258" s="98"/>
    </row>
    <row r="1259" spans="4:12" x14ac:dyDescent="0.25">
      <c r="D1259" s="64"/>
      <c r="E1259" s="66"/>
      <c r="F1259" s="66"/>
      <c r="K1259" s="98"/>
      <c r="L1259" s="98"/>
    </row>
    <row r="1260" spans="4:12" x14ac:dyDescent="0.25">
      <c r="D1260" s="64"/>
      <c r="E1260" s="66"/>
      <c r="F1260" s="66"/>
      <c r="K1260" s="98"/>
      <c r="L1260" s="98"/>
    </row>
    <row r="1261" spans="4:12" x14ac:dyDescent="0.25">
      <c r="D1261" s="64"/>
      <c r="E1261" s="66"/>
      <c r="F1261" s="66"/>
      <c r="K1261" s="98"/>
      <c r="L1261" s="98"/>
    </row>
    <row r="1262" spans="4:12" x14ac:dyDescent="0.25">
      <c r="D1262" s="64"/>
      <c r="E1262" s="66"/>
      <c r="F1262" s="66"/>
      <c r="K1262" s="98"/>
      <c r="L1262" s="98"/>
    </row>
    <row r="1263" spans="4:12" x14ac:dyDescent="0.25">
      <c r="D1263" s="64"/>
      <c r="E1263" s="66"/>
      <c r="F1263" s="66"/>
      <c r="K1263" s="98"/>
      <c r="L1263" s="98"/>
    </row>
    <row r="1264" spans="4:12" x14ac:dyDescent="0.25">
      <c r="D1264" s="64"/>
      <c r="E1264" s="66"/>
      <c r="F1264" s="66"/>
      <c r="K1264" s="98"/>
      <c r="L1264" s="98"/>
    </row>
    <row r="1265" spans="2:12" x14ac:dyDescent="0.25">
      <c r="D1265" s="64"/>
      <c r="E1265" s="66"/>
      <c r="F1265" s="66"/>
      <c r="K1265" s="98"/>
      <c r="L1265" s="98"/>
    </row>
    <row r="1266" spans="2:12" x14ac:dyDescent="0.25">
      <c r="D1266" s="64"/>
      <c r="E1266" s="64"/>
      <c r="F1266" s="64"/>
      <c r="K1266" s="98"/>
      <c r="L1266" s="98"/>
    </row>
    <row r="1267" spans="2:12" x14ac:dyDescent="0.25">
      <c r="D1267" s="64"/>
      <c r="E1267" s="64"/>
      <c r="F1267" s="64"/>
      <c r="K1267" s="98"/>
      <c r="L1267" s="98"/>
    </row>
    <row r="1268" spans="2:12" x14ac:dyDescent="0.25">
      <c r="D1268" s="64"/>
      <c r="E1268" s="64"/>
      <c r="F1268" s="64"/>
      <c r="K1268" s="98"/>
      <c r="L1268" s="98"/>
    </row>
    <row r="1269" spans="2:12" x14ac:dyDescent="0.25">
      <c r="D1269" s="64"/>
      <c r="E1269" s="66"/>
      <c r="F1269" s="66"/>
      <c r="K1269" s="98"/>
      <c r="L1269" s="98"/>
    </row>
    <row r="1270" spans="2:12" x14ac:dyDescent="0.25">
      <c r="D1270" s="64"/>
      <c r="E1270" s="64"/>
      <c r="F1270" s="64"/>
      <c r="K1270" s="98"/>
      <c r="L1270" s="98"/>
    </row>
    <row r="1271" spans="2:12" x14ac:dyDescent="0.25">
      <c r="D1271" s="64"/>
      <c r="E1271" s="64"/>
      <c r="F1271" s="64"/>
      <c r="K1271" s="98"/>
      <c r="L1271" s="98"/>
    </row>
    <row r="1272" spans="2:12" x14ac:dyDescent="0.25">
      <c r="D1272" s="64"/>
      <c r="E1272" s="64"/>
      <c r="F1272" s="64"/>
      <c r="K1272" s="98"/>
      <c r="L1272" s="98"/>
    </row>
    <row r="1273" spans="2:12" x14ac:dyDescent="0.25">
      <c r="D1273" s="64"/>
      <c r="E1273" s="64"/>
      <c r="F1273" s="64"/>
      <c r="K1273" s="98"/>
      <c r="L1273" s="98"/>
    </row>
    <row r="1274" spans="2:12" x14ac:dyDescent="0.25">
      <c r="D1274" s="64"/>
      <c r="E1274" s="64"/>
      <c r="F1274" s="64"/>
      <c r="K1274" s="98"/>
      <c r="L1274" s="98"/>
    </row>
    <row r="1275" spans="2:12" x14ac:dyDescent="0.25">
      <c r="D1275" s="64"/>
      <c r="E1275" s="64"/>
      <c r="F1275" s="64"/>
      <c r="K1275" s="98"/>
      <c r="L1275" s="98"/>
    </row>
    <row r="1276" spans="2:12" x14ac:dyDescent="0.25">
      <c r="B1276" s="64"/>
      <c r="D1276" s="64"/>
      <c r="E1276" s="66"/>
      <c r="F1276" s="66"/>
      <c r="K1276" s="98"/>
      <c r="L1276" s="98"/>
    </row>
    <row r="1277" spans="2:12" x14ac:dyDescent="0.25">
      <c r="K1277" s="98"/>
      <c r="L1277" s="98"/>
    </row>
    <row r="1278" spans="2:12" x14ac:dyDescent="0.25">
      <c r="K1278" s="98"/>
      <c r="L1278" s="98"/>
    </row>
    <row r="1279" spans="2:12" x14ac:dyDescent="0.25">
      <c r="K1279" s="98"/>
      <c r="L1279" s="98"/>
    </row>
    <row r="1280" spans="2:12" x14ac:dyDescent="0.25">
      <c r="K1280" s="98"/>
      <c r="L1280" s="98"/>
    </row>
    <row r="1281" spans="4:12" x14ac:dyDescent="0.25">
      <c r="K1281" s="98"/>
      <c r="L1281" s="98"/>
    </row>
    <row r="1282" spans="4:12" x14ac:dyDescent="0.25">
      <c r="K1282" s="98"/>
      <c r="L1282" s="98"/>
    </row>
    <row r="1283" spans="4:12" x14ac:dyDescent="0.25">
      <c r="K1283" s="98"/>
      <c r="L1283" s="98"/>
    </row>
    <row r="1284" spans="4:12" x14ac:dyDescent="0.25">
      <c r="D1284" s="64"/>
      <c r="E1284" s="66"/>
      <c r="F1284" s="66"/>
      <c r="K1284" s="98"/>
      <c r="L1284" s="98"/>
    </row>
    <row r="1285" spans="4:12" x14ac:dyDescent="0.25">
      <c r="D1285" s="66"/>
      <c r="E1285" s="66"/>
      <c r="F1285" s="65"/>
      <c r="K1285" s="98"/>
      <c r="L1285" s="98"/>
    </row>
    <row r="1286" spans="4:12" x14ac:dyDescent="0.25">
      <c r="D1286" s="64"/>
      <c r="E1286" s="66"/>
      <c r="F1286" s="66"/>
      <c r="K1286" s="98"/>
      <c r="L1286" s="98"/>
    </row>
    <row r="1287" spans="4:12" x14ac:dyDescent="0.25">
      <c r="D1287" s="64"/>
      <c r="E1287" s="66"/>
      <c r="F1287" s="66"/>
      <c r="K1287" s="98"/>
      <c r="L1287" s="98"/>
    </row>
    <row r="1288" spans="4:12" x14ac:dyDescent="0.25">
      <c r="D1288" s="64"/>
      <c r="E1288" s="64"/>
      <c r="F1288" s="65"/>
      <c r="K1288" s="98"/>
      <c r="L1288" s="98"/>
    </row>
    <row r="1289" spans="4:12" x14ac:dyDescent="0.25">
      <c r="D1289" s="64"/>
      <c r="E1289" s="62"/>
      <c r="F1289" s="62"/>
      <c r="K1289" s="98"/>
      <c r="L1289" s="98"/>
    </row>
    <row r="1290" spans="4:12" x14ac:dyDescent="0.25">
      <c r="D1290" s="64"/>
      <c r="E1290" s="66"/>
      <c r="F1290" s="66"/>
      <c r="K1290" s="98"/>
      <c r="L1290" s="98"/>
    </row>
    <row r="1291" spans="4:12" x14ac:dyDescent="0.25">
      <c r="D1291" s="64"/>
      <c r="E1291" s="66"/>
      <c r="F1291" s="66"/>
      <c r="K1291" s="98"/>
      <c r="L1291" s="98"/>
    </row>
    <row r="1292" spans="4:12" x14ac:dyDescent="0.25">
      <c r="D1292" s="64"/>
      <c r="E1292" s="66"/>
      <c r="F1292" s="66"/>
      <c r="K1292" s="98"/>
      <c r="L1292" s="98"/>
    </row>
    <row r="1293" spans="4:12" x14ac:dyDescent="0.25">
      <c r="D1293" s="64"/>
      <c r="E1293" s="66"/>
      <c r="F1293" s="66"/>
      <c r="K1293" s="98"/>
      <c r="L1293" s="98"/>
    </row>
    <row r="1294" spans="4:12" x14ac:dyDescent="0.25">
      <c r="D1294" s="64"/>
      <c r="E1294" s="66"/>
      <c r="F1294" s="66"/>
      <c r="K1294" s="98"/>
      <c r="L1294" s="98"/>
    </row>
    <row r="1295" spans="4:12" x14ac:dyDescent="0.25">
      <c r="D1295" s="64"/>
      <c r="E1295" s="66"/>
      <c r="F1295" s="66"/>
      <c r="K1295" s="98"/>
      <c r="L1295" s="98"/>
    </row>
    <row r="1296" spans="4:12" x14ac:dyDescent="0.25">
      <c r="D1296" s="66"/>
      <c r="E1296" s="66"/>
      <c r="F1296" s="66"/>
      <c r="K1296" s="98"/>
      <c r="L1296" s="98"/>
    </row>
    <row r="1297" spans="2:12" x14ac:dyDescent="0.25">
      <c r="B1297" s="64"/>
      <c r="D1297" s="66"/>
      <c r="E1297" s="66"/>
      <c r="F1297" s="66"/>
      <c r="K1297" s="98"/>
      <c r="L1297" s="98"/>
    </row>
    <row r="1298" spans="2:12" x14ac:dyDescent="0.25">
      <c r="D1298" s="66"/>
      <c r="E1298" s="66"/>
      <c r="F1298" s="66"/>
      <c r="K1298" s="98"/>
      <c r="L1298" s="98"/>
    </row>
    <row r="1299" spans="2:12" x14ac:dyDescent="0.25">
      <c r="D1299" s="66"/>
      <c r="E1299" s="66"/>
      <c r="F1299" s="66"/>
      <c r="K1299" s="98"/>
      <c r="L1299" s="98"/>
    </row>
    <row r="1300" spans="2:12" x14ac:dyDescent="0.25">
      <c r="D1300" s="66"/>
      <c r="E1300" s="66"/>
      <c r="F1300" s="66"/>
      <c r="K1300" s="98"/>
      <c r="L1300" s="98"/>
    </row>
    <row r="1301" spans="2:12" x14ac:dyDescent="0.25">
      <c r="D1301" s="64"/>
      <c r="E1301" s="64"/>
      <c r="F1301" s="64"/>
      <c r="K1301" s="98"/>
      <c r="L1301" s="98"/>
    </row>
    <row r="1302" spans="2:12" x14ac:dyDescent="0.25">
      <c r="D1302" s="64"/>
      <c r="E1302" s="64"/>
      <c r="F1302" s="64"/>
      <c r="K1302" s="98"/>
      <c r="L1302" s="98"/>
    </row>
    <row r="1303" spans="2:12" x14ac:dyDescent="0.25">
      <c r="D1303" s="64"/>
      <c r="E1303" s="64"/>
      <c r="F1303" s="64"/>
      <c r="K1303" s="98"/>
      <c r="L1303" s="98"/>
    </row>
    <row r="1304" spans="2:12" x14ac:dyDescent="0.25">
      <c r="D1304" s="64"/>
      <c r="E1304" s="66"/>
      <c r="F1304" s="66"/>
      <c r="K1304" s="98"/>
      <c r="L1304" s="98"/>
    </row>
    <row r="1305" spans="2:12" x14ac:dyDescent="0.25">
      <c r="D1305" s="64"/>
      <c r="E1305" s="66"/>
      <c r="F1305" s="66"/>
      <c r="K1305" s="98"/>
      <c r="L1305" s="98"/>
    </row>
    <row r="1306" spans="2:12" x14ac:dyDescent="0.25">
      <c r="D1306" s="64"/>
      <c r="E1306" s="66"/>
      <c r="F1306" s="66"/>
      <c r="K1306" s="98"/>
      <c r="L1306" s="98"/>
    </row>
    <row r="1307" spans="2:12" x14ac:dyDescent="0.25">
      <c r="D1307" s="64"/>
      <c r="E1307" s="66"/>
      <c r="F1307" s="66"/>
      <c r="K1307" s="98"/>
      <c r="L1307" s="98"/>
    </row>
    <row r="1308" spans="2:12" x14ac:dyDescent="0.25">
      <c r="D1308" s="64"/>
      <c r="E1308" s="66"/>
      <c r="F1308" s="66"/>
      <c r="K1308" s="98"/>
      <c r="L1308" s="98"/>
    </row>
    <row r="1309" spans="2:12" x14ac:dyDescent="0.25">
      <c r="D1309" s="64"/>
      <c r="E1309" s="66"/>
      <c r="F1309" s="66"/>
      <c r="K1309" s="98"/>
      <c r="L1309" s="98"/>
    </row>
    <row r="1310" spans="2:12" x14ac:dyDescent="0.25">
      <c r="D1310" s="64"/>
      <c r="E1310" s="66"/>
      <c r="F1310" s="66"/>
      <c r="K1310" s="98"/>
      <c r="L1310" s="98"/>
    </row>
    <row r="1311" spans="2:12" x14ac:dyDescent="0.25">
      <c r="D1311" s="64"/>
      <c r="E1311" s="66"/>
      <c r="F1311" s="66"/>
      <c r="K1311" s="98"/>
      <c r="L1311" s="98"/>
    </row>
    <row r="1312" spans="2:12" x14ac:dyDescent="0.25">
      <c r="D1312" s="64"/>
      <c r="E1312" s="66"/>
      <c r="F1312" s="66"/>
      <c r="K1312" s="98"/>
      <c r="L1312" s="98"/>
    </row>
    <row r="1313" spans="4:12" x14ac:dyDescent="0.25">
      <c r="D1313" s="64"/>
      <c r="E1313" s="66"/>
      <c r="F1313" s="66"/>
      <c r="K1313" s="98"/>
      <c r="L1313" s="98"/>
    </row>
    <row r="1314" spans="4:12" x14ac:dyDescent="0.25">
      <c r="F1314" s="66"/>
      <c r="K1314" s="98"/>
      <c r="L1314" s="98"/>
    </row>
    <row r="1315" spans="4:12" x14ac:dyDescent="0.25">
      <c r="F1315" s="66"/>
      <c r="K1315" s="98"/>
      <c r="L1315" s="98"/>
    </row>
    <row r="1316" spans="4:12" x14ac:dyDescent="0.25">
      <c r="F1316" s="66"/>
      <c r="K1316" s="98"/>
      <c r="L1316" s="98"/>
    </row>
    <row r="1317" spans="4:12" x14ac:dyDescent="0.25">
      <c r="F1317" s="64"/>
      <c r="K1317" s="98"/>
      <c r="L1317" s="98"/>
    </row>
    <row r="1318" spans="4:12" x14ac:dyDescent="0.25">
      <c r="D1318" s="64"/>
      <c r="E1318" s="65"/>
      <c r="F1318" s="65"/>
      <c r="K1318" s="98"/>
      <c r="L1318" s="98"/>
    </row>
    <row r="1319" spans="4:12" x14ac:dyDescent="0.25">
      <c r="D1319" s="64"/>
      <c r="E1319" s="64"/>
      <c r="F1319" s="64"/>
      <c r="K1319" s="98"/>
      <c r="L1319" s="98"/>
    </row>
    <row r="1320" spans="4:12" x14ac:dyDescent="0.25">
      <c r="D1320" s="64"/>
      <c r="E1320" s="64"/>
      <c r="F1320" s="64"/>
      <c r="K1320" s="98"/>
      <c r="L1320" s="98"/>
    </row>
    <row r="1321" spans="4:12" x14ac:dyDescent="0.25">
      <c r="D1321" s="64"/>
      <c r="E1321" s="66"/>
      <c r="F1321" s="66"/>
      <c r="K1321" s="98"/>
      <c r="L1321" s="98"/>
    </row>
    <row r="1322" spans="4:12" x14ac:dyDescent="0.25">
      <c r="D1322" s="64"/>
      <c r="E1322" s="66"/>
      <c r="F1322" s="66"/>
      <c r="K1322" s="98"/>
      <c r="L1322" s="98"/>
    </row>
    <row r="1323" spans="4:12" x14ac:dyDescent="0.25">
      <c r="D1323" s="64"/>
      <c r="E1323" s="66"/>
      <c r="F1323" s="66"/>
      <c r="K1323" s="98"/>
      <c r="L1323" s="98"/>
    </row>
    <row r="1324" spans="4:12" x14ac:dyDescent="0.25">
      <c r="D1324" s="64"/>
      <c r="E1324" s="66"/>
      <c r="F1324" s="66"/>
      <c r="K1324" s="98"/>
      <c r="L1324" s="98"/>
    </row>
    <row r="1325" spans="4:12" x14ac:dyDescent="0.25">
      <c r="D1325" s="64"/>
      <c r="E1325" s="66"/>
      <c r="F1325" s="66"/>
      <c r="K1325" s="98"/>
      <c r="L1325" s="98"/>
    </row>
    <row r="1326" spans="4:12" x14ac:dyDescent="0.25">
      <c r="D1326" s="64"/>
      <c r="E1326" s="66"/>
      <c r="F1326" s="66"/>
      <c r="K1326" s="98"/>
      <c r="L1326" s="98"/>
    </row>
    <row r="1327" spans="4:12" x14ac:dyDescent="0.25">
      <c r="D1327" s="64"/>
      <c r="E1327" s="66"/>
      <c r="F1327" s="66"/>
      <c r="K1327" s="98"/>
      <c r="L1327" s="98"/>
    </row>
    <row r="1328" spans="4:12" x14ac:dyDescent="0.25">
      <c r="D1328" s="64"/>
      <c r="E1328" s="66"/>
      <c r="F1328" s="66"/>
      <c r="K1328" s="98"/>
      <c r="L1328" s="98"/>
    </row>
    <row r="1329" spans="4:12" x14ac:dyDescent="0.25">
      <c r="D1329" s="64"/>
      <c r="E1329" s="66"/>
      <c r="F1329" s="66"/>
      <c r="K1329" s="98"/>
      <c r="L1329" s="98"/>
    </row>
    <row r="1330" spans="4:12" x14ac:dyDescent="0.25">
      <c r="D1330" s="64"/>
      <c r="E1330" s="66"/>
      <c r="F1330" s="66"/>
      <c r="K1330" s="98"/>
      <c r="L1330" s="98"/>
    </row>
    <row r="1331" spans="4:12" x14ac:dyDescent="0.25">
      <c r="D1331" s="64"/>
      <c r="E1331" s="66"/>
      <c r="F1331" s="66"/>
      <c r="K1331" s="98"/>
      <c r="L1331" s="98"/>
    </row>
    <row r="1332" spans="4:12" x14ac:dyDescent="0.25">
      <c r="D1332" s="64"/>
      <c r="E1332" s="66"/>
      <c r="F1332" s="66"/>
      <c r="K1332" s="98"/>
      <c r="L1332" s="98"/>
    </row>
    <row r="1333" spans="4:12" x14ac:dyDescent="0.25">
      <c r="D1333" s="64"/>
      <c r="E1333" s="66"/>
      <c r="F1333" s="66"/>
      <c r="K1333" s="98"/>
      <c r="L1333" s="98"/>
    </row>
    <row r="1334" spans="4:12" x14ac:dyDescent="0.25">
      <c r="D1334" s="64"/>
      <c r="E1334" s="66"/>
      <c r="F1334" s="66"/>
      <c r="K1334" s="98"/>
      <c r="L1334" s="98"/>
    </row>
    <row r="1335" spans="4:12" x14ac:dyDescent="0.25">
      <c r="D1335" s="64"/>
      <c r="E1335" s="66"/>
      <c r="F1335" s="66"/>
      <c r="K1335" s="98"/>
      <c r="L1335" s="98"/>
    </row>
    <row r="1336" spans="4:12" x14ac:dyDescent="0.25">
      <c r="D1336" s="64"/>
      <c r="E1336" s="66"/>
      <c r="F1336" s="66"/>
      <c r="K1336" s="98"/>
      <c r="L1336" s="98"/>
    </row>
    <row r="1337" spans="4:12" x14ac:dyDescent="0.25">
      <c r="D1337" s="64"/>
      <c r="E1337" s="65"/>
      <c r="F1337" s="65"/>
      <c r="K1337" s="98"/>
      <c r="L1337" s="98"/>
    </row>
    <row r="1338" spans="4:12" x14ac:dyDescent="0.25">
      <c r="D1338" s="64"/>
      <c r="E1338" s="65"/>
      <c r="F1338" s="65"/>
      <c r="K1338" s="98"/>
      <c r="L1338" s="98"/>
    </row>
    <row r="1339" spans="4:12" x14ac:dyDescent="0.25">
      <c r="D1339" s="64"/>
      <c r="E1339" s="64"/>
      <c r="F1339" s="65"/>
      <c r="K1339" s="98"/>
      <c r="L1339" s="98"/>
    </row>
    <row r="1340" spans="4:12" x14ac:dyDescent="0.25">
      <c r="D1340" s="64"/>
      <c r="E1340" s="64"/>
      <c r="F1340" s="65"/>
      <c r="K1340" s="98"/>
      <c r="L1340" s="98"/>
    </row>
    <row r="1341" spans="4:12" x14ac:dyDescent="0.25">
      <c r="D1341" s="64"/>
      <c r="E1341" s="64"/>
      <c r="F1341" s="64"/>
      <c r="K1341" s="98"/>
      <c r="L1341" s="98"/>
    </row>
    <row r="1342" spans="4:12" x14ac:dyDescent="0.25">
      <c r="D1342" s="64"/>
      <c r="E1342" s="64"/>
      <c r="F1342" s="64"/>
      <c r="K1342" s="98"/>
      <c r="L1342" s="98"/>
    </row>
    <row r="1343" spans="4:12" x14ac:dyDescent="0.25">
      <c r="D1343" s="64"/>
      <c r="E1343" s="64"/>
      <c r="F1343" s="64"/>
      <c r="K1343" s="98"/>
      <c r="L1343" s="98"/>
    </row>
    <row r="1344" spans="4:12" x14ac:dyDescent="0.25">
      <c r="D1344" s="64"/>
      <c r="E1344" s="64"/>
      <c r="F1344" s="64"/>
      <c r="K1344" s="98"/>
      <c r="L1344" s="98"/>
    </row>
    <row r="1345" spans="4:12" x14ac:dyDescent="0.25">
      <c r="D1345" s="64"/>
      <c r="E1345" s="64"/>
      <c r="F1345" s="64"/>
      <c r="K1345" s="98"/>
      <c r="L1345" s="98"/>
    </row>
    <row r="1346" spans="4:12" x14ac:dyDescent="0.25">
      <c r="D1346" s="64"/>
      <c r="E1346" s="64"/>
      <c r="F1346" s="64"/>
      <c r="K1346" s="98"/>
      <c r="L1346" s="98"/>
    </row>
    <row r="1347" spans="4:12" x14ac:dyDescent="0.25">
      <c r="D1347" s="64"/>
      <c r="E1347" s="64"/>
      <c r="F1347" s="64"/>
      <c r="K1347" s="98"/>
      <c r="L1347" s="98"/>
    </row>
    <row r="1348" spans="4:12" x14ac:dyDescent="0.25">
      <c r="D1348" s="64"/>
      <c r="E1348" s="64"/>
      <c r="F1348" s="64"/>
      <c r="K1348" s="98"/>
      <c r="L1348" s="98"/>
    </row>
    <row r="1349" spans="4:12" x14ac:dyDescent="0.25">
      <c r="D1349" s="64"/>
      <c r="E1349" s="64"/>
      <c r="F1349" s="64"/>
      <c r="K1349" s="98"/>
      <c r="L1349" s="98"/>
    </row>
    <row r="1350" spans="4:12" x14ac:dyDescent="0.25">
      <c r="D1350" s="64"/>
      <c r="E1350" s="64"/>
      <c r="F1350" s="64"/>
      <c r="K1350" s="98"/>
      <c r="L1350" s="98"/>
    </row>
    <row r="1351" spans="4:12" x14ac:dyDescent="0.25">
      <c r="D1351" s="64"/>
      <c r="E1351" s="64"/>
      <c r="F1351" s="64"/>
      <c r="K1351" s="98"/>
      <c r="L1351" s="98"/>
    </row>
    <row r="1352" spans="4:12" x14ac:dyDescent="0.25">
      <c r="D1352" s="64"/>
      <c r="E1352" s="64"/>
      <c r="F1352" s="64"/>
      <c r="K1352" s="98"/>
      <c r="L1352" s="98"/>
    </row>
    <row r="1353" spans="4:12" x14ac:dyDescent="0.25">
      <c r="D1353" s="64"/>
      <c r="E1353" s="64"/>
      <c r="F1353" s="64"/>
      <c r="K1353" s="98"/>
      <c r="L1353" s="98"/>
    </row>
    <row r="1354" spans="4:12" x14ac:dyDescent="0.25">
      <c r="D1354" s="64"/>
      <c r="E1354" s="64"/>
      <c r="F1354" s="64"/>
      <c r="K1354" s="98"/>
      <c r="L1354" s="98"/>
    </row>
    <row r="1355" spans="4:12" x14ac:dyDescent="0.25">
      <c r="D1355" s="64"/>
      <c r="E1355" s="64"/>
      <c r="F1355" s="64"/>
      <c r="K1355" s="98"/>
      <c r="L1355" s="98"/>
    </row>
    <row r="1356" spans="4:12" x14ac:dyDescent="0.25">
      <c r="D1356" s="64"/>
      <c r="E1356" s="64"/>
      <c r="F1356" s="64"/>
      <c r="K1356" s="98"/>
      <c r="L1356" s="98"/>
    </row>
    <row r="1357" spans="4:12" x14ac:dyDescent="0.25">
      <c r="D1357" s="64"/>
      <c r="E1357" s="64"/>
      <c r="F1357" s="64"/>
      <c r="K1357" s="98"/>
      <c r="L1357" s="98"/>
    </row>
    <row r="1358" spans="4:12" x14ac:dyDescent="0.25">
      <c r="D1358" s="64"/>
      <c r="E1358" s="66"/>
      <c r="F1358" s="66"/>
      <c r="K1358" s="98"/>
      <c r="L1358" s="98"/>
    </row>
    <row r="1359" spans="4:12" x14ac:dyDescent="0.25">
      <c r="D1359" s="64"/>
      <c r="E1359" s="66"/>
      <c r="F1359" s="66"/>
      <c r="K1359" s="98"/>
      <c r="L1359" s="98"/>
    </row>
    <row r="1360" spans="4:12" x14ac:dyDescent="0.25">
      <c r="D1360" s="64"/>
      <c r="E1360" s="64"/>
      <c r="F1360" s="64"/>
      <c r="K1360" s="98"/>
      <c r="L1360" s="98"/>
    </row>
    <row r="1361" spans="4:12" x14ac:dyDescent="0.25">
      <c r="D1361" s="64"/>
      <c r="E1361" s="64"/>
      <c r="F1361" s="64"/>
      <c r="K1361" s="98"/>
      <c r="L1361" s="98"/>
    </row>
    <row r="1362" spans="4:12" x14ac:dyDescent="0.25">
      <c r="D1362" s="64"/>
      <c r="E1362" s="64"/>
      <c r="F1362" s="64"/>
      <c r="K1362" s="98"/>
      <c r="L1362" s="98"/>
    </row>
    <row r="1363" spans="4:12" x14ac:dyDescent="0.25">
      <c r="D1363" s="64"/>
      <c r="E1363" s="64"/>
      <c r="F1363" s="64"/>
      <c r="K1363" s="98"/>
      <c r="L1363" s="98"/>
    </row>
    <row r="1364" spans="4:12" x14ac:dyDescent="0.25">
      <c r="D1364" s="64"/>
      <c r="E1364" s="64"/>
      <c r="F1364" s="64"/>
      <c r="K1364" s="98"/>
      <c r="L1364" s="98"/>
    </row>
    <row r="1365" spans="4:12" x14ac:dyDescent="0.25">
      <c r="D1365" s="64"/>
      <c r="E1365" s="64"/>
      <c r="F1365" s="64"/>
      <c r="K1365" s="98"/>
      <c r="L1365" s="98"/>
    </row>
    <row r="1366" spans="4:12" x14ac:dyDescent="0.25">
      <c r="D1366" s="64"/>
      <c r="F1366" s="66"/>
      <c r="K1366" s="98"/>
      <c r="L1366" s="98"/>
    </row>
    <row r="1367" spans="4:12" x14ac:dyDescent="0.25">
      <c r="D1367" s="64"/>
      <c r="E1367" s="64"/>
      <c r="F1367" s="64"/>
      <c r="K1367" s="98"/>
      <c r="L1367" s="98"/>
    </row>
    <row r="1368" spans="4:12" x14ac:dyDescent="0.25">
      <c r="D1368" s="64"/>
      <c r="E1368" s="64"/>
      <c r="F1368" s="64"/>
      <c r="K1368" s="98"/>
      <c r="L1368" s="98"/>
    </row>
    <row r="1369" spans="4:12" x14ac:dyDescent="0.25">
      <c r="D1369" s="64"/>
      <c r="E1369" s="66"/>
      <c r="F1369" s="66"/>
      <c r="K1369" s="98"/>
      <c r="L1369" s="98"/>
    </row>
    <row r="1370" spans="4:12" x14ac:dyDescent="0.25">
      <c r="D1370" s="64"/>
      <c r="E1370" s="66"/>
      <c r="F1370" s="66"/>
      <c r="K1370" s="98"/>
      <c r="L1370" s="98"/>
    </row>
    <row r="1371" spans="4:12" x14ac:dyDescent="0.25">
      <c r="D1371" s="64"/>
      <c r="E1371" s="66"/>
      <c r="F1371" s="66"/>
      <c r="K1371" s="98"/>
      <c r="L1371" s="98"/>
    </row>
    <row r="1372" spans="4:12" x14ac:dyDescent="0.25">
      <c r="D1372" s="64"/>
      <c r="E1372" s="66"/>
      <c r="F1372" s="66"/>
      <c r="K1372" s="98"/>
      <c r="L1372" s="98"/>
    </row>
    <row r="1373" spans="4:12" x14ac:dyDescent="0.25">
      <c r="D1373" s="64"/>
      <c r="E1373" s="66"/>
      <c r="F1373" s="66"/>
      <c r="K1373" s="98"/>
      <c r="L1373" s="98"/>
    </row>
    <row r="1374" spans="4:12" x14ac:dyDescent="0.25">
      <c r="D1374" s="64"/>
      <c r="E1374" s="66"/>
      <c r="F1374" s="66"/>
      <c r="K1374" s="98"/>
      <c r="L1374" s="98"/>
    </row>
    <row r="1375" spans="4:12" x14ac:dyDescent="0.25">
      <c r="D1375" s="64"/>
      <c r="E1375" s="66"/>
      <c r="F1375" s="66"/>
      <c r="K1375" s="98"/>
      <c r="L1375" s="98"/>
    </row>
    <row r="1376" spans="4:12" x14ac:dyDescent="0.25">
      <c r="D1376" s="64"/>
      <c r="E1376" s="66"/>
      <c r="F1376" s="66"/>
      <c r="K1376" s="98"/>
      <c r="L1376" s="98"/>
    </row>
    <row r="1377" spans="4:12" x14ac:dyDescent="0.25">
      <c r="K1377" s="98"/>
      <c r="L1377" s="98"/>
    </row>
    <row r="1378" spans="4:12" x14ac:dyDescent="0.25">
      <c r="K1378" s="98"/>
      <c r="L1378" s="98"/>
    </row>
    <row r="1379" spans="4:12" x14ac:dyDescent="0.25">
      <c r="D1379" s="67"/>
      <c r="E1379" s="67"/>
      <c r="F1379" s="67"/>
      <c r="K1379" s="98"/>
      <c r="L1379" s="98"/>
    </row>
    <row r="1380" spans="4:12" x14ac:dyDescent="0.25">
      <c r="D1380" s="67"/>
      <c r="E1380" s="67"/>
      <c r="F1380" s="67"/>
      <c r="K1380" s="98"/>
      <c r="L1380" s="98"/>
    </row>
    <row r="1381" spans="4:12" x14ac:dyDescent="0.25">
      <c r="D1381" s="67"/>
      <c r="E1381" s="67"/>
      <c r="F1381" s="67"/>
      <c r="K1381" s="98"/>
      <c r="L1381" s="98"/>
    </row>
    <row r="1382" spans="4:12" x14ac:dyDescent="0.25">
      <c r="D1382" s="64"/>
      <c r="E1382" s="64"/>
      <c r="F1382" s="64"/>
      <c r="K1382" s="98"/>
      <c r="L1382" s="98"/>
    </row>
    <row r="1383" spans="4:12" x14ac:dyDescent="0.25">
      <c r="D1383" s="64"/>
      <c r="E1383" s="64"/>
      <c r="F1383" s="64"/>
      <c r="K1383" s="98"/>
      <c r="L1383" s="98"/>
    </row>
    <row r="1384" spans="4:12" x14ac:dyDescent="0.25">
      <c r="D1384" s="64"/>
      <c r="E1384" s="66"/>
      <c r="F1384" s="66"/>
      <c r="K1384" s="98"/>
      <c r="L1384" s="98"/>
    </row>
    <row r="1385" spans="4:12" x14ac:dyDescent="0.25">
      <c r="D1385" s="64"/>
      <c r="E1385" s="66"/>
      <c r="F1385" s="66"/>
      <c r="K1385" s="98"/>
      <c r="L1385" s="98"/>
    </row>
    <row r="1386" spans="4:12" x14ac:dyDescent="0.25">
      <c r="D1386" s="64"/>
      <c r="E1386" s="66"/>
      <c r="F1386" s="66"/>
      <c r="K1386" s="98"/>
      <c r="L1386" s="98"/>
    </row>
    <row r="1387" spans="4:12" x14ac:dyDescent="0.25">
      <c r="D1387" s="64"/>
      <c r="E1387" s="66"/>
      <c r="F1387" s="66"/>
      <c r="K1387" s="98"/>
      <c r="L1387" s="98"/>
    </row>
    <row r="1388" spans="4:12" x14ac:dyDescent="0.25">
      <c r="D1388" s="64"/>
      <c r="E1388" s="66"/>
      <c r="F1388" s="66"/>
      <c r="K1388" s="98"/>
      <c r="L1388" s="98"/>
    </row>
    <row r="1389" spans="4:12" x14ac:dyDescent="0.25">
      <c r="D1389" s="64"/>
      <c r="E1389" s="66"/>
      <c r="F1389" s="66"/>
      <c r="K1389" s="98"/>
      <c r="L1389" s="98"/>
    </row>
    <row r="1390" spans="4:12" x14ac:dyDescent="0.25">
      <c r="D1390" s="64"/>
      <c r="E1390" s="66"/>
      <c r="F1390" s="66"/>
      <c r="K1390" s="98"/>
      <c r="L1390" s="98"/>
    </row>
    <row r="1391" spans="4:12" x14ac:dyDescent="0.25">
      <c r="D1391" s="64"/>
      <c r="E1391" s="66"/>
      <c r="F1391" s="66"/>
      <c r="K1391" s="98"/>
      <c r="L1391" s="98"/>
    </row>
    <row r="1392" spans="4:12" x14ac:dyDescent="0.25">
      <c r="D1392" s="64"/>
      <c r="E1392" s="66"/>
      <c r="F1392" s="66"/>
      <c r="K1392" s="98"/>
      <c r="L1392" s="98"/>
    </row>
    <row r="1393" spans="2:12" x14ac:dyDescent="0.25">
      <c r="D1393" s="64"/>
      <c r="E1393" s="66"/>
      <c r="F1393" s="66"/>
      <c r="K1393" s="98"/>
      <c r="L1393" s="98"/>
    </row>
    <row r="1394" spans="2:12" x14ac:dyDescent="0.25">
      <c r="D1394" s="66"/>
      <c r="E1394" s="66"/>
      <c r="F1394" s="64"/>
      <c r="K1394" s="98"/>
      <c r="L1394" s="98"/>
    </row>
    <row r="1395" spans="2:12" x14ac:dyDescent="0.25">
      <c r="D1395" s="66"/>
      <c r="E1395" s="66"/>
      <c r="F1395" s="64"/>
      <c r="K1395" s="98"/>
      <c r="L1395" s="98"/>
    </row>
    <row r="1396" spans="2:12" x14ac:dyDescent="0.25">
      <c r="D1396" s="66"/>
      <c r="E1396" s="66"/>
      <c r="F1396" s="66"/>
      <c r="K1396" s="98"/>
      <c r="L1396" s="98"/>
    </row>
    <row r="1397" spans="2:12" x14ac:dyDescent="0.25">
      <c r="B1397" s="64"/>
      <c r="K1397" s="98"/>
      <c r="L1397" s="98"/>
    </row>
    <row r="1398" spans="2:12" x14ac:dyDescent="0.25">
      <c r="B1398" s="64"/>
      <c r="K1398" s="98"/>
      <c r="L1398" s="98"/>
    </row>
    <row r="1399" spans="2:12" x14ac:dyDescent="0.25">
      <c r="B1399" s="64"/>
      <c r="K1399" s="98"/>
      <c r="L1399" s="98"/>
    </row>
    <row r="1400" spans="2:12" x14ac:dyDescent="0.25">
      <c r="B1400" s="64"/>
      <c r="K1400" s="98"/>
      <c r="L1400" s="98"/>
    </row>
    <row r="1401" spans="2:12" x14ac:dyDescent="0.25">
      <c r="B1401" s="64"/>
      <c r="D1401" s="74"/>
      <c r="E1401" s="74"/>
      <c r="F1401" s="74"/>
      <c r="K1401" s="98"/>
      <c r="L1401" s="98"/>
    </row>
    <row r="1402" spans="2:12" x14ac:dyDescent="0.25">
      <c r="B1402" s="64"/>
      <c r="D1402" s="74"/>
      <c r="E1402" s="74"/>
      <c r="F1402" s="74"/>
      <c r="K1402" s="98"/>
      <c r="L1402" s="98"/>
    </row>
    <row r="1403" spans="2:12" x14ac:dyDescent="0.25">
      <c r="B1403" s="64"/>
      <c r="D1403" s="74"/>
      <c r="E1403" s="74"/>
      <c r="F1403" s="74"/>
      <c r="K1403" s="98"/>
      <c r="L1403" s="98"/>
    </row>
    <row r="1404" spans="2:12" x14ac:dyDescent="0.25">
      <c r="B1404" s="64"/>
      <c r="D1404" s="74"/>
      <c r="E1404" s="74"/>
      <c r="F1404" s="74"/>
      <c r="K1404" s="98"/>
      <c r="L1404" s="98"/>
    </row>
    <row r="1405" spans="2:12" x14ac:dyDescent="0.25">
      <c r="B1405" s="64"/>
      <c r="D1405" s="74"/>
      <c r="E1405" s="74"/>
      <c r="F1405" s="74"/>
      <c r="K1405" s="98"/>
      <c r="L1405" s="98"/>
    </row>
    <row r="1406" spans="2:12" x14ac:dyDescent="0.25">
      <c r="B1406" s="64"/>
      <c r="D1406" s="64"/>
      <c r="E1406" s="66"/>
      <c r="F1406" s="66"/>
      <c r="K1406" s="98"/>
      <c r="L1406" s="98"/>
    </row>
    <row r="1407" spans="2:12" x14ac:dyDescent="0.25">
      <c r="B1407" s="64"/>
      <c r="D1407" s="64"/>
      <c r="E1407" s="66"/>
      <c r="F1407" s="66"/>
      <c r="K1407" s="98"/>
      <c r="L1407" s="98"/>
    </row>
    <row r="1408" spans="2:12" x14ac:dyDescent="0.25">
      <c r="B1408" s="64"/>
      <c r="D1408" s="64"/>
      <c r="E1408" s="66"/>
      <c r="F1408" s="66"/>
      <c r="K1408" s="98"/>
      <c r="L1408" s="98"/>
    </row>
    <row r="1409" spans="2:12" x14ac:dyDescent="0.25">
      <c r="B1409" s="64"/>
      <c r="D1409" s="64"/>
      <c r="E1409" s="66"/>
      <c r="F1409" s="66"/>
      <c r="K1409" s="98"/>
      <c r="L1409" s="98"/>
    </row>
    <row r="1410" spans="2:12" x14ac:dyDescent="0.25">
      <c r="B1410" s="64"/>
      <c r="D1410" s="64"/>
      <c r="E1410" s="66"/>
      <c r="F1410" s="66"/>
      <c r="K1410" s="98"/>
      <c r="L1410" s="98"/>
    </row>
    <row r="1411" spans="2:12" x14ac:dyDescent="0.25">
      <c r="B1411" s="64"/>
      <c r="D1411" s="64"/>
      <c r="E1411" s="66"/>
      <c r="F1411" s="66"/>
      <c r="K1411" s="98"/>
      <c r="L1411" s="98"/>
    </row>
    <row r="1412" spans="2:12" x14ac:dyDescent="0.25">
      <c r="B1412" s="64"/>
      <c r="D1412" s="64"/>
      <c r="E1412" s="66"/>
      <c r="F1412" s="66"/>
      <c r="K1412" s="98"/>
      <c r="L1412" s="98"/>
    </row>
    <row r="1413" spans="2:12" x14ac:dyDescent="0.25">
      <c r="B1413" s="64"/>
      <c r="D1413" s="64"/>
      <c r="E1413" s="66"/>
      <c r="F1413" s="66"/>
      <c r="K1413" s="98"/>
      <c r="L1413" s="98"/>
    </row>
    <row r="1414" spans="2:12" x14ac:dyDescent="0.25">
      <c r="B1414" s="64"/>
      <c r="D1414" s="64"/>
      <c r="E1414" s="66"/>
      <c r="F1414" s="66"/>
      <c r="K1414" s="98"/>
      <c r="L1414" s="98"/>
    </row>
    <row r="1415" spans="2:12" x14ac:dyDescent="0.25">
      <c r="B1415" s="64"/>
      <c r="D1415" s="64"/>
      <c r="E1415" s="66"/>
      <c r="F1415" s="66"/>
      <c r="K1415" s="98"/>
      <c r="L1415" s="98"/>
    </row>
    <row r="1416" spans="2:12" x14ac:dyDescent="0.25">
      <c r="B1416" s="64"/>
      <c r="D1416" s="64"/>
      <c r="E1416" s="66"/>
      <c r="F1416" s="66"/>
      <c r="K1416" s="98"/>
      <c r="L1416" s="98"/>
    </row>
    <row r="1417" spans="2:12" x14ac:dyDescent="0.25">
      <c r="B1417" s="64"/>
      <c r="D1417" s="64"/>
      <c r="E1417" s="66"/>
      <c r="F1417" s="66"/>
      <c r="K1417" s="98"/>
      <c r="L1417" s="98"/>
    </row>
    <row r="1418" spans="2:12" x14ac:dyDescent="0.25">
      <c r="B1418" s="64"/>
      <c r="D1418" s="66"/>
      <c r="E1418" s="66"/>
      <c r="F1418" s="66"/>
      <c r="K1418" s="98"/>
      <c r="L1418" s="98"/>
    </row>
    <row r="1419" spans="2:12" x14ac:dyDescent="0.25">
      <c r="B1419" s="64"/>
      <c r="D1419" s="66"/>
      <c r="E1419" s="66"/>
      <c r="F1419" s="66"/>
      <c r="K1419" s="98"/>
      <c r="L1419" s="98"/>
    </row>
    <row r="1420" spans="2:12" x14ac:dyDescent="0.25">
      <c r="B1420" s="64"/>
      <c r="D1420" s="66"/>
      <c r="E1420" s="66"/>
      <c r="F1420" s="66"/>
      <c r="K1420" s="98"/>
      <c r="L1420" s="98"/>
    </row>
    <row r="1421" spans="2:12" x14ac:dyDescent="0.25">
      <c r="B1421" s="64"/>
      <c r="D1421" s="66"/>
      <c r="E1421" s="66"/>
      <c r="F1421" s="66"/>
      <c r="K1421" s="98"/>
      <c r="L1421" s="98"/>
    </row>
    <row r="1422" spans="2:12" x14ac:dyDescent="0.25">
      <c r="B1422" s="64"/>
      <c r="D1422" s="74"/>
      <c r="E1422" s="74"/>
      <c r="F1422" s="74"/>
      <c r="K1422" s="98"/>
      <c r="L1422" s="98"/>
    </row>
    <row r="1423" spans="2:12" x14ac:dyDescent="0.25">
      <c r="B1423" s="64"/>
      <c r="D1423" s="74"/>
      <c r="E1423" s="74"/>
      <c r="F1423" s="74"/>
      <c r="K1423" s="98"/>
      <c r="L1423" s="98"/>
    </row>
    <row r="1424" spans="2:12" x14ac:dyDescent="0.25">
      <c r="B1424" s="64"/>
      <c r="D1424" s="74"/>
      <c r="E1424" s="74"/>
      <c r="F1424" s="74"/>
      <c r="K1424" s="98"/>
      <c r="L1424" s="98"/>
    </row>
    <row r="1425" spans="2:12" x14ac:dyDescent="0.25">
      <c r="B1425" s="64"/>
      <c r="D1425" s="74"/>
      <c r="E1425" s="74"/>
      <c r="F1425" s="74"/>
      <c r="K1425" s="98"/>
      <c r="L1425" s="98"/>
    </row>
    <row r="1426" spans="2:12" x14ac:dyDescent="0.25">
      <c r="B1426" s="64"/>
      <c r="D1426" s="74"/>
      <c r="E1426" s="74"/>
      <c r="F1426" s="74"/>
      <c r="K1426" s="98"/>
      <c r="L1426" s="98"/>
    </row>
    <row r="1427" spans="2:12" x14ac:dyDescent="0.25">
      <c r="B1427" s="64"/>
      <c r="D1427" s="74"/>
      <c r="E1427" s="74"/>
      <c r="F1427" s="74"/>
      <c r="K1427" s="98"/>
      <c r="L1427" s="98"/>
    </row>
    <row r="1428" spans="2:12" x14ac:dyDescent="0.25">
      <c r="B1428" s="64"/>
      <c r="E1428" s="97"/>
      <c r="K1428" s="98"/>
      <c r="L1428" s="98"/>
    </row>
    <row r="1429" spans="2:12" x14ac:dyDescent="0.25">
      <c r="B1429" s="64"/>
      <c r="D1429" s="74"/>
      <c r="E1429" s="74"/>
      <c r="F1429" s="74"/>
      <c r="K1429" s="98"/>
      <c r="L1429" s="98"/>
    </row>
    <row r="1430" spans="2:12" x14ac:dyDescent="0.25">
      <c r="B1430" s="64"/>
      <c r="D1430" s="74"/>
      <c r="E1430" s="74"/>
      <c r="F1430" s="74"/>
      <c r="K1430" s="98"/>
      <c r="L1430" s="98"/>
    </row>
    <row r="1431" spans="2:12" x14ac:dyDescent="0.25">
      <c r="B1431" s="64"/>
      <c r="D1431" s="74"/>
      <c r="E1431" s="74"/>
      <c r="F1431" s="74"/>
      <c r="K1431" s="98"/>
      <c r="L1431" s="98"/>
    </row>
    <row r="1432" spans="2:12" x14ac:dyDescent="0.25">
      <c r="B1432" s="64"/>
      <c r="D1432" s="74"/>
      <c r="E1432" s="74"/>
      <c r="F1432" s="74"/>
      <c r="K1432" s="98"/>
      <c r="L1432" s="98"/>
    </row>
    <row r="1433" spans="2:12" x14ac:dyDescent="0.25">
      <c r="B1433" s="64"/>
      <c r="D1433" s="74"/>
      <c r="E1433" s="74"/>
      <c r="F1433" s="74"/>
      <c r="K1433" s="98"/>
      <c r="L1433" s="98"/>
    </row>
    <row r="1434" spans="2:12" x14ac:dyDescent="0.25">
      <c r="B1434" s="64"/>
      <c r="D1434" s="74"/>
      <c r="E1434" s="74"/>
      <c r="F1434" s="74"/>
      <c r="K1434" s="98"/>
      <c r="L1434" s="98"/>
    </row>
    <row r="1435" spans="2:12" x14ac:dyDescent="0.25">
      <c r="B1435" s="64"/>
      <c r="D1435" s="74"/>
      <c r="E1435" s="74"/>
      <c r="F1435" s="74"/>
      <c r="K1435" s="98"/>
      <c r="L1435" s="98"/>
    </row>
    <row r="1436" spans="2:12" x14ac:dyDescent="0.25">
      <c r="B1436" s="64"/>
      <c r="D1436" s="74"/>
      <c r="E1436" s="74"/>
      <c r="F1436" s="74"/>
      <c r="K1436" s="98"/>
      <c r="L1436" s="98"/>
    </row>
    <row r="1437" spans="2:12" x14ac:dyDescent="0.25">
      <c r="B1437" s="64"/>
      <c r="D1437" s="64"/>
      <c r="E1437" s="66"/>
      <c r="F1437" s="66"/>
      <c r="K1437" s="98"/>
      <c r="L1437" s="98"/>
    </row>
    <row r="1438" spans="2:12" x14ac:dyDescent="0.25">
      <c r="B1438" s="64"/>
      <c r="D1438" s="64"/>
      <c r="E1438" s="66"/>
      <c r="F1438" s="66"/>
      <c r="K1438" s="98"/>
      <c r="L1438" s="98"/>
    </row>
    <row r="1439" spans="2:12" x14ac:dyDescent="0.25">
      <c r="B1439" s="64"/>
      <c r="D1439" s="64"/>
      <c r="E1439" s="66"/>
      <c r="F1439" s="66"/>
      <c r="K1439" s="98"/>
      <c r="L1439" s="98"/>
    </row>
    <row r="1440" spans="2:12" x14ac:dyDescent="0.25">
      <c r="B1440" s="64"/>
      <c r="D1440" s="64"/>
      <c r="E1440" s="66"/>
      <c r="F1440" s="66"/>
      <c r="K1440" s="98"/>
      <c r="L1440" s="98"/>
    </row>
    <row r="1441" spans="2:12" x14ac:dyDescent="0.25">
      <c r="B1441" s="64"/>
      <c r="D1441" s="64"/>
      <c r="E1441" s="66"/>
      <c r="F1441" s="66"/>
      <c r="K1441" s="98"/>
      <c r="L1441" s="98"/>
    </row>
    <row r="1442" spans="2:12" x14ac:dyDescent="0.25">
      <c r="B1442" s="64"/>
      <c r="D1442" s="64"/>
      <c r="E1442" s="66"/>
      <c r="F1442" s="66"/>
      <c r="K1442" s="98"/>
      <c r="L1442" s="98"/>
    </row>
    <row r="1443" spans="2:12" x14ac:dyDescent="0.25">
      <c r="B1443" s="64"/>
      <c r="D1443" s="64"/>
      <c r="E1443" s="66"/>
      <c r="F1443" s="66"/>
      <c r="K1443" s="98"/>
      <c r="L1443" s="98"/>
    </row>
    <row r="1444" spans="2:12" x14ac:dyDescent="0.25">
      <c r="B1444" s="64"/>
      <c r="D1444" s="64"/>
      <c r="E1444" s="66"/>
      <c r="F1444" s="66"/>
      <c r="K1444" s="98"/>
      <c r="L1444" s="98"/>
    </row>
    <row r="1445" spans="2:12" x14ac:dyDescent="0.25">
      <c r="B1445" s="64"/>
      <c r="D1445" s="64"/>
      <c r="E1445" s="66"/>
      <c r="F1445" s="66"/>
      <c r="K1445" s="98"/>
      <c r="L1445" s="98"/>
    </row>
    <row r="1446" spans="2:12" x14ac:dyDescent="0.25">
      <c r="B1446" s="64"/>
      <c r="D1446" s="64"/>
      <c r="E1446" s="66"/>
      <c r="F1446" s="66"/>
      <c r="K1446" s="98"/>
      <c r="L1446" s="98"/>
    </row>
    <row r="1447" spans="2:12" x14ac:dyDescent="0.25">
      <c r="B1447" s="64"/>
      <c r="D1447" s="64"/>
      <c r="E1447" s="66"/>
      <c r="F1447" s="66"/>
      <c r="K1447" s="98"/>
      <c r="L1447" s="98"/>
    </row>
    <row r="1448" spans="2:12" x14ac:dyDescent="0.25">
      <c r="B1448" s="64"/>
      <c r="D1448" s="66"/>
      <c r="E1448" s="66"/>
      <c r="F1448" s="66"/>
      <c r="K1448" s="98"/>
      <c r="L1448" s="98"/>
    </row>
    <row r="1449" spans="2:12" x14ac:dyDescent="0.25">
      <c r="B1449" s="64"/>
      <c r="D1449" s="66"/>
      <c r="E1449" s="66"/>
      <c r="F1449" s="66"/>
      <c r="K1449" s="98"/>
      <c r="L1449" s="98"/>
    </row>
    <row r="1450" spans="2:12" x14ac:dyDescent="0.25">
      <c r="B1450" s="64"/>
      <c r="D1450" s="66"/>
      <c r="E1450" s="66"/>
      <c r="F1450" s="66"/>
      <c r="K1450" s="98"/>
      <c r="L1450" s="98"/>
    </row>
    <row r="1451" spans="2:12" x14ac:dyDescent="0.25">
      <c r="B1451" s="64"/>
      <c r="D1451" s="66"/>
      <c r="E1451" s="66"/>
      <c r="F1451" s="66"/>
      <c r="K1451" s="98"/>
      <c r="L1451" s="98"/>
    </row>
    <row r="1452" spans="2:12" x14ac:dyDescent="0.25">
      <c r="B1452" s="64"/>
      <c r="D1452" s="66"/>
      <c r="E1452" s="66"/>
      <c r="F1452" s="66"/>
      <c r="K1452" s="98"/>
      <c r="L1452" s="98"/>
    </row>
    <row r="1453" spans="2:12" x14ac:dyDescent="0.25">
      <c r="B1453" s="64"/>
      <c r="D1453" s="66"/>
      <c r="E1453" s="66"/>
      <c r="F1453" s="66"/>
      <c r="K1453" s="98"/>
      <c r="L1453" s="98"/>
    </row>
    <row r="1454" spans="2:12" x14ac:dyDescent="0.25">
      <c r="B1454" s="64"/>
      <c r="D1454" s="64"/>
      <c r="E1454" s="66"/>
      <c r="F1454" s="66"/>
      <c r="K1454" s="98"/>
      <c r="L1454" s="98"/>
    </row>
    <row r="1455" spans="2:12" x14ac:dyDescent="0.25">
      <c r="B1455" s="64"/>
      <c r="D1455" s="64"/>
      <c r="E1455" s="66"/>
      <c r="F1455" s="66"/>
      <c r="K1455" s="98"/>
      <c r="L1455" s="98"/>
    </row>
    <row r="1456" spans="2:12" x14ac:dyDescent="0.25">
      <c r="B1456" s="64"/>
      <c r="D1456" s="64"/>
      <c r="E1456" s="66"/>
      <c r="F1456" s="66"/>
      <c r="K1456" s="98"/>
      <c r="L1456" s="98"/>
    </row>
    <row r="1457" spans="2:12" x14ac:dyDescent="0.25">
      <c r="B1457" s="64"/>
      <c r="D1457" s="64"/>
      <c r="E1457" s="66"/>
      <c r="F1457" s="66"/>
      <c r="K1457" s="98"/>
      <c r="L1457" s="98"/>
    </row>
    <row r="1458" spans="2:12" x14ac:dyDescent="0.25">
      <c r="B1458" s="64"/>
      <c r="D1458" s="64"/>
      <c r="E1458" s="66"/>
      <c r="F1458" s="66"/>
      <c r="K1458" s="98"/>
      <c r="L1458" s="98"/>
    </row>
    <row r="1459" spans="2:12" x14ac:dyDescent="0.25">
      <c r="B1459" s="64"/>
      <c r="D1459" s="64"/>
      <c r="E1459" s="66"/>
      <c r="F1459" s="66"/>
      <c r="K1459" s="98"/>
      <c r="L1459" s="98"/>
    </row>
    <row r="1460" spans="2:12" x14ac:dyDescent="0.25">
      <c r="B1460" s="64"/>
      <c r="D1460" s="64"/>
      <c r="E1460" s="66"/>
      <c r="F1460" s="66"/>
      <c r="K1460" s="98"/>
      <c r="L1460" s="98"/>
    </row>
    <row r="1461" spans="2:12" x14ac:dyDescent="0.25">
      <c r="B1461" s="64"/>
      <c r="D1461" s="64"/>
      <c r="E1461" s="66"/>
      <c r="F1461" s="66"/>
      <c r="K1461" s="98"/>
      <c r="L1461" s="98"/>
    </row>
    <row r="1462" spans="2:12" x14ac:dyDescent="0.25">
      <c r="B1462" s="64"/>
      <c r="D1462" s="64"/>
      <c r="E1462" s="66"/>
      <c r="F1462" s="66"/>
      <c r="K1462" s="98"/>
      <c r="L1462" s="98"/>
    </row>
    <row r="1463" spans="2:12" x14ac:dyDescent="0.25">
      <c r="B1463" s="64"/>
      <c r="D1463" s="64"/>
      <c r="E1463" s="66"/>
      <c r="F1463" s="66"/>
      <c r="K1463" s="98"/>
      <c r="L1463" s="98"/>
    </row>
    <row r="1464" spans="2:12" x14ac:dyDescent="0.25">
      <c r="B1464" s="64"/>
      <c r="D1464" s="64"/>
      <c r="E1464" s="66"/>
      <c r="F1464" s="66"/>
      <c r="K1464" s="98"/>
      <c r="L1464" s="98"/>
    </row>
    <row r="1465" spans="2:12" x14ac:dyDescent="0.25">
      <c r="B1465" s="64"/>
      <c r="D1465" s="64"/>
      <c r="E1465" s="66"/>
      <c r="F1465" s="66"/>
      <c r="K1465" s="98"/>
      <c r="L1465" s="98"/>
    </row>
    <row r="1466" spans="2:12" x14ac:dyDescent="0.25">
      <c r="B1466" s="64"/>
      <c r="D1466" s="64"/>
      <c r="E1466" s="66"/>
      <c r="F1466" s="66"/>
      <c r="K1466" s="98"/>
      <c r="L1466" s="98"/>
    </row>
    <row r="1467" spans="2:12" x14ac:dyDescent="0.25">
      <c r="B1467" s="64"/>
      <c r="K1467" s="98"/>
      <c r="L1467" s="98"/>
    </row>
    <row r="1468" spans="2:12" x14ac:dyDescent="0.25">
      <c r="B1468" s="64"/>
      <c r="K1468" s="98"/>
      <c r="L1468" s="98"/>
    </row>
    <row r="1469" spans="2:12" x14ac:dyDescent="0.25">
      <c r="B1469" s="64"/>
      <c r="D1469" s="66"/>
      <c r="E1469" s="66"/>
      <c r="F1469" s="66"/>
      <c r="K1469" s="98"/>
      <c r="L1469" s="98"/>
    </row>
    <row r="1470" spans="2:12" x14ac:dyDescent="0.25">
      <c r="B1470" s="64"/>
      <c r="D1470" s="66"/>
      <c r="E1470" s="66"/>
      <c r="F1470" s="66"/>
      <c r="K1470" s="98"/>
      <c r="L1470" s="98"/>
    </row>
    <row r="1471" spans="2:12" x14ac:dyDescent="0.25">
      <c r="B1471" s="64"/>
      <c r="D1471" s="66"/>
      <c r="E1471" s="66"/>
      <c r="F1471" s="66"/>
      <c r="K1471" s="98"/>
      <c r="L1471" s="98"/>
    </row>
    <row r="1472" spans="2:12" x14ac:dyDescent="0.25">
      <c r="B1472" s="64"/>
      <c r="D1472" s="66"/>
      <c r="E1472" s="66"/>
      <c r="F1472" s="66"/>
      <c r="K1472" s="98"/>
      <c r="L1472" s="98"/>
    </row>
    <row r="1473" spans="2:12" x14ac:dyDescent="0.25">
      <c r="B1473" s="64"/>
      <c r="D1473" s="66"/>
      <c r="E1473" s="66"/>
      <c r="F1473" s="66"/>
      <c r="K1473" s="98"/>
      <c r="L1473" s="98"/>
    </row>
    <row r="1474" spans="2:12" x14ac:dyDescent="0.25">
      <c r="B1474" s="64"/>
      <c r="D1474" s="66"/>
      <c r="E1474" s="66"/>
      <c r="F1474" s="66"/>
      <c r="K1474" s="98"/>
      <c r="L1474" s="98"/>
    </row>
    <row r="1475" spans="2:12" x14ac:dyDescent="0.25">
      <c r="B1475" s="64"/>
      <c r="K1475" s="98"/>
      <c r="L1475" s="98"/>
    </row>
    <row r="1476" spans="2:12" x14ac:dyDescent="0.25">
      <c r="B1476" s="64"/>
      <c r="K1476" s="98"/>
      <c r="L1476" s="98"/>
    </row>
    <row r="1477" spans="2:12" x14ac:dyDescent="0.25">
      <c r="B1477" s="64"/>
      <c r="K1477" s="98"/>
      <c r="L1477" s="98"/>
    </row>
    <row r="1478" spans="2:12" x14ac:dyDescent="0.25">
      <c r="B1478" s="64"/>
      <c r="K1478" s="98"/>
      <c r="L1478" s="98"/>
    </row>
    <row r="1479" spans="2:12" x14ac:dyDescent="0.25">
      <c r="B1479" s="64"/>
      <c r="D1479" s="64"/>
      <c r="E1479" s="66"/>
      <c r="F1479" s="66"/>
      <c r="K1479" s="98"/>
      <c r="L1479" s="98"/>
    </row>
    <row r="1480" spans="2:12" x14ac:dyDescent="0.25">
      <c r="B1480" s="64"/>
      <c r="D1480" s="64"/>
      <c r="E1480" s="66"/>
      <c r="F1480" s="66"/>
      <c r="K1480" s="98"/>
      <c r="L1480" s="98"/>
    </row>
    <row r="1481" spans="2:12" x14ac:dyDescent="0.25">
      <c r="B1481" s="64"/>
      <c r="D1481" s="64"/>
      <c r="E1481" s="66"/>
      <c r="F1481" s="66"/>
      <c r="K1481" s="98"/>
      <c r="L1481" s="98"/>
    </row>
    <row r="1482" spans="2:12" x14ac:dyDescent="0.25">
      <c r="B1482" s="64"/>
      <c r="D1482" s="64"/>
      <c r="E1482" s="66"/>
      <c r="F1482" s="66"/>
      <c r="K1482" s="98"/>
      <c r="L1482" s="98"/>
    </row>
    <row r="1483" spans="2:12" x14ac:dyDescent="0.25">
      <c r="B1483" s="64"/>
      <c r="D1483" s="64"/>
      <c r="E1483" s="66"/>
      <c r="F1483" s="66"/>
      <c r="K1483" s="98"/>
      <c r="L1483" s="98"/>
    </row>
    <row r="1484" spans="2:12" x14ac:dyDescent="0.25">
      <c r="B1484" s="64"/>
      <c r="D1484" s="64"/>
      <c r="E1484" s="66"/>
      <c r="F1484" s="66"/>
      <c r="K1484" s="98"/>
      <c r="L1484" s="98"/>
    </row>
    <row r="1485" spans="2:12" x14ac:dyDescent="0.25">
      <c r="B1485" s="64"/>
      <c r="D1485" s="64"/>
      <c r="E1485" s="66"/>
      <c r="F1485" s="66"/>
      <c r="K1485" s="98"/>
      <c r="L1485" s="98"/>
    </row>
    <row r="1486" spans="2:12" x14ac:dyDescent="0.25">
      <c r="B1486" s="64"/>
      <c r="D1486" s="64"/>
      <c r="E1486" s="66"/>
      <c r="F1486" s="66"/>
      <c r="K1486" s="98"/>
      <c r="L1486" s="98"/>
    </row>
    <row r="1487" spans="2:12" x14ac:dyDescent="0.25">
      <c r="B1487" s="64"/>
      <c r="D1487" s="64"/>
      <c r="E1487" s="66"/>
      <c r="F1487" s="66"/>
      <c r="K1487" s="98"/>
      <c r="L1487" s="98"/>
    </row>
    <row r="1488" spans="2:12" x14ac:dyDescent="0.25">
      <c r="B1488" s="64"/>
      <c r="D1488" s="64"/>
      <c r="E1488" s="66"/>
      <c r="F1488" s="66"/>
      <c r="K1488" s="98"/>
      <c r="L1488" s="98"/>
    </row>
    <row r="1489" spans="2:12" x14ac:dyDescent="0.25">
      <c r="B1489" s="64"/>
      <c r="D1489" s="64"/>
      <c r="E1489" s="66"/>
      <c r="F1489" s="66"/>
      <c r="K1489" s="98"/>
      <c r="L1489" s="98"/>
    </row>
    <row r="1490" spans="2:12" x14ac:dyDescent="0.25">
      <c r="B1490" s="64"/>
      <c r="D1490" s="64"/>
      <c r="E1490" s="66"/>
      <c r="F1490" s="66"/>
      <c r="K1490" s="98"/>
      <c r="L1490" s="98"/>
    </row>
    <row r="1491" spans="2:12" x14ac:dyDescent="0.25">
      <c r="B1491" s="64"/>
      <c r="D1491" s="64"/>
      <c r="E1491" s="66"/>
      <c r="F1491" s="66"/>
      <c r="K1491" s="98"/>
      <c r="L1491" s="98"/>
    </row>
    <row r="1492" spans="2:12" x14ac:dyDescent="0.25">
      <c r="B1492" s="64"/>
      <c r="D1492" s="64"/>
      <c r="E1492" s="66"/>
      <c r="F1492" s="66"/>
      <c r="K1492" s="98"/>
      <c r="L1492" s="98"/>
    </row>
    <row r="1493" spans="2:12" x14ac:dyDescent="0.25">
      <c r="B1493" s="64"/>
      <c r="D1493" s="66"/>
      <c r="E1493" s="66"/>
      <c r="F1493" s="66"/>
      <c r="K1493" s="98"/>
      <c r="L1493" s="98"/>
    </row>
    <row r="1494" spans="2:12" x14ac:dyDescent="0.25">
      <c r="B1494" s="64"/>
      <c r="D1494" s="66"/>
      <c r="E1494" s="66"/>
      <c r="F1494" s="66"/>
      <c r="K1494" s="98"/>
      <c r="L1494" s="98"/>
    </row>
    <row r="1495" spans="2:12" x14ac:dyDescent="0.25">
      <c r="B1495" s="64"/>
      <c r="D1495" s="66"/>
      <c r="E1495" s="66"/>
      <c r="F1495" s="66"/>
      <c r="K1495" s="98"/>
      <c r="L1495" s="98"/>
    </row>
    <row r="1496" spans="2:12" x14ac:dyDescent="0.25">
      <c r="D1496" s="62"/>
      <c r="E1496" s="62"/>
      <c r="F1496" s="62"/>
      <c r="K1496" s="98"/>
      <c r="L1496" s="98"/>
    </row>
    <row r="1497" spans="2:12" x14ac:dyDescent="0.25">
      <c r="D1497" s="62"/>
      <c r="E1497" s="62"/>
      <c r="F1497" s="62"/>
      <c r="K1497" s="98"/>
      <c r="L1497" s="98"/>
    </row>
    <row r="1498" spans="2:12" x14ac:dyDescent="0.25">
      <c r="D1498" s="62"/>
      <c r="E1498" s="62"/>
      <c r="F1498" s="62"/>
      <c r="K1498" s="98"/>
      <c r="L1498" s="98"/>
    </row>
    <row r="1499" spans="2:12" x14ac:dyDescent="0.25">
      <c r="D1499" s="62"/>
      <c r="E1499" s="62"/>
      <c r="F1499" s="62"/>
      <c r="K1499" s="98"/>
      <c r="L1499" s="98"/>
    </row>
    <row r="1500" spans="2:12" x14ac:dyDescent="0.25">
      <c r="D1500" s="62"/>
      <c r="E1500" s="62"/>
      <c r="F1500" s="62"/>
      <c r="K1500" s="98"/>
      <c r="L1500" s="98"/>
    </row>
    <row r="1501" spans="2:12" x14ac:dyDescent="0.25">
      <c r="D1501" s="66"/>
      <c r="E1501" s="64"/>
      <c r="F1501" s="64"/>
      <c r="K1501" s="98"/>
      <c r="L1501" s="98"/>
    </row>
    <row r="1502" spans="2:12" x14ac:dyDescent="0.25">
      <c r="D1502" s="66"/>
      <c r="E1502" s="64"/>
      <c r="F1502" s="64"/>
      <c r="K1502" s="98"/>
      <c r="L1502" s="98"/>
    </row>
    <row r="1503" spans="2:12" x14ac:dyDescent="0.25">
      <c r="D1503" s="66"/>
      <c r="E1503" s="64"/>
      <c r="F1503" s="64"/>
      <c r="K1503" s="98"/>
      <c r="L1503" s="98"/>
    </row>
    <row r="1504" spans="2:12" x14ac:dyDescent="0.25">
      <c r="D1504" s="66"/>
      <c r="E1504" s="64"/>
      <c r="F1504" s="64"/>
      <c r="K1504" s="98"/>
      <c r="L1504" s="98"/>
    </row>
    <row r="1505" spans="4:12" x14ac:dyDescent="0.25">
      <c r="D1505" s="66"/>
      <c r="E1505" s="66"/>
      <c r="F1505" s="66"/>
      <c r="K1505" s="98"/>
      <c r="L1505" s="98"/>
    </row>
    <row r="1506" spans="4:12" x14ac:dyDescent="0.25">
      <c r="D1506" s="64"/>
      <c r="E1506" s="66"/>
      <c r="F1506" s="66"/>
      <c r="K1506" s="98"/>
      <c r="L1506" s="98"/>
    </row>
    <row r="1507" spans="4:12" x14ac:dyDescent="0.25">
      <c r="D1507" s="64"/>
      <c r="E1507" s="66"/>
      <c r="F1507" s="66"/>
      <c r="K1507" s="98"/>
      <c r="L1507" s="98"/>
    </row>
    <row r="1508" spans="4:12" x14ac:dyDescent="0.25">
      <c r="D1508" s="64"/>
      <c r="E1508" s="66"/>
      <c r="F1508" s="66"/>
      <c r="K1508" s="98"/>
      <c r="L1508" s="98"/>
    </row>
    <row r="1509" spans="4:12" x14ac:dyDescent="0.25">
      <c r="D1509" s="64"/>
      <c r="E1509" s="66"/>
      <c r="F1509" s="66"/>
      <c r="K1509" s="98"/>
      <c r="L1509" s="98"/>
    </row>
    <row r="1510" spans="4:12" x14ac:dyDescent="0.25">
      <c r="D1510" s="66"/>
      <c r="E1510" s="66"/>
      <c r="F1510" s="66"/>
      <c r="K1510" s="98"/>
      <c r="L1510" s="98"/>
    </row>
    <row r="1511" spans="4:12" x14ac:dyDescent="0.25">
      <c r="D1511" s="64"/>
      <c r="E1511" s="66"/>
      <c r="F1511" s="66"/>
      <c r="K1511" s="98"/>
      <c r="L1511" s="98"/>
    </row>
    <row r="1512" spans="4:12" x14ac:dyDescent="0.25">
      <c r="D1512" s="64"/>
      <c r="E1512" s="66"/>
      <c r="F1512" s="66"/>
      <c r="K1512" s="98"/>
      <c r="L1512" s="98"/>
    </row>
    <row r="1513" spans="4:12" x14ac:dyDescent="0.25">
      <c r="D1513" s="64"/>
      <c r="E1513" s="66"/>
      <c r="F1513" s="66"/>
      <c r="K1513" s="98"/>
      <c r="L1513" s="98"/>
    </row>
    <row r="1514" spans="4:12" x14ac:dyDescent="0.25">
      <c r="D1514" s="64"/>
      <c r="E1514" s="66"/>
      <c r="F1514" s="66"/>
      <c r="K1514" s="98"/>
      <c r="L1514" s="98"/>
    </row>
    <row r="1515" spans="4:12" x14ac:dyDescent="0.25">
      <c r="D1515" s="64"/>
      <c r="E1515" s="66"/>
      <c r="F1515" s="66"/>
      <c r="K1515" s="98"/>
      <c r="L1515" s="98"/>
    </row>
    <row r="1516" spans="4:12" x14ac:dyDescent="0.25">
      <c r="D1516" s="64"/>
      <c r="E1516" s="66"/>
      <c r="F1516" s="66"/>
      <c r="K1516" s="98"/>
      <c r="L1516" s="98"/>
    </row>
    <row r="1517" spans="4:12" x14ac:dyDescent="0.25">
      <c r="D1517" s="64"/>
      <c r="E1517" s="66"/>
      <c r="F1517" s="66"/>
      <c r="K1517" s="98"/>
      <c r="L1517" s="98"/>
    </row>
    <row r="1518" spans="4:12" x14ac:dyDescent="0.25">
      <c r="D1518" s="64"/>
      <c r="E1518" s="66"/>
      <c r="F1518" s="66"/>
      <c r="K1518" s="98"/>
      <c r="L1518" s="98"/>
    </row>
    <row r="1519" spans="4:12" x14ac:dyDescent="0.25">
      <c r="D1519" s="64"/>
      <c r="E1519" s="66"/>
      <c r="F1519" s="66"/>
      <c r="K1519" s="98"/>
      <c r="L1519" s="98"/>
    </row>
    <row r="1520" spans="4:12" x14ac:dyDescent="0.25">
      <c r="D1520" s="64"/>
      <c r="E1520" s="66"/>
      <c r="F1520" s="66"/>
      <c r="K1520" s="98"/>
      <c r="L1520" s="98"/>
    </row>
    <row r="1521" spans="4:12" x14ac:dyDescent="0.25">
      <c r="D1521" s="64"/>
      <c r="E1521" s="66"/>
      <c r="F1521" s="66"/>
      <c r="K1521" s="98"/>
      <c r="L1521" s="98"/>
    </row>
    <row r="1522" spans="4:12" x14ac:dyDescent="0.25">
      <c r="D1522" s="64"/>
      <c r="E1522" s="66"/>
      <c r="F1522" s="66"/>
      <c r="K1522" s="98"/>
      <c r="L1522" s="98"/>
    </row>
    <row r="1523" spans="4:12" x14ac:dyDescent="0.25">
      <c r="K1523" s="98"/>
      <c r="L1523" s="98"/>
    </row>
    <row r="1524" spans="4:12" x14ac:dyDescent="0.25">
      <c r="K1524" s="98"/>
      <c r="L1524" s="98"/>
    </row>
    <row r="1525" spans="4:12" x14ac:dyDescent="0.25">
      <c r="K1525" s="98"/>
      <c r="L1525" s="98"/>
    </row>
    <row r="1526" spans="4:12" x14ac:dyDescent="0.25">
      <c r="K1526" s="98"/>
      <c r="L1526" s="98"/>
    </row>
    <row r="1527" spans="4:12" x14ac:dyDescent="0.25">
      <c r="K1527" s="98"/>
      <c r="L1527" s="98"/>
    </row>
    <row r="1528" spans="4:12" x14ac:dyDescent="0.25">
      <c r="K1528" s="98"/>
      <c r="L1528" s="98"/>
    </row>
    <row r="1529" spans="4:12" x14ac:dyDescent="0.25">
      <c r="D1529" s="66"/>
      <c r="E1529" s="64"/>
      <c r="F1529" s="64"/>
      <c r="K1529" s="98"/>
      <c r="L1529" s="98"/>
    </row>
    <row r="1530" spans="4:12" x14ac:dyDescent="0.25">
      <c r="D1530" s="66"/>
      <c r="E1530" s="64"/>
      <c r="F1530" s="64"/>
      <c r="K1530" s="98"/>
      <c r="L1530" s="98"/>
    </row>
    <row r="1531" spans="4:12" x14ac:dyDescent="0.25">
      <c r="D1531" s="66"/>
      <c r="E1531" s="64"/>
      <c r="F1531" s="64"/>
      <c r="K1531" s="98"/>
      <c r="L1531" s="98"/>
    </row>
    <row r="1532" spans="4:12" x14ac:dyDescent="0.25">
      <c r="D1532" s="66"/>
      <c r="E1532" s="64"/>
      <c r="F1532" s="64"/>
      <c r="K1532" s="98"/>
      <c r="L1532" s="98"/>
    </row>
    <row r="1533" spans="4:12" x14ac:dyDescent="0.25">
      <c r="D1533" s="66"/>
      <c r="E1533" s="64"/>
      <c r="F1533" s="64"/>
      <c r="K1533" s="98"/>
      <c r="L1533" s="98"/>
    </row>
    <row r="1534" spans="4:12" x14ac:dyDescent="0.25">
      <c r="D1534" s="66"/>
      <c r="E1534" s="66"/>
      <c r="F1534" s="66"/>
      <c r="K1534" s="98"/>
      <c r="L1534" s="98"/>
    </row>
    <row r="1535" spans="4:12" x14ac:dyDescent="0.25">
      <c r="D1535" s="66"/>
      <c r="E1535" s="66"/>
      <c r="F1535" s="66"/>
      <c r="K1535" s="98"/>
      <c r="L1535" s="98"/>
    </row>
    <row r="1536" spans="4:12" x14ac:dyDescent="0.25">
      <c r="D1536" s="62"/>
      <c r="E1536" s="62"/>
      <c r="F1536" s="62"/>
      <c r="K1536" s="98"/>
      <c r="L1536" s="98"/>
    </row>
    <row r="1537" spans="4:12" x14ac:dyDescent="0.25">
      <c r="D1537" s="62"/>
      <c r="E1537" s="62"/>
      <c r="F1537" s="62"/>
      <c r="K1537" s="98"/>
      <c r="L1537" s="98"/>
    </row>
    <row r="1538" spans="4:12" x14ac:dyDescent="0.25">
      <c r="D1538" s="62"/>
      <c r="E1538" s="62"/>
      <c r="F1538" s="62"/>
      <c r="K1538" s="98"/>
      <c r="L1538" s="98"/>
    </row>
    <row r="1539" spans="4:12" x14ac:dyDescent="0.25">
      <c r="D1539" s="62"/>
      <c r="E1539" s="62"/>
      <c r="F1539" s="62"/>
      <c r="K1539" s="98"/>
      <c r="L1539" s="98"/>
    </row>
    <row r="1540" spans="4:12" x14ac:dyDescent="0.25">
      <c r="D1540" s="62"/>
      <c r="E1540" s="62"/>
      <c r="F1540" s="62"/>
      <c r="K1540" s="98"/>
      <c r="L1540" s="98"/>
    </row>
    <row r="1541" spans="4:12" x14ac:dyDescent="0.25">
      <c r="D1541" s="62"/>
      <c r="E1541" s="62"/>
      <c r="F1541" s="62"/>
      <c r="K1541" s="98"/>
      <c r="L1541" s="98"/>
    </row>
    <row r="1542" spans="4:12" x14ac:dyDescent="0.25">
      <c r="D1542" s="62"/>
      <c r="E1542" s="62"/>
      <c r="F1542" s="62"/>
      <c r="K1542" s="98"/>
      <c r="L1542" s="98"/>
    </row>
    <row r="1543" spans="4:12" x14ac:dyDescent="0.25">
      <c r="D1543" s="62"/>
      <c r="E1543" s="62"/>
      <c r="F1543" s="62"/>
      <c r="K1543" s="98"/>
      <c r="L1543" s="98"/>
    </row>
    <row r="1544" spans="4:12" x14ac:dyDescent="0.25">
      <c r="D1544" s="62"/>
      <c r="E1544" s="62"/>
      <c r="F1544" s="62"/>
      <c r="K1544" s="98"/>
      <c r="L1544" s="98"/>
    </row>
    <row r="1545" spans="4:12" x14ac:dyDescent="0.25">
      <c r="D1545" s="62"/>
      <c r="E1545" s="62"/>
      <c r="F1545" s="62"/>
      <c r="K1545" s="98"/>
      <c r="L1545" s="98"/>
    </row>
    <row r="1546" spans="4:12" x14ac:dyDescent="0.25">
      <c r="D1546" s="62"/>
      <c r="E1546" s="62"/>
      <c r="F1546" s="62"/>
      <c r="K1546" s="98"/>
      <c r="L1546" s="98"/>
    </row>
    <row r="1547" spans="4:12" x14ac:dyDescent="0.25">
      <c r="D1547" s="62"/>
      <c r="E1547" s="62"/>
      <c r="F1547" s="62"/>
      <c r="K1547" s="98"/>
      <c r="L1547" s="98"/>
    </row>
    <row r="1548" spans="4:12" x14ac:dyDescent="0.25">
      <c r="D1548" s="62"/>
      <c r="E1548" s="62"/>
      <c r="F1548" s="62"/>
      <c r="K1548" s="98"/>
      <c r="L1548" s="98"/>
    </row>
    <row r="1549" spans="4:12" x14ac:dyDescent="0.25">
      <c r="D1549" s="62"/>
      <c r="E1549" s="62"/>
      <c r="F1549" s="62"/>
      <c r="K1549" s="98"/>
      <c r="L1549" s="98"/>
    </row>
    <row r="1550" spans="4:12" x14ac:dyDescent="0.25">
      <c r="D1550" s="62"/>
      <c r="E1550" s="62"/>
      <c r="F1550" s="62"/>
      <c r="K1550" s="98"/>
      <c r="L1550" s="98"/>
    </row>
    <row r="1551" spans="4:12" x14ac:dyDescent="0.25">
      <c r="D1551" s="66"/>
      <c r="E1551" s="64"/>
      <c r="F1551" s="64"/>
      <c r="K1551" s="98"/>
      <c r="L1551" s="98"/>
    </row>
    <row r="1552" spans="4:12" x14ac:dyDescent="0.25">
      <c r="D1552" s="66"/>
      <c r="E1552" s="64"/>
      <c r="F1552" s="64"/>
      <c r="K1552" s="98"/>
      <c r="L1552" s="98"/>
    </row>
    <row r="1553" spans="4:12" x14ac:dyDescent="0.25">
      <c r="D1553" s="66"/>
      <c r="E1553" s="64"/>
      <c r="F1553" s="64"/>
      <c r="K1553" s="98"/>
      <c r="L1553" s="98"/>
    </row>
    <row r="1554" spans="4:12" x14ac:dyDescent="0.25">
      <c r="D1554" s="66"/>
      <c r="E1554" s="64"/>
      <c r="F1554" s="64"/>
      <c r="K1554" s="98"/>
      <c r="L1554" s="98"/>
    </row>
    <row r="1555" spans="4:12" x14ac:dyDescent="0.25">
      <c r="D1555" s="66"/>
      <c r="E1555" s="64"/>
      <c r="F1555" s="64"/>
      <c r="K1555" s="98"/>
      <c r="L1555" s="98"/>
    </row>
    <row r="1556" spans="4:12" x14ac:dyDescent="0.25">
      <c r="D1556" s="66"/>
      <c r="E1556" s="64"/>
      <c r="F1556" s="64"/>
      <c r="K1556" s="98"/>
      <c r="L1556" s="98"/>
    </row>
    <row r="1557" spans="4:12" x14ac:dyDescent="0.25">
      <c r="D1557" s="66"/>
      <c r="E1557" s="64"/>
      <c r="F1557" s="64"/>
      <c r="K1557" s="98"/>
      <c r="L1557" s="98"/>
    </row>
    <row r="1558" spans="4:12" x14ac:dyDescent="0.25">
      <c r="D1558" s="66"/>
      <c r="E1558" s="64"/>
      <c r="F1558" s="64"/>
      <c r="K1558" s="98"/>
      <c r="L1558" s="98"/>
    </row>
    <row r="1559" spans="4:12" x14ac:dyDescent="0.25">
      <c r="D1559" s="66"/>
      <c r="E1559" s="64"/>
      <c r="F1559" s="64"/>
      <c r="K1559" s="98"/>
      <c r="L1559" s="98"/>
    </row>
    <row r="1560" spans="4:12" x14ac:dyDescent="0.25">
      <c r="D1560" s="66"/>
      <c r="E1560" s="64"/>
      <c r="F1560" s="64"/>
      <c r="K1560" s="98"/>
      <c r="L1560" s="98"/>
    </row>
    <row r="1561" spans="4:12" x14ac:dyDescent="0.25">
      <c r="D1561" s="66"/>
      <c r="E1561" s="64"/>
      <c r="F1561" s="64"/>
      <c r="K1561" s="98"/>
      <c r="L1561" s="98"/>
    </row>
    <row r="1562" spans="4:12" x14ac:dyDescent="0.25">
      <c r="D1562" s="66"/>
      <c r="E1562" s="66"/>
      <c r="F1562" s="66"/>
      <c r="K1562" s="98"/>
      <c r="L1562" s="98"/>
    </row>
    <row r="1563" spans="4:12" x14ac:dyDescent="0.25">
      <c r="D1563" s="66"/>
      <c r="E1563" s="66"/>
      <c r="F1563" s="66"/>
      <c r="K1563" s="98"/>
      <c r="L1563" s="98"/>
    </row>
    <row r="1564" spans="4:12" x14ac:dyDescent="0.25">
      <c r="D1564" s="64"/>
      <c r="E1564" s="64"/>
      <c r="F1564" s="64"/>
      <c r="K1564" s="98"/>
      <c r="L1564" s="98"/>
    </row>
    <row r="1565" spans="4:12" x14ac:dyDescent="0.25">
      <c r="D1565" s="64"/>
      <c r="E1565" s="64"/>
      <c r="F1565" s="64"/>
      <c r="K1565" s="98"/>
      <c r="L1565" s="98"/>
    </row>
    <row r="1566" spans="4:12" x14ac:dyDescent="0.25">
      <c r="D1566" s="64"/>
      <c r="E1566" s="64"/>
      <c r="F1566" s="64"/>
      <c r="K1566" s="98"/>
      <c r="L1566" s="98"/>
    </row>
    <row r="1567" spans="4:12" x14ac:dyDescent="0.25">
      <c r="D1567" s="64"/>
      <c r="E1567" s="64"/>
      <c r="F1567" s="64"/>
      <c r="K1567" s="98"/>
      <c r="L1567" s="98"/>
    </row>
    <row r="1568" spans="4:12" x14ac:dyDescent="0.25">
      <c r="D1568" s="64"/>
      <c r="E1568" s="64"/>
      <c r="F1568" s="64"/>
      <c r="K1568" s="98"/>
      <c r="L1568" s="98"/>
    </row>
    <row r="1569" spans="4:12" x14ac:dyDescent="0.25">
      <c r="D1569" s="64"/>
      <c r="E1569" s="64"/>
      <c r="F1569" s="64"/>
      <c r="K1569" s="98"/>
      <c r="L1569" s="98"/>
    </row>
    <row r="1570" spans="4:12" x14ac:dyDescent="0.25">
      <c r="D1570" s="64"/>
      <c r="E1570" s="64"/>
      <c r="F1570" s="64"/>
      <c r="K1570" s="98"/>
      <c r="L1570" s="98"/>
    </row>
    <row r="1571" spans="4:12" x14ac:dyDescent="0.25">
      <c r="D1571" s="64"/>
      <c r="E1571" s="64"/>
      <c r="F1571" s="64"/>
      <c r="K1571" s="98"/>
      <c r="L1571" s="98"/>
    </row>
    <row r="1572" spans="4:12" x14ac:dyDescent="0.25">
      <c r="D1572" s="64"/>
      <c r="E1572" s="64"/>
      <c r="F1572" s="64"/>
      <c r="K1572" s="98"/>
      <c r="L1572" s="98"/>
    </row>
    <row r="1573" spans="4:12" x14ac:dyDescent="0.25">
      <c r="D1573" s="64"/>
      <c r="E1573" s="64"/>
      <c r="F1573" s="64"/>
      <c r="K1573" s="98"/>
      <c r="L1573" s="98"/>
    </row>
    <row r="1574" spans="4:12" x14ac:dyDescent="0.25">
      <c r="D1574" s="64"/>
      <c r="E1574" s="64"/>
      <c r="F1574" s="64"/>
      <c r="K1574" s="98"/>
      <c r="L1574" s="98"/>
    </row>
    <row r="1575" spans="4:12" x14ac:dyDescent="0.25">
      <c r="D1575" s="64"/>
      <c r="E1575" s="64"/>
      <c r="F1575" s="64"/>
      <c r="K1575" s="98"/>
      <c r="L1575" s="98"/>
    </row>
    <row r="1576" spans="4:12" x14ac:dyDescent="0.25">
      <c r="D1576" s="64"/>
      <c r="E1576" s="64"/>
      <c r="F1576" s="64"/>
      <c r="K1576" s="98"/>
      <c r="L1576" s="98"/>
    </row>
    <row r="1577" spans="4:12" x14ac:dyDescent="0.25">
      <c r="D1577" s="64"/>
      <c r="E1577" s="64"/>
      <c r="F1577" s="64"/>
      <c r="K1577" s="98"/>
      <c r="L1577" s="98"/>
    </row>
    <row r="1578" spans="4:12" x14ac:dyDescent="0.25">
      <c r="D1578" s="64"/>
      <c r="E1578" s="64"/>
      <c r="F1578" s="64"/>
      <c r="K1578" s="98"/>
      <c r="L1578" s="98"/>
    </row>
    <row r="1579" spans="4:12" x14ac:dyDescent="0.25">
      <c r="D1579" s="64"/>
      <c r="E1579" s="64"/>
      <c r="F1579" s="64"/>
      <c r="K1579" s="98"/>
      <c r="L1579" s="98"/>
    </row>
    <row r="1580" spans="4:12" x14ac:dyDescent="0.25">
      <c r="D1580" s="64"/>
      <c r="E1580" s="64"/>
      <c r="F1580" s="64"/>
      <c r="K1580" s="98"/>
      <c r="L1580" s="98"/>
    </row>
    <row r="1581" spans="4:12" x14ac:dyDescent="0.25">
      <c r="D1581" s="64"/>
      <c r="E1581" s="64"/>
      <c r="F1581" s="64"/>
      <c r="K1581" s="98"/>
      <c r="L1581" s="98"/>
    </row>
    <row r="1582" spans="4:12" x14ac:dyDescent="0.25">
      <c r="D1582" s="64"/>
      <c r="E1582" s="64"/>
      <c r="F1582" s="64"/>
      <c r="K1582" s="98"/>
      <c r="L1582" s="98"/>
    </row>
    <row r="1583" spans="4:12" x14ac:dyDescent="0.25">
      <c r="D1583" s="64"/>
      <c r="E1583" s="66"/>
      <c r="F1583" s="66"/>
      <c r="K1583" s="98"/>
      <c r="L1583" s="98"/>
    </row>
    <row r="1584" spans="4:12" x14ac:dyDescent="0.25">
      <c r="D1584" s="64"/>
      <c r="E1584" s="66"/>
      <c r="F1584" s="66"/>
      <c r="K1584" s="98"/>
      <c r="L1584" s="98"/>
    </row>
    <row r="1585" spans="4:12" x14ac:dyDescent="0.25">
      <c r="D1585" s="64"/>
      <c r="E1585" s="66"/>
      <c r="F1585" s="66"/>
      <c r="K1585" s="98"/>
      <c r="L1585" s="98"/>
    </row>
    <row r="1586" spans="4:12" x14ac:dyDescent="0.25">
      <c r="D1586" s="64"/>
      <c r="E1586" s="66"/>
      <c r="F1586" s="66"/>
      <c r="K1586" s="98"/>
      <c r="L1586" s="98"/>
    </row>
    <row r="1587" spans="4:12" x14ac:dyDescent="0.25">
      <c r="D1587" s="64"/>
      <c r="E1587" s="66"/>
      <c r="F1587" s="66"/>
      <c r="K1587" s="98"/>
      <c r="L1587" s="98"/>
    </row>
    <row r="1588" spans="4:12" x14ac:dyDescent="0.25">
      <c r="D1588" s="64"/>
      <c r="E1588" s="66"/>
      <c r="F1588" s="66"/>
      <c r="K1588" s="98"/>
      <c r="L1588" s="98"/>
    </row>
    <row r="1589" spans="4:12" x14ac:dyDescent="0.25">
      <c r="D1589" s="64"/>
      <c r="E1589" s="66"/>
      <c r="F1589" s="66"/>
      <c r="K1589" s="98"/>
      <c r="L1589" s="98"/>
    </row>
    <row r="1590" spans="4:12" x14ac:dyDescent="0.25">
      <c r="D1590" s="64"/>
      <c r="E1590" s="66"/>
      <c r="F1590" s="66"/>
      <c r="K1590" s="98"/>
      <c r="L1590" s="98"/>
    </row>
    <row r="1591" spans="4:12" x14ac:dyDescent="0.25">
      <c r="D1591" s="64"/>
      <c r="E1591" s="66"/>
      <c r="F1591" s="66"/>
      <c r="K1591" s="98"/>
      <c r="L1591" s="98"/>
    </row>
    <row r="1592" spans="4:12" x14ac:dyDescent="0.25">
      <c r="D1592" s="64"/>
      <c r="E1592" s="66"/>
      <c r="F1592" s="66"/>
      <c r="K1592" s="98"/>
      <c r="L1592" s="98"/>
    </row>
    <row r="1593" spans="4:12" x14ac:dyDescent="0.25">
      <c r="D1593" s="64"/>
      <c r="E1593" s="66"/>
      <c r="F1593" s="66"/>
      <c r="K1593" s="98"/>
      <c r="L1593" s="98"/>
    </row>
    <row r="1594" spans="4:12" x14ac:dyDescent="0.25">
      <c r="D1594" s="64"/>
      <c r="E1594" s="66"/>
      <c r="F1594" s="66"/>
      <c r="K1594" s="98"/>
      <c r="L1594" s="98"/>
    </row>
    <row r="1595" spans="4:12" x14ac:dyDescent="0.25">
      <c r="D1595" s="64"/>
      <c r="E1595" s="66"/>
      <c r="F1595" s="66"/>
      <c r="K1595" s="98"/>
      <c r="L1595" s="98"/>
    </row>
    <row r="1596" spans="4:12" x14ac:dyDescent="0.25">
      <c r="D1596" s="64"/>
      <c r="E1596" s="66"/>
      <c r="F1596" s="66"/>
      <c r="K1596" s="98"/>
      <c r="L1596" s="98"/>
    </row>
    <row r="1597" spans="4:12" x14ac:dyDescent="0.25">
      <c r="D1597" s="64"/>
      <c r="E1597" s="66"/>
      <c r="F1597" s="66"/>
      <c r="K1597" s="98"/>
      <c r="L1597" s="98"/>
    </row>
    <row r="1598" spans="4:12" x14ac:dyDescent="0.25">
      <c r="K1598" s="98"/>
      <c r="L1598" s="98"/>
    </row>
    <row r="1599" spans="4:12" x14ac:dyDescent="0.25">
      <c r="K1599" s="98"/>
      <c r="L1599" s="98"/>
    </row>
    <row r="1600" spans="4:12" x14ac:dyDescent="0.25">
      <c r="K1600" s="98"/>
      <c r="L1600" s="98"/>
    </row>
    <row r="1601" spans="4:12" x14ac:dyDescent="0.25">
      <c r="K1601" s="98"/>
      <c r="L1601" s="98"/>
    </row>
    <row r="1602" spans="4:12" x14ac:dyDescent="0.25">
      <c r="K1602" s="98"/>
      <c r="L1602" s="98"/>
    </row>
    <row r="1603" spans="4:12" x14ac:dyDescent="0.25">
      <c r="K1603" s="98"/>
      <c r="L1603" s="98"/>
    </row>
    <row r="1604" spans="4:12" x14ac:dyDescent="0.25">
      <c r="K1604" s="98"/>
      <c r="L1604" s="98"/>
    </row>
    <row r="1605" spans="4:12" x14ac:dyDescent="0.25">
      <c r="K1605" s="98"/>
      <c r="L1605" s="98"/>
    </row>
    <row r="1606" spans="4:12" x14ac:dyDescent="0.25">
      <c r="K1606" s="98"/>
      <c r="L1606" s="98"/>
    </row>
    <row r="1607" spans="4:12" x14ac:dyDescent="0.25">
      <c r="K1607" s="98"/>
      <c r="L1607" s="98"/>
    </row>
    <row r="1608" spans="4:12" x14ac:dyDescent="0.25">
      <c r="K1608" s="98"/>
      <c r="L1608" s="98"/>
    </row>
    <row r="1609" spans="4:12" x14ac:dyDescent="0.25">
      <c r="K1609" s="98"/>
      <c r="L1609" s="98"/>
    </row>
    <row r="1610" spans="4:12" x14ac:dyDescent="0.25">
      <c r="K1610" s="98"/>
      <c r="L1610" s="98"/>
    </row>
    <row r="1611" spans="4:12" x14ac:dyDescent="0.25">
      <c r="K1611" s="98"/>
      <c r="L1611" s="98"/>
    </row>
    <row r="1612" spans="4:12" x14ac:dyDescent="0.25">
      <c r="K1612" s="98"/>
      <c r="L1612" s="98"/>
    </row>
    <row r="1613" spans="4:12" x14ac:dyDescent="0.25">
      <c r="K1613" s="98"/>
      <c r="L1613" s="98"/>
    </row>
    <row r="1614" spans="4:12" x14ac:dyDescent="0.25">
      <c r="D1614" s="65"/>
      <c r="E1614" s="65"/>
      <c r="F1614" s="64"/>
      <c r="K1614" s="98"/>
      <c r="L1614" s="98"/>
    </row>
    <row r="1615" spans="4:12" x14ac:dyDescent="0.25">
      <c r="D1615" s="65"/>
      <c r="E1615" s="65"/>
      <c r="F1615" s="64"/>
      <c r="K1615" s="98"/>
      <c r="L1615" s="98"/>
    </row>
    <row r="1616" spans="4:12" x14ac:dyDescent="0.25">
      <c r="D1616" s="66"/>
      <c r="E1616" s="66"/>
      <c r="F1616" s="66"/>
      <c r="K1616" s="98"/>
      <c r="L1616" s="98"/>
    </row>
    <row r="1617" spans="4:12" x14ac:dyDescent="0.25">
      <c r="D1617" s="64"/>
      <c r="E1617" s="64"/>
      <c r="F1617" s="64"/>
      <c r="K1617" s="98"/>
      <c r="L1617" s="98"/>
    </row>
    <row r="1618" spans="4:12" x14ac:dyDescent="0.25">
      <c r="D1618" s="66"/>
      <c r="E1618" s="66"/>
      <c r="K1618" s="98"/>
      <c r="L1618" s="98"/>
    </row>
    <row r="1619" spans="4:12" x14ac:dyDescent="0.25">
      <c r="D1619" s="66"/>
      <c r="E1619" s="66"/>
      <c r="K1619" s="98"/>
      <c r="L1619" s="98"/>
    </row>
    <row r="1620" spans="4:12" x14ac:dyDescent="0.25">
      <c r="D1620" s="64"/>
      <c r="E1620" s="66"/>
      <c r="F1620" s="66"/>
      <c r="K1620" s="98"/>
      <c r="L1620" s="98"/>
    </row>
    <row r="1621" spans="4:12" x14ac:dyDescent="0.25">
      <c r="D1621" s="64"/>
      <c r="E1621" s="64"/>
      <c r="F1621" s="64"/>
      <c r="K1621" s="98"/>
      <c r="L1621" s="98"/>
    </row>
    <row r="1622" spans="4:12" x14ac:dyDescent="0.25">
      <c r="D1622" s="64"/>
      <c r="E1622" s="64"/>
      <c r="F1622" s="64"/>
      <c r="K1622" s="98"/>
      <c r="L1622" s="98"/>
    </row>
    <row r="1623" spans="4:12" x14ac:dyDescent="0.25">
      <c r="D1623" s="65"/>
      <c r="E1623" s="65"/>
      <c r="F1623" s="64"/>
      <c r="K1623" s="98"/>
      <c r="L1623" s="98"/>
    </row>
    <row r="1624" spans="4:12" x14ac:dyDescent="0.25">
      <c r="D1624" s="65"/>
      <c r="E1624" s="65"/>
      <c r="F1624" s="64"/>
      <c r="K1624" s="98"/>
      <c r="L1624" s="98"/>
    </row>
    <row r="1625" spans="4:12" x14ac:dyDescent="0.25">
      <c r="D1625" s="65"/>
      <c r="E1625" s="65"/>
      <c r="F1625" s="64"/>
      <c r="K1625" s="98"/>
      <c r="L1625" s="98"/>
    </row>
    <row r="1626" spans="4:12" x14ac:dyDescent="0.25">
      <c r="D1626" s="66"/>
      <c r="E1626" s="66"/>
      <c r="F1626" s="66"/>
      <c r="K1626" s="98"/>
      <c r="L1626" s="98"/>
    </row>
    <row r="1627" spans="4:12" x14ac:dyDescent="0.25">
      <c r="D1627" s="66"/>
      <c r="E1627" s="66"/>
      <c r="F1627" s="66"/>
      <c r="K1627" s="98"/>
      <c r="L1627" s="98"/>
    </row>
    <row r="1628" spans="4:12" x14ac:dyDescent="0.25">
      <c r="D1628" s="66"/>
      <c r="E1628" s="66"/>
      <c r="F1628" s="66"/>
      <c r="K1628" s="98"/>
      <c r="L1628" s="98"/>
    </row>
    <row r="1629" spans="4:12" x14ac:dyDescent="0.25">
      <c r="D1629" s="64"/>
      <c r="E1629" s="64"/>
      <c r="F1629" s="64"/>
      <c r="K1629" s="98"/>
      <c r="L1629" s="98"/>
    </row>
    <row r="1630" spans="4:12" x14ac:dyDescent="0.25">
      <c r="D1630" s="64"/>
      <c r="E1630" s="64"/>
      <c r="F1630" s="64"/>
      <c r="K1630" s="98"/>
      <c r="L1630" s="98"/>
    </row>
    <row r="1631" spans="4:12" x14ac:dyDescent="0.25">
      <c r="D1631" s="64"/>
      <c r="E1631" s="66"/>
      <c r="F1631" s="66"/>
      <c r="K1631" s="98"/>
      <c r="L1631" s="98"/>
    </row>
    <row r="1632" spans="4:12" x14ac:dyDescent="0.25">
      <c r="D1632" s="64"/>
      <c r="E1632" s="66"/>
      <c r="F1632" s="66"/>
      <c r="K1632" s="98"/>
      <c r="L1632" s="98"/>
    </row>
    <row r="1633" spans="4:12" x14ac:dyDescent="0.25">
      <c r="D1633" s="64"/>
      <c r="E1633" s="66"/>
      <c r="F1633" s="66"/>
      <c r="K1633" s="98"/>
      <c r="L1633" s="98"/>
    </row>
    <row r="1634" spans="4:12" x14ac:dyDescent="0.25">
      <c r="D1634" s="64"/>
      <c r="E1634" s="66"/>
      <c r="F1634" s="66"/>
      <c r="K1634" s="98"/>
      <c r="L1634" s="98"/>
    </row>
    <row r="1635" spans="4:12" x14ac:dyDescent="0.25">
      <c r="D1635" s="64"/>
      <c r="E1635" s="66"/>
      <c r="F1635" s="66"/>
      <c r="K1635" s="98"/>
      <c r="L1635" s="98"/>
    </row>
    <row r="1636" spans="4:12" x14ac:dyDescent="0.25">
      <c r="D1636" s="64"/>
      <c r="E1636" s="66"/>
      <c r="F1636" s="66"/>
      <c r="K1636" s="98"/>
      <c r="L1636" s="98"/>
    </row>
    <row r="1637" spans="4:12" x14ac:dyDescent="0.25">
      <c r="D1637" s="64"/>
      <c r="E1637" s="66"/>
      <c r="F1637" s="66"/>
      <c r="K1637" s="98"/>
      <c r="L1637" s="98"/>
    </row>
    <row r="1638" spans="4:12" x14ac:dyDescent="0.25">
      <c r="D1638" s="64"/>
      <c r="E1638" s="66"/>
      <c r="F1638" s="66"/>
      <c r="K1638" s="98"/>
      <c r="L1638" s="98"/>
    </row>
    <row r="1639" spans="4:12" x14ac:dyDescent="0.25">
      <c r="D1639" s="64"/>
      <c r="E1639" s="66"/>
      <c r="F1639" s="66"/>
      <c r="K1639" s="98"/>
      <c r="L1639" s="98"/>
    </row>
    <row r="1640" spans="4:12" x14ac:dyDescent="0.25">
      <c r="D1640" s="64"/>
      <c r="E1640" s="66"/>
      <c r="F1640" s="66"/>
      <c r="K1640" s="98"/>
      <c r="L1640" s="98"/>
    </row>
    <row r="1641" spans="4:12" x14ac:dyDescent="0.25">
      <c r="D1641" s="64"/>
      <c r="E1641" s="64"/>
      <c r="F1641" s="64"/>
      <c r="K1641" s="98"/>
      <c r="L1641" s="98"/>
    </row>
    <row r="1642" spans="4:12" x14ac:dyDescent="0.25">
      <c r="D1642" s="64"/>
      <c r="E1642" s="64"/>
      <c r="F1642" s="64"/>
      <c r="K1642" s="98"/>
      <c r="L1642" s="98"/>
    </row>
    <row r="1643" spans="4:12" x14ac:dyDescent="0.25">
      <c r="D1643" s="64"/>
      <c r="E1643" s="66"/>
      <c r="F1643" s="66"/>
      <c r="K1643" s="98"/>
      <c r="L1643" s="98"/>
    </row>
    <row r="1644" spans="4:12" x14ac:dyDescent="0.25">
      <c r="D1644" s="64"/>
      <c r="E1644" s="66"/>
      <c r="F1644" s="66"/>
      <c r="K1644" s="98"/>
      <c r="L1644" s="98"/>
    </row>
    <row r="1645" spans="4:12" x14ac:dyDescent="0.25">
      <c r="D1645" s="64"/>
      <c r="E1645" s="66"/>
      <c r="F1645" s="66"/>
      <c r="K1645" s="98"/>
      <c r="L1645" s="98"/>
    </row>
    <row r="1646" spans="4:12" x14ac:dyDescent="0.25">
      <c r="D1646" s="64"/>
      <c r="E1646" s="66"/>
      <c r="F1646" s="66"/>
      <c r="K1646" s="98"/>
      <c r="L1646" s="98"/>
    </row>
    <row r="1647" spans="4:12" x14ac:dyDescent="0.25">
      <c r="D1647" s="64"/>
      <c r="E1647" s="66"/>
      <c r="F1647" s="66"/>
      <c r="K1647" s="98"/>
      <c r="L1647" s="98"/>
    </row>
    <row r="1648" spans="4:12" x14ac:dyDescent="0.25">
      <c r="D1648" s="64"/>
      <c r="E1648" s="66"/>
      <c r="F1648" s="66"/>
      <c r="K1648" s="98"/>
      <c r="L1648" s="98"/>
    </row>
    <row r="1649" spans="2:12" x14ac:dyDescent="0.25">
      <c r="D1649" s="64"/>
      <c r="E1649" s="66"/>
      <c r="F1649" s="66"/>
      <c r="K1649" s="98"/>
      <c r="L1649" s="98"/>
    </row>
    <row r="1650" spans="2:12" x14ac:dyDescent="0.25">
      <c r="K1650" s="98"/>
      <c r="L1650" s="98"/>
    </row>
    <row r="1651" spans="2:12" x14ac:dyDescent="0.25">
      <c r="K1651" s="98"/>
      <c r="L1651" s="98"/>
    </row>
    <row r="1652" spans="2:12" x14ac:dyDescent="0.25">
      <c r="K1652" s="98"/>
      <c r="L1652" s="98"/>
    </row>
    <row r="1653" spans="2:12" x14ac:dyDescent="0.25">
      <c r="K1653" s="98"/>
      <c r="L1653" s="98"/>
    </row>
    <row r="1654" spans="2:12" x14ac:dyDescent="0.25">
      <c r="K1654" s="98"/>
      <c r="L1654" s="98"/>
    </row>
    <row r="1655" spans="2:12" x14ac:dyDescent="0.25">
      <c r="K1655" s="98"/>
      <c r="L1655" s="98"/>
    </row>
    <row r="1656" spans="2:12" x14ac:dyDescent="0.25">
      <c r="B1656" s="64"/>
      <c r="K1656" s="98"/>
      <c r="L1656" s="98"/>
    </row>
    <row r="1657" spans="2:12" x14ac:dyDescent="0.25">
      <c r="B1657" s="64"/>
      <c r="K1657" s="98"/>
      <c r="L1657" s="98"/>
    </row>
    <row r="1658" spans="2:12" x14ac:dyDescent="0.25">
      <c r="B1658" s="64"/>
      <c r="K1658" s="98"/>
      <c r="L1658" s="98"/>
    </row>
    <row r="1659" spans="2:12" x14ac:dyDescent="0.25">
      <c r="B1659" s="64"/>
      <c r="K1659" s="98"/>
      <c r="L1659" s="98"/>
    </row>
    <row r="1660" spans="2:12" x14ac:dyDescent="0.25">
      <c r="B1660" s="64"/>
      <c r="K1660" s="98"/>
      <c r="L1660" s="98"/>
    </row>
    <row r="1661" spans="2:12" x14ac:dyDescent="0.25">
      <c r="B1661" s="64"/>
      <c r="K1661" s="98"/>
      <c r="L1661" s="98"/>
    </row>
    <row r="1662" spans="2:12" x14ac:dyDescent="0.25">
      <c r="B1662" s="64"/>
      <c r="D1662" s="64"/>
      <c r="E1662" s="64"/>
      <c r="F1662" s="64"/>
      <c r="K1662" s="98"/>
      <c r="L1662" s="98"/>
    </row>
    <row r="1663" spans="2:12" x14ac:dyDescent="0.25">
      <c r="B1663" s="64"/>
      <c r="D1663" s="64"/>
      <c r="E1663" s="64"/>
      <c r="F1663" s="64"/>
      <c r="K1663" s="98"/>
      <c r="L1663" s="98"/>
    </row>
    <row r="1664" spans="2:12" x14ac:dyDescent="0.25">
      <c r="B1664" s="64"/>
      <c r="D1664" s="64"/>
      <c r="E1664" s="64"/>
      <c r="F1664" s="64"/>
      <c r="K1664" s="98"/>
      <c r="L1664" s="98"/>
    </row>
    <row r="1665" spans="2:12" x14ac:dyDescent="0.25">
      <c r="B1665" s="64"/>
      <c r="D1665" s="64"/>
      <c r="E1665" s="64"/>
      <c r="F1665" s="64"/>
      <c r="K1665" s="98"/>
      <c r="L1665" s="98"/>
    </row>
    <row r="1666" spans="2:12" x14ac:dyDescent="0.25">
      <c r="B1666" s="64"/>
      <c r="D1666" s="64"/>
      <c r="E1666" s="64"/>
      <c r="F1666" s="64"/>
      <c r="K1666" s="98"/>
      <c r="L1666" s="98"/>
    </row>
    <row r="1667" spans="2:12" x14ac:dyDescent="0.25">
      <c r="B1667" s="64"/>
      <c r="D1667" s="64"/>
      <c r="E1667" s="64"/>
      <c r="F1667" s="64"/>
      <c r="K1667" s="98"/>
      <c r="L1667" s="98"/>
    </row>
    <row r="1668" spans="2:12" x14ac:dyDescent="0.25">
      <c r="B1668" s="64"/>
      <c r="D1668" s="64"/>
      <c r="E1668" s="64"/>
      <c r="F1668" s="64"/>
      <c r="K1668" s="98"/>
      <c r="L1668" s="98"/>
    </row>
    <row r="1669" spans="2:12" x14ac:dyDescent="0.25">
      <c r="B1669" s="64"/>
      <c r="D1669" s="65"/>
      <c r="E1669" s="65"/>
      <c r="F1669" s="64"/>
      <c r="K1669" s="98"/>
      <c r="L1669" s="98"/>
    </row>
    <row r="1670" spans="2:12" x14ac:dyDescent="0.25">
      <c r="B1670" s="64"/>
      <c r="D1670" s="65"/>
      <c r="E1670" s="65"/>
      <c r="F1670" s="64"/>
      <c r="K1670" s="98"/>
      <c r="L1670" s="98"/>
    </row>
    <row r="1671" spans="2:12" x14ac:dyDescent="0.25">
      <c r="B1671" s="64"/>
      <c r="D1671" s="65"/>
      <c r="E1671" s="65"/>
      <c r="F1671" s="64"/>
      <c r="K1671" s="98"/>
      <c r="L1671" s="98"/>
    </row>
    <row r="1672" spans="2:12" x14ac:dyDescent="0.25">
      <c r="B1672" s="64"/>
      <c r="D1672" s="65"/>
      <c r="E1672" s="65"/>
      <c r="F1672" s="64"/>
      <c r="K1672" s="98"/>
      <c r="L1672" s="98"/>
    </row>
    <row r="1673" spans="2:12" x14ac:dyDescent="0.25">
      <c r="B1673" s="64"/>
      <c r="D1673" s="65"/>
      <c r="E1673" s="65"/>
      <c r="F1673" s="64"/>
      <c r="K1673" s="98"/>
      <c r="L1673" s="98"/>
    </row>
    <row r="1674" spans="2:12" x14ac:dyDescent="0.25">
      <c r="B1674" s="64"/>
      <c r="D1674" s="65"/>
      <c r="E1674" s="65"/>
      <c r="F1674" s="64"/>
      <c r="K1674" s="98"/>
      <c r="L1674" s="98"/>
    </row>
    <row r="1675" spans="2:12" x14ac:dyDescent="0.25">
      <c r="B1675" s="64"/>
      <c r="D1675" s="65"/>
      <c r="E1675" s="65"/>
      <c r="F1675" s="64"/>
      <c r="K1675" s="98"/>
      <c r="L1675" s="98"/>
    </row>
    <row r="1676" spans="2:12" x14ac:dyDescent="0.25">
      <c r="B1676" s="64"/>
      <c r="D1676" s="65"/>
      <c r="E1676" s="65"/>
      <c r="F1676" s="64"/>
      <c r="K1676" s="98"/>
      <c r="L1676" s="98"/>
    </row>
    <row r="1677" spans="2:12" x14ac:dyDescent="0.25">
      <c r="B1677" s="64"/>
      <c r="D1677" s="65"/>
      <c r="E1677" s="65"/>
      <c r="F1677" s="64"/>
      <c r="K1677" s="98"/>
      <c r="L1677" s="98"/>
    </row>
    <row r="1678" spans="2:12" x14ac:dyDescent="0.25">
      <c r="B1678" s="64"/>
      <c r="D1678" s="65"/>
      <c r="E1678" s="65"/>
      <c r="F1678" s="64"/>
      <c r="K1678" s="98"/>
      <c r="L1678" s="98"/>
    </row>
    <row r="1679" spans="2:12" x14ac:dyDescent="0.25">
      <c r="B1679" s="64"/>
      <c r="D1679" s="65"/>
      <c r="E1679" s="65"/>
      <c r="F1679" s="64"/>
      <c r="K1679" s="98"/>
      <c r="L1679" s="98"/>
    </row>
    <row r="1680" spans="2:12" x14ac:dyDescent="0.25">
      <c r="B1680" s="64"/>
      <c r="D1680" s="65"/>
      <c r="E1680" s="65"/>
      <c r="F1680" s="64"/>
      <c r="K1680" s="98"/>
      <c r="L1680" s="98"/>
    </row>
    <row r="1681" spans="2:12" x14ac:dyDescent="0.25">
      <c r="B1681" s="64"/>
      <c r="D1681" s="65"/>
      <c r="E1681" s="65"/>
      <c r="F1681" s="64"/>
      <c r="K1681" s="98"/>
      <c r="L1681" s="98"/>
    </row>
    <row r="1682" spans="2:12" x14ac:dyDescent="0.25">
      <c r="B1682" s="64"/>
      <c r="D1682" s="65"/>
      <c r="E1682" s="65"/>
      <c r="F1682" s="64"/>
      <c r="K1682" s="98"/>
      <c r="L1682" s="98"/>
    </row>
    <row r="1683" spans="2:12" x14ac:dyDescent="0.25">
      <c r="B1683" s="64"/>
      <c r="D1683" s="65"/>
      <c r="E1683" s="65"/>
      <c r="F1683" s="64"/>
      <c r="K1683" s="98"/>
      <c r="L1683" s="98"/>
    </row>
    <row r="1684" spans="2:12" x14ac:dyDescent="0.25">
      <c r="B1684" s="64"/>
      <c r="D1684" s="65"/>
      <c r="E1684" s="65"/>
      <c r="F1684" s="64"/>
      <c r="K1684" s="98"/>
      <c r="L1684" s="98"/>
    </row>
    <row r="1685" spans="2:12" x14ac:dyDescent="0.25">
      <c r="B1685" s="64"/>
      <c r="D1685" s="65"/>
      <c r="E1685" s="65"/>
      <c r="F1685" s="64"/>
      <c r="K1685" s="98"/>
      <c r="L1685" s="98"/>
    </row>
    <row r="1686" spans="2:12" x14ac:dyDescent="0.25">
      <c r="B1686" s="64"/>
      <c r="D1686" s="65"/>
      <c r="E1686" s="65"/>
      <c r="F1686" s="64"/>
      <c r="K1686" s="98"/>
      <c r="L1686" s="98"/>
    </row>
    <row r="1687" spans="2:12" x14ac:dyDescent="0.25">
      <c r="B1687" s="64"/>
      <c r="D1687" s="65"/>
      <c r="E1687" s="65"/>
      <c r="F1687" s="64"/>
      <c r="K1687" s="98"/>
      <c r="L1687" s="98"/>
    </row>
    <row r="1688" spans="2:12" x14ac:dyDescent="0.25">
      <c r="B1688" s="64"/>
      <c r="D1688" s="65"/>
      <c r="E1688" s="65"/>
      <c r="F1688" s="64"/>
      <c r="K1688" s="98"/>
      <c r="L1688" s="98"/>
    </row>
    <row r="1689" spans="2:12" x14ac:dyDescent="0.25">
      <c r="B1689" s="64"/>
      <c r="D1689" s="64"/>
      <c r="E1689" s="66"/>
      <c r="F1689" s="66"/>
      <c r="K1689" s="98"/>
      <c r="L1689" s="98"/>
    </row>
    <row r="1690" spans="2:12" x14ac:dyDescent="0.25">
      <c r="B1690" s="64"/>
      <c r="D1690" s="64"/>
      <c r="E1690" s="66"/>
      <c r="F1690" s="66"/>
      <c r="K1690" s="98"/>
      <c r="L1690" s="98"/>
    </row>
    <row r="1691" spans="2:12" x14ac:dyDescent="0.25">
      <c r="B1691" s="64"/>
      <c r="D1691" s="64"/>
      <c r="E1691" s="66"/>
      <c r="F1691" s="66"/>
      <c r="K1691" s="98"/>
      <c r="L1691" s="98"/>
    </row>
    <row r="1692" spans="2:12" x14ac:dyDescent="0.25">
      <c r="B1692" s="64"/>
      <c r="D1692" s="64"/>
      <c r="E1692" s="66"/>
      <c r="F1692" s="66"/>
      <c r="K1692" s="98"/>
      <c r="L1692" s="98"/>
    </row>
    <row r="1693" spans="2:12" x14ac:dyDescent="0.25">
      <c r="B1693" s="64"/>
      <c r="D1693" s="64"/>
      <c r="E1693" s="64"/>
      <c r="F1693" s="64"/>
      <c r="K1693" s="98"/>
      <c r="L1693" s="98"/>
    </row>
    <row r="1694" spans="2:12" x14ac:dyDescent="0.25">
      <c r="B1694" s="64"/>
      <c r="D1694" s="64"/>
      <c r="E1694" s="64"/>
      <c r="F1694" s="64"/>
      <c r="K1694" s="98"/>
      <c r="L1694" s="98"/>
    </row>
    <row r="1695" spans="2:12" x14ac:dyDescent="0.25">
      <c r="B1695" s="64"/>
      <c r="D1695" s="64"/>
      <c r="E1695" s="64"/>
      <c r="F1695" s="64"/>
      <c r="K1695" s="98"/>
      <c r="L1695" s="98"/>
    </row>
    <row r="1696" spans="2:12" x14ac:dyDescent="0.25">
      <c r="B1696" s="64"/>
      <c r="D1696" s="74"/>
      <c r="E1696" s="64"/>
      <c r="F1696" s="64"/>
      <c r="K1696" s="98"/>
      <c r="L1696" s="98"/>
    </row>
    <row r="1697" spans="2:12" x14ac:dyDescent="0.25">
      <c r="B1697" s="64"/>
      <c r="D1697" s="64"/>
      <c r="E1697" s="66"/>
      <c r="F1697" s="66"/>
      <c r="K1697" s="98"/>
      <c r="L1697" s="98"/>
    </row>
    <row r="1698" spans="2:12" x14ac:dyDescent="0.25">
      <c r="B1698" s="64"/>
      <c r="D1698" s="64"/>
      <c r="E1698" s="66"/>
      <c r="F1698" s="66"/>
      <c r="K1698" s="98"/>
      <c r="L1698" s="98"/>
    </row>
    <row r="1699" spans="2:12" x14ac:dyDescent="0.25">
      <c r="B1699" s="64"/>
      <c r="D1699" s="64"/>
      <c r="E1699" s="66"/>
      <c r="F1699" s="66"/>
      <c r="K1699" s="98"/>
      <c r="L1699" s="98"/>
    </row>
    <row r="1700" spans="2:12" x14ac:dyDescent="0.25">
      <c r="B1700" s="64"/>
      <c r="D1700" s="64"/>
      <c r="E1700" s="66"/>
      <c r="F1700" s="66"/>
      <c r="K1700" s="98"/>
      <c r="L1700" s="98"/>
    </row>
    <row r="1701" spans="2:12" x14ac:dyDescent="0.25">
      <c r="B1701" s="64"/>
      <c r="D1701" s="64"/>
      <c r="E1701" s="66"/>
      <c r="F1701" s="66"/>
      <c r="K1701" s="98"/>
      <c r="L1701" s="98"/>
    </row>
    <row r="1702" spans="2:12" x14ac:dyDescent="0.25">
      <c r="B1702" s="64"/>
      <c r="D1702" s="64"/>
      <c r="E1702" s="66"/>
      <c r="F1702" s="66"/>
      <c r="K1702" s="98"/>
      <c r="L1702" s="98"/>
    </row>
    <row r="1703" spans="2:12" x14ac:dyDescent="0.25">
      <c r="B1703" s="64"/>
      <c r="D1703" s="66"/>
      <c r="E1703" s="66"/>
      <c r="F1703" s="66"/>
      <c r="K1703" s="98"/>
      <c r="L1703" s="98"/>
    </row>
    <row r="1704" spans="2:12" x14ac:dyDescent="0.25">
      <c r="B1704" s="64"/>
      <c r="D1704" s="64"/>
      <c r="E1704" s="66"/>
      <c r="F1704" s="66"/>
      <c r="K1704" s="98"/>
      <c r="L1704" s="98"/>
    </row>
    <row r="1705" spans="2:12" x14ac:dyDescent="0.25">
      <c r="B1705" s="64"/>
      <c r="D1705" s="64"/>
      <c r="E1705" s="66"/>
      <c r="F1705" s="66"/>
      <c r="K1705" s="98"/>
      <c r="L1705" s="98"/>
    </row>
    <row r="1706" spans="2:12" x14ac:dyDescent="0.25">
      <c r="B1706" s="64"/>
      <c r="D1706" s="66"/>
      <c r="E1706" s="66"/>
      <c r="K1706" s="98"/>
      <c r="L1706" s="98"/>
    </row>
    <row r="1707" spans="2:12" x14ac:dyDescent="0.25">
      <c r="B1707" s="64"/>
      <c r="K1707" s="98"/>
      <c r="L1707" s="98"/>
    </row>
    <row r="1708" spans="2:12" x14ac:dyDescent="0.25">
      <c r="B1708" s="64"/>
      <c r="K1708" s="98"/>
      <c r="L1708" s="98"/>
    </row>
    <row r="1709" spans="2:12" x14ac:dyDescent="0.25">
      <c r="B1709" s="64"/>
      <c r="K1709" s="98"/>
      <c r="L1709" s="98"/>
    </row>
    <row r="1710" spans="2:12" x14ac:dyDescent="0.25">
      <c r="B1710" s="64"/>
      <c r="K1710" s="98"/>
      <c r="L1710" s="98"/>
    </row>
    <row r="1711" spans="2:12" x14ac:dyDescent="0.25">
      <c r="B1711" s="64"/>
      <c r="K1711" s="98"/>
      <c r="L1711" s="98"/>
    </row>
    <row r="1712" spans="2:12" x14ac:dyDescent="0.25">
      <c r="B1712" s="64"/>
      <c r="D1712" s="65"/>
      <c r="E1712" s="65"/>
      <c r="F1712" s="65"/>
      <c r="K1712" s="98"/>
      <c r="L1712" s="98"/>
    </row>
    <row r="1713" spans="2:12" x14ac:dyDescent="0.25">
      <c r="B1713" s="64"/>
      <c r="D1713" s="65"/>
      <c r="E1713" s="65"/>
      <c r="F1713" s="65"/>
      <c r="K1713" s="98"/>
      <c r="L1713" s="98"/>
    </row>
    <row r="1714" spans="2:12" x14ac:dyDescent="0.25">
      <c r="B1714" s="64"/>
      <c r="D1714" s="64"/>
      <c r="E1714" s="64"/>
      <c r="F1714" s="64"/>
      <c r="K1714" s="98"/>
      <c r="L1714" s="98"/>
    </row>
    <row r="1715" spans="2:12" x14ac:dyDescent="0.25">
      <c r="B1715" s="64"/>
      <c r="D1715" s="64"/>
      <c r="E1715" s="64"/>
      <c r="F1715" s="64"/>
      <c r="K1715" s="98"/>
      <c r="L1715" s="98"/>
    </row>
    <row r="1716" spans="2:12" x14ac:dyDescent="0.25">
      <c r="B1716" s="64"/>
      <c r="D1716" s="64"/>
      <c r="E1716" s="66"/>
      <c r="F1716" s="66"/>
      <c r="K1716" s="98"/>
      <c r="L1716" s="98"/>
    </row>
    <row r="1717" spans="2:12" x14ac:dyDescent="0.25">
      <c r="B1717" s="64"/>
      <c r="D1717" s="64"/>
      <c r="E1717" s="66"/>
      <c r="F1717" s="66"/>
      <c r="K1717" s="98"/>
      <c r="L1717" s="98"/>
    </row>
    <row r="1718" spans="2:12" x14ac:dyDescent="0.25">
      <c r="B1718" s="64"/>
      <c r="D1718" s="64"/>
      <c r="E1718" s="66"/>
      <c r="F1718" s="66"/>
      <c r="K1718" s="98"/>
      <c r="L1718" s="98"/>
    </row>
    <row r="1719" spans="2:12" x14ac:dyDescent="0.25">
      <c r="B1719" s="64"/>
      <c r="D1719" s="64"/>
      <c r="E1719" s="66"/>
      <c r="F1719" s="66"/>
      <c r="K1719" s="98"/>
      <c r="L1719" s="98"/>
    </row>
    <row r="1720" spans="2:12" x14ac:dyDescent="0.25">
      <c r="B1720" s="64"/>
      <c r="D1720" s="64"/>
      <c r="E1720" s="66"/>
      <c r="F1720" s="66"/>
      <c r="K1720" s="98"/>
      <c r="L1720" s="98"/>
    </row>
    <row r="1721" spans="2:12" x14ac:dyDescent="0.25">
      <c r="B1721" s="64"/>
      <c r="D1721" s="64"/>
      <c r="E1721" s="66"/>
      <c r="F1721" s="66"/>
      <c r="K1721" s="98"/>
      <c r="L1721" s="98"/>
    </row>
    <row r="1722" spans="2:12" x14ac:dyDescent="0.25">
      <c r="B1722" s="64"/>
      <c r="D1722" s="64"/>
      <c r="E1722" s="66"/>
      <c r="F1722" s="66"/>
      <c r="K1722" s="98"/>
      <c r="L1722" s="98"/>
    </row>
    <row r="1723" spans="2:12" x14ac:dyDescent="0.25">
      <c r="B1723" s="64"/>
      <c r="D1723" s="64"/>
      <c r="E1723" s="66"/>
      <c r="F1723" s="66"/>
      <c r="K1723" s="98"/>
      <c r="L1723" s="98"/>
    </row>
    <row r="1724" spans="2:12" x14ac:dyDescent="0.25">
      <c r="B1724" s="64"/>
      <c r="D1724" s="64"/>
      <c r="E1724" s="66"/>
      <c r="F1724" s="66"/>
      <c r="K1724" s="98"/>
      <c r="L1724" s="98"/>
    </row>
    <row r="1725" spans="2:12" x14ac:dyDescent="0.25">
      <c r="B1725" s="64"/>
      <c r="D1725" s="64"/>
      <c r="E1725" s="66"/>
      <c r="F1725" s="66"/>
      <c r="K1725" s="98"/>
      <c r="L1725" s="98"/>
    </row>
    <row r="1726" spans="2:12" x14ac:dyDescent="0.25">
      <c r="B1726" s="64"/>
      <c r="D1726" s="64"/>
      <c r="E1726" s="66"/>
      <c r="F1726" s="66"/>
      <c r="K1726" s="98"/>
      <c r="L1726" s="98"/>
    </row>
    <row r="1727" spans="2:12" x14ac:dyDescent="0.25">
      <c r="B1727" s="64"/>
      <c r="D1727" s="64"/>
      <c r="E1727" s="66"/>
      <c r="F1727" s="66"/>
      <c r="K1727" s="98"/>
      <c r="L1727" s="98"/>
    </row>
    <row r="1728" spans="2:12" x14ac:dyDescent="0.25">
      <c r="B1728" s="64"/>
      <c r="D1728" s="64"/>
      <c r="E1728" s="66"/>
      <c r="F1728" s="66"/>
      <c r="K1728" s="98"/>
      <c r="L1728" s="98"/>
    </row>
    <row r="1729" spans="2:12" x14ac:dyDescent="0.25">
      <c r="B1729" s="64"/>
      <c r="D1729" s="64"/>
      <c r="E1729" s="66"/>
      <c r="F1729" s="66"/>
      <c r="K1729" s="98"/>
      <c r="L1729" s="98"/>
    </row>
    <row r="1730" spans="2:12" x14ac:dyDescent="0.25">
      <c r="B1730" s="64"/>
      <c r="K1730" s="98"/>
      <c r="L1730" s="98"/>
    </row>
    <row r="1731" spans="2:12" x14ac:dyDescent="0.25">
      <c r="B1731" s="64"/>
      <c r="D1731" s="65"/>
      <c r="E1731" s="65"/>
      <c r="F1731" s="65"/>
      <c r="K1731" s="98"/>
      <c r="L1731" s="98"/>
    </row>
    <row r="1732" spans="2:12" x14ac:dyDescent="0.25">
      <c r="B1732" s="64"/>
      <c r="D1732" s="65"/>
      <c r="E1732" s="65"/>
      <c r="F1732" s="65"/>
      <c r="K1732" s="98"/>
      <c r="L1732" s="98"/>
    </row>
    <row r="1733" spans="2:12" x14ac:dyDescent="0.25">
      <c r="B1733" s="64"/>
      <c r="D1733" s="65"/>
      <c r="E1733" s="65"/>
      <c r="F1733" s="65"/>
      <c r="K1733" s="98"/>
      <c r="L1733" s="98"/>
    </row>
    <row r="1734" spans="2:12" x14ac:dyDescent="0.25">
      <c r="B1734" s="64"/>
      <c r="D1734" s="65"/>
      <c r="E1734" s="65"/>
      <c r="F1734" s="65"/>
      <c r="K1734" s="98"/>
      <c r="L1734" s="98"/>
    </row>
    <row r="1735" spans="2:12" x14ac:dyDescent="0.25">
      <c r="B1735" s="64"/>
      <c r="D1735" s="65"/>
      <c r="E1735" s="65"/>
      <c r="F1735" s="65"/>
      <c r="K1735" s="98"/>
      <c r="L1735" s="98"/>
    </row>
    <row r="1736" spans="2:12" x14ac:dyDescent="0.25">
      <c r="B1736" s="64"/>
      <c r="D1736" s="64"/>
      <c r="E1736" s="64"/>
      <c r="F1736" s="64"/>
      <c r="K1736" s="98"/>
      <c r="L1736" s="98"/>
    </row>
    <row r="1737" spans="2:12" x14ac:dyDescent="0.25">
      <c r="B1737" s="64"/>
      <c r="D1737" s="64"/>
      <c r="E1737" s="64"/>
      <c r="F1737" s="64"/>
      <c r="K1737" s="98"/>
      <c r="L1737" s="98"/>
    </row>
    <row r="1738" spans="2:12" x14ac:dyDescent="0.25">
      <c r="B1738" s="64"/>
      <c r="D1738" s="64"/>
      <c r="E1738" s="66"/>
      <c r="F1738" s="66"/>
      <c r="K1738" s="98"/>
      <c r="L1738" s="98"/>
    </row>
    <row r="1739" spans="2:12" x14ac:dyDescent="0.25">
      <c r="B1739" s="64"/>
      <c r="D1739" s="64"/>
      <c r="E1739" s="66"/>
      <c r="F1739" s="66"/>
      <c r="K1739" s="98"/>
      <c r="L1739" s="98"/>
    </row>
    <row r="1740" spans="2:12" x14ac:dyDescent="0.25">
      <c r="B1740" s="64"/>
      <c r="D1740" s="64"/>
      <c r="E1740" s="66"/>
      <c r="F1740" s="66"/>
      <c r="K1740" s="98"/>
      <c r="L1740" s="98"/>
    </row>
    <row r="1741" spans="2:12" x14ac:dyDescent="0.25">
      <c r="B1741" s="64"/>
      <c r="D1741" s="64"/>
      <c r="E1741" s="66"/>
      <c r="F1741" s="66"/>
      <c r="K1741" s="98"/>
      <c r="L1741" s="98"/>
    </row>
    <row r="1742" spans="2:12" x14ac:dyDescent="0.25">
      <c r="B1742" s="64"/>
      <c r="D1742" s="64"/>
      <c r="E1742" s="66"/>
      <c r="F1742" s="66"/>
      <c r="K1742" s="98"/>
      <c r="L1742" s="98"/>
    </row>
    <row r="1743" spans="2:12" x14ac:dyDescent="0.25">
      <c r="B1743" s="64"/>
      <c r="D1743" s="64"/>
      <c r="E1743" s="66"/>
      <c r="F1743" s="66"/>
      <c r="K1743" s="98"/>
      <c r="L1743" s="98"/>
    </row>
    <row r="1744" spans="2:12" x14ac:dyDescent="0.25">
      <c r="B1744" s="64"/>
      <c r="D1744" s="64"/>
      <c r="E1744" s="66"/>
      <c r="F1744" s="66"/>
      <c r="K1744" s="98"/>
      <c r="L1744" s="98"/>
    </row>
    <row r="1745" spans="2:12" x14ac:dyDescent="0.25">
      <c r="B1745" s="64"/>
      <c r="D1745" s="64"/>
      <c r="E1745" s="66"/>
      <c r="F1745" s="66"/>
      <c r="K1745" s="98"/>
      <c r="L1745" s="98"/>
    </row>
    <row r="1746" spans="2:12" x14ac:dyDescent="0.25">
      <c r="B1746" s="64"/>
      <c r="D1746" s="64"/>
      <c r="E1746" s="66"/>
      <c r="F1746" s="66"/>
      <c r="K1746" s="98"/>
      <c r="L1746" s="98"/>
    </row>
    <row r="1747" spans="2:12" x14ac:dyDescent="0.25">
      <c r="B1747" s="64"/>
      <c r="D1747" s="64"/>
      <c r="E1747" s="66"/>
      <c r="F1747" s="66"/>
      <c r="K1747" s="98"/>
      <c r="L1747" s="98"/>
    </row>
    <row r="1748" spans="2:12" x14ac:dyDescent="0.25">
      <c r="B1748" s="64"/>
      <c r="D1748" s="64"/>
      <c r="E1748" s="66"/>
      <c r="F1748" s="66"/>
      <c r="K1748" s="98"/>
      <c r="L1748" s="98"/>
    </row>
    <row r="1749" spans="2:12" x14ac:dyDescent="0.25">
      <c r="B1749" s="64"/>
      <c r="D1749" s="64"/>
      <c r="E1749" s="66"/>
      <c r="F1749" s="66"/>
      <c r="K1749" s="98"/>
      <c r="L1749" s="98"/>
    </row>
    <row r="1750" spans="2:12" x14ac:dyDescent="0.25">
      <c r="B1750" s="64"/>
      <c r="D1750" s="64"/>
      <c r="E1750" s="66"/>
      <c r="F1750" s="66"/>
      <c r="K1750" s="98"/>
      <c r="L1750" s="98"/>
    </row>
  </sheetData>
  <autoFilter ref="A1:Y1420" xr:uid="{E7E8451C-B27B-4896-8AAB-A82AC0CE6A5F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C4"/>
  <sheetViews>
    <sheetView workbookViewId="0">
      <selection activeCell="B5" sqref="B5"/>
    </sheetView>
  </sheetViews>
  <sheetFormatPr defaultRowHeight="15" x14ac:dyDescent="0.25"/>
  <cols>
    <col min="1" max="1" width="16.140625" bestFit="1" customWidth="1"/>
    <col min="2" max="2" width="61.7109375" bestFit="1" customWidth="1"/>
    <col min="3" max="3" width="138.28515625" bestFit="1" customWidth="1"/>
    <col min="6" max="6" width="15.42578125" customWidth="1"/>
  </cols>
  <sheetData>
    <row r="1" spans="1:3" x14ac:dyDescent="0.25">
      <c r="A1" t="s">
        <v>63</v>
      </c>
      <c r="B1" t="s">
        <v>74</v>
      </c>
      <c r="C1" t="s">
        <v>67</v>
      </c>
    </row>
    <row r="2" spans="1:3" x14ac:dyDescent="0.25">
      <c r="A2" t="s">
        <v>64</v>
      </c>
      <c r="B2" t="str">
        <f ca="1">"Berikut adalah Report WOW and MOM Performance Shipment " &amp; HOME!$F$5</f>
        <v>Berikut adalah Report WOW and MOM Performance Shipment 2025</v>
      </c>
      <c r="C2" t="str">
        <f ca="1">HOME!$F$6&amp;"\"&amp;HOME!$G$6</f>
        <v>\\10.8.0.35\Bersama\IT\RPA 00\Monitoring Performance Shipment\Results\WOW and MOM\WOW and MOM Report Performance Shipment 2025.xlsx</v>
      </c>
    </row>
    <row r="3" spans="1:3" x14ac:dyDescent="0.25">
      <c r="A3" t="s">
        <v>66</v>
      </c>
      <c r="B3" t="str">
        <f ca="1">"Berikut adalah Resume WOW and MOM Performance Shipment " &amp; HOME!$F$5</f>
        <v>Berikut adalah Resume WOW and MOM Performance Shipment 2025</v>
      </c>
      <c r="C3" t="str">
        <f ca="1">HOME!$F$6&amp;"\"&amp;HOME!$G$7</f>
        <v>\\10.8.0.35\Bersama\IT\RPA 00\Monitoring Performance Shipment\Results\WOW and MOM\Resume WOW and MOM Performance Shipment 2025.xlsx</v>
      </c>
    </row>
    <row r="4" spans="1:3" x14ac:dyDescent="0.25">
      <c r="A4" t="s">
        <v>65</v>
      </c>
      <c r="B4" t="str">
        <f ca="1">"Berikut adalah Report WOW and MOM Performance Shipment " &amp; HOME!$F$5</f>
        <v>Berikut adalah Report WOW and MOM Performance Shipment 2025</v>
      </c>
      <c r="C4" t="str">
        <f ca="1">HOME!$F$6&amp;"\"&amp;HOME!$G$6</f>
        <v>\\10.8.0.35\Bersama\IT\RPA 00\Monitoring Performance Shipment\Results\WOW and MOM\WOW and MOM Report Performance Shipment 2025.xlsx</v>
      </c>
    </row>
  </sheetData>
  <pageMargins left="0.7" right="0.7" top="0.75" bottom="0.75" header="0.3" footer="0.3"/>
  <ignoredErrors>
    <ignoredError sqref="B3:C3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51EA9-1165-49C5-8B08-4DC7E96195A5}">
  <sheetPr codeName="Sheet7"/>
  <dimension ref="A1:EC24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6" sqref="A6:A8"/>
    </sheetView>
  </sheetViews>
  <sheetFormatPr defaultColWidth="9.140625" defaultRowHeight="16.5" x14ac:dyDescent="0.3"/>
  <cols>
    <col min="1" max="1" width="27.710937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2"/>
  </cols>
  <sheetData>
    <row r="1" spans="1:133" s="51" customFormat="1" ht="36.950000000000003" customHeight="1" x14ac:dyDescent="0.25">
      <c r="A1" s="31" t="str">
        <f ca="1">"► PERFORMANCE SHIPMENT " &amp; HOME!$F$5</f>
        <v>► PERFORMANCE SHIPMENT 2025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112" t="s">
        <v>48</v>
      </c>
      <c r="B2" s="109" t="s">
        <v>28</v>
      </c>
      <c r="C2" s="110"/>
      <c r="D2" s="110"/>
      <c r="E2" s="110"/>
      <c r="F2" s="110"/>
      <c r="G2" s="110"/>
      <c r="H2" s="110"/>
      <c r="I2" s="110"/>
      <c r="J2" s="110"/>
      <c r="K2" s="111"/>
      <c r="L2" s="21"/>
      <c r="M2" s="109" t="s">
        <v>26</v>
      </c>
      <c r="N2" s="110"/>
      <c r="O2" s="110"/>
      <c r="P2" s="110"/>
      <c r="Q2" s="110"/>
      <c r="R2" s="110"/>
      <c r="S2" s="110"/>
      <c r="T2" s="110"/>
      <c r="U2" s="110"/>
      <c r="V2" s="111"/>
      <c r="W2" s="21"/>
      <c r="X2" s="109" t="s">
        <v>29</v>
      </c>
      <c r="Y2" s="110"/>
      <c r="Z2" s="110"/>
      <c r="AA2" s="110"/>
      <c r="AB2" s="110"/>
      <c r="AC2" s="110"/>
      <c r="AD2" s="110"/>
      <c r="AE2" s="110"/>
      <c r="AF2" s="110"/>
      <c r="AG2" s="111"/>
      <c r="AH2" s="21"/>
      <c r="AI2" s="109" t="s">
        <v>30</v>
      </c>
      <c r="AJ2" s="110"/>
      <c r="AK2" s="110"/>
      <c r="AL2" s="110"/>
      <c r="AM2" s="110"/>
      <c r="AN2" s="110"/>
      <c r="AO2" s="110"/>
      <c r="AP2" s="110"/>
      <c r="AQ2" s="110"/>
      <c r="AR2" s="111"/>
      <c r="AS2" s="21"/>
      <c r="AT2" s="109" t="s">
        <v>31</v>
      </c>
      <c r="AU2" s="110"/>
      <c r="AV2" s="110"/>
      <c r="AW2" s="110"/>
      <c r="AX2" s="110"/>
      <c r="AY2" s="110"/>
      <c r="AZ2" s="110"/>
      <c r="BA2" s="110"/>
      <c r="BB2" s="110"/>
      <c r="BC2" s="111"/>
      <c r="BD2" s="21"/>
      <c r="BE2" s="109" t="s">
        <v>32</v>
      </c>
      <c r="BF2" s="110"/>
      <c r="BG2" s="110"/>
      <c r="BH2" s="110"/>
      <c r="BI2" s="110"/>
      <c r="BJ2" s="110"/>
      <c r="BK2" s="110"/>
      <c r="BL2" s="110"/>
      <c r="BM2" s="110"/>
      <c r="BN2" s="111"/>
      <c r="BO2" s="21"/>
      <c r="BP2" s="109" t="s">
        <v>33</v>
      </c>
      <c r="BQ2" s="110"/>
      <c r="BR2" s="110"/>
      <c r="BS2" s="110"/>
      <c r="BT2" s="110"/>
      <c r="BU2" s="110"/>
      <c r="BV2" s="110"/>
      <c r="BW2" s="110"/>
      <c r="BX2" s="110"/>
      <c r="BY2" s="111"/>
      <c r="BZ2" s="21"/>
      <c r="CA2" s="109" t="s">
        <v>34</v>
      </c>
      <c r="CB2" s="110"/>
      <c r="CC2" s="110"/>
      <c r="CD2" s="110"/>
      <c r="CE2" s="110"/>
      <c r="CF2" s="110"/>
      <c r="CG2" s="110"/>
      <c r="CH2" s="110"/>
      <c r="CI2" s="110"/>
      <c r="CJ2" s="111"/>
      <c r="CK2" s="21"/>
      <c r="CL2" s="109" t="s">
        <v>35</v>
      </c>
      <c r="CM2" s="110"/>
      <c r="CN2" s="110"/>
      <c r="CO2" s="110"/>
      <c r="CP2" s="110"/>
      <c r="CQ2" s="110"/>
      <c r="CR2" s="110"/>
      <c r="CS2" s="110"/>
      <c r="CT2" s="110"/>
      <c r="CU2" s="111"/>
      <c r="CV2" s="21"/>
      <c r="CW2" s="109" t="s">
        <v>36</v>
      </c>
      <c r="CX2" s="110"/>
      <c r="CY2" s="110"/>
      <c r="CZ2" s="110"/>
      <c r="DA2" s="110"/>
      <c r="DB2" s="110"/>
      <c r="DC2" s="110"/>
      <c r="DD2" s="110"/>
      <c r="DE2" s="110"/>
      <c r="DF2" s="111"/>
      <c r="DG2" s="21"/>
      <c r="DH2" s="109" t="s">
        <v>37</v>
      </c>
      <c r="DI2" s="110"/>
      <c r="DJ2" s="110"/>
      <c r="DK2" s="110"/>
      <c r="DL2" s="110"/>
      <c r="DM2" s="110"/>
      <c r="DN2" s="110"/>
      <c r="DO2" s="110"/>
      <c r="DP2" s="110"/>
      <c r="DQ2" s="111"/>
      <c r="DR2" s="21"/>
      <c r="DS2" s="109" t="s">
        <v>38</v>
      </c>
      <c r="DT2" s="110"/>
      <c r="DU2" s="110"/>
      <c r="DV2" s="110"/>
      <c r="DW2" s="110"/>
      <c r="DX2" s="110"/>
      <c r="DY2" s="110"/>
      <c r="DZ2" s="110"/>
      <c r="EA2" s="110"/>
      <c r="EB2" s="111"/>
      <c r="EC2" s="21"/>
    </row>
    <row r="3" spans="1:133" ht="15.75" x14ac:dyDescent="0.3">
      <c r="A3" s="112"/>
      <c r="B3" s="107" t="s">
        <v>17</v>
      </c>
      <c r="C3" s="107"/>
      <c r="D3" s="107"/>
      <c r="E3" s="107"/>
      <c r="F3" s="107"/>
      <c r="G3" s="108" t="s">
        <v>18</v>
      </c>
      <c r="H3" s="108"/>
      <c r="I3" s="108"/>
      <c r="J3" s="108"/>
      <c r="K3" s="108"/>
      <c r="L3" s="28"/>
      <c r="M3" s="107" t="s">
        <v>17</v>
      </c>
      <c r="N3" s="107"/>
      <c r="O3" s="107"/>
      <c r="P3" s="107"/>
      <c r="Q3" s="107"/>
      <c r="R3" s="108" t="s">
        <v>18</v>
      </c>
      <c r="S3" s="108"/>
      <c r="T3" s="108"/>
      <c r="U3" s="108"/>
      <c r="V3" s="108"/>
      <c r="W3" s="28"/>
      <c r="X3" s="107" t="s">
        <v>17</v>
      </c>
      <c r="Y3" s="107"/>
      <c r="Z3" s="107"/>
      <c r="AA3" s="107"/>
      <c r="AB3" s="107"/>
      <c r="AC3" s="108" t="s">
        <v>18</v>
      </c>
      <c r="AD3" s="108"/>
      <c r="AE3" s="108"/>
      <c r="AF3" s="108"/>
      <c r="AG3" s="108"/>
      <c r="AH3" s="28"/>
      <c r="AI3" s="107" t="s">
        <v>17</v>
      </c>
      <c r="AJ3" s="107"/>
      <c r="AK3" s="107"/>
      <c r="AL3" s="107"/>
      <c r="AM3" s="107"/>
      <c r="AN3" s="108" t="s">
        <v>18</v>
      </c>
      <c r="AO3" s="108"/>
      <c r="AP3" s="108"/>
      <c r="AQ3" s="108"/>
      <c r="AR3" s="108"/>
      <c r="AS3" s="28"/>
      <c r="AT3" s="107" t="s">
        <v>17</v>
      </c>
      <c r="AU3" s="107"/>
      <c r="AV3" s="107"/>
      <c r="AW3" s="107"/>
      <c r="AX3" s="107"/>
      <c r="AY3" s="108" t="s">
        <v>18</v>
      </c>
      <c r="AZ3" s="108"/>
      <c r="BA3" s="108"/>
      <c r="BB3" s="108"/>
      <c r="BC3" s="108"/>
      <c r="BD3" s="28"/>
      <c r="BE3" s="107" t="s">
        <v>17</v>
      </c>
      <c r="BF3" s="107"/>
      <c r="BG3" s="107"/>
      <c r="BH3" s="107"/>
      <c r="BI3" s="107"/>
      <c r="BJ3" s="108" t="s">
        <v>18</v>
      </c>
      <c r="BK3" s="108"/>
      <c r="BL3" s="108"/>
      <c r="BM3" s="108"/>
      <c r="BN3" s="108"/>
      <c r="BO3" s="28"/>
      <c r="BP3" s="107" t="s">
        <v>17</v>
      </c>
      <c r="BQ3" s="107"/>
      <c r="BR3" s="107"/>
      <c r="BS3" s="107"/>
      <c r="BT3" s="107"/>
      <c r="BU3" s="108" t="s">
        <v>18</v>
      </c>
      <c r="BV3" s="108"/>
      <c r="BW3" s="108"/>
      <c r="BX3" s="108"/>
      <c r="BY3" s="108"/>
      <c r="BZ3" s="28"/>
      <c r="CA3" s="107" t="s">
        <v>17</v>
      </c>
      <c r="CB3" s="107"/>
      <c r="CC3" s="107"/>
      <c r="CD3" s="107"/>
      <c r="CE3" s="107"/>
      <c r="CF3" s="108" t="s">
        <v>18</v>
      </c>
      <c r="CG3" s="108"/>
      <c r="CH3" s="108"/>
      <c r="CI3" s="108"/>
      <c r="CJ3" s="108"/>
      <c r="CK3" s="28"/>
      <c r="CL3" s="107" t="s">
        <v>17</v>
      </c>
      <c r="CM3" s="107"/>
      <c r="CN3" s="107"/>
      <c r="CO3" s="107"/>
      <c r="CP3" s="107"/>
      <c r="CQ3" s="108" t="s">
        <v>18</v>
      </c>
      <c r="CR3" s="108"/>
      <c r="CS3" s="108"/>
      <c r="CT3" s="108"/>
      <c r="CU3" s="108"/>
      <c r="CV3" s="28"/>
      <c r="CW3" s="107" t="s">
        <v>17</v>
      </c>
      <c r="CX3" s="107"/>
      <c r="CY3" s="107"/>
      <c r="CZ3" s="107"/>
      <c r="DA3" s="107"/>
      <c r="DB3" s="108" t="s">
        <v>18</v>
      </c>
      <c r="DC3" s="108"/>
      <c r="DD3" s="108"/>
      <c r="DE3" s="108"/>
      <c r="DF3" s="108"/>
      <c r="DG3" s="28"/>
      <c r="DH3" s="107" t="s">
        <v>17</v>
      </c>
      <c r="DI3" s="107"/>
      <c r="DJ3" s="107"/>
      <c r="DK3" s="107"/>
      <c r="DL3" s="107"/>
      <c r="DM3" s="108" t="s">
        <v>18</v>
      </c>
      <c r="DN3" s="108"/>
      <c r="DO3" s="108"/>
      <c r="DP3" s="108"/>
      <c r="DQ3" s="108"/>
      <c r="DR3" s="28"/>
      <c r="DS3" s="107" t="s">
        <v>17</v>
      </c>
      <c r="DT3" s="107"/>
      <c r="DU3" s="107"/>
      <c r="DV3" s="107"/>
      <c r="DW3" s="107"/>
      <c r="DX3" s="108" t="s">
        <v>18</v>
      </c>
      <c r="DY3" s="108"/>
      <c r="DZ3" s="108"/>
      <c r="EA3" s="108"/>
      <c r="EB3" s="108"/>
      <c r="EC3" s="28"/>
    </row>
    <row r="4" spans="1:133" s="53" customFormat="1" ht="15" x14ac:dyDescent="0.35">
      <c r="A4" s="113"/>
      <c r="B4" s="34" t="s">
        <v>21</v>
      </c>
      <c r="C4" s="34" t="s">
        <v>22</v>
      </c>
      <c r="D4" s="34" t="s">
        <v>23</v>
      </c>
      <c r="E4" s="34" t="s">
        <v>24</v>
      </c>
      <c r="F4" s="34" t="s">
        <v>25</v>
      </c>
      <c r="G4" s="34" t="s">
        <v>21</v>
      </c>
      <c r="H4" s="34" t="s">
        <v>22</v>
      </c>
      <c r="I4" s="34" t="s">
        <v>23</v>
      </c>
      <c r="J4" s="34" t="s">
        <v>24</v>
      </c>
      <c r="K4" s="34" t="s">
        <v>25</v>
      </c>
      <c r="L4" s="35"/>
      <c r="M4" s="34" t="s">
        <v>21</v>
      </c>
      <c r="N4" s="34" t="s">
        <v>22</v>
      </c>
      <c r="O4" s="34" t="s">
        <v>23</v>
      </c>
      <c r="P4" s="34" t="s">
        <v>24</v>
      </c>
      <c r="Q4" s="34" t="s">
        <v>25</v>
      </c>
      <c r="R4" s="34" t="s">
        <v>21</v>
      </c>
      <c r="S4" s="34" t="s">
        <v>22</v>
      </c>
      <c r="T4" s="34" t="s">
        <v>23</v>
      </c>
      <c r="U4" s="34" t="s">
        <v>24</v>
      </c>
      <c r="V4" s="34" t="s">
        <v>25</v>
      </c>
      <c r="W4" s="35"/>
      <c r="X4" s="34" t="s">
        <v>21</v>
      </c>
      <c r="Y4" s="34" t="s">
        <v>22</v>
      </c>
      <c r="Z4" s="34" t="s">
        <v>23</v>
      </c>
      <c r="AA4" s="34" t="s">
        <v>24</v>
      </c>
      <c r="AB4" s="34" t="s">
        <v>25</v>
      </c>
      <c r="AC4" s="34" t="s">
        <v>21</v>
      </c>
      <c r="AD4" s="34" t="s">
        <v>22</v>
      </c>
      <c r="AE4" s="34" t="s">
        <v>23</v>
      </c>
      <c r="AF4" s="34" t="s">
        <v>24</v>
      </c>
      <c r="AG4" s="34" t="s">
        <v>25</v>
      </c>
      <c r="AH4" s="35"/>
      <c r="AI4" s="34" t="s">
        <v>21</v>
      </c>
      <c r="AJ4" s="34" t="s">
        <v>22</v>
      </c>
      <c r="AK4" s="34" t="s">
        <v>23</v>
      </c>
      <c r="AL4" s="34" t="s">
        <v>24</v>
      </c>
      <c r="AM4" s="34" t="s">
        <v>25</v>
      </c>
      <c r="AN4" s="34" t="s">
        <v>21</v>
      </c>
      <c r="AO4" s="34" t="s">
        <v>22</v>
      </c>
      <c r="AP4" s="34" t="s">
        <v>23</v>
      </c>
      <c r="AQ4" s="34" t="s">
        <v>24</v>
      </c>
      <c r="AR4" s="34" t="s">
        <v>25</v>
      </c>
      <c r="AS4" s="35"/>
      <c r="AT4" s="34" t="s">
        <v>21</v>
      </c>
      <c r="AU4" s="34" t="s">
        <v>22</v>
      </c>
      <c r="AV4" s="34" t="s">
        <v>23</v>
      </c>
      <c r="AW4" s="34" t="s">
        <v>24</v>
      </c>
      <c r="AX4" s="34" t="s">
        <v>25</v>
      </c>
      <c r="AY4" s="34" t="s">
        <v>21</v>
      </c>
      <c r="AZ4" s="34" t="s">
        <v>22</v>
      </c>
      <c r="BA4" s="34" t="s">
        <v>23</v>
      </c>
      <c r="BB4" s="34" t="s">
        <v>24</v>
      </c>
      <c r="BC4" s="34" t="s">
        <v>25</v>
      </c>
      <c r="BD4" s="35"/>
      <c r="BE4" s="34" t="s">
        <v>21</v>
      </c>
      <c r="BF4" s="34" t="s">
        <v>22</v>
      </c>
      <c r="BG4" s="34" t="s">
        <v>23</v>
      </c>
      <c r="BH4" s="34" t="s">
        <v>24</v>
      </c>
      <c r="BI4" s="34" t="s">
        <v>25</v>
      </c>
      <c r="BJ4" s="34" t="s">
        <v>21</v>
      </c>
      <c r="BK4" s="34" t="s">
        <v>22</v>
      </c>
      <c r="BL4" s="34" t="s">
        <v>23</v>
      </c>
      <c r="BM4" s="34" t="s">
        <v>24</v>
      </c>
      <c r="BN4" s="34" t="s">
        <v>25</v>
      </c>
      <c r="BO4" s="35"/>
      <c r="BP4" s="34" t="s">
        <v>21</v>
      </c>
      <c r="BQ4" s="34" t="s">
        <v>22</v>
      </c>
      <c r="BR4" s="34" t="s">
        <v>23</v>
      </c>
      <c r="BS4" s="34" t="s">
        <v>24</v>
      </c>
      <c r="BT4" s="34" t="s">
        <v>25</v>
      </c>
      <c r="BU4" s="34" t="s">
        <v>21</v>
      </c>
      <c r="BV4" s="34" t="s">
        <v>22</v>
      </c>
      <c r="BW4" s="34" t="s">
        <v>23</v>
      </c>
      <c r="BX4" s="34" t="s">
        <v>24</v>
      </c>
      <c r="BY4" s="34" t="s">
        <v>25</v>
      </c>
      <c r="BZ4" s="35"/>
      <c r="CA4" s="34" t="s">
        <v>21</v>
      </c>
      <c r="CB4" s="34" t="s">
        <v>22</v>
      </c>
      <c r="CC4" s="34" t="s">
        <v>23</v>
      </c>
      <c r="CD4" s="34" t="s">
        <v>24</v>
      </c>
      <c r="CE4" s="34" t="s">
        <v>25</v>
      </c>
      <c r="CF4" s="34" t="s">
        <v>21</v>
      </c>
      <c r="CG4" s="34" t="s">
        <v>22</v>
      </c>
      <c r="CH4" s="34" t="s">
        <v>23</v>
      </c>
      <c r="CI4" s="34" t="s">
        <v>24</v>
      </c>
      <c r="CJ4" s="34" t="s">
        <v>25</v>
      </c>
      <c r="CK4" s="35"/>
      <c r="CL4" s="34" t="s">
        <v>21</v>
      </c>
      <c r="CM4" s="34" t="s">
        <v>22</v>
      </c>
      <c r="CN4" s="34" t="s">
        <v>23</v>
      </c>
      <c r="CO4" s="34" t="s">
        <v>24</v>
      </c>
      <c r="CP4" s="34" t="s">
        <v>25</v>
      </c>
      <c r="CQ4" s="34" t="s">
        <v>21</v>
      </c>
      <c r="CR4" s="34" t="s">
        <v>22</v>
      </c>
      <c r="CS4" s="34" t="s">
        <v>23</v>
      </c>
      <c r="CT4" s="34" t="s">
        <v>24</v>
      </c>
      <c r="CU4" s="34" t="s">
        <v>25</v>
      </c>
      <c r="CV4" s="35"/>
      <c r="CW4" s="34" t="s">
        <v>21</v>
      </c>
      <c r="CX4" s="34" t="s">
        <v>22</v>
      </c>
      <c r="CY4" s="34" t="s">
        <v>23</v>
      </c>
      <c r="CZ4" s="34" t="s">
        <v>24</v>
      </c>
      <c r="DA4" s="34" t="s">
        <v>25</v>
      </c>
      <c r="DB4" s="34" t="s">
        <v>21</v>
      </c>
      <c r="DC4" s="34" t="s">
        <v>22</v>
      </c>
      <c r="DD4" s="34" t="s">
        <v>23</v>
      </c>
      <c r="DE4" s="34" t="s">
        <v>24</v>
      </c>
      <c r="DF4" s="34" t="s">
        <v>25</v>
      </c>
      <c r="DG4" s="35"/>
      <c r="DH4" s="34" t="s">
        <v>21</v>
      </c>
      <c r="DI4" s="34" t="s">
        <v>22</v>
      </c>
      <c r="DJ4" s="34" t="s">
        <v>23</v>
      </c>
      <c r="DK4" s="34" t="s">
        <v>24</v>
      </c>
      <c r="DL4" s="34" t="s">
        <v>25</v>
      </c>
      <c r="DM4" s="34" t="s">
        <v>21</v>
      </c>
      <c r="DN4" s="34" t="s">
        <v>22</v>
      </c>
      <c r="DO4" s="34" t="s">
        <v>23</v>
      </c>
      <c r="DP4" s="34" t="s">
        <v>24</v>
      </c>
      <c r="DQ4" s="34" t="s">
        <v>25</v>
      </c>
      <c r="DR4" s="35"/>
      <c r="DS4" s="34" t="s">
        <v>21</v>
      </c>
      <c r="DT4" s="34" t="s">
        <v>22</v>
      </c>
      <c r="DU4" s="34" t="s">
        <v>23</v>
      </c>
      <c r="DV4" s="34" t="s">
        <v>24</v>
      </c>
      <c r="DW4" s="34" t="s">
        <v>25</v>
      </c>
      <c r="DX4" s="34" t="s">
        <v>21</v>
      </c>
      <c r="DY4" s="34" t="s">
        <v>22</v>
      </c>
      <c r="DZ4" s="34" t="s">
        <v>23</v>
      </c>
      <c r="EA4" s="34" t="s">
        <v>24</v>
      </c>
      <c r="EB4" s="34" t="s">
        <v>25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69" t="s">
        <v>11</v>
      </c>
      <c r="B6" s="75">
        <f>IFERROR(VLOOKUP($B$2&amp;"-"&amp; RIGHT(B$4,1)&amp;"-"&amp;$A6,CC1_InputUser!$L:$N,2,FALSE),0)</f>
        <v>0</v>
      </c>
      <c r="C6" s="75">
        <f>IFERROR(VLOOKUP($B$2&amp;"-"&amp; RIGHT(C$4,1)&amp;"-"&amp;$A6,CC1_InputUser!$L:$N,2,FALSE),0)</f>
        <v>0</v>
      </c>
      <c r="D6" s="75">
        <f>IFERROR(VLOOKUP($B$2&amp;"-"&amp; RIGHT(D$4,1)&amp;"-"&amp;$A6,CC1_InputUser!$L:$N,2,FALSE),0)</f>
        <v>0</v>
      </c>
      <c r="E6" s="75">
        <f>IFERROR(VLOOKUP($B$2&amp;"-"&amp; RIGHT(E$4,1)&amp;"-"&amp;$A6,CC1_InputUser!$L:$N,2,FALSE),0)</f>
        <v>0</v>
      </c>
      <c r="F6" s="75">
        <f>IFERROR(VLOOKUP($B$2&amp;"-"&amp; RIGHT(F$4,1)&amp;"-"&amp;$A6,CC1_InputUser!$L:$N,2,FALSE),0)</f>
        <v>0</v>
      </c>
      <c r="G6" s="75">
        <f>IFERROR(VLOOKUP($B$2&amp;"-"&amp; RIGHT(G$4,1)&amp;"-"&amp;$A6,CC1_InputUser!$L:$N,3,FALSE),0)</f>
        <v>0</v>
      </c>
      <c r="H6" s="75">
        <f>IFERROR(VLOOKUP($B$2&amp;"-"&amp; RIGHT(H$4,1)&amp;"-"&amp;$A6,CC1_InputUser!$L:$N,3,FALSE),0)</f>
        <v>0</v>
      </c>
      <c r="I6" s="75">
        <f>IFERROR(VLOOKUP($B$2&amp;"-"&amp; RIGHT(I$4,1)&amp;"-"&amp;$A6,CC1_InputUser!$L:$N,3,FALSE),0)</f>
        <v>0</v>
      </c>
      <c r="J6" s="75">
        <f>IFERROR(VLOOKUP($B$2&amp;"-"&amp; RIGHT(J$4,1)&amp;"-"&amp;$A6,CC1_InputUser!$L:$N,3,FALSE),0)</f>
        <v>0</v>
      </c>
      <c r="K6" s="75">
        <f>IFERROR(VLOOKUP($B$2&amp;"-"&amp; RIGHT(K$4,1)&amp;"-"&amp;$A6,CC1_InputUser!$L:$N,3,FALSE),0)</f>
        <v>0</v>
      </c>
      <c r="L6" s="76"/>
      <c r="M6" s="75">
        <f>IFERROR(VLOOKUP($M$2&amp;"-"&amp; RIGHT(M$4,1)&amp;"-"&amp;$A6,CC1_InputUser!$L:$N,2,FALSE),0)</f>
        <v>0</v>
      </c>
      <c r="N6" s="75">
        <f>IFERROR(VLOOKUP($M$2&amp;"-"&amp; RIGHT(N$4,1)&amp;"-"&amp;$A6,CC1_InputUser!$L:$N,2,FALSE),0)</f>
        <v>0</v>
      </c>
      <c r="O6" s="75">
        <f>IFERROR(VLOOKUP($M$2&amp;"-"&amp; RIGHT(O$4,1)&amp;"-"&amp;$A6,CC1_InputUser!$L:$N,2,FALSE),0)</f>
        <v>0</v>
      </c>
      <c r="P6" s="75">
        <f>IFERROR(VLOOKUP($M$2&amp;"-"&amp; RIGHT(P$4,1)&amp;"-"&amp;$A6,CC1_InputUser!$L:$N,2,FALSE),0)</f>
        <v>0</v>
      </c>
      <c r="Q6" s="75">
        <f>IFERROR(VLOOKUP($M$2&amp;"-"&amp; RIGHT(Q$4,1)&amp;"-"&amp;$A6,CC1_InputUser!$L:$N,2,FALSE),0)</f>
        <v>0</v>
      </c>
      <c r="R6" s="75">
        <f>IFERROR(VLOOKUP($M$2&amp;"-"&amp; RIGHT(R$4,1)&amp;"-"&amp;$A6,CC1_InputUser!$L:$N,3,FALSE),0)</f>
        <v>0</v>
      </c>
      <c r="S6" s="75">
        <f>IFERROR(VLOOKUP($M$2&amp;"-"&amp; RIGHT(S$4,1)&amp;"-"&amp;$A6,CC1_InputUser!$L:$N,3,FALSE),0)</f>
        <v>0</v>
      </c>
      <c r="T6" s="75">
        <f>IFERROR(VLOOKUP($M$2&amp;"-"&amp; RIGHT(T$4,1)&amp;"-"&amp;$A6,CC1_InputUser!$L:$N,3,FALSE),0)</f>
        <v>0</v>
      </c>
      <c r="U6" s="75">
        <f>IFERROR(VLOOKUP($M$2&amp;"-"&amp; RIGHT(U$4,1)&amp;"-"&amp;$A6,CC1_InputUser!$L:$N,3,FALSE),0)</f>
        <v>0</v>
      </c>
      <c r="V6" s="75">
        <f>IFERROR(VLOOKUP($M$2&amp;"-"&amp; RIGHT(V$4,1)&amp;"-"&amp;$A6,CC1_InputUser!$L:$N,3,FALSE),0)</f>
        <v>0</v>
      </c>
      <c r="W6" s="76"/>
      <c r="X6" s="75">
        <f>IFERROR(VLOOKUP($X$2&amp;"-"&amp; RIGHT(X$4,1)&amp;"-"&amp;$A6,CC1_InputUser!$L:$N,2,FALSE),0)</f>
        <v>0</v>
      </c>
      <c r="Y6" s="75">
        <f>IFERROR(VLOOKUP($X$2&amp;"-"&amp; RIGHT(Y$4,1)&amp;"-"&amp;$A6,CC1_InputUser!$L:$N,2,FALSE),0)</f>
        <v>0</v>
      </c>
      <c r="Z6" s="75">
        <f>IFERROR(VLOOKUP($X$2&amp;"-"&amp; RIGHT(Z$4,1)&amp;"-"&amp;$A6,CC1_InputUser!$L:$N,2,FALSE),0)</f>
        <v>0</v>
      </c>
      <c r="AA6" s="75">
        <f>IFERROR(VLOOKUP($X$2&amp;"-"&amp; RIGHT(AA$4,1)&amp;"-"&amp;$A6,CC1_InputUser!$L:$N,2,FALSE),0)</f>
        <v>0</v>
      </c>
      <c r="AB6" s="75">
        <f>IFERROR(VLOOKUP($X$2&amp;"-"&amp; RIGHT(AB$4,1)&amp;"-"&amp;$A6,CC1_InputUser!$L:$N,2,FALSE),0)</f>
        <v>0</v>
      </c>
      <c r="AC6" s="75">
        <f>IFERROR(VLOOKUP($X$2&amp;"-"&amp; RIGHT(AC$4,1)&amp;"-"&amp;$A6,CC1_InputUser!$L:$N,3,FALSE),0)</f>
        <v>0</v>
      </c>
      <c r="AD6" s="75">
        <f>IFERROR(VLOOKUP($X$2&amp;"-"&amp; RIGHT(AD$4,1)&amp;"-"&amp;$A6,CC1_InputUser!$L:$N,3,FALSE),0)</f>
        <v>0</v>
      </c>
      <c r="AE6" s="75">
        <f>IFERROR(VLOOKUP($X$2&amp;"-"&amp; RIGHT(AE$4,1)&amp;"-"&amp;$A6,CC1_InputUser!$L:$N,3,FALSE),0)</f>
        <v>0</v>
      </c>
      <c r="AF6" s="75">
        <f>IFERROR(VLOOKUP($X$2&amp;"-"&amp; RIGHT(AF$4,1)&amp;"-"&amp;$A6,CC1_InputUser!$L:$N,3,FALSE),0)</f>
        <v>0</v>
      </c>
      <c r="AG6" s="75">
        <f>IFERROR(VLOOKUP($X$2&amp;"-"&amp; RIGHT(AG$4,1)&amp;"-"&amp;$A6,CC1_InputUser!$L:$N,3,FALSE),0)</f>
        <v>0</v>
      </c>
      <c r="AH6" s="76"/>
      <c r="AI6" s="75">
        <f>IFERROR(VLOOKUP($AI$2&amp;"-"&amp; RIGHT(AI$4,1)&amp;"-"&amp;$A6,CC1_InputUser!$L:$N,2,FALSE),0)</f>
        <v>0</v>
      </c>
      <c r="AJ6" s="75">
        <f>IFERROR(VLOOKUP($AI$2&amp;"-"&amp; RIGHT(AJ$4,1)&amp;"-"&amp;$A6,CC1_InputUser!$L:$N,2,FALSE),0)</f>
        <v>0</v>
      </c>
      <c r="AK6" s="75">
        <f>IFERROR(VLOOKUP($AI$2&amp;"-"&amp; RIGHT(AK$4,1)&amp;"-"&amp;$A6,CC1_InputUser!$L:$N,2,FALSE),0)</f>
        <v>0</v>
      </c>
      <c r="AL6" s="75">
        <f>IFERROR(VLOOKUP($AI$2&amp;"-"&amp; RIGHT(AL$4,1)&amp;"-"&amp;$A6,CC1_InputUser!$L:$N,2,FALSE),0)</f>
        <v>0</v>
      </c>
      <c r="AM6" s="75">
        <f>IFERROR(VLOOKUP($AI$2&amp;"-"&amp; RIGHT(AM$4,1)&amp;"-"&amp;$A6,CC1_InputUser!$L:$N,2,FALSE),0)</f>
        <v>0</v>
      </c>
      <c r="AN6" s="75">
        <f>IFERROR(VLOOKUP($AI$2&amp;"-"&amp; RIGHT(AN$4,1)&amp;"-"&amp;$A6,CC1_InputUser!$L:$N,3,FALSE),0)</f>
        <v>0</v>
      </c>
      <c r="AO6" s="75">
        <f>IFERROR(VLOOKUP($AI$2&amp;"-"&amp; RIGHT(AO$4,1)&amp;"-"&amp;$A6,CC1_InputUser!$L:$N,3,FALSE),0)</f>
        <v>0</v>
      </c>
      <c r="AP6" s="75">
        <f>IFERROR(VLOOKUP($AI$2&amp;"-"&amp; RIGHT(AP$4,1)&amp;"-"&amp;$A6,CC1_InputUser!$L:$N,3,FALSE),0)</f>
        <v>0</v>
      </c>
      <c r="AQ6" s="75">
        <f>IFERROR(VLOOKUP($AI$2&amp;"-"&amp; RIGHT(AQ$4,1)&amp;"-"&amp;$A6,CC1_InputUser!$L:$N,3,FALSE),0)</f>
        <v>0</v>
      </c>
      <c r="AR6" s="75">
        <f>IFERROR(VLOOKUP($AI$2&amp;"-"&amp; RIGHT(AR$4,1)&amp;"-"&amp;$A6,CC1_InputUser!$L:$N,3,FALSE),0)</f>
        <v>0</v>
      </c>
      <c r="AS6" s="75">
        <f>IFERROR(VLOOKUP($AI$2&amp;"-"&amp; RIGHT(AS$4,1)&amp;"-"&amp;$A6,CC1_InputUser!$L:$N,3,FALSE),0)</f>
        <v>0</v>
      </c>
      <c r="AT6" s="75">
        <f>IFERROR(VLOOKUP($AT$2&amp;"-"&amp; RIGHT(AT$4,1)&amp;"-"&amp;$A6,CC1_InputUser!$L:$N,2,FALSE),0)</f>
        <v>0</v>
      </c>
      <c r="AU6" s="75">
        <f>IFERROR(VLOOKUP($AT$2&amp;"-"&amp; RIGHT(AU$4,1)&amp;"-"&amp;$A6,CC1_InputUser!$L:$N,2,FALSE),0)</f>
        <v>0</v>
      </c>
      <c r="AV6" s="75">
        <f>IFERROR(VLOOKUP($AT$2&amp;"-"&amp; RIGHT(AV$4,1)&amp;"-"&amp;$A6,CC1_InputUser!$L:$N,2,FALSE),0)</f>
        <v>0</v>
      </c>
      <c r="AW6" s="75">
        <f>IFERROR(VLOOKUP($AT$2&amp;"-"&amp; RIGHT(AW$4,1)&amp;"-"&amp;$A6,CC1_InputUser!$L:$N,2,FALSE),0)</f>
        <v>0</v>
      </c>
      <c r="AX6" s="75">
        <f>IFERROR(VLOOKUP($AT$2&amp;"-"&amp; RIGHT(AX$4,1)&amp;"-"&amp;$A6,CC1_InputUser!$L:$N,2,FALSE),0)</f>
        <v>0</v>
      </c>
      <c r="AY6" s="75">
        <f>IFERROR(VLOOKUP($AT$2&amp;"-"&amp; RIGHT(AY$4,1)&amp;"-"&amp;$A6,CC1_InputUser!$L:$N,3,FALSE),0)</f>
        <v>0</v>
      </c>
      <c r="AZ6" s="75">
        <f>IFERROR(VLOOKUP($AT$2&amp;"-"&amp; RIGHT(AZ$4,1)&amp;"-"&amp;$A6,CC1_InputUser!$L:$N,3,FALSE),0)</f>
        <v>0</v>
      </c>
      <c r="BA6" s="75">
        <f>IFERROR(VLOOKUP($AT$2&amp;"-"&amp; RIGHT(BA$4,1)&amp;"-"&amp;$A6,CC1_InputUser!$L:$N,3,FALSE),0)</f>
        <v>0</v>
      </c>
      <c r="BB6" s="75">
        <f>IFERROR(VLOOKUP($AT$2&amp;"-"&amp; RIGHT(BB$4,1)&amp;"-"&amp;$A6,CC1_InputUser!$L:$N,3,FALSE),0)</f>
        <v>0</v>
      </c>
      <c r="BC6" s="75">
        <f>IFERROR(VLOOKUP($AT$2&amp;"-"&amp; RIGHT(BC$4,1)&amp;"-"&amp;$A6,CC1_InputUser!$L:$N,3,FALSE),0)</f>
        <v>0</v>
      </c>
      <c r="BD6" s="76"/>
      <c r="BE6" s="75">
        <f>IFERROR(VLOOKUP($AT$2&amp;"-"&amp; RIGHT(BE$4,1)&amp;"-"&amp;$A6,CC1_InputUser!$L:$N,2,FALSE),0)</f>
        <v>0</v>
      </c>
      <c r="BF6" s="75">
        <f>IFERROR(VLOOKUP($AT$2&amp;"-"&amp; RIGHT(BF$4,1)&amp;"-"&amp;$A6,CC1_InputUser!$L:$N,2,FALSE),0)</f>
        <v>0</v>
      </c>
      <c r="BG6" s="75">
        <f>IFERROR(VLOOKUP($AT$2&amp;"-"&amp; RIGHT(BG$4,1)&amp;"-"&amp;$A6,CC1_InputUser!$L:$N,2,FALSE),0)</f>
        <v>0</v>
      </c>
      <c r="BH6" s="75">
        <f>IFERROR(VLOOKUP($AT$2&amp;"-"&amp; RIGHT(BH$4,1)&amp;"-"&amp;$A6,CC1_InputUser!$L:$N,2,FALSE),0)</f>
        <v>0</v>
      </c>
      <c r="BI6" s="75">
        <f>IFERROR(VLOOKUP($AT$2&amp;"-"&amp; RIGHT(BI$4,1)&amp;"-"&amp;$A6,CC1_InputUser!$L:$N,2,FALSE),0)</f>
        <v>0</v>
      </c>
      <c r="BJ6" s="75">
        <f>IFERROR(VLOOKUP($AT$2&amp;"-"&amp; RIGHT(BJ$4,1)&amp;"-"&amp;$A6,CC1_InputUser!$L:$N,3,FALSE),0)</f>
        <v>0</v>
      </c>
      <c r="BK6" s="75">
        <f>IFERROR(VLOOKUP($AT$2&amp;"-"&amp; RIGHT(BK$4,1)&amp;"-"&amp;$A6,CC1_InputUser!$L:$N,3,FALSE),0)</f>
        <v>0</v>
      </c>
      <c r="BL6" s="75">
        <f>IFERROR(VLOOKUP($AT$2&amp;"-"&amp; RIGHT(BL$4,1)&amp;"-"&amp;$A6,CC1_InputUser!$L:$N,3,FALSE),0)</f>
        <v>0</v>
      </c>
      <c r="BM6" s="75">
        <f>IFERROR(VLOOKUP($AT$2&amp;"-"&amp; RIGHT(BM$4,1)&amp;"-"&amp;$A6,CC1_InputUser!$L:$N,3,FALSE),0)</f>
        <v>0</v>
      </c>
      <c r="BN6" s="75">
        <f>IFERROR(VLOOKUP($AT$2&amp;"-"&amp; RIGHT(BN$4,1)&amp;"-"&amp;$A6,CC1_InputUser!$L:$N,3,FALSE),0)</f>
        <v>0</v>
      </c>
      <c r="BO6" s="76"/>
      <c r="BP6" s="75">
        <f>IFERROR(VLOOKUP($BP$2&amp;"-"&amp; RIGHT(BP$4,1)&amp;"-"&amp;$A6,CC1_InputUser!$L:$N,2,FALSE),0)</f>
        <v>0</v>
      </c>
      <c r="BQ6" s="75">
        <f>IFERROR(VLOOKUP($BP$2&amp;"-"&amp; RIGHT(BQ$4,1)&amp;"-"&amp;$A6,CC1_InputUser!$L:$N,2,FALSE),0)</f>
        <v>0</v>
      </c>
      <c r="BR6" s="75">
        <f>IFERROR(VLOOKUP($BP$2&amp;"-"&amp; RIGHT(BR$4,1)&amp;"-"&amp;$A6,CC1_InputUser!$L:$N,2,FALSE),0)</f>
        <v>0</v>
      </c>
      <c r="BS6" s="75">
        <f>IFERROR(VLOOKUP($BP$2&amp;"-"&amp; RIGHT(BS$4,1)&amp;"-"&amp;$A6,CC1_InputUser!$L:$N,2,FALSE),0)</f>
        <v>0</v>
      </c>
      <c r="BT6" s="75">
        <f>IFERROR(VLOOKUP($BP$2&amp;"-"&amp; RIGHT(BT$4,1)&amp;"-"&amp;$A6,CC1_InputUser!$L:$N,2,FALSE),0)</f>
        <v>0</v>
      </c>
      <c r="BU6" s="75">
        <f>IFERROR(VLOOKUP($BP$2&amp;"-"&amp; RIGHT(BU$4,1)&amp;"-"&amp;$A6,CC1_InputUser!$L:$N,3,FALSE),0)</f>
        <v>0</v>
      </c>
      <c r="BV6" s="75">
        <f>IFERROR(VLOOKUP($BP$2&amp;"-"&amp; RIGHT(BV$4,1)&amp;"-"&amp;$A6,CC1_InputUser!$L:$N,3,FALSE),0)</f>
        <v>0</v>
      </c>
      <c r="BW6" s="75">
        <f>IFERROR(VLOOKUP($BP$2&amp;"-"&amp; RIGHT(BW$4,1)&amp;"-"&amp;$A6,CC1_InputUser!$L:$N,3,FALSE),0)</f>
        <v>0</v>
      </c>
      <c r="BX6" s="75">
        <f>IFERROR(VLOOKUP($BP$2&amp;"-"&amp; RIGHT(BX$4,1)&amp;"-"&amp;$A6,CC1_InputUser!$L:$N,3,FALSE),0)</f>
        <v>0</v>
      </c>
      <c r="BY6" s="75">
        <f>IFERROR(VLOOKUP($BP$2&amp;"-"&amp; RIGHT(BY$4,1)&amp;"-"&amp;$A6,CC1_InputUser!$L:$N,3,FALSE),0)</f>
        <v>0</v>
      </c>
      <c r="BZ6" s="76"/>
      <c r="CA6" s="75">
        <f>IFERROR(VLOOKUP($CA$2&amp;"-"&amp; RIGHT(CA$4,1)&amp;"-"&amp;$A6,CC1_InputUser!$L:$N,2,FALSE),0)</f>
        <v>0</v>
      </c>
      <c r="CB6" s="75">
        <f>IFERROR(VLOOKUP($CA$2&amp;"-"&amp; RIGHT(CB$4,1)&amp;"-"&amp;$A6,CC1_InputUser!$L:$N,2,FALSE),0)</f>
        <v>0</v>
      </c>
      <c r="CC6" s="75">
        <f>IFERROR(VLOOKUP($CA$2&amp;"-"&amp; RIGHT(CC$4,1)&amp;"-"&amp;$A6,CC1_InputUser!$L:$N,2,FALSE),0)</f>
        <v>0</v>
      </c>
      <c r="CD6" s="75">
        <f>IFERROR(VLOOKUP($CA$2&amp;"-"&amp; RIGHT(CD$4,1)&amp;"-"&amp;$A6,CC1_InputUser!$L:$N,2,FALSE),0)</f>
        <v>0</v>
      </c>
      <c r="CE6" s="75">
        <f>IFERROR(VLOOKUP($CA$2&amp;"-"&amp; RIGHT(CE$4,1)&amp;"-"&amp;$A6,CC1_InputUser!$L:$N,2,FALSE),0)</f>
        <v>0</v>
      </c>
      <c r="CF6" s="75">
        <f>IFERROR(VLOOKUP($CA$2&amp;"-"&amp; RIGHT(CF$4,1)&amp;"-"&amp;$A6,CC1_InputUser!$L:$N,3,FALSE),0)</f>
        <v>0</v>
      </c>
      <c r="CG6" s="75">
        <f>IFERROR(VLOOKUP($CA$2&amp;"-"&amp; RIGHT(CG$4,1)&amp;"-"&amp;$A6,CC1_InputUser!$L:$N,3,FALSE),0)</f>
        <v>0</v>
      </c>
      <c r="CH6" s="75">
        <f>IFERROR(VLOOKUP($CA$2&amp;"-"&amp; RIGHT(CH$4,1)&amp;"-"&amp;$A6,CC1_InputUser!$L:$N,3,FALSE),0)</f>
        <v>0</v>
      </c>
      <c r="CI6" s="75">
        <f>IFERROR(VLOOKUP($CA$2&amp;"-"&amp; RIGHT(CI$4,1)&amp;"-"&amp;$A6,CC1_InputUser!$L:$N,3,FALSE),0)</f>
        <v>0</v>
      </c>
      <c r="CJ6" s="75">
        <f>IFERROR(VLOOKUP($CA$2&amp;"-"&amp; RIGHT(CJ$4,1)&amp;"-"&amp;$A6,CC1_InputUser!$L:$N,3,FALSE),0)</f>
        <v>0</v>
      </c>
      <c r="CK6" s="76"/>
      <c r="CL6" s="75">
        <f>IFERROR(VLOOKUP($CL$2&amp;"-"&amp; RIGHT(CL$4,1)&amp;"-"&amp;$A6,CC1_InputUser!$L:$N,2,FALSE),0)</f>
        <v>0</v>
      </c>
      <c r="CM6" s="75">
        <f>IFERROR(VLOOKUP($CL$2&amp;"-"&amp; RIGHT(CM$4,1)&amp;"-"&amp;$A6,CC1_InputUser!$L:$N,2,FALSE),0)</f>
        <v>0</v>
      </c>
      <c r="CN6" s="75">
        <f>IFERROR(VLOOKUP($CL$2&amp;"-"&amp; RIGHT(CN$4,1)&amp;"-"&amp;$A6,CC1_InputUser!$L:$N,2,FALSE),0)</f>
        <v>0</v>
      </c>
      <c r="CO6" s="75">
        <f>IFERROR(VLOOKUP($CL$2&amp;"-"&amp; RIGHT(CO$4,1)&amp;"-"&amp;$A6,CC1_InputUser!$L:$N,2,FALSE),0)</f>
        <v>0</v>
      </c>
      <c r="CP6" s="75">
        <f>IFERROR(VLOOKUP($CL$2&amp;"-"&amp; RIGHT(CP$4,1)&amp;"-"&amp;$A6,CC1_InputUser!$L:$N,2,FALSE),0)</f>
        <v>0</v>
      </c>
      <c r="CQ6" s="75">
        <f>IFERROR(VLOOKUP($CL$2&amp;"-"&amp; RIGHT(CQ$4,1)&amp;"-"&amp;$A6,CC1_InputUser!$L:$N,3,FALSE),0)</f>
        <v>0</v>
      </c>
      <c r="CR6" s="75">
        <f>IFERROR(VLOOKUP($CL$2&amp;"-"&amp; RIGHT(CR$4,1)&amp;"-"&amp;$A6,CC1_InputUser!$L:$N,3,FALSE),0)</f>
        <v>0</v>
      </c>
      <c r="CS6" s="75">
        <f>IFERROR(VLOOKUP($CL$2&amp;"-"&amp; RIGHT(CS$4,1)&amp;"-"&amp;$A6,CC1_InputUser!$L:$N,3,FALSE),0)</f>
        <v>0</v>
      </c>
      <c r="CT6" s="75">
        <f>IFERROR(VLOOKUP($CL$2&amp;"-"&amp; RIGHT(CT$4,1)&amp;"-"&amp;$A6,CC1_InputUser!$L:$N,3,FALSE),0)</f>
        <v>0</v>
      </c>
      <c r="CU6" s="75">
        <f>IFERROR(VLOOKUP($CL$2&amp;"-"&amp; RIGHT(CU$4,1)&amp;"-"&amp;$A6,CC1_InputUser!$L:$N,3,FALSE),0)</f>
        <v>0</v>
      </c>
      <c r="CV6" s="76"/>
      <c r="CW6" s="75">
        <f>IFERROR(VLOOKUP($CW$2&amp;"-"&amp; RIGHT(CW$4,1)&amp;"-"&amp;$A6,CC1_InputUser!$L:$N,2,FALSE),0)</f>
        <v>0</v>
      </c>
      <c r="CX6" s="75">
        <f>IFERROR(VLOOKUP($CW$2&amp;"-"&amp; RIGHT(CX$4,1)&amp;"-"&amp;$A6,CC1_InputUser!$L:$N,2,FALSE),0)</f>
        <v>0</v>
      </c>
      <c r="CY6" s="75">
        <f>IFERROR(VLOOKUP($CW$2&amp;"-"&amp; RIGHT(CY$4,1)&amp;"-"&amp;$A6,CC1_InputUser!$L:$N,2,FALSE),0)</f>
        <v>0</v>
      </c>
      <c r="CZ6" s="75">
        <f>IFERROR(VLOOKUP($CW$2&amp;"-"&amp; RIGHT(CZ$4,1)&amp;"-"&amp;$A6,CC1_InputUser!$L:$N,2,FALSE),0)</f>
        <v>0</v>
      </c>
      <c r="DA6" s="75">
        <f>IFERROR(VLOOKUP($CW$2&amp;"-"&amp; RIGHT(DA$4,1)&amp;"-"&amp;$A6,CC1_InputUser!$L:$N,2,FALSE),0)</f>
        <v>0</v>
      </c>
      <c r="DB6" s="75">
        <f>IFERROR(VLOOKUP($CW$2&amp;"-"&amp; RIGHT(DB$4,1)&amp;"-"&amp;$A6,CC1_InputUser!$L:$N,3,FALSE),0)</f>
        <v>0</v>
      </c>
      <c r="DC6" s="75">
        <f>IFERROR(VLOOKUP($CW$2&amp;"-"&amp; RIGHT(DC$4,1)&amp;"-"&amp;$A6,CC1_InputUser!$L:$N,3,FALSE),0)</f>
        <v>0</v>
      </c>
      <c r="DD6" s="75">
        <f>IFERROR(VLOOKUP($CW$2&amp;"-"&amp; RIGHT(DD$4,1)&amp;"-"&amp;$A6,CC1_InputUser!$L:$N,3,FALSE),0)</f>
        <v>0</v>
      </c>
      <c r="DE6" s="75">
        <f>IFERROR(VLOOKUP($CW$2&amp;"-"&amp; RIGHT(DE$4,1)&amp;"-"&amp;$A6,CC1_InputUser!$L:$N,3,FALSE),0)</f>
        <v>0</v>
      </c>
      <c r="DF6" s="75">
        <f>IFERROR(VLOOKUP($CW$2&amp;"-"&amp; RIGHT(DF$4,1)&amp;"-"&amp;$A6,CC1_InputUser!$L:$N,3,FALSE),0)</f>
        <v>0</v>
      </c>
      <c r="DG6" s="76"/>
      <c r="DH6" s="75">
        <f>IFERROR(VLOOKUP($DH$2&amp;"-"&amp; RIGHT(DH$4,1)&amp;"-"&amp;$A6,CC1_InputUser!$L:$N,2,FALSE),0)</f>
        <v>0</v>
      </c>
      <c r="DI6" s="75">
        <f>IFERROR(VLOOKUP($DH$2&amp;"-"&amp; RIGHT(DI$4,1)&amp;"-"&amp;$A6,CC1_InputUser!$L:$N,2,FALSE),0)</f>
        <v>0</v>
      </c>
      <c r="DJ6" s="75">
        <f>IFERROR(VLOOKUP($DH$2&amp;"-"&amp; RIGHT(DJ$4,1)&amp;"-"&amp;$A6,CC1_InputUser!$L:$N,2,FALSE),0)</f>
        <v>0</v>
      </c>
      <c r="DK6" s="75">
        <f>IFERROR(VLOOKUP($DH$2&amp;"-"&amp; RIGHT(DK$4,1)&amp;"-"&amp;$A6,CC1_InputUser!$L:$N,2,FALSE),0)</f>
        <v>0</v>
      </c>
      <c r="DL6" s="75">
        <f>IFERROR(VLOOKUP($DH$2&amp;"-"&amp; RIGHT(DL$4,1)&amp;"-"&amp;$A6,CC1_InputUser!$L:$N,2,FALSE),0)</f>
        <v>0</v>
      </c>
      <c r="DM6" s="75">
        <f>IFERROR(VLOOKUP($DH$2&amp;"-"&amp; RIGHT(DM$4,1)&amp;"-"&amp;$A6,CC1_InputUser!$L:$N,3,FALSE),0)</f>
        <v>0</v>
      </c>
      <c r="DN6" s="75">
        <f>IFERROR(VLOOKUP($DH$2&amp;"-"&amp; RIGHT(DN$4,1)&amp;"-"&amp;$A6,CC1_InputUser!$L:$N,3,FALSE),0)</f>
        <v>0</v>
      </c>
      <c r="DO6" s="75">
        <f>IFERROR(VLOOKUP($DH$2&amp;"-"&amp; RIGHT(DO$4,1)&amp;"-"&amp;$A6,CC1_InputUser!$L:$N,3,FALSE),0)</f>
        <v>0</v>
      </c>
      <c r="DP6" s="75">
        <f>IFERROR(VLOOKUP($DH$2&amp;"-"&amp; RIGHT(DP$4,1)&amp;"-"&amp;$A6,CC1_InputUser!$L:$N,3,FALSE),0)</f>
        <v>0</v>
      </c>
      <c r="DQ6" s="75">
        <f>IFERROR(VLOOKUP($DH$2&amp;"-"&amp; RIGHT(DQ$4,1)&amp;"-"&amp;$A6,CC1_InputUser!$L:$N,3,FALSE),0)</f>
        <v>0</v>
      </c>
      <c r="DR6" s="76"/>
      <c r="DS6" s="75">
        <f>IFERROR(VLOOKUP($DS$2&amp;"-"&amp; RIGHT(DS$4,1)&amp;"-"&amp;$A6,CC1_InputUser!$L:$N,2,FALSE),0)</f>
        <v>0.20652777777777787</v>
      </c>
      <c r="DT6" s="75">
        <f>IFERROR(VLOOKUP($DS$2&amp;"-"&amp; RIGHT(DT$4,1)&amp;"-"&amp;$A6,CC1_InputUser!$L:$N,2,FALSE),0)</f>
        <v>0</v>
      </c>
      <c r="DU6" s="75">
        <f>IFERROR(VLOOKUP($DS$2&amp;"-"&amp; RIGHT(DU$4,1)&amp;"-"&amp;$A6,CC1_InputUser!$L:$N,2,FALSE),0)</f>
        <v>0</v>
      </c>
      <c r="DV6" s="75">
        <f>IFERROR(VLOOKUP($DS$2&amp;"-"&amp; RIGHT(DV$4,1)&amp;"-"&amp;$A6,CC1_InputUser!$L:$N,2,FALSE),0)</f>
        <v>0</v>
      </c>
      <c r="DW6" s="75">
        <f>IFERROR(VLOOKUP($DS$2&amp;"-"&amp; RIGHT(DW$4,1)&amp;"-"&amp;$A6,CC1_InputUser!$L:$N,2,FALSE),0)</f>
        <v>0</v>
      </c>
      <c r="DX6" s="75">
        <f>IFERROR(VLOOKUP($DS$2&amp;"-"&amp; RIGHT(DX$4,1)&amp;"-"&amp;$A6,CC1_InputUser!$L:$N,3,FALSE),0)</f>
        <v>-0.53865241580124412</v>
      </c>
      <c r="DY6" s="75">
        <f>IFERROR(VLOOKUP($DS$2&amp;"-"&amp; RIGHT(DY$4,1)&amp;"-"&amp;$A6,CC1_InputUser!$L:$N,3,FALSE),0)</f>
        <v>0</v>
      </c>
      <c r="DZ6" s="75">
        <f>IFERROR(VLOOKUP($DS$2&amp;"-"&amp; RIGHT(DZ$4,1)&amp;"-"&amp;$A6,CC1_InputUser!$L:$N,3,FALSE),0)</f>
        <v>0</v>
      </c>
      <c r="EA6" s="75">
        <f>IFERROR(VLOOKUP($DS$2&amp;"-"&amp; RIGHT(EA$4,1)&amp;"-"&amp;$A6,CC1_InputUser!$L:$N,3,FALSE),0)</f>
        <v>0</v>
      </c>
      <c r="EB6" s="75">
        <f>IFERROR(VLOOKUP($DS$2&amp;"-"&amp; RIGHT(EB$4,1)&amp;"-"&amp;$A6,CC1_InputUser!$L:$N,3,FALSE),0)</f>
        <v>0</v>
      </c>
      <c r="EC6" s="76"/>
    </row>
    <row r="7" spans="1:133" x14ac:dyDescent="0.3">
      <c r="A7" s="70" t="s">
        <v>60</v>
      </c>
      <c r="B7" s="77">
        <f>IFERROR(VLOOKUP($B$2&amp;"-"&amp; RIGHT(B$4,1)&amp;"-"&amp;$A7,CC1_InputUser!$L:$N,2,FALSE),0)</f>
        <v>0</v>
      </c>
      <c r="C7" s="77">
        <f>IFERROR(VLOOKUP($B$2&amp;"-"&amp; RIGHT(C$4,1)&amp;"-"&amp;$A7,CC1_InputUser!$L:$N,2,FALSE),0)</f>
        <v>0</v>
      </c>
      <c r="D7" s="77">
        <f>IFERROR(VLOOKUP($B$2&amp;"-"&amp; RIGHT(D$4,1)&amp;"-"&amp;$A7,CC1_InputUser!$L:$N,2,FALSE),0)</f>
        <v>0</v>
      </c>
      <c r="E7" s="77">
        <f>IFERROR(VLOOKUP($B$2&amp;"-"&amp; RIGHT(E$4,1)&amp;"-"&amp;$A7,CC1_InputUser!$L:$N,2,FALSE),0)</f>
        <v>0</v>
      </c>
      <c r="F7" s="77">
        <f>IFERROR(VLOOKUP($B$2&amp;"-"&amp; RIGHT(F$4,1)&amp;"-"&amp;$A7,CC1_InputUser!$L:$N,2,FALSE),0)</f>
        <v>0</v>
      </c>
      <c r="G7" s="77">
        <f>IFERROR(VLOOKUP($B$2&amp;"-"&amp; RIGHT(G$4,1)&amp;"-"&amp;$A7,CC1_InputUser!$L:$N,3,FALSE),0)</f>
        <v>0</v>
      </c>
      <c r="H7" s="77">
        <f>IFERROR(VLOOKUP($B$2&amp;"-"&amp; RIGHT(H$4,1)&amp;"-"&amp;$A7,CC1_InputUser!$L:$N,3,FALSE),0)</f>
        <v>0</v>
      </c>
      <c r="I7" s="77">
        <f>IFERROR(VLOOKUP($B$2&amp;"-"&amp; RIGHT(I$4,1)&amp;"-"&amp;$A7,CC1_InputUser!$L:$N,3,FALSE),0)</f>
        <v>0</v>
      </c>
      <c r="J7" s="77">
        <f>IFERROR(VLOOKUP($B$2&amp;"-"&amp; RIGHT(J$4,1)&amp;"-"&amp;$A7,CC1_InputUser!$L:$N,3,FALSE),0)</f>
        <v>0</v>
      </c>
      <c r="K7" s="77">
        <f>IFERROR(VLOOKUP($B$2&amp;"-"&amp; RIGHT(K$4,1)&amp;"-"&amp;$A7,CC1_InputUser!$L:$N,3,FALSE),0)</f>
        <v>0</v>
      </c>
      <c r="L7" s="78"/>
      <c r="M7" s="77">
        <f>IFERROR(VLOOKUP($M$2&amp;"-"&amp; RIGHT(M$4,1)&amp;"-"&amp;$A7,CC1_InputUser!$L:$N,2,FALSE),0)</f>
        <v>0</v>
      </c>
      <c r="N7" s="77">
        <f>IFERROR(VLOOKUP($M$2&amp;"-"&amp; RIGHT(N$4,1)&amp;"-"&amp;$A7,CC1_InputUser!$L:$N,2,FALSE),0)</f>
        <v>0</v>
      </c>
      <c r="O7" s="77">
        <f>IFERROR(VLOOKUP($M$2&amp;"-"&amp; RIGHT(O$4,1)&amp;"-"&amp;$A7,CC1_InputUser!$L:$N,2,FALSE),0)</f>
        <v>0</v>
      </c>
      <c r="P7" s="77">
        <f>IFERROR(VLOOKUP($M$2&amp;"-"&amp; RIGHT(P$4,1)&amp;"-"&amp;$A7,CC1_InputUser!$L:$N,2,FALSE),0)</f>
        <v>0</v>
      </c>
      <c r="Q7" s="77">
        <f>IFERROR(VLOOKUP($M$2&amp;"-"&amp; RIGHT(Q$4,1)&amp;"-"&amp;$A7,CC1_InputUser!$L:$N,2,FALSE),0)</f>
        <v>0</v>
      </c>
      <c r="R7" s="77">
        <f>IFERROR(VLOOKUP($M$2&amp;"-"&amp; RIGHT(R$4,1)&amp;"-"&amp;$A7,CC1_InputUser!$L:$N,3,FALSE),0)</f>
        <v>0</v>
      </c>
      <c r="S7" s="77">
        <f>IFERROR(VLOOKUP($M$2&amp;"-"&amp; RIGHT(S$4,1)&amp;"-"&amp;$A7,CC1_InputUser!$L:$N,3,FALSE),0)</f>
        <v>0</v>
      </c>
      <c r="T7" s="77">
        <f>IFERROR(VLOOKUP($M$2&amp;"-"&amp; RIGHT(T$4,1)&amp;"-"&amp;$A7,CC1_InputUser!$L:$N,3,FALSE),0)</f>
        <v>0</v>
      </c>
      <c r="U7" s="77">
        <f>IFERROR(VLOOKUP($M$2&amp;"-"&amp; RIGHT(U$4,1)&amp;"-"&amp;$A7,CC1_InputUser!$L:$N,3,FALSE),0)</f>
        <v>0</v>
      </c>
      <c r="V7" s="77">
        <f>IFERROR(VLOOKUP($M$2&amp;"-"&amp; RIGHT(V$4,1)&amp;"-"&amp;$A7,CC1_InputUser!$L:$N,3,FALSE),0)</f>
        <v>0</v>
      </c>
      <c r="W7" s="78"/>
      <c r="X7" s="77">
        <f>IFERROR(VLOOKUP($X$2&amp;"-"&amp; RIGHT(X$4,1)&amp;"-"&amp;$A7,CC1_InputUser!$L:$N,2,FALSE),0)</f>
        <v>0</v>
      </c>
      <c r="Y7" s="77">
        <f>IFERROR(VLOOKUP($X$2&amp;"-"&amp; RIGHT(Y$4,1)&amp;"-"&amp;$A7,CC1_InputUser!$L:$N,2,FALSE),0)</f>
        <v>0</v>
      </c>
      <c r="Z7" s="77">
        <f>IFERROR(VLOOKUP($X$2&amp;"-"&amp; RIGHT(Z$4,1)&amp;"-"&amp;$A7,CC1_InputUser!$L:$N,2,FALSE),0)</f>
        <v>0</v>
      </c>
      <c r="AA7" s="77">
        <f>IFERROR(VLOOKUP($X$2&amp;"-"&amp; RIGHT(AA$4,1)&amp;"-"&amp;$A7,CC1_InputUser!$L:$N,2,FALSE),0)</f>
        <v>0</v>
      </c>
      <c r="AB7" s="77">
        <f>IFERROR(VLOOKUP($X$2&amp;"-"&amp; RIGHT(AB$4,1)&amp;"-"&amp;$A7,CC1_InputUser!$L:$N,2,FALSE),0)</f>
        <v>0</v>
      </c>
      <c r="AC7" s="77">
        <f>IFERROR(VLOOKUP($X$2&amp;"-"&amp; RIGHT(AC$4,1)&amp;"-"&amp;$A7,CC1_InputUser!$L:$N,3,FALSE),0)</f>
        <v>0</v>
      </c>
      <c r="AD7" s="77">
        <f>IFERROR(VLOOKUP($X$2&amp;"-"&amp; RIGHT(AD$4,1)&amp;"-"&amp;$A7,CC1_InputUser!$L:$N,3,FALSE),0)</f>
        <v>0</v>
      </c>
      <c r="AE7" s="77">
        <f>IFERROR(VLOOKUP($X$2&amp;"-"&amp; RIGHT(AE$4,1)&amp;"-"&amp;$A7,CC1_InputUser!$L:$N,3,FALSE),0)</f>
        <v>0</v>
      </c>
      <c r="AF7" s="77">
        <f>IFERROR(VLOOKUP($X$2&amp;"-"&amp; RIGHT(AF$4,1)&amp;"-"&amp;$A7,CC1_InputUser!$L:$N,3,FALSE),0)</f>
        <v>0</v>
      </c>
      <c r="AG7" s="77">
        <f>IFERROR(VLOOKUP($X$2&amp;"-"&amp; RIGHT(AG$4,1)&amp;"-"&amp;$A7,CC1_InputUser!$L:$N,3,FALSE),0)</f>
        <v>0</v>
      </c>
      <c r="AH7" s="78"/>
      <c r="AI7" s="77">
        <f>IFERROR(VLOOKUP($AI$2&amp;"-"&amp; RIGHT(AI$4,1)&amp;"-"&amp;$A7,CC1_InputUser!$L:$N,2,FALSE),0)</f>
        <v>0</v>
      </c>
      <c r="AJ7" s="77">
        <f>IFERROR(VLOOKUP($AI$2&amp;"-"&amp; RIGHT(AJ$4,1)&amp;"-"&amp;$A7,CC1_InputUser!$L:$N,2,FALSE),0)</f>
        <v>0</v>
      </c>
      <c r="AK7" s="77">
        <f>IFERROR(VLOOKUP($AI$2&amp;"-"&amp; RIGHT(AK$4,1)&amp;"-"&amp;$A7,CC1_InputUser!$L:$N,2,FALSE),0)</f>
        <v>0</v>
      </c>
      <c r="AL7" s="77">
        <f>IFERROR(VLOOKUP($AI$2&amp;"-"&amp; RIGHT(AL$4,1)&amp;"-"&amp;$A7,CC1_InputUser!$L:$N,2,FALSE),0)</f>
        <v>0</v>
      </c>
      <c r="AM7" s="77">
        <f>IFERROR(VLOOKUP($AI$2&amp;"-"&amp; RIGHT(AM$4,1)&amp;"-"&amp;$A7,CC1_InputUser!$L:$N,2,FALSE),0)</f>
        <v>0</v>
      </c>
      <c r="AN7" s="77">
        <f>IFERROR(VLOOKUP($AI$2&amp;"-"&amp; RIGHT(AN$4,1)&amp;"-"&amp;$A7,CC1_InputUser!$L:$N,3,FALSE),0)</f>
        <v>0</v>
      </c>
      <c r="AO7" s="77">
        <f>IFERROR(VLOOKUP($AI$2&amp;"-"&amp; RIGHT(AO$4,1)&amp;"-"&amp;$A7,CC1_InputUser!$L:$N,3,FALSE),0)</f>
        <v>0</v>
      </c>
      <c r="AP7" s="77">
        <f>IFERROR(VLOOKUP($AI$2&amp;"-"&amp; RIGHT(AP$4,1)&amp;"-"&amp;$A7,CC1_InputUser!$L:$N,3,FALSE),0)</f>
        <v>0</v>
      </c>
      <c r="AQ7" s="77">
        <f>IFERROR(VLOOKUP($AI$2&amp;"-"&amp; RIGHT(AQ$4,1)&amp;"-"&amp;$A7,CC1_InputUser!$L:$N,3,FALSE),0)</f>
        <v>0</v>
      </c>
      <c r="AR7" s="77">
        <f>IFERROR(VLOOKUP($AI$2&amp;"-"&amp; RIGHT(AR$4,1)&amp;"-"&amp;$A7,CC1_InputUser!$L:$N,3,FALSE),0)</f>
        <v>0</v>
      </c>
      <c r="AS7" s="78"/>
      <c r="AT7" s="77">
        <f>IFERROR(VLOOKUP($AT$2&amp;"-"&amp; RIGHT(AT$4,1)&amp;"-"&amp;$A7,CC1_InputUser!$L:$N,2,FALSE),0)</f>
        <v>0</v>
      </c>
      <c r="AU7" s="77">
        <f>IFERROR(VLOOKUP($AT$2&amp;"-"&amp; RIGHT(AU$4,1)&amp;"-"&amp;$A7,CC1_InputUser!$L:$N,2,FALSE),0)</f>
        <v>0</v>
      </c>
      <c r="AV7" s="77">
        <f>IFERROR(VLOOKUP($AT$2&amp;"-"&amp; RIGHT(AV$4,1)&amp;"-"&amp;$A7,CC1_InputUser!$L:$N,2,FALSE),0)</f>
        <v>0</v>
      </c>
      <c r="AW7" s="77">
        <f>IFERROR(VLOOKUP($AT$2&amp;"-"&amp; RIGHT(AW$4,1)&amp;"-"&amp;$A7,CC1_InputUser!$L:$N,2,FALSE),0)</f>
        <v>0</v>
      </c>
      <c r="AX7" s="77">
        <f>IFERROR(VLOOKUP($AT$2&amp;"-"&amp; RIGHT(AX$4,1)&amp;"-"&amp;$A7,CC1_InputUser!$L:$N,2,FALSE),0)</f>
        <v>0</v>
      </c>
      <c r="AY7" s="77">
        <f>IFERROR(VLOOKUP($AT$2&amp;"-"&amp; RIGHT(AY$4,1)&amp;"-"&amp;$A7,CC1_InputUser!$L:$N,3,FALSE),0)</f>
        <v>0</v>
      </c>
      <c r="AZ7" s="77">
        <f>IFERROR(VLOOKUP($AT$2&amp;"-"&amp; RIGHT(AZ$4,1)&amp;"-"&amp;$A7,CC1_InputUser!$L:$N,3,FALSE),0)</f>
        <v>0</v>
      </c>
      <c r="BA7" s="77">
        <f>IFERROR(VLOOKUP($AT$2&amp;"-"&amp; RIGHT(BA$4,1)&amp;"-"&amp;$A7,CC1_InputUser!$L:$N,3,FALSE),0)</f>
        <v>0</v>
      </c>
      <c r="BB7" s="77">
        <f>IFERROR(VLOOKUP($AT$2&amp;"-"&amp; RIGHT(BB$4,1)&amp;"-"&amp;$A7,CC1_InputUser!$L:$N,3,FALSE),0)</f>
        <v>0</v>
      </c>
      <c r="BC7" s="77">
        <f>IFERROR(VLOOKUP($AT$2&amp;"-"&amp; RIGHT(BC$4,1)&amp;"-"&amp;$A7,CC1_InputUser!$L:$N,3,FALSE),0)</f>
        <v>0</v>
      </c>
      <c r="BD7" s="78"/>
      <c r="BE7" s="77">
        <f>IFERROR(VLOOKUP($AT$2&amp;"-"&amp; RIGHT(BE$4,1)&amp;"-"&amp;$A7,CC1_InputUser!$L:$N,2,FALSE),0)</f>
        <v>0</v>
      </c>
      <c r="BF7" s="77">
        <f>IFERROR(VLOOKUP($AT$2&amp;"-"&amp; RIGHT(BF$4,1)&amp;"-"&amp;$A7,CC1_InputUser!$L:$N,2,FALSE),0)</f>
        <v>0</v>
      </c>
      <c r="BG7" s="77">
        <f>IFERROR(VLOOKUP($AT$2&amp;"-"&amp; RIGHT(BG$4,1)&amp;"-"&amp;$A7,CC1_InputUser!$L:$N,2,FALSE),0)</f>
        <v>0</v>
      </c>
      <c r="BH7" s="77">
        <f>IFERROR(VLOOKUP($AT$2&amp;"-"&amp; RIGHT(BH$4,1)&amp;"-"&amp;$A7,CC1_InputUser!$L:$N,2,FALSE),0)</f>
        <v>0</v>
      </c>
      <c r="BI7" s="77">
        <f>IFERROR(VLOOKUP($AT$2&amp;"-"&amp; RIGHT(BI$4,1)&amp;"-"&amp;$A7,CC1_InputUser!$L:$N,2,FALSE),0)</f>
        <v>0</v>
      </c>
      <c r="BJ7" s="77">
        <f>IFERROR(VLOOKUP($AT$2&amp;"-"&amp; RIGHT(BJ$4,1)&amp;"-"&amp;$A7,CC1_InputUser!$L:$N,3,FALSE),0)</f>
        <v>0</v>
      </c>
      <c r="BK7" s="77">
        <f>IFERROR(VLOOKUP($AT$2&amp;"-"&amp; RIGHT(BK$4,1)&amp;"-"&amp;$A7,CC1_InputUser!$L:$N,3,FALSE),0)</f>
        <v>0</v>
      </c>
      <c r="BL7" s="77">
        <f>IFERROR(VLOOKUP($AT$2&amp;"-"&amp; RIGHT(BL$4,1)&amp;"-"&amp;$A7,CC1_InputUser!$L:$N,3,FALSE),0)</f>
        <v>0</v>
      </c>
      <c r="BM7" s="77">
        <f>IFERROR(VLOOKUP($AT$2&amp;"-"&amp; RIGHT(BM$4,1)&amp;"-"&amp;$A7,CC1_InputUser!$L:$N,3,FALSE),0)</f>
        <v>0</v>
      </c>
      <c r="BN7" s="77">
        <f>IFERROR(VLOOKUP($AT$2&amp;"-"&amp; RIGHT(BN$4,1)&amp;"-"&amp;$A7,CC1_InputUser!$L:$N,3,FALSE),0)</f>
        <v>0</v>
      </c>
      <c r="BO7" s="78"/>
      <c r="BP7" s="77">
        <f>IFERROR(VLOOKUP($BP$2&amp;"-"&amp; RIGHT(BP$4,1)&amp;"-"&amp;$A7,CC1_InputUser!$L:$N,2,FALSE),0)</f>
        <v>0</v>
      </c>
      <c r="BQ7" s="77">
        <f>IFERROR(VLOOKUP($BP$2&amp;"-"&amp; RIGHT(BQ$4,1)&amp;"-"&amp;$A7,CC1_InputUser!$L:$N,2,FALSE),0)</f>
        <v>0</v>
      </c>
      <c r="BR7" s="77">
        <f>IFERROR(VLOOKUP($BP$2&amp;"-"&amp; RIGHT(BR$4,1)&amp;"-"&amp;$A7,CC1_InputUser!$L:$N,2,FALSE),0)</f>
        <v>0</v>
      </c>
      <c r="BS7" s="77">
        <f>IFERROR(VLOOKUP($BP$2&amp;"-"&amp; RIGHT(BS$4,1)&amp;"-"&amp;$A7,CC1_InputUser!$L:$N,2,FALSE),0)</f>
        <v>0</v>
      </c>
      <c r="BT7" s="77">
        <f>IFERROR(VLOOKUP($BP$2&amp;"-"&amp; RIGHT(BT$4,1)&amp;"-"&amp;$A7,CC1_InputUser!$L:$N,2,FALSE),0)</f>
        <v>0</v>
      </c>
      <c r="BU7" s="77">
        <f>IFERROR(VLOOKUP($BP$2&amp;"-"&amp; RIGHT(BU$4,1)&amp;"-"&amp;$A7,CC1_InputUser!$L:$N,3,FALSE),0)</f>
        <v>0</v>
      </c>
      <c r="BV7" s="77">
        <f>IFERROR(VLOOKUP($BP$2&amp;"-"&amp; RIGHT(BV$4,1)&amp;"-"&amp;$A7,CC1_InputUser!$L:$N,3,FALSE),0)</f>
        <v>0</v>
      </c>
      <c r="BW7" s="77">
        <f>IFERROR(VLOOKUP($BP$2&amp;"-"&amp; RIGHT(BW$4,1)&amp;"-"&amp;$A7,CC1_InputUser!$L:$N,3,FALSE),0)</f>
        <v>0</v>
      </c>
      <c r="BX7" s="77">
        <f>IFERROR(VLOOKUP($BP$2&amp;"-"&amp; RIGHT(BX$4,1)&amp;"-"&amp;$A7,CC1_InputUser!$L:$N,3,FALSE),0)</f>
        <v>0</v>
      </c>
      <c r="BY7" s="77">
        <f>IFERROR(VLOOKUP($BP$2&amp;"-"&amp; RIGHT(BY$4,1)&amp;"-"&amp;$A7,CC1_InputUser!$L:$N,3,FALSE),0)</f>
        <v>0</v>
      </c>
      <c r="BZ7" s="78"/>
      <c r="CA7" s="77">
        <f>IFERROR(VLOOKUP($CA$2&amp;"-"&amp; RIGHT(CA$4,1)&amp;"-"&amp;$A7,CC1_InputUser!$L:$N,2,FALSE),0)</f>
        <v>0</v>
      </c>
      <c r="CB7" s="77">
        <f>IFERROR(VLOOKUP($CA$2&amp;"-"&amp; RIGHT(CB$4,1)&amp;"-"&amp;$A7,CC1_InputUser!$L:$N,2,FALSE),0)</f>
        <v>0</v>
      </c>
      <c r="CC7" s="77">
        <f>IFERROR(VLOOKUP($CA$2&amp;"-"&amp; RIGHT(CC$4,1)&amp;"-"&amp;$A7,CC1_InputUser!$L:$N,2,FALSE),0)</f>
        <v>0</v>
      </c>
      <c r="CD7" s="77">
        <f>IFERROR(VLOOKUP($CA$2&amp;"-"&amp; RIGHT(CD$4,1)&amp;"-"&amp;$A7,CC1_InputUser!$L:$N,2,FALSE),0)</f>
        <v>0</v>
      </c>
      <c r="CE7" s="77">
        <f>IFERROR(VLOOKUP($CA$2&amp;"-"&amp; RIGHT(CE$4,1)&amp;"-"&amp;$A7,CC1_InputUser!$L:$N,2,FALSE),0)</f>
        <v>0</v>
      </c>
      <c r="CF7" s="77">
        <f>IFERROR(VLOOKUP($CA$2&amp;"-"&amp; RIGHT(CF$4,1)&amp;"-"&amp;$A7,CC1_InputUser!$L:$N,3,FALSE),0)</f>
        <v>0</v>
      </c>
      <c r="CG7" s="77">
        <f>IFERROR(VLOOKUP($CA$2&amp;"-"&amp; RIGHT(CG$4,1)&amp;"-"&amp;$A7,CC1_InputUser!$L:$N,3,FALSE),0)</f>
        <v>0</v>
      </c>
      <c r="CH7" s="77">
        <f>IFERROR(VLOOKUP($CA$2&amp;"-"&amp; RIGHT(CH$4,1)&amp;"-"&amp;$A7,CC1_InputUser!$L:$N,3,FALSE),0)</f>
        <v>0</v>
      </c>
      <c r="CI7" s="77">
        <f>IFERROR(VLOOKUP($CA$2&amp;"-"&amp; RIGHT(CI$4,1)&amp;"-"&amp;$A7,CC1_InputUser!$L:$N,3,FALSE),0)</f>
        <v>0</v>
      </c>
      <c r="CJ7" s="77">
        <f>IFERROR(VLOOKUP($CA$2&amp;"-"&amp; RIGHT(CJ$4,1)&amp;"-"&amp;$A7,CC1_InputUser!$L:$N,3,FALSE),0)</f>
        <v>0</v>
      </c>
      <c r="CK7" s="78"/>
      <c r="CL7" s="77">
        <f>IFERROR(VLOOKUP($CL$2&amp;"-"&amp; RIGHT(CL$4,1)&amp;"-"&amp;$A7,CC1_InputUser!$L:$N,2,FALSE),0)</f>
        <v>0</v>
      </c>
      <c r="CM7" s="77">
        <f>IFERROR(VLOOKUP($CL$2&amp;"-"&amp; RIGHT(CM$4,1)&amp;"-"&amp;$A7,CC1_InputUser!$L:$N,2,FALSE),0)</f>
        <v>0</v>
      </c>
      <c r="CN7" s="77">
        <f>IFERROR(VLOOKUP($CL$2&amp;"-"&amp; RIGHT(CN$4,1)&amp;"-"&amp;$A7,CC1_InputUser!$L:$N,2,FALSE),0)</f>
        <v>0</v>
      </c>
      <c r="CO7" s="77">
        <f>IFERROR(VLOOKUP($CL$2&amp;"-"&amp; RIGHT(CO$4,1)&amp;"-"&amp;$A7,CC1_InputUser!$L:$N,2,FALSE),0)</f>
        <v>0</v>
      </c>
      <c r="CP7" s="77">
        <f>IFERROR(VLOOKUP($CL$2&amp;"-"&amp; RIGHT(CP$4,1)&amp;"-"&amp;$A7,CC1_InputUser!$L:$N,2,FALSE),0)</f>
        <v>0</v>
      </c>
      <c r="CQ7" s="77">
        <f>IFERROR(VLOOKUP($CL$2&amp;"-"&amp; RIGHT(CQ$4,1)&amp;"-"&amp;$A7,CC1_InputUser!$L:$N,3,FALSE),0)</f>
        <v>0</v>
      </c>
      <c r="CR7" s="77">
        <f>IFERROR(VLOOKUP($CL$2&amp;"-"&amp; RIGHT(CR$4,1)&amp;"-"&amp;$A7,CC1_InputUser!$L:$N,3,FALSE),0)</f>
        <v>0</v>
      </c>
      <c r="CS7" s="77">
        <f>IFERROR(VLOOKUP($CL$2&amp;"-"&amp; RIGHT(CS$4,1)&amp;"-"&amp;$A7,CC1_InputUser!$L:$N,3,FALSE),0)</f>
        <v>0</v>
      </c>
      <c r="CT7" s="77">
        <f>IFERROR(VLOOKUP($CL$2&amp;"-"&amp; RIGHT(CT$4,1)&amp;"-"&amp;$A7,CC1_InputUser!$L:$N,3,FALSE),0)</f>
        <v>0</v>
      </c>
      <c r="CU7" s="77">
        <f>IFERROR(VLOOKUP($CL$2&amp;"-"&amp; RIGHT(CU$4,1)&amp;"-"&amp;$A7,CC1_InputUser!$L:$N,3,FALSE),0)</f>
        <v>0</v>
      </c>
      <c r="CV7" s="78"/>
      <c r="CW7" s="77">
        <f>IFERROR(VLOOKUP($CW$2&amp;"-"&amp; RIGHT(CW$4,1)&amp;"-"&amp;$A7,CC1_InputUser!$L:$N,2,FALSE),0)</f>
        <v>0</v>
      </c>
      <c r="CX7" s="77">
        <f>IFERROR(VLOOKUP($CW$2&amp;"-"&amp; RIGHT(CX$4,1)&amp;"-"&amp;$A7,CC1_InputUser!$L:$N,2,FALSE),0)</f>
        <v>0</v>
      </c>
      <c r="CY7" s="77">
        <f>IFERROR(VLOOKUP($CW$2&amp;"-"&amp; RIGHT(CY$4,1)&amp;"-"&amp;$A7,CC1_InputUser!$L:$N,2,FALSE),0)</f>
        <v>0</v>
      </c>
      <c r="CZ7" s="77">
        <f>IFERROR(VLOOKUP($CW$2&amp;"-"&amp; RIGHT(CZ$4,1)&amp;"-"&amp;$A7,CC1_InputUser!$L:$N,2,FALSE),0)</f>
        <v>0</v>
      </c>
      <c r="DA7" s="77">
        <f>IFERROR(VLOOKUP($CW$2&amp;"-"&amp; RIGHT(DA$4,1)&amp;"-"&amp;$A7,CC1_InputUser!$L:$N,2,FALSE),0)</f>
        <v>0</v>
      </c>
      <c r="DB7" s="77">
        <f>IFERROR(VLOOKUP($CW$2&amp;"-"&amp; RIGHT(DB$4,1)&amp;"-"&amp;$A7,CC1_InputUser!$L:$N,3,FALSE),0)</f>
        <v>0</v>
      </c>
      <c r="DC7" s="77">
        <f>IFERROR(VLOOKUP($CW$2&amp;"-"&amp; RIGHT(DC$4,1)&amp;"-"&amp;$A7,CC1_InputUser!$L:$N,3,FALSE),0)</f>
        <v>0</v>
      </c>
      <c r="DD7" s="77">
        <f>IFERROR(VLOOKUP($CW$2&amp;"-"&amp; RIGHT(DD$4,1)&amp;"-"&amp;$A7,CC1_InputUser!$L:$N,3,FALSE),0)</f>
        <v>0</v>
      </c>
      <c r="DE7" s="77">
        <f>IFERROR(VLOOKUP($CW$2&amp;"-"&amp; RIGHT(DE$4,1)&amp;"-"&amp;$A7,CC1_InputUser!$L:$N,3,FALSE),0)</f>
        <v>0</v>
      </c>
      <c r="DF7" s="77">
        <f>IFERROR(VLOOKUP($CW$2&amp;"-"&amp; RIGHT(DF$4,1)&amp;"-"&amp;$A7,CC1_InputUser!$L:$N,3,FALSE),0)</f>
        <v>0</v>
      </c>
      <c r="DG7" s="78"/>
      <c r="DH7" s="77">
        <f>IFERROR(VLOOKUP($DH$2&amp;"-"&amp; RIGHT(DH$4,1)&amp;"-"&amp;$A7,CC1_InputUser!$L:$N,2,FALSE),0)</f>
        <v>0</v>
      </c>
      <c r="DI7" s="77">
        <f>IFERROR(VLOOKUP($DH$2&amp;"-"&amp; RIGHT(DI$4,1)&amp;"-"&amp;$A7,CC1_InputUser!$L:$N,2,FALSE),0)</f>
        <v>0</v>
      </c>
      <c r="DJ7" s="77">
        <f>IFERROR(VLOOKUP($DH$2&amp;"-"&amp; RIGHT(DJ$4,1)&amp;"-"&amp;$A7,CC1_InputUser!$L:$N,2,FALSE),0)</f>
        <v>0</v>
      </c>
      <c r="DK7" s="77">
        <f>IFERROR(VLOOKUP($DH$2&amp;"-"&amp; RIGHT(DK$4,1)&amp;"-"&amp;$A7,CC1_InputUser!$L:$N,2,FALSE),0)</f>
        <v>0</v>
      </c>
      <c r="DL7" s="77">
        <f>IFERROR(VLOOKUP($DH$2&amp;"-"&amp; RIGHT(DL$4,1)&amp;"-"&amp;$A7,CC1_InputUser!$L:$N,2,FALSE),0)</f>
        <v>0</v>
      </c>
      <c r="DM7" s="77">
        <f>IFERROR(VLOOKUP($DH$2&amp;"-"&amp; RIGHT(DM$4,1)&amp;"-"&amp;$A7,CC1_InputUser!$L:$N,3,FALSE),0)</f>
        <v>0</v>
      </c>
      <c r="DN7" s="77">
        <f>IFERROR(VLOOKUP($DH$2&amp;"-"&amp; RIGHT(DN$4,1)&amp;"-"&amp;$A7,CC1_InputUser!$L:$N,3,FALSE),0)</f>
        <v>0</v>
      </c>
      <c r="DO7" s="77">
        <f>IFERROR(VLOOKUP($DH$2&amp;"-"&amp; RIGHT(DO$4,1)&amp;"-"&amp;$A7,CC1_InputUser!$L:$N,3,FALSE),0)</f>
        <v>0</v>
      </c>
      <c r="DP7" s="77">
        <f>IFERROR(VLOOKUP($DH$2&amp;"-"&amp; RIGHT(DP$4,1)&amp;"-"&amp;$A7,CC1_InputUser!$L:$N,3,FALSE),0)</f>
        <v>0</v>
      </c>
      <c r="DQ7" s="77">
        <f>IFERROR(VLOOKUP($DH$2&amp;"-"&amp; RIGHT(DQ$4,1)&amp;"-"&amp;$A7,CC1_InputUser!$L:$N,3,FALSE),0)</f>
        <v>0</v>
      </c>
      <c r="DR7" s="78"/>
      <c r="DS7" s="77">
        <f>IFERROR(VLOOKUP($DS$2&amp;"-"&amp; RIGHT(DS$4,1)&amp;"-"&amp;$A7,CC1_InputUser!$L:$N,2,FALSE),0)</f>
        <v>-0.10177114688252409</v>
      </c>
      <c r="DT7" s="77">
        <f>IFERROR(VLOOKUP($DS$2&amp;"-"&amp; RIGHT(DT$4,1)&amp;"-"&amp;$A7,CC1_InputUser!$L:$N,2,FALSE),0)</f>
        <v>0</v>
      </c>
      <c r="DU7" s="77">
        <f>IFERROR(VLOOKUP($DS$2&amp;"-"&amp; RIGHT(DU$4,1)&amp;"-"&amp;$A7,CC1_InputUser!$L:$N,2,FALSE),0)</f>
        <v>0</v>
      </c>
      <c r="DV7" s="77">
        <f>IFERROR(VLOOKUP($DS$2&amp;"-"&amp; RIGHT(DV$4,1)&amp;"-"&amp;$A7,CC1_InputUser!$L:$N,2,FALSE),0)</f>
        <v>0</v>
      </c>
      <c r="DW7" s="77">
        <f>IFERROR(VLOOKUP($DS$2&amp;"-"&amp; RIGHT(DW$4,1)&amp;"-"&amp;$A7,CC1_InputUser!$L:$N,2,FALSE),0)</f>
        <v>0</v>
      </c>
      <c r="DX7" s="77">
        <f>IFERROR(VLOOKUP($DS$2&amp;"-"&amp; RIGHT(DX$4,1)&amp;"-"&amp;$A7,CC1_InputUser!$L:$N,3,FALSE),0)</f>
        <v>-0.10518325732141132</v>
      </c>
      <c r="DY7" s="77">
        <f>IFERROR(VLOOKUP($DS$2&amp;"-"&amp; RIGHT(DY$4,1)&amp;"-"&amp;$A7,CC1_InputUser!$L:$N,3,FALSE),0)</f>
        <v>0</v>
      </c>
      <c r="DZ7" s="77">
        <f>IFERROR(VLOOKUP($DS$2&amp;"-"&amp; RIGHT(DZ$4,1)&amp;"-"&amp;$A7,CC1_InputUser!$L:$N,3,FALSE),0)</f>
        <v>0</v>
      </c>
      <c r="EA7" s="77">
        <f>IFERROR(VLOOKUP($DS$2&amp;"-"&amp; RIGHT(EA$4,1)&amp;"-"&amp;$A7,CC1_InputUser!$L:$N,3,FALSE),0)</f>
        <v>0</v>
      </c>
      <c r="EB7" s="77">
        <f>IFERROR(VLOOKUP($DS$2&amp;"-"&amp; RIGHT(EB$4,1)&amp;"-"&amp;$A7,CC1_InputUser!$L:$N,3,FALSE),0)</f>
        <v>0</v>
      </c>
      <c r="EC7" s="78"/>
    </row>
    <row r="8" spans="1:133" x14ac:dyDescent="0.3">
      <c r="A8" s="69" t="s">
        <v>10</v>
      </c>
      <c r="B8" s="75">
        <f>IFERROR(VLOOKUP($B$2&amp;"-"&amp; RIGHT(B$4,1)&amp;"-"&amp;$A8,CC1_InputUser!$L:$N,2,FALSE),0)</f>
        <v>0</v>
      </c>
      <c r="C8" s="75">
        <f>IFERROR(VLOOKUP($B$2&amp;"-"&amp; RIGHT(C$4,1)&amp;"-"&amp;$A8,CC1_InputUser!$L:$N,2,FALSE),0)</f>
        <v>0</v>
      </c>
      <c r="D8" s="75">
        <f>IFERROR(VLOOKUP($B$2&amp;"-"&amp; RIGHT(D$4,1)&amp;"-"&amp;$A8,CC1_InputUser!$L:$N,2,FALSE),0)</f>
        <v>0</v>
      </c>
      <c r="E8" s="75">
        <f>IFERROR(VLOOKUP($B$2&amp;"-"&amp; RIGHT(E$4,1)&amp;"-"&amp;$A8,CC1_InputUser!$L:$N,2,FALSE),0)</f>
        <v>0</v>
      </c>
      <c r="F8" s="75">
        <f>IFERROR(VLOOKUP($B$2&amp;"-"&amp; RIGHT(F$4,1)&amp;"-"&amp;$A8,CC1_InputUser!$L:$N,2,FALSE),0)</f>
        <v>0</v>
      </c>
      <c r="G8" s="75">
        <f>IFERROR(VLOOKUP($B$2&amp;"-"&amp; RIGHT(G$4,1)&amp;"-"&amp;$A8,CC1_InputUser!$L:$N,3,FALSE),0)</f>
        <v>0</v>
      </c>
      <c r="H8" s="75">
        <f>IFERROR(VLOOKUP($B$2&amp;"-"&amp; RIGHT(H$4,1)&amp;"-"&amp;$A8,CC1_InputUser!$L:$N,3,FALSE),0)</f>
        <v>0</v>
      </c>
      <c r="I8" s="75">
        <f>IFERROR(VLOOKUP($B$2&amp;"-"&amp; RIGHT(I$4,1)&amp;"-"&amp;$A8,CC1_InputUser!$L:$N,3,FALSE),0)</f>
        <v>0</v>
      </c>
      <c r="J8" s="75">
        <f>IFERROR(VLOOKUP($B$2&amp;"-"&amp; RIGHT(J$4,1)&amp;"-"&amp;$A8,CC1_InputUser!$L:$N,3,FALSE),0)</f>
        <v>0</v>
      </c>
      <c r="K8" s="75">
        <f>IFERROR(VLOOKUP($B$2&amp;"-"&amp; RIGHT(K$4,1)&amp;"-"&amp;$A8,CC1_InputUser!$L:$N,3,FALSE),0)</f>
        <v>0</v>
      </c>
      <c r="L8" s="76"/>
      <c r="M8" s="75">
        <f>IFERROR(VLOOKUP($M$2&amp;"-"&amp; RIGHT(M$4,1)&amp;"-"&amp;$A8,CC1_InputUser!$L:$N,2,FALSE),0)</f>
        <v>0</v>
      </c>
      <c r="N8" s="75">
        <f>IFERROR(VLOOKUP($M$2&amp;"-"&amp; RIGHT(N$4,1)&amp;"-"&amp;$A8,CC1_InputUser!$L:$N,2,FALSE),0)</f>
        <v>0</v>
      </c>
      <c r="O8" s="75">
        <f>IFERROR(VLOOKUP($M$2&amp;"-"&amp; RIGHT(O$4,1)&amp;"-"&amp;$A8,CC1_InputUser!$L:$N,2,FALSE),0)</f>
        <v>0</v>
      </c>
      <c r="P8" s="75">
        <f>IFERROR(VLOOKUP($M$2&amp;"-"&amp; RIGHT(P$4,1)&amp;"-"&amp;$A8,CC1_InputUser!$L:$N,2,FALSE),0)</f>
        <v>0</v>
      </c>
      <c r="Q8" s="75">
        <f>IFERROR(VLOOKUP($M$2&amp;"-"&amp; RIGHT(Q$4,1)&amp;"-"&amp;$A8,CC1_InputUser!$L:$N,2,FALSE),0)</f>
        <v>0</v>
      </c>
      <c r="R8" s="75">
        <f>IFERROR(VLOOKUP($M$2&amp;"-"&amp; RIGHT(R$4,1)&amp;"-"&amp;$A8,CC1_InputUser!$L:$N,3,FALSE),0)</f>
        <v>0</v>
      </c>
      <c r="S8" s="75">
        <f>IFERROR(VLOOKUP($M$2&amp;"-"&amp; RIGHT(S$4,1)&amp;"-"&amp;$A8,CC1_InputUser!$L:$N,3,FALSE),0)</f>
        <v>0</v>
      </c>
      <c r="T8" s="75">
        <f>IFERROR(VLOOKUP($M$2&amp;"-"&amp; RIGHT(T$4,1)&amp;"-"&amp;$A8,CC1_InputUser!$L:$N,3,FALSE),0)</f>
        <v>0</v>
      </c>
      <c r="U8" s="75">
        <f>IFERROR(VLOOKUP($M$2&amp;"-"&amp; RIGHT(U$4,1)&amp;"-"&amp;$A8,CC1_InputUser!$L:$N,3,FALSE),0)</f>
        <v>0</v>
      </c>
      <c r="V8" s="75">
        <f>IFERROR(VLOOKUP($M$2&amp;"-"&amp; RIGHT(V$4,1)&amp;"-"&amp;$A8,CC1_InputUser!$L:$N,3,FALSE),0)</f>
        <v>0</v>
      </c>
      <c r="W8" s="76"/>
      <c r="X8" s="75">
        <f>IFERROR(VLOOKUP($X$2&amp;"-"&amp; RIGHT(X$4,1)&amp;"-"&amp;$A8,CC1_InputUser!$L:$N,2,FALSE),0)</f>
        <v>0</v>
      </c>
      <c r="Y8" s="75">
        <f>IFERROR(VLOOKUP($X$2&amp;"-"&amp; RIGHT(Y$4,1)&amp;"-"&amp;$A8,CC1_InputUser!$L:$N,2,FALSE),0)</f>
        <v>0</v>
      </c>
      <c r="Z8" s="75">
        <f>IFERROR(VLOOKUP($X$2&amp;"-"&amp; RIGHT(Z$4,1)&amp;"-"&amp;$A8,CC1_InputUser!$L:$N,2,FALSE),0)</f>
        <v>0</v>
      </c>
      <c r="AA8" s="75">
        <f>IFERROR(VLOOKUP($X$2&amp;"-"&amp; RIGHT(AA$4,1)&amp;"-"&amp;$A8,CC1_InputUser!$L:$N,2,FALSE),0)</f>
        <v>0</v>
      </c>
      <c r="AB8" s="75">
        <f>IFERROR(VLOOKUP($X$2&amp;"-"&amp; RIGHT(AB$4,1)&amp;"-"&amp;$A8,CC1_InputUser!$L:$N,2,FALSE),0)</f>
        <v>0</v>
      </c>
      <c r="AC8" s="75">
        <f>IFERROR(VLOOKUP($X$2&amp;"-"&amp; RIGHT(AC$4,1)&amp;"-"&amp;$A8,CC1_InputUser!$L:$N,3,FALSE),0)</f>
        <v>0</v>
      </c>
      <c r="AD8" s="75">
        <f>IFERROR(VLOOKUP($X$2&amp;"-"&amp; RIGHT(AD$4,1)&amp;"-"&amp;$A8,CC1_InputUser!$L:$N,3,FALSE),0)</f>
        <v>0</v>
      </c>
      <c r="AE8" s="75">
        <f>IFERROR(VLOOKUP($X$2&amp;"-"&amp; RIGHT(AE$4,1)&amp;"-"&amp;$A8,CC1_InputUser!$L:$N,3,FALSE),0)</f>
        <v>0</v>
      </c>
      <c r="AF8" s="75">
        <f>IFERROR(VLOOKUP($X$2&amp;"-"&amp; RIGHT(AF$4,1)&amp;"-"&amp;$A8,CC1_InputUser!$L:$N,3,FALSE),0)</f>
        <v>0</v>
      </c>
      <c r="AG8" s="75">
        <f>IFERROR(VLOOKUP($X$2&amp;"-"&amp; RIGHT(AG$4,1)&amp;"-"&amp;$A8,CC1_InputUser!$L:$N,3,FALSE),0)</f>
        <v>0</v>
      </c>
      <c r="AH8" s="76"/>
      <c r="AI8" s="75">
        <f>IFERROR(VLOOKUP($AI$2&amp;"-"&amp; RIGHT(AI$4,1)&amp;"-"&amp;$A8,CC1_InputUser!$L:$N,2,FALSE),0)</f>
        <v>0</v>
      </c>
      <c r="AJ8" s="75">
        <f>IFERROR(VLOOKUP($AI$2&amp;"-"&amp; RIGHT(AJ$4,1)&amp;"-"&amp;$A8,CC1_InputUser!$L:$N,2,FALSE),0)</f>
        <v>0</v>
      </c>
      <c r="AK8" s="75">
        <f>IFERROR(VLOOKUP($AI$2&amp;"-"&amp; RIGHT(AK$4,1)&amp;"-"&amp;$A8,CC1_InputUser!$L:$N,2,FALSE),0)</f>
        <v>0</v>
      </c>
      <c r="AL8" s="75">
        <f>IFERROR(VLOOKUP($AI$2&amp;"-"&amp; RIGHT(AL$4,1)&amp;"-"&amp;$A8,CC1_InputUser!$L:$N,2,FALSE),0)</f>
        <v>0</v>
      </c>
      <c r="AM8" s="75">
        <f>IFERROR(VLOOKUP($AI$2&amp;"-"&amp; RIGHT(AM$4,1)&amp;"-"&amp;$A8,CC1_InputUser!$L:$N,2,FALSE),0)</f>
        <v>0</v>
      </c>
      <c r="AN8" s="75">
        <f>IFERROR(VLOOKUP($AI$2&amp;"-"&amp; RIGHT(AN$4,1)&amp;"-"&amp;$A8,CC1_InputUser!$L:$N,3,FALSE),0)</f>
        <v>0</v>
      </c>
      <c r="AO8" s="75">
        <f>IFERROR(VLOOKUP($AI$2&amp;"-"&amp; RIGHT(AO$4,1)&amp;"-"&amp;$A8,CC1_InputUser!$L:$N,3,FALSE),0)</f>
        <v>0</v>
      </c>
      <c r="AP8" s="75">
        <f>IFERROR(VLOOKUP($AI$2&amp;"-"&amp; RIGHT(AP$4,1)&amp;"-"&amp;$A8,CC1_InputUser!$L:$N,3,FALSE),0)</f>
        <v>0</v>
      </c>
      <c r="AQ8" s="75">
        <f>IFERROR(VLOOKUP($AI$2&amp;"-"&amp; RIGHT(AQ$4,1)&amp;"-"&amp;$A8,CC1_InputUser!$L:$N,3,FALSE),0)</f>
        <v>0</v>
      </c>
      <c r="AR8" s="75">
        <f>IFERROR(VLOOKUP($AI$2&amp;"-"&amp; RIGHT(AR$4,1)&amp;"-"&amp;$A8,CC1_InputUser!$L:$N,3,FALSE),0)</f>
        <v>0</v>
      </c>
      <c r="AS8" s="76"/>
      <c r="AT8" s="75">
        <f>IFERROR(VLOOKUP($AT$2&amp;"-"&amp; RIGHT(AT$4,1)&amp;"-"&amp;$A8,CC1_InputUser!$L:$N,2,FALSE),0)</f>
        <v>0</v>
      </c>
      <c r="AU8" s="75">
        <f>IFERROR(VLOOKUP($AT$2&amp;"-"&amp; RIGHT(AU$4,1)&amp;"-"&amp;$A8,CC1_InputUser!$L:$N,2,FALSE),0)</f>
        <v>0</v>
      </c>
      <c r="AV8" s="75">
        <f>IFERROR(VLOOKUP($AT$2&amp;"-"&amp; RIGHT(AV$4,1)&amp;"-"&amp;$A8,CC1_InputUser!$L:$N,2,FALSE),0)</f>
        <v>0</v>
      </c>
      <c r="AW8" s="75">
        <f>IFERROR(VLOOKUP($AT$2&amp;"-"&amp; RIGHT(AW$4,1)&amp;"-"&amp;$A8,CC1_InputUser!$L:$N,2,FALSE),0)</f>
        <v>0</v>
      </c>
      <c r="AX8" s="75">
        <f>IFERROR(VLOOKUP($AT$2&amp;"-"&amp; RIGHT(AX$4,1)&amp;"-"&amp;$A8,CC1_InputUser!$L:$N,2,FALSE),0)</f>
        <v>0</v>
      </c>
      <c r="AY8" s="75">
        <f>IFERROR(VLOOKUP($AT$2&amp;"-"&amp; RIGHT(AY$4,1)&amp;"-"&amp;$A8,CC1_InputUser!$L:$N,3,FALSE),0)</f>
        <v>0</v>
      </c>
      <c r="AZ8" s="75">
        <f>IFERROR(VLOOKUP($AT$2&amp;"-"&amp; RIGHT(AZ$4,1)&amp;"-"&amp;$A8,CC1_InputUser!$L:$N,3,FALSE),0)</f>
        <v>0</v>
      </c>
      <c r="BA8" s="75">
        <f>IFERROR(VLOOKUP($AT$2&amp;"-"&amp; RIGHT(BA$4,1)&amp;"-"&amp;$A8,CC1_InputUser!$L:$N,3,FALSE),0)</f>
        <v>0</v>
      </c>
      <c r="BB8" s="75">
        <f>IFERROR(VLOOKUP($AT$2&amp;"-"&amp; RIGHT(BB$4,1)&amp;"-"&amp;$A8,CC1_InputUser!$L:$N,3,FALSE),0)</f>
        <v>0</v>
      </c>
      <c r="BC8" s="75">
        <f>IFERROR(VLOOKUP($AT$2&amp;"-"&amp; RIGHT(BC$4,1)&amp;"-"&amp;$A8,CC1_InputUser!$L:$N,3,FALSE),0)</f>
        <v>0</v>
      </c>
      <c r="BD8" s="76"/>
      <c r="BE8" s="75">
        <f>IFERROR(VLOOKUP($AT$2&amp;"-"&amp; RIGHT(BE$4,1)&amp;"-"&amp;$A8,CC1_InputUser!$L:$N,2,FALSE),0)</f>
        <v>0</v>
      </c>
      <c r="BF8" s="75">
        <f>IFERROR(VLOOKUP($AT$2&amp;"-"&amp; RIGHT(BF$4,1)&amp;"-"&amp;$A8,CC1_InputUser!$L:$N,2,FALSE),0)</f>
        <v>0</v>
      </c>
      <c r="BG8" s="75">
        <f>IFERROR(VLOOKUP($AT$2&amp;"-"&amp; RIGHT(BG$4,1)&amp;"-"&amp;$A8,CC1_InputUser!$L:$N,2,FALSE),0)</f>
        <v>0</v>
      </c>
      <c r="BH8" s="75">
        <f>IFERROR(VLOOKUP($AT$2&amp;"-"&amp; RIGHT(BH$4,1)&amp;"-"&amp;$A8,CC1_InputUser!$L:$N,2,FALSE),0)</f>
        <v>0</v>
      </c>
      <c r="BI8" s="75">
        <f>IFERROR(VLOOKUP($AT$2&amp;"-"&amp; RIGHT(BI$4,1)&amp;"-"&amp;$A8,CC1_InputUser!$L:$N,2,FALSE),0)</f>
        <v>0</v>
      </c>
      <c r="BJ8" s="75">
        <f>IFERROR(VLOOKUP($AT$2&amp;"-"&amp; RIGHT(BJ$4,1)&amp;"-"&amp;$A8,CC1_InputUser!$L:$N,3,FALSE),0)</f>
        <v>0</v>
      </c>
      <c r="BK8" s="75">
        <f>IFERROR(VLOOKUP($AT$2&amp;"-"&amp; RIGHT(BK$4,1)&amp;"-"&amp;$A8,CC1_InputUser!$L:$N,3,FALSE),0)</f>
        <v>0</v>
      </c>
      <c r="BL8" s="75">
        <f>IFERROR(VLOOKUP($AT$2&amp;"-"&amp; RIGHT(BL$4,1)&amp;"-"&amp;$A8,CC1_InputUser!$L:$N,3,FALSE),0)</f>
        <v>0</v>
      </c>
      <c r="BM8" s="75">
        <f>IFERROR(VLOOKUP($AT$2&amp;"-"&amp; RIGHT(BM$4,1)&amp;"-"&amp;$A8,CC1_InputUser!$L:$N,3,FALSE),0)</f>
        <v>0</v>
      </c>
      <c r="BN8" s="75">
        <f>IFERROR(VLOOKUP($AT$2&amp;"-"&amp; RIGHT(BN$4,1)&amp;"-"&amp;$A8,CC1_InputUser!$L:$N,3,FALSE),0)</f>
        <v>0</v>
      </c>
      <c r="BO8" s="76"/>
      <c r="BP8" s="75">
        <f>IFERROR(VLOOKUP($BP$2&amp;"-"&amp; RIGHT(BP$4,1)&amp;"-"&amp;$A8,CC1_InputUser!$L:$N,2,FALSE),0)</f>
        <v>0</v>
      </c>
      <c r="BQ8" s="75">
        <f>IFERROR(VLOOKUP($BP$2&amp;"-"&amp; RIGHT(BQ$4,1)&amp;"-"&amp;$A8,CC1_InputUser!$L:$N,2,FALSE),0)</f>
        <v>0</v>
      </c>
      <c r="BR8" s="75">
        <f>IFERROR(VLOOKUP($BP$2&amp;"-"&amp; RIGHT(BR$4,1)&amp;"-"&amp;$A8,CC1_InputUser!$L:$N,2,FALSE),0)</f>
        <v>0</v>
      </c>
      <c r="BS8" s="75">
        <f>IFERROR(VLOOKUP($BP$2&amp;"-"&amp; RIGHT(BS$4,1)&amp;"-"&amp;$A8,CC1_InputUser!$L:$N,2,FALSE),0)</f>
        <v>0</v>
      </c>
      <c r="BT8" s="75">
        <f>IFERROR(VLOOKUP($BP$2&amp;"-"&amp; RIGHT(BT$4,1)&amp;"-"&amp;$A8,CC1_InputUser!$L:$N,2,FALSE),0)</f>
        <v>0</v>
      </c>
      <c r="BU8" s="75">
        <f>IFERROR(VLOOKUP($BP$2&amp;"-"&amp; RIGHT(BU$4,1)&amp;"-"&amp;$A8,CC1_InputUser!$L:$N,3,FALSE),0)</f>
        <v>0</v>
      </c>
      <c r="BV8" s="75">
        <f>IFERROR(VLOOKUP($BP$2&amp;"-"&amp; RIGHT(BV$4,1)&amp;"-"&amp;$A8,CC1_InputUser!$L:$N,3,FALSE),0)</f>
        <v>0</v>
      </c>
      <c r="BW8" s="75">
        <f>IFERROR(VLOOKUP($BP$2&amp;"-"&amp; RIGHT(BW$4,1)&amp;"-"&amp;$A8,CC1_InputUser!$L:$N,3,FALSE),0)</f>
        <v>0</v>
      </c>
      <c r="BX8" s="75">
        <f>IFERROR(VLOOKUP($BP$2&amp;"-"&amp; RIGHT(BX$4,1)&amp;"-"&amp;$A8,CC1_InputUser!$L:$N,3,FALSE),0)</f>
        <v>0</v>
      </c>
      <c r="BY8" s="75">
        <f>IFERROR(VLOOKUP($BP$2&amp;"-"&amp; RIGHT(BY$4,1)&amp;"-"&amp;$A8,CC1_InputUser!$L:$N,3,FALSE),0)</f>
        <v>0</v>
      </c>
      <c r="BZ8" s="76"/>
      <c r="CA8" s="75">
        <f>IFERROR(VLOOKUP($CA$2&amp;"-"&amp; RIGHT(CA$4,1)&amp;"-"&amp;$A8,CC1_InputUser!$L:$N,2,FALSE),0)</f>
        <v>0</v>
      </c>
      <c r="CB8" s="75">
        <f>IFERROR(VLOOKUP($CA$2&amp;"-"&amp; RIGHT(CB$4,1)&amp;"-"&amp;$A8,CC1_InputUser!$L:$N,2,FALSE),0)</f>
        <v>0</v>
      </c>
      <c r="CC8" s="75">
        <f>IFERROR(VLOOKUP($CA$2&amp;"-"&amp; RIGHT(CC$4,1)&amp;"-"&amp;$A8,CC1_InputUser!$L:$N,2,FALSE),0)</f>
        <v>0</v>
      </c>
      <c r="CD8" s="75">
        <f>IFERROR(VLOOKUP($CA$2&amp;"-"&amp; RIGHT(CD$4,1)&amp;"-"&amp;$A8,CC1_InputUser!$L:$N,2,FALSE),0)</f>
        <v>0</v>
      </c>
      <c r="CE8" s="75">
        <f>IFERROR(VLOOKUP($CA$2&amp;"-"&amp; RIGHT(CE$4,1)&amp;"-"&amp;$A8,CC1_InputUser!$L:$N,2,FALSE),0)</f>
        <v>0</v>
      </c>
      <c r="CF8" s="75">
        <f>IFERROR(VLOOKUP($CA$2&amp;"-"&amp; RIGHT(CF$4,1)&amp;"-"&amp;$A8,CC1_InputUser!$L:$N,3,FALSE),0)</f>
        <v>0</v>
      </c>
      <c r="CG8" s="75">
        <f>IFERROR(VLOOKUP($CA$2&amp;"-"&amp; RIGHT(CG$4,1)&amp;"-"&amp;$A8,CC1_InputUser!$L:$N,3,FALSE),0)</f>
        <v>0</v>
      </c>
      <c r="CH8" s="75">
        <f>IFERROR(VLOOKUP($CA$2&amp;"-"&amp; RIGHT(CH$4,1)&amp;"-"&amp;$A8,CC1_InputUser!$L:$N,3,FALSE),0)</f>
        <v>0</v>
      </c>
      <c r="CI8" s="75">
        <f>IFERROR(VLOOKUP($CA$2&amp;"-"&amp; RIGHT(CI$4,1)&amp;"-"&amp;$A8,CC1_InputUser!$L:$N,3,FALSE),0)</f>
        <v>0</v>
      </c>
      <c r="CJ8" s="75">
        <f>IFERROR(VLOOKUP($CA$2&amp;"-"&amp; RIGHT(CJ$4,1)&amp;"-"&amp;$A8,CC1_InputUser!$L:$N,3,FALSE),0)</f>
        <v>0</v>
      </c>
      <c r="CK8" s="76"/>
      <c r="CL8" s="75">
        <f>IFERROR(VLOOKUP($CL$2&amp;"-"&amp; RIGHT(CL$4,1)&amp;"-"&amp;$A8,CC1_InputUser!$L:$N,2,FALSE),0)</f>
        <v>0</v>
      </c>
      <c r="CM8" s="75">
        <f>IFERROR(VLOOKUP($CL$2&amp;"-"&amp; RIGHT(CM$4,1)&amp;"-"&amp;$A8,CC1_InputUser!$L:$N,2,FALSE),0)</f>
        <v>0</v>
      </c>
      <c r="CN8" s="75">
        <f>IFERROR(VLOOKUP($CL$2&amp;"-"&amp; RIGHT(CN$4,1)&amp;"-"&amp;$A8,CC1_InputUser!$L:$N,2,FALSE),0)</f>
        <v>0</v>
      </c>
      <c r="CO8" s="75">
        <f>IFERROR(VLOOKUP($CL$2&amp;"-"&amp; RIGHT(CO$4,1)&amp;"-"&amp;$A8,CC1_InputUser!$L:$N,2,FALSE),0)</f>
        <v>0</v>
      </c>
      <c r="CP8" s="75">
        <f>IFERROR(VLOOKUP($CL$2&amp;"-"&amp; RIGHT(CP$4,1)&amp;"-"&amp;$A8,CC1_InputUser!$L:$N,2,FALSE),0)</f>
        <v>0</v>
      </c>
      <c r="CQ8" s="75">
        <f>IFERROR(VLOOKUP($CL$2&amp;"-"&amp; RIGHT(CQ$4,1)&amp;"-"&amp;$A8,CC1_InputUser!$L:$N,3,FALSE),0)</f>
        <v>0</v>
      </c>
      <c r="CR8" s="75">
        <f>IFERROR(VLOOKUP($CL$2&amp;"-"&amp; RIGHT(CR$4,1)&amp;"-"&amp;$A8,CC1_InputUser!$L:$N,3,FALSE),0)</f>
        <v>0</v>
      </c>
      <c r="CS8" s="75">
        <f>IFERROR(VLOOKUP($CL$2&amp;"-"&amp; RIGHT(CS$4,1)&amp;"-"&amp;$A8,CC1_InputUser!$L:$N,3,FALSE),0)</f>
        <v>0</v>
      </c>
      <c r="CT8" s="75">
        <f>IFERROR(VLOOKUP($CL$2&amp;"-"&amp; RIGHT(CT$4,1)&amp;"-"&amp;$A8,CC1_InputUser!$L:$N,3,FALSE),0)</f>
        <v>0</v>
      </c>
      <c r="CU8" s="75">
        <f>IFERROR(VLOOKUP($CL$2&amp;"-"&amp; RIGHT(CU$4,1)&amp;"-"&amp;$A8,CC1_InputUser!$L:$N,3,FALSE),0)</f>
        <v>0</v>
      </c>
      <c r="CV8" s="76"/>
      <c r="CW8" s="75">
        <f>IFERROR(VLOOKUP($CW$2&amp;"-"&amp; RIGHT(CW$4,1)&amp;"-"&amp;$A8,CC1_InputUser!$L:$N,2,FALSE),0)</f>
        <v>0</v>
      </c>
      <c r="CX8" s="75">
        <f>IFERROR(VLOOKUP($CW$2&amp;"-"&amp; RIGHT(CX$4,1)&amp;"-"&amp;$A8,CC1_InputUser!$L:$N,2,FALSE),0)</f>
        <v>0</v>
      </c>
      <c r="CY8" s="75">
        <f>IFERROR(VLOOKUP($CW$2&amp;"-"&amp; RIGHT(CY$4,1)&amp;"-"&amp;$A8,CC1_InputUser!$L:$N,2,FALSE),0)</f>
        <v>0</v>
      </c>
      <c r="CZ8" s="75">
        <f>IFERROR(VLOOKUP($CW$2&amp;"-"&amp; RIGHT(CZ$4,1)&amp;"-"&amp;$A8,CC1_InputUser!$L:$N,2,FALSE),0)</f>
        <v>0</v>
      </c>
      <c r="DA8" s="75">
        <f>IFERROR(VLOOKUP($CW$2&amp;"-"&amp; RIGHT(DA$4,1)&amp;"-"&amp;$A8,CC1_InputUser!$L:$N,2,FALSE),0)</f>
        <v>0</v>
      </c>
      <c r="DB8" s="75">
        <f>IFERROR(VLOOKUP($CW$2&amp;"-"&amp; RIGHT(DB$4,1)&amp;"-"&amp;$A8,CC1_InputUser!$L:$N,3,FALSE),0)</f>
        <v>0</v>
      </c>
      <c r="DC8" s="75">
        <f>IFERROR(VLOOKUP($CW$2&amp;"-"&amp; RIGHT(DC$4,1)&amp;"-"&amp;$A8,CC1_InputUser!$L:$N,3,FALSE),0)</f>
        <v>0</v>
      </c>
      <c r="DD8" s="75">
        <f>IFERROR(VLOOKUP($CW$2&amp;"-"&amp; RIGHT(DD$4,1)&amp;"-"&amp;$A8,CC1_InputUser!$L:$N,3,FALSE),0)</f>
        <v>0</v>
      </c>
      <c r="DE8" s="75">
        <f>IFERROR(VLOOKUP($CW$2&amp;"-"&amp; RIGHT(DE$4,1)&amp;"-"&amp;$A8,CC1_InputUser!$L:$N,3,FALSE),0)</f>
        <v>0</v>
      </c>
      <c r="DF8" s="75">
        <f>IFERROR(VLOOKUP($CW$2&amp;"-"&amp; RIGHT(DF$4,1)&amp;"-"&amp;$A8,CC1_InputUser!$L:$N,3,FALSE),0)</f>
        <v>0</v>
      </c>
      <c r="DG8" s="76"/>
      <c r="DH8" s="75">
        <f>IFERROR(VLOOKUP($DH$2&amp;"-"&amp; RIGHT(DH$4,1)&amp;"-"&amp;$A8,CC1_InputUser!$L:$N,2,FALSE),0)</f>
        <v>0</v>
      </c>
      <c r="DI8" s="75">
        <f>IFERROR(VLOOKUP($DH$2&amp;"-"&amp; RIGHT(DI$4,1)&amp;"-"&amp;$A8,CC1_InputUser!$L:$N,2,FALSE),0)</f>
        <v>0</v>
      </c>
      <c r="DJ8" s="75">
        <f>IFERROR(VLOOKUP($DH$2&amp;"-"&amp; RIGHT(DJ$4,1)&amp;"-"&amp;$A8,CC1_InputUser!$L:$N,2,FALSE),0)</f>
        <v>0</v>
      </c>
      <c r="DK8" s="75">
        <f>IFERROR(VLOOKUP($DH$2&amp;"-"&amp; RIGHT(DK$4,1)&amp;"-"&amp;$A8,CC1_InputUser!$L:$N,2,FALSE),0)</f>
        <v>0</v>
      </c>
      <c r="DL8" s="75">
        <f>IFERROR(VLOOKUP($DH$2&amp;"-"&amp; RIGHT(DL$4,1)&amp;"-"&amp;$A8,CC1_InputUser!$L:$N,2,FALSE),0)</f>
        <v>0</v>
      </c>
      <c r="DM8" s="75">
        <f>IFERROR(VLOOKUP($DH$2&amp;"-"&amp; RIGHT(DM$4,1)&amp;"-"&amp;$A8,CC1_InputUser!$L:$N,3,FALSE),0)</f>
        <v>0</v>
      </c>
      <c r="DN8" s="75">
        <f>IFERROR(VLOOKUP($DH$2&amp;"-"&amp; RIGHT(DN$4,1)&amp;"-"&amp;$A8,CC1_InputUser!$L:$N,3,FALSE),0)</f>
        <v>0</v>
      </c>
      <c r="DO8" s="75">
        <f>IFERROR(VLOOKUP($DH$2&amp;"-"&amp; RIGHT(DO$4,1)&amp;"-"&amp;$A8,CC1_InputUser!$L:$N,3,FALSE),0)</f>
        <v>0</v>
      </c>
      <c r="DP8" s="75">
        <f>IFERROR(VLOOKUP($DH$2&amp;"-"&amp; RIGHT(DP$4,1)&amp;"-"&amp;$A8,CC1_InputUser!$L:$N,3,FALSE),0)</f>
        <v>0</v>
      </c>
      <c r="DQ8" s="75">
        <f>IFERROR(VLOOKUP($DH$2&amp;"-"&amp; RIGHT(DQ$4,1)&amp;"-"&amp;$A8,CC1_InputUser!$L:$N,3,FALSE),0)</f>
        <v>0</v>
      </c>
      <c r="DR8" s="76"/>
      <c r="DS8" s="75">
        <f>IFERROR(VLOOKUP($DS$2&amp;"-"&amp; RIGHT(DS$4,1)&amp;"-"&amp;$A8,CC1_InputUser!$L:$N,2,FALSE),0)</f>
        <v>6.2430287430287223E-2</v>
      </c>
      <c r="DT8" s="75">
        <f>IFERROR(VLOOKUP($DS$2&amp;"-"&amp; RIGHT(DT$4,1)&amp;"-"&amp;$A8,CC1_InputUser!$L:$N,2,FALSE),0)</f>
        <v>0</v>
      </c>
      <c r="DU8" s="75">
        <f>IFERROR(VLOOKUP($DS$2&amp;"-"&amp; RIGHT(DU$4,1)&amp;"-"&amp;$A8,CC1_InputUser!$L:$N,2,FALSE),0)</f>
        <v>0</v>
      </c>
      <c r="DV8" s="75">
        <f>IFERROR(VLOOKUP($DS$2&amp;"-"&amp; RIGHT(DV$4,1)&amp;"-"&amp;$A8,CC1_InputUser!$L:$N,2,FALSE),0)</f>
        <v>0</v>
      </c>
      <c r="DW8" s="75">
        <f>IFERROR(VLOOKUP($DS$2&amp;"-"&amp; RIGHT(DW$4,1)&amp;"-"&amp;$A8,CC1_InputUser!$L:$N,2,FALSE),0)</f>
        <v>0</v>
      </c>
      <c r="DX8" s="75">
        <f>IFERROR(VLOOKUP($DS$2&amp;"-"&amp; RIGHT(DX$4,1)&amp;"-"&amp;$A8,CC1_InputUser!$L:$N,3,FALSE),0)</f>
        <v>-8.1096291841388224E-3</v>
      </c>
      <c r="DY8" s="75">
        <f>IFERROR(VLOOKUP($DS$2&amp;"-"&amp; RIGHT(DY$4,1)&amp;"-"&amp;$A8,CC1_InputUser!$L:$N,3,FALSE),0)</f>
        <v>0</v>
      </c>
      <c r="DZ8" s="75">
        <f>IFERROR(VLOOKUP($DS$2&amp;"-"&amp; RIGHT(DZ$4,1)&amp;"-"&amp;$A8,CC1_InputUser!$L:$N,3,FALSE),0)</f>
        <v>0</v>
      </c>
      <c r="EA8" s="75">
        <f>IFERROR(VLOOKUP($DS$2&amp;"-"&amp; RIGHT(EA$4,1)&amp;"-"&amp;$A8,CC1_InputUser!$L:$N,3,FALSE),0)</f>
        <v>0</v>
      </c>
      <c r="EB8" s="75">
        <f>IFERROR(VLOOKUP($DS$2&amp;"-"&amp; RIGHT(EB$4,1)&amp;"-"&amp;$A8,CC1_InputUser!$L:$N,3,FALSE),0)</f>
        <v>0</v>
      </c>
      <c r="EC8" s="76"/>
    </row>
    <row r="9" spans="1:133" x14ac:dyDescent="0.3">
      <c r="A9" s="70"/>
      <c r="B9" s="77"/>
      <c r="C9" s="77"/>
      <c r="D9" s="77"/>
      <c r="E9" s="77"/>
      <c r="F9" s="77"/>
      <c r="G9" s="77"/>
      <c r="H9" s="77"/>
      <c r="I9" s="77"/>
      <c r="J9" s="77"/>
      <c r="K9" s="77"/>
      <c r="L9" s="78"/>
      <c r="M9" s="77"/>
      <c r="N9" s="77"/>
      <c r="O9" s="77"/>
      <c r="P9" s="77"/>
      <c r="Q9" s="77"/>
      <c r="R9" s="77"/>
      <c r="S9" s="77"/>
      <c r="T9" s="77"/>
      <c r="U9" s="77"/>
      <c r="V9" s="77"/>
      <c r="W9" s="78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8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8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8"/>
      <c r="BE9" s="77"/>
      <c r="BF9" s="77"/>
      <c r="BG9" s="77"/>
      <c r="BH9" s="77"/>
      <c r="BI9" s="77"/>
      <c r="BJ9" s="77"/>
      <c r="BK9" s="77"/>
      <c r="BL9" s="77"/>
      <c r="BM9" s="77"/>
      <c r="BN9" s="77"/>
      <c r="BO9" s="78"/>
      <c r="BP9" s="77"/>
      <c r="BQ9" s="77"/>
      <c r="BR9" s="77"/>
      <c r="BS9" s="77"/>
      <c r="BT9" s="77"/>
      <c r="BU9" s="77"/>
      <c r="BV9" s="77"/>
      <c r="BW9" s="77"/>
      <c r="BX9" s="77"/>
      <c r="BY9" s="77"/>
      <c r="BZ9" s="78"/>
      <c r="CA9" s="77"/>
      <c r="CB9" s="77"/>
      <c r="CC9" s="77"/>
      <c r="CD9" s="77"/>
      <c r="CE9" s="77"/>
      <c r="CF9" s="77"/>
      <c r="CG9" s="77"/>
      <c r="CH9" s="77"/>
      <c r="CI9" s="77"/>
      <c r="CJ9" s="77"/>
      <c r="CK9" s="78"/>
      <c r="CL9" s="77"/>
      <c r="CM9" s="77"/>
      <c r="CN9" s="77"/>
      <c r="CO9" s="77"/>
      <c r="CP9" s="77"/>
      <c r="CQ9" s="77"/>
      <c r="CR9" s="77"/>
      <c r="CS9" s="77"/>
      <c r="CT9" s="77"/>
      <c r="CU9" s="77"/>
      <c r="CV9" s="78"/>
      <c r="CW9" s="77"/>
      <c r="CX9" s="77"/>
      <c r="CY9" s="77"/>
      <c r="CZ9" s="77"/>
      <c r="DA9" s="77"/>
      <c r="DB9" s="77"/>
      <c r="DC9" s="77"/>
      <c r="DD9" s="77"/>
      <c r="DE9" s="77"/>
      <c r="DF9" s="77"/>
      <c r="DG9" s="78"/>
      <c r="DH9" s="77"/>
      <c r="DI9" s="77"/>
      <c r="DJ9" s="77"/>
      <c r="DK9" s="77"/>
      <c r="DL9" s="77"/>
      <c r="DM9" s="77"/>
      <c r="DN9" s="77"/>
      <c r="DO9" s="77"/>
      <c r="DP9" s="77"/>
      <c r="DQ9" s="77"/>
      <c r="DR9" s="78"/>
      <c r="DS9" s="77"/>
      <c r="DT9" s="77"/>
      <c r="DU9" s="77"/>
      <c r="DV9" s="77"/>
      <c r="DW9" s="77"/>
      <c r="DX9" s="77"/>
      <c r="DY9" s="77"/>
      <c r="DZ9" s="77"/>
      <c r="EA9" s="77"/>
      <c r="EB9" s="77"/>
      <c r="EC9" s="78"/>
    </row>
    <row r="10" spans="1:133" x14ac:dyDescent="0.3">
      <c r="A10" s="69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6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6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6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6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6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6"/>
      <c r="BP10" s="75"/>
      <c r="BQ10" s="75"/>
      <c r="BR10" s="75"/>
      <c r="BS10" s="75"/>
      <c r="BT10" s="75"/>
      <c r="BU10" s="75"/>
      <c r="BV10" s="75"/>
      <c r="BW10" s="75"/>
      <c r="BX10" s="75"/>
      <c r="BY10" s="75"/>
      <c r="BZ10" s="76"/>
      <c r="CA10" s="75"/>
      <c r="CB10" s="75"/>
      <c r="CC10" s="75"/>
      <c r="CD10" s="75"/>
      <c r="CE10" s="75"/>
      <c r="CF10" s="75"/>
      <c r="CG10" s="75"/>
      <c r="CH10" s="75"/>
      <c r="CI10" s="75"/>
      <c r="CJ10" s="75"/>
      <c r="CK10" s="76"/>
      <c r="CL10" s="75"/>
      <c r="CM10" s="75"/>
      <c r="CN10" s="75"/>
      <c r="CO10" s="75"/>
      <c r="CP10" s="75"/>
      <c r="CQ10" s="75"/>
      <c r="CR10" s="75"/>
      <c r="CS10" s="75"/>
      <c r="CT10" s="75"/>
      <c r="CU10" s="75"/>
      <c r="CV10" s="76"/>
      <c r="CW10" s="75"/>
      <c r="CX10" s="75"/>
      <c r="CY10" s="75"/>
      <c r="CZ10" s="75"/>
      <c r="DA10" s="75"/>
      <c r="DB10" s="75"/>
      <c r="DC10" s="75"/>
      <c r="DD10" s="75"/>
      <c r="DE10" s="75"/>
      <c r="DF10" s="75"/>
      <c r="DG10" s="76"/>
      <c r="DH10" s="75"/>
      <c r="DI10" s="75"/>
      <c r="DJ10" s="75"/>
      <c r="DK10" s="75"/>
      <c r="DL10" s="75"/>
      <c r="DM10" s="75"/>
      <c r="DN10" s="75"/>
      <c r="DO10" s="75"/>
      <c r="DP10" s="75"/>
      <c r="DQ10" s="75"/>
      <c r="DR10" s="76"/>
      <c r="DS10" s="75"/>
      <c r="DT10" s="75"/>
      <c r="DU10" s="75"/>
      <c r="DV10" s="75"/>
      <c r="DW10" s="75"/>
      <c r="DX10" s="75"/>
      <c r="DY10" s="75"/>
      <c r="DZ10" s="75"/>
      <c r="EA10" s="75"/>
      <c r="EB10" s="75"/>
      <c r="EC10" s="76"/>
    </row>
    <row r="11" spans="1:133" x14ac:dyDescent="0.3">
      <c r="A11" s="70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8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8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8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8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8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8"/>
      <c r="BP11" s="77"/>
      <c r="BQ11" s="77"/>
      <c r="BR11" s="77"/>
      <c r="BS11" s="77"/>
      <c r="BT11" s="77"/>
      <c r="BU11" s="77"/>
      <c r="BV11" s="77"/>
      <c r="BW11" s="77"/>
      <c r="BX11" s="77"/>
      <c r="BY11" s="77"/>
      <c r="BZ11" s="78"/>
      <c r="CA11" s="77"/>
      <c r="CB11" s="77"/>
      <c r="CC11" s="77"/>
      <c r="CD11" s="77"/>
      <c r="CE11" s="77"/>
      <c r="CF11" s="77"/>
      <c r="CG11" s="77"/>
      <c r="CH11" s="77"/>
      <c r="CI11" s="77"/>
      <c r="CJ11" s="77"/>
      <c r="CK11" s="78"/>
      <c r="CL11" s="77"/>
      <c r="CM11" s="77"/>
      <c r="CN11" s="77"/>
      <c r="CO11" s="77"/>
      <c r="CP11" s="77"/>
      <c r="CQ11" s="77"/>
      <c r="CR11" s="77"/>
      <c r="CS11" s="77"/>
      <c r="CT11" s="77"/>
      <c r="CU11" s="77"/>
      <c r="CV11" s="78"/>
      <c r="CW11" s="77"/>
      <c r="CX11" s="77"/>
      <c r="CY11" s="77"/>
      <c r="CZ11" s="77"/>
      <c r="DA11" s="77"/>
      <c r="DB11" s="77"/>
      <c r="DC11" s="77"/>
      <c r="DD11" s="77"/>
      <c r="DE11" s="77"/>
      <c r="DF11" s="77"/>
      <c r="DG11" s="78"/>
      <c r="DH11" s="77"/>
      <c r="DI11" s="77"/>
      <c r="DJ11" s="77"/>
      <c r="DK11" s="77"/>
      <c r="DL11" s="77"/>
      <c r="DM11" s="77"/>
      <c r="DN11" s="77"/>
      <c r="DO11" s="77"/>
      <c r="DP11" s="77"/>
      <c r="DQ11" s="77"/>
      <c r="DR11" s="78"/>
      <c r="DS11" s="77"/>
      <c r="DT11" s="77"/>
      <c r="DU11" s="77"/>
      <c r="DV11" s="77"/>
      <c r="DW11" s="77"/>
      <c r="DX11" s="77"/>
      <c r="DY11" s="77"/>
      <c r="DZ11" s="77"/>
      <c r="EA11" s="77"/>
      <c r="EB11" s="77"/>
      <c r="EC11" s="78"/>
    </row>
    <row r="12" spans="1:133" x14ac:dyDescent="0.3">
      <c r="A12" s="69"/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6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6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6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6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6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6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6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6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6"/>
      <c r="CW12" s="75"/>
      <c r="CX12" s="75"/>
      <c r="CY12" s="75"/>
      <c r="CZ12" s="75"/>
      <c r="DA12" s="75"/>
      <c r="DB12" s="75"/>
      <c r="DC12" s="75"/>
      <c r="DD12" s="75"/>
      <c r="DE12" s="75"/>
      <c r="DF12" s="75"/>
      <c r="DG12" s="76"/>
      <c r="DH12" s="75"/>
      <c r="DI12" s="75"/>
      <c r="DJ12" s="75"/>
      <c r="DK12" s="75"/>
      <c r="DL12" s="75"/>
      <c r="DM12" s="75"/>
      <c r="DN12" s="75"/>
      <c r="DO12" s="75"/>
      <c r="DP12" s="75"/>
      <c r="DQ12" s="75"/>
      <c r="DR12" s="76"/>
      <c r="DS12" s="75"/>
      <c r="DT12" s="75"/>
      <c r="DU12" s="75"/>
      <c r="DV12" s="75"/>
      <c r="DW12" s="75"/>
      <c r="DX12" s="75"/>
      <c r="DY12" s="75"/>
      <c r="DZ12" s="75"/>
      <c r="EA12" s="75"/>
      <c r="EB12" s="75"/>
      <c r="EC12" s="76"/>
    </row>
    <row r="13" spans="1:133" x14ac:dyDescent="0.3">
      <c r="A13" s="70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78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8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8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8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8"/>
      <c r="BE13" s="77"/>
      <c r="BF13" s="77"/>
      <c r="BG13" s="77"/>
      <c r="BH13" s="77"/>
      <c r="BI13" s="77"/>
      <c r="BJ13" s="77"/>
      <c r="BK13" s="77"/>
      <c r="BL13" s="77"/>
      <c r="BM13" s="77"/>
      <c r="BN13" s="77"/>
      <c r="BO13" s="78"/>
      <c r="BP13" s="77"/>
      <c r="BQ13" s="77"/>
      <c r="BR13" s="77"/>
      <c r="BS13" s="77"/>
      <c r="BT13" s="77"/>
      <c r="BU13" s="77"/>
      <c r="BV13" s="77"/>
      <c r="BW13" s="77"/>
      <c r="BX13" s="77"/>
      <c r="BY13" s="77"/>
      <c r="BZ13" s="78"/>
      <c r="CA13" s="77"/>
      <c r="CB13" s="77"/>
      <c r="CC13" s="77"/>
      <c r="CD13" s="77"/>
      <c r="CE13" s="77"/>
      <c r="CF13" s="77"/>
      <c r="CG13" s="77"/>
      <c r="CH13" s="77"/>
      <c r="CI13" s="77"/>
      <c r="CJ13" s="77"/>
      <c r="CK13" s="78"/>
      <c r="CL13" s="77"/>
      <c r="CM13" s="77"/>
      <c r="CN13" s="77"/>
      <c r="CO13" s="77"/>
      <c r="CP13" s="77"/>
      <c r="CQ13" s="77"/>
      <c r="CR13" s="77"/>
      <c r="CS13" s="77"/>
      <c r="CT13" s="77"/>
      <c r="CU13" s="77"/>
      <c r="CV13" s="78"/>
      <c r="CW13" s="77"/>
      <c r="CX13" s="77"/>
      <c r="CY13" s="77"/>
      <c r="CZ13" s="77"/>
      <c r="DA13" s="77"/>
      <c r="DB13" s="77"/>
      <c r="DC13" s="77"/>
      <c r="DD13" s="77"/>
      <c r="DE13" s="77"/>
      <c r="DF13" s="77"/>
      <c r="DG13" s="78"/>
      <c r="DH13" s="77"/>
      <c r="DI13" s="77"/>
      <c r="DJ13" s="77"/>
      <c r="DK13" s="77"/>
      <c r="DL13" s="77"/>
      <c r="DM13" s="77"/>
      <c r="DN13" s="77"/>
      <c r="DO13" s="77"/>
      <c r="DP13" s="77"/>
      <c r="DQ13" s="77"/>
      <c r="DR13" s="78"/>
      <c r="DS13" s="77"/>
      <c r="DT13" s="77"/>
      <c r="DU13" s="77"/>
      <c r="DV13" s="77"/>
      <c r="DW13" s="77"/>
      <c r="DX13" s="77"/>
      <c r="DY13" s="77"/>
      <c r="DZ13" s="77"/>
      <c r="EA13" s="77"/>
      <c r="EB13" s="77"/>
      <c r="EC13" s="78"/>
    </row>
    <row r="14" spans="1:133" ht="2.1" customHeight="1" x14ac:dyDescent="0.3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4" customFormat="1" ht="24.95" customHeight="1" x14ac:dyDescent="0.25">
      <c r="A15" s="42" t="s">
        <v>40</v>
      </c>
      <c r="B15" s="99">
        <f t="shared" ref="B15:K15" si="0">SUM(B6:B13)</f>
        <v>0</v>
      </c>
      <c r="C15" s="99">
        <f t="shared" si="0"/>
        <v>0</v>
      </c>
      <c r="D15" s="99">
        <f t="shared" si="0"/>
        <v>0</v>
      </c>
      <c r="E15" s="99">
        <f t="shared" si="0"/>
        <v>0</v>
      </c>
      <c r="F15" s="99">
        <f t="shared" si="0"/>
        <v>0</v>
      </c>
      <c r="G15" s="55">
        <f t="shared" si="0"/>
        <v>0</v>
      </c>
      <c r="H15" s="55">
        <f t="shared" si="0"/>
        <v>0</v>
      </c>
      <c r="I15" s="55">
        <f t="shared" si="0"/>
        <v>0</v>
      </c>
      <c r="J15" s="55">
        <f t="shared" si="0"/>
        <v>0</v>
      </c>
      <c r="K15" s="55">
        <f t="shared" si="0"/>
        <v>0</v>
      </c>
      <c r="L15" s="59"/>
      <c r="M15" s="57">
        <f t="shared" ref="M15:V15" si="1">SUM(M6:M13)</f>
        <v>0</v>
      </c>
      <c r="N15" s="57">
        <f t="shared" si="1"/>
        <v>0</v>
      </c>
      <c r="O15" s="57">
        <f t="shared" si="1"/>
        <v>0</v>
      </c>
      <c r="P15" s="57">
        <f t="shared" si="1"/>
        <v>0</v>
      </c>
      <c r="Q15" s="57">
        <f t="shared" si="1"/>
        <v>0</v>
      </c>
      <c r="R15" s="55">
        <f t="shared" si="1"/>
        <v>0</v>
      </c>
      <c r="S15" s="55">
        <f t="shared" si="1"/>
        <v>0</v>
      </c>
      <c r="T15" s="55">
        <f t="shared" si="1"/>
        <v>0</v>
      </c>
      <c r="U15" s="55">
        <f t="shared" si="1"/>
        <v>0</v>
      </c>
      <c r="V15" s="55">
        <f t="shared" si="1"/>
        <v>0</v>
      </c>
      <c r="W15" s="59"/>
      <c r="X15" s="57">
        <f t="shared" ref="X15:AG15" si="2">SUM(X6:X13)</f>
        <v>0</v>
      </c>
      <c r="Y15" s="57">
        <f t="shared" si="2"/>
        <v>0</v>
      </c>
      <c r="Z15" s="57">
        <f t="shared" si="2"/>
        <v>0</v>
      </c>
      <c r="AA15" s="57">
        <f t="shared" si="2"/>
        <v>0</v>
      </c>
      <c r="AB15" s="57">
        <f t="shared" si="2"/>
        <v>0</v>
      </c>
      <c r="AC15" s="55">
        <f t="shared" si="2"/>
        <v>0</v>
      </c>
      <c r="AD15" s="55">
        <f t="shared" si="2"/>
        <v>0</v>
      </c>
      <c r="AE15" s="55">
        <f t="shared" si="2"/>
        <v>0</v>
      </c>
      <c r="AF15" s="55">
        <f t="shared" si="2"/>
        <v>0</v>
      </c>
      <c r="AG15" s="55">
        <f t="shared" si="2"/>
        <v>0</v>
      </c>
      <c r="AH15" s="59"/>
      <c r="AI15" s="57">
        <f t="shared" ref="AI15:AR15" si="3">SUM(AI6:AI13)</f>
        <v>0</v>
      </c>
      <c r="AJ15" s="57">
        <f t="shared" si="3"/>
        <v>0</v>
      </c>
      <c r="AK15" s="57">
        <f t="shared" si="3"/>
        <v>0</v>
      </c>
      <c r="AL15" s="57">
        <f t="shared" si="3"/>
        <v>0</v>
      </c>
      <c r="AM15" s="57">
        <f t="shared" si="3"/>
        <v>0</v>
      </c>
      <c r="AN15" s="55">
        <f t="shared" si="3"/>
        <v>0</v>
      </c>
      <c r="AO15" s="55">
        <f t="shared" si="3"/>
        <v>0</v>
      </c>
      <c r="AP15" s="55">
        <f t="shared" si="3"/>
        <v>0</v>
      </c>
      <c r="AQ15" s="55">
        <f t="shared" si="3"/>
        <v>0</v>
      </c>
      <c r="AR15" s="55">
        <f t="shared" si="3"/>
        <v>0</v>
      </c>
      <c r="AS15" s="59"/>
      <c r="AT15" s="57">
        <f t="shared" ref="AT15:BC15" si="4">SUM(AT6:AT13)</f>
        <v>0</v>
      </c>
      <c r="AU15" s="57">
        <f t="shared" si="4"/>
        <v>0</v>
      </c>
      <c r="AV15" s="57">
        <f t="shared" si="4"/>
        <v>0</v>
      </c>
      <c r="AW15" s="57">
        <f t="shared" si="4"/>
        <v>0</v>
      </c>
      <c r="AX15" s="57">
        <f t="shared" si="4"/>
        <v>0</v>
      </c>
      <c r="AY15" s="55">
        <f t="shared" si="4"/>
        <v>0</v>
      </c>
      <c r="AZ15" s="55">
        <f t="shared" si="4"/>
        <v>0</v>
      </c>
      <c r="BA15" s="55">
        <f t="shared" si="4"/>
        <v>0</v>
      </c>
      <c r="BB15" s="55">
        <f t="shared" si="4"/>
        <v>0</v>
      </c>
      <c r="BC15" s="55">
        <f t="shared" si="4"/>
        <v>0</v>
      </c>
      <c r="BD15" s="59"/>
      <c r="BE15" s="57">
        <f t="shared" ref="BE15:BN15" si="5">SUM(BE6:BE13)</f>
        <v>0</v>
      </c>
      <c r="BF15" s="57">
        <f t="shared" si="5"/>
        <v>0</v>
      </c>
      <c r="BG15" s="57">
        <f t="shared" si="5"/>
        <v>0</v>
      </c>
      <c r="BH15" s="57">
        <f t="shared" si="5"/>
        <v>0</v>
      </c>
      <c r="BI15" s="57">
        <f t="shared" si="5"/>
        <v>0</v>
      </c>
      <c r="BJ15" s="55">
        <f t="shared" si="5"/>
        <v>0</v>
      </c>
      <c r="BK15" s="55">
        <f t="shared" si="5"/>
        <v>0</v>
      </c>
      <c r="BL15" s="55">
        <f t="shared" si="5"/>
        <v>0</v>
      </c>
      <c r="BM15" s="55">
        <f t="shared" si="5"/>
        <v>0</v>
      </c>
      <c r="BN15" s="55">
        <f t="shared" si="5"/>
        <v>0</v>
      </c>
      <c r="BO15" s="59"/>
      <c r="BP15" s="57">
        <f t="shared" ref="BP15:BY15" si="6">SUM(BP6:BP13)</f>
        <v>0</v>
      </c>
      <c r="BQ15" s="57">
        <f t="shared" si="6"/>
        <v>0</v>
      </c>
      <c r="BR15" s="57">
        <f t="shared" si="6"/>
        <v>0</v>
      </c>
      <c r="BS15" s="57">
        <f t="shared" si="6"/>
        <v>0</v>
      </c>
      <c r="BT15" s="57">
        <f t="shared" si="6"/>
        <v>0</v>
      </c>
      <c r="BU15" s="55">
        <f t="shared" si="6"/>
        <v>0</v>
      </c>
      <c r="BV15" s="55">
        <f t="shared" si="6"/>
        <v>0</v>
      </c>
      <c r="BW15" s="55">
        <f t="shared" si="6"/>
        <v>0</v>
      </c>
      <c r="BX15" s="55">
        <f t="shared" si="6"/>
        <v>0</v>
      </c>
      <c r="BY15" s="55">
        <f t="shared" si="6"/>
        <v>0</v>
      </c>
      <c r="BZ15" s="59"/>
      <c r="CA15" s="57">
        <f t="shared" ref="CA15:CJ15" si="7">SUM(CA6:CA13)</f>
        <v>0</v>
      </c>
      <c r="CB15" s="57">
        <f t="shared" si="7"/>
        <v>0</v>
      </c>
      <c r="CC15" s="57">
        <f t="shared" si="7"/>
        <v>0</v>
      </c>
      <c r="CD15" s="57">
        <f t="shared" si="7"/>
        <v>0</v>
      </c>
      <c r="CE15" s="57">
        <f t="shared" si="7"/>
        <v>0</v>
      </c>
      <c r="CF15" s="55">
        <f t="shared" si="7"/>
        <v>0</v>
      </c>
      <c r="CG15" s="55">
        <f t="shared" si="7"/>
        <v>0</v>
      </c>
      <c r="CH15" s="55">
        <f t="shared" si="7"/>
        <v>0</v>
      </c>
      <c r="CI15" s="55">
        <f t="shared" si="7"/>
        <v>0</v>
      </c>
      <c r="CJ15" s="55">
        <f t="shared" si="7"/>
        <v>0</v>
      </c>
      <c r="CK15" s="59"/>
      <c r="CL15" s="57">
        <f t="shared" ref="CL15:CU15" si="8">SUM(CL6:CL13)</f>
        <v>0</v>
      </c>
      <c r="CM15" s="57">
        <f t="shared" si="8"/>
        <v>0</v>
      </c>
      <c r="CN15" s="57">
        <f t="shared" si="8"/>
        <v>0</v>
      </c>
      <c r="CO15" s="57">
        <f t="shared" si="8"/>
        <v>0</v>
      </c>
      <c r="CP15" s="57">
        <f t="shared" si="8"/>
        <v>0</v>
      </c>
      <c r="CQ15" s="55">
        <f t="shared" si="8"/>
        <v>0</v>
      </c>
      <c r="CR15" s="55">
        <f t="shared" si="8"/>
        <v>0</v>
      </c>
      <c r="CS15" s="55">
        <f t="shared" si="8"/>
        <v>0</v>
      </c>
      <c r="CT15" s="55">
        <f t="shared" si="8"/>
        <v>0</v>
      </c>
      <c r="CU15" s="55">
        <f t="shared" si="8"/>
        <v>0</v>
      </c>
      <c r="CV15" s="59"/>
      <c r="CW15" s="57">
        <f t="shared" ref="CW15:DF15" si="9">SUM(CW6:CW13)</f>
        <v>0</v>
      </c>
      <c r="CX15" s="57">
        <f t="shared" si="9"/>
        <v>0</v>
      </c>
      <c r="CY15" s="57">
        <f t="shared" si="9"/>
        <v>0</v>
      </c>
      <c r="CZ15" s="57">
        <f t="shared" si="9"/>
        <v>0</v>
      </c>
      <c r="DA15" s="57">
        <f t="shared" si="9"/>
        <v>0</v>
      </c>
      <c r="DB15" s="55">
        <f t="shared" si="9"/>
        <v>0</v>
      </c>
      <c r="DC15" s="55">
        <f t="shared" si="9"/>
        <v>0</v>
      </c>
      <c r="DD15" s="55">
        <f t="shared" si="9"/>
        <v>0</v>
      </c>
      <c r="DE15" s="55">
        <f t="shared" si="9"/>
        <v>0</v>
      </c>
      <c r="DF15" s="55">
        <f t="shared" si="9"/>
        <v>0</v>
      </c>
      <c r="DG15" s="59"/>
      <c r="DH15" s="57">
        <f t="shared" ref="DH15:DQ15" si="10">SUM(DH6:DH13)</f>
        <v>0</v>
      </c>
      <c r="DI15" s="57">
        <f t="shared" si="10"/>
        <v>0</v>
      </c>
      <c r="DJ15" s="57">
        <f t="shared" si="10"/>
        <v>0</v>
      </c>
      <c r="DK15" s="57">
        <f t="shared" si="10"/>
        <v>0</v>
      </c>
      <c r="DL15" s="57">
        <f t="shared" si="10"/>
        <v>0</v>
      </c>
      <c r="DM15" s="55">
        <f t="shared" si="10"/>
        <v>0</v>
      </c>
      <c r="DN15" s="55">
        <f t="shared" si="10"/>
        <v>0</v>
      </c>
      <c r="DO15" s="55">
        <f t="shared" si="10"/>
        <v>0</v>
      </c>
      <c r="DP15" s="55">
        <f t="shared" si="10"/>
        <v>0</v>
      </c>
      <c r="DQ15" s="55">
        <f t="shared" si="10"/>
        <v>0</v>
      </c>
      <c r="DR15" s="59"/>
      <c r="DS15" s="57">
        <f t="shared" ref="DS15:EB15" si="11">SUM(DS6:DS13)</f>
        <v>0.167186918325541</v>
      </c>
      <c r="DT15" s="57">
        <f t="shared" si="11"/>
        <v>0</v>
      </c>
      <c r="DU15" s="57">
        <f t="shared" si="11"/>
        <v>0</v>
      </c>
      <c r="DV15" s="57">
        <f t="shared" si="11"/>
        <v>0</v>
      </c>
      <c r="DW15" s="57">
        <f t="shared" si="11"/>
        <v>0</v>
      </c>
      <c r="DX15" s="55">
        <f t="shared" si="11"/>
        <v>-0.65194530230679426</v>
      </c>
      <c r="DY15" s="55">
        <f t="shared" si="11"/>
        <v>0</v>
      </c>
      <c r="DZ15" s="55">
        <f t="shared" si="11"/>
        <v>0</v>
      </c>
      <c r="EA15" s="55">
        <f t="shared" si="11"/>
        <v>0</v>
      </c>
      <c r="EB15" s="55">
        <f t="shared" si="11"/>
        <v>0</v>
      </c>
      <c r="EC15" s="58"/>
    </row>
    <row r="16" spans="1:133" s="54" customFormat="1" ht="24.95" customHeight="1" x14ac:dyDescent="0.25">
      <c r="A16" s="42" t="s">
        <v>41</v>
      </c>
      <c r="B16" s="102">
        <f>IFERROR(VLOOKUP(B2,CC1_InputUser!$A:$S,18,FALSE),0)</f>
        <v>0</v>
      </c>
      <c r="C16" s="102"/>
      <c r="D16" s="102"/>
      <c r="E16" s="102"/>
      <c r="F16" s="102"/>
      <c r="G16" s="102">
        <f>IFERROR(VLOOKUP(B2,CC1_InputUser!$A:$S,19,FALSE),0)</f>
        <v>0</v>
      </c>
      <c r="H16" s="102"/>
      <c r="I16" s="102"/>
      <c r="J16" s="102"/>
      <c r="K16" s="102"/>
      <c r="L16" s="60"/>
      <c r="M16" s="102">
        <f>IFERROR(VLOOKUP(M2,CC1_InputUser!$A:$S,18,FALSE),0)</f>
        <v>0</v>
      </c>
      <c r="N16" s="102"/>
      <c r="O16" s="102"/>
      <c r="P16" s="102"/>
      <c r="Q16" s="102"/>
      <c r="R16" s="102">
        <f>IFERROR(VLOOKUP(M2,CC1_InputUser!$A:$S,19,FALSE),0)</f>
        <v>0</v>
      </c>
      <c r="S16" s="102"/>
      <c r="T16" s="102"/>
      <c r="U16" s="102"/>
      <c r="V16" s="102"/>
      <c r="W16" s="60"/>
      <c r="X16" s="102">
        <f>IFERROR(VLOOKUP(X2,CC1_InputUser!$A:$S,18,FALSE),0)</f>
        <v>0</v>
      </c>
      <c r="Y16" s="102"/>
      <c r="Z16" s="102"/>
      <c r="AA16" s="102"/>
      <c r="AB16" s="102"/>
      <c r="AC16" s="102">
        <f>IFERROR(VLOOKUP(X2,CC1_InputUser!$A:$S,19,FALSE),0)</f>
        <v>0</v>
      </c>
      <c r="AD16" s="102"/>
      <c r="AE16" s="102"/>
      <c r="AF16" s="102"/>
      <c r="AG16" s="102"/>
      <c r="AH16" s="60"/>
      <c r="AI16" s="102">
        <f>IFERROR(VLOOKUP(AI2,CC1_InputUser!$A:$S,18,FALSE),0)</f>
        <v>0</v>
      </c>
      <c r="AJ16" s="102"/>
      <c r="AK16" s="102"/>
      <c r="AL16" s="102"/>
      <c r="AM16" s="102"/>
      <c r="AN16" s="102">
        <f>IFERROR(VLOOKUP(AI2,CC1_InputUser!$A:$S,19,FALSE),0)</f>
        <v>0</v>
      </c>
      <c r="AO16" s="102"/>
      <c r="AP16" s="102"/>
      <c r="AQ16" s="102"/>
      <c r="AR16" s="102"/>
      <c r="AS16" s="60"/>
      <c r="AT16" s="102">
        <f>IFERROR(VLOOKUP(AT2,CC1_InputUser!$A:$S,18,FALSE),0)</f>
        <v>0</v>
      </c>
      <c r="AU16" s="102"/>
      <c r="AV16" s="102"/>
      <c r="AW16" s="102"/>
      <c r="AX16" s="102"/>
      <c r="AY16" s="102">
        <f>IFERROR(VLOOKUP(AT2,CC1_InputUser!$A:$S,19,FALSE),0)</f>
        <v>0</v>
      </c>
      <c r="AZ16" s="102"/>
      <c r="BA16" s="102"/>
      <c r="BB16" s="102"/>
      <c r="BC16" s="102"/>
      <c r="BD16" s="60"/>
      <c r="BE16" s="102">
        <f>IFERROR(VLOOKUP(BE2,CC1_InputUser!$A:$S,18,FALSE),0)</f>
        <v>0</v>
      </c>
      <c r="BF16" s="102"/>
      <c r="BG16" s="102"/>
      <c r="BH16" s="102"/>
      <c r="BI16" s="102"/>
      <c r="BJ16" s="102">
        <f>IFERROR(VLOOKUP(BE2,CC1_InputUser!$A:$S,19,FALSE),0)</f>
        <v>0</v>
      </c>
      <c r="BK16" s="102"/>
      <c r="BL16" s="102"/>
      <c r="BM16" s="102"/>
      <c r="BN16" s="102"/>
      <c r="BO16" s="60"/>
      <c r="BP16" s="102">
        <f>IFERROR(VLOOKUP(BP2,CC1_InputUser!$A:$S,18,FALSE),0)</f>
        <v>0</v>
      </c>
      <c r="BQ16" s="102"/>
      <c r="BR16" s="102"/>
      <c r="BS16" s="102"/>
      <c r="BT16" s="102"/>
      <c r="BU16" s="102">
        <f>IFERROR(VLOOKUP(BP2,CC1_InputUser!$A:$S,19,FALSE),0)</f>
        <v>0</v>
      </c>
      <c r="BV16" s="102"/>
      <c r="BW16" s="102"/>
      <c r="BX16" s="102"/>
      <c r="BY16" s="102"/>
      <c r="BZ16" s="60"/>
      <c r="CA16" s="102">
        <f>IFERROR(VLOOKUP(CA2,CC1_InputUser!$A:$S,18,FALSE),0)</f>
        <v>0</v>
      </c>
      <c r="CB16" s="102"/>
      <c r="CC16" s="102"/>
      <c r="CD16" s="102"/>
      <c r="CE16" s="102"/>
      <c r="CF16" s="102">
        <f>IFERROR(VLOOKUP(CA2,CC1_InputUser!$A:$S,19,FALSE),0)</f>
        <v>0</v>
      </c>
      <c r="CG16" s="102"/>
      <c r="CH16" s="102"/>
      <c r="CI16" s="102"/>
      <c r="CJ16" s="102"/>
      <c r="CK16" s="60"/>
      <c r="CL16" s="102">
        <f>IFERROR(VLOOKUP(CL2,CC1_InputUser!$A:$S,18,FALSE),0)</f>
        <v>0</v>
      </c>
      <c r="CM16" s="102"/>
      <c r="CN16" s="102"/>
      <c r="CO16" s="102"/>
      <c r="CP16" s="102"/>
      <c r="CQ16" s="102">
        <f>IFERROR(VLOOKUP(CL2,CC1_InputUser!$A:$S,19,FALSE),0)</f>
        <v>0</v>
      </c>
      <c r="CR16" s="102"/>
      <c r="CS16" s="102"/>
      <c r="CT16" s="102"/>
      <c r="CU16" s="102"/>
      <c r="CV16" s="60"/>
      <c r="CW16" s="102">
        <f>IFERROR(VLOOKUP(CW2,CC1_InputUser!$A:$S,18,FALSE),0)</f>
        <v>0</v>
      </c>
      <c r="CX16" s="102"/>
      <c r="CY16" s="102"/>
      <c r="CZ16" s="102"/>
      <c r="DA16" s="102"/>
      <c r="DB16" s="102">
        <f>IFERROR(VLOOKUP(CW2,CC1_InputUser!$A:$S,19,FALSE),0)</f>
        <v>0</v>
      </c>
      <c r="DC16" s="102"/>
      <c r="DD16" s="102"/>
      <c r="DE16" s="102"/>
      <c r="DF16" s="102"/>
      <c r="DG16" s="60"/>
      <c r="DH16" s="102">
        <f>IFERROR(VLOOKUP(DH2,CC1_InputUser!$A:$S,18,FALSE),0)</f>
        <v>0</v>
      </c>
      <c r="DI16" s="102"/>
      <c r="DJ16" s="102"/>
      <c r="DK16" s="102"/>
      <c r="DL16" s="102"/>
      <c r="DM16" s="102">
        <f>IFERROR(VLOOKUP(DH2,CC1_InputUser!$A:$S,19,FALSE),0)</f>
        <v>0</v>
      </c>
      <c r="DN16" s="102"/>
      <c r="DO16" s="102"/>
      <c r="DP16" s="102"/>
      <c r="DQ16" s="102"/>
      <c r="DR16" s="60"/>
      <c r="DS16" s="102">
        <f>IFERROR(VLOOKUP(DS2,CC1_InputUser!$A:$S,18,FALSE),0)</f>
        <v>4.5055814039018927E-4</v>
      </c>
      <c r="DT16" s="102"/>
      <c r="DU16" s="102"/>
      <c r="DV16" s="102"/>
      <c r="DW16" s="102"/>
      <c r="DX16" s="102">
        <f>IFERROR(VLOOKUP(DS2,CC1_InputUser!$A:$S,19,FALSE),0)</f>
        <v>-1.0296993678082456E-2</v>
      </c>
      <c r="DY16" s="102"/>
      <c r="DZ16" s="102"/>
      <c r="EA16" s="102"/>
      <c r="EB16" s="102"/>
      <c r="EC16" s="58"/>
    </row>
    <row r="17" spans="1:133" ht="4.5" customHeight="1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4" customFormat="1" ht="24.95" customHeight="1" x14ac:dyDescent="0.25">
      <c r="A18" s="42" t="s">
        <v>43</v>
      </c>
      <c r="B18" s="49" t="s">
        <v>52</v>
      </c>
      <c r="C18" s="40">
        <f>IFERROR(C15/B15-1,0)</f>
        <v>0</v>
      </c>
      <c r="D18" s="40">
        <f t="shared" ref="D18:F18" si="12">IFERROR(D15/C15-1,0)</f>
        <v>0</v>
      </c>
      <c r="E18" s="40">
        <f t="shared" si="12"/>
        <v>0</v>
      </c>
      <c r="F18" s="40">
        <f t="shared" si="12"/>
        <v>0</v>
      </c>
      <c r="G18" s="50" t="s">
        <v>52</v>
      </c>
      <c r="H18" s="41">
        <f>IFERROR(H15/G15-1,0)</f>
        <v>0</v>
      </c>
      <c r="I18" s="41">
        <f>IFERROR(I15/H15-1,0)</f>
        <v>0</v>
      </c>
      <c r="J18" s="41">
        <f t="shared" ref="J18:K18" si="13">IFERROR(J15/I15-1,0)</f>
        <v>0</v>
      </c>
      <c r="K18" s="41">
        <f t="shared" si="13"/>
        <v>0</v>
      </c>
      <c r="L18" s="36"/>
      <c r="M18" s="40">
        <f>IFERROR(M15/F15-1,0)</f>
        <v>0</v>
      </c>
      <c r="N18" s="40">
        <f>IFERROR(N15/M15-1,0)</f>
        <v>0</v>
      </c>
      <c r="O18" s="40">
        <f>IFERROR(O15/N15-1,0)</f>
        <v>0</v>
      </c>
      <c r="P18" s="40">
        <f>IFERROR(P15/O15-1,0)</f>
        <v>0</v>
      </c>
      <c r="Q18" s="40">
        <f>IFERROR(Q15/P15-1,0)</f>
        <v>0</v>
      </c>
      <c r="R18" s="41">
        <f>IFERROR(R15/K15-1,0)</f>
        <v>0</v>
      </c>
      <c r="S18" s="41">
        <f>IFERROR(S15/R15-1,0)</f>
        <v>0</v>
      </c>
      <c r="T18" s="41">
        <f t="shared" ref="T18:V18" si="14">IFERROR(T15/S15-1,0)</f>
        <v>0</v>
      </c>
      <c r="U18" s="41">
        <f t="shared" si="14"/>
        <v>0</v>
      </c>
      <c r="V18" s="41">
        <f t="shared" si="14"/>
        <v>0</v>
      </c>
      <c r="W18" s="36"/>
      <c r="X18" s="39">
        <f>IFERROR(X15/Q15-1,0)</f>
        <v>0</v>
      </c>
      <c r="Y18" s="39">
        <f>IFERROR(Y15/X15-1,0)</f>
        <v>0</v>
      </c>
      <c r="Z18" s="39">
        <f>IFERROR(Z15/Y15-1,0)</f>
        <v>0</v>
      </c>
      <c r="AA18" s="39">
        <f>IFERROR(AA15/Z15-1,0)</f>
        <v>0</v>
      </c>
      <c r="AB18" s="39">
        <f>IFERROR(AB15/AA15-1,0)</f>
        <v>0</v>
      </c>
      <c r="AC18" s="37">
        <f>IFERROR(AC15/V15-1,0)</f>
        <v>0</v>
      </c>
      <c r="AD18" s="37">
        <f>IFERROR(AD15/AC15-1,0)</f>
        <v>0</v>
      </c>
      <c r="AE18" s="37">
        <f t="shared" ref="AE18:AG18" si="15">IFERROR(AE15/AD15-1,0)</f>
        <v>0</v>
      </c>
      <c r="AF18" s="37">
        <f t="shared" si="15"/>
        <v>0</v>
      </c>
      <c r="AG18" s="37">
        <f t="shared" si="15"/>
        <v>0</v>
      </c>
      <c r="AH18" s="36"/>
      <c r="AI18" s="40">
        <f>IFERROR(AI15/AB15-1,0)</f>
        <v>0</v>
      </c>
      <c r="AJ18" s="40">
        <f>IFERROR(AJ15/AI15-1,0)</f>
        <v>0</v>
      </c>
      <c r="AK18" s="40">
        <f>IFERROR(AK15/AJ15-1,0)</f>
        <v>0</v>
      </c>
      <c r="AL18" s="40">
        <f>IFERROR(AL15/AK15-1,0)</f>
        <v>0</v>
      </c>
      <c r="AM18" s="40">
        <f>IFERROR(AM15/AL15-1,0)</f>
        <v>0</v>
      </c>
      <c r="AN18" s="41">
        <f>IFERROR(AN15/AG15-1,0)</f>
        <v>0</v>
      </c>
      <c r="AO18" s="41">
        <f>IFERROR(AO15/AN15-1,0)</f>
        <v>0</v>
      </c>
      <c r="AP18" s="41">
        <f t="shared" ref="AP18:AR18" si="16">IFERROR(AP15/AO15-1,0)</f>
        <v>0</v>
      </c>
      <c r="AQ18" s="41">
        <f t="shared" si="16"/>
        <v>0</v>
      </c>
      <c r="AR18" s="41">
        <f t="shared" si="16"/>
        <v>0</v>
      </c>
      <c r="AS18" s="36"/>
      <c r="AT18" s="40">
        <f>IFERROR(AT15/AM15-1,0)</f>
        <v>0</v>
      </c>
      <c r="AU18" s="40">
        <f>IFERROR(AU15/AT15-1,0)</f>
        <v>0</v>
      </c>
      <c r="AV18" s="40">
        <f>IFERROR(AV15/AU15-1,0)</f>
        <v>0</v>
      </c>
      <c r="AW18" s="40">
        <f>IFERROR(AW15/AV15-1,0)</f>
        <v>0</v>
      </c>
      <c r="AX18" s="40">
        <f>IFERROR(AX15/AW15-1,0)</f>
        <v>0</v>
      </c>
      <c r="AY18" s="41">
        <f>IFERROR(AY15/AR15-1,0)</f>
        <v>0</v>
      </c>
      <c r="AZ18" s="41">
        <f>IFERROR(AZ15/AY15-1,0)</f>
        <v>0</v>
      </c>
      <c r="BA18" s="41">
        <f t="shared" ref="BA18:BC18" si="17">IFERROR(BA15/AZ15-1,0)</f>
        <v>0</v>
      </c>
      <c r="BB18" s="41">
        <f t="shared" si="17"/>
        <v>0</v>
      </c>
      <c r="BC18" s="41">
        <f t="shared" si="17"/>
        <v>0</v>
      </c>
      <c r="BD18" s="36"/>
      <c r="BE18" s="40">
        <f>IFERROR(BE15/AX15-1,0)</f>
        <v>0</v>
      </c>
      <c r="BF18" s="40">
        <f>IFERROR(BF15/BE15-1,0)</f>
        <v>0</v>
      </c>
      <c r="BG18" s="40">
        <f>IFERROR(BG15/BF15-1,0)</f>
        <v>0</v>
      </c>
      <c r="BH18" s="40">
        <f>IFERROR(BH15/BG15-1,0)</f>
        <v>0</v>
      </c>
      <c r="BI18" s="40">
        <f>IFERROR(BI15/BH15-1,0)</f>
        <v>0</v>
      </c>
      <c r="BJ18" s="41">
        <f>IFERROR(BJ15/BC15-1,0)</f>
        <v>0</v>
      </c>
      <c r="BK18" s="41">
        <f>IFERROR(BK15/BJ15-1,0)</f>
        <v>0</v>
      </c>
      <c r="BL18" s="41">
        <f t="shared" ref="BL18:BN18" si="18">IFERROR(BL15/BK15-1,0)</f>
        <v>0</v>
      </c>
      <c r="BM18" s="41">
        <f t="shared" si="18"/>
        <v>0</v>
      </c>
      <c r="BN18" s="41">
        <f t="shared" si="18"/>
        <v>0</v>
      </c>
      <c r="BO18" s="36"/>
      <c r="BP18" s="40">
        <f>IFERROR(BP15/BI15-1,0)</f>
        <v>0</v>
      </c>
      <c r="BQ18" s="40">
        <f>IFERROR(BQ15/BP15-1,0)</f>
        <v>0</v>
      </c>
      <c r="BR18" s="40">
        <f>IFERROR(BR15/BQ15-1,0)</f>
        <v>0</v>
      </c>
      <c r="BS18" s="40">
        <f>IFERROR(BS15/BR15-1,0)</f>
        <v>0</v>
      </c>
      <c r="BT18" s="40">
        <f>IFERROR(BT15/BS15-1,0)</f>
        <v>0</v>
      </c>
      <c r="BU18" s="41">
        <f>IFERROR(BU15/BN15-1,0)</f>
        <v>0</v>
      </c>
      <c r="BV18" s="41">
        <f>IFERROR(BV15/BU15-1,0)</f>
        <v>0</v>
      </c>
      <c r="BW18" s="41">
        <f t="shared" ref="BW18:BY18" si="19">IFERROR(BW15/BV15-1,0)</f>
        <v>0</v>
      </c>
      <c r="BX18" s="41">
        <f t="shared" si="19"/>
        <v>0</v>
      </c>
      <c r="BY18" s="41">
        <f t="shared" si="19"/>
        <v>0</v>
      </c>
      <c r="BZ18" s="36"/>
      <c r="CA18" s="40">
        <f>IFERROR(CA15/BT15-1,0)</f>
        <v>0</v>
      </c>
      <c r="CB18" s="40">
        <f>IFERROR(CB15/CA15-1,0)</f>
        <v>0</v>
      </c>
      <c r="CC18" s="40">
        <f>IFERROR(CC15/CB15-1,0)</f>
        <v>0</v>
      </c>
      <c r="CD18" s="40">
        <f>IFERROR(CD15/CC15-1,0)</f>
        <v>0</v>
      </c>
      <c r="CE18" s="40">
        <f>IFERROR(CE15/CD15-1,0)</f>
        <v>0</v>
      </c>
      <c r="CF18" s="41">
        <f>IFERROR(CF15/BY15-1,0)</f>
        <v>0</v>
      </c>
      <c r="CG18" s="41">
        <f>IFERROR(CG15/CF15-1,0)</f>
        <v>0</v>
      </c>
      <c r="CH18" s="41">
        <f t="shared" ref="CH18:CJ18" si="20">IFERROR(CH15/CG15-1,0)</f>
        <v>0</v>
      </c>
      <c r="CI18" s="41">
        <f t="shared" si="20"/>
        <v>0</v>
      </c>
      <c r="CJ18" s="41">
        <f t="shared" si="20"/>
        <v>0</v>
      </c>
      <c r="CK18" s="36"/>
      <c r="CL18" s="40">
        <f>IFERROR(CL15/CE15-1,0)</f>
        <v>0</v>
      </c>
      <c r="CM18" s="40">
        <f>IFERROR(CM15/CL15-1,0)</f>
        <v>0</v>
      </c>
      <c r="CN18" s="40">
        <f>IFERROR(CN15/CM15-1,0)</f>
        <v>0</v>
      </c>
      <c r="CO18" s="40">
        <f>IFERROR(CO15/CN15-1,0)</f>
        <v>0</v>
      </c>
      <c r="CP18" s="40">
        <f>IFERROR(CP15/CO15-1,0)</f>
        <v>0</v>
      </c>
      <c r="CQ18" s="41">
        <f>IFERROR(CQ15/CJ15-1,0)</f>
        <v>0</v>
      </c>
      <c r="CR18" s="41">
        <f>IFERROR(CR15/CQ15-1,0)</f>
        <v>0</v>
      </c>
      <c r="CS18" s="41">
        <f t="shared" ref="CS18:CU18" si="21">IFERROR(CS15/CR15-1,0)</f>
        <v>0</v>
      </c>
      <c r="CT18" s="41">
        <f t="shared" si="21"/>
        <v>0</v>
      </c>
      <c r="CU18" s="41">
        <f t="shared" si="21"/>
        <v>0</v>
      </c>
      <c r="CV18" s="36"/>
      <c r="CW18" s="40">
        <f>IFERROR(CW15/CP15-1,0)</f>
        <v>0</v>
      </c>
      <c r="CX18" s="40">
        <f>IFERROR(CX15/CW15-1,0)</f>
        <v>0</v>
      </c>
      <c r="CY18" s="40">
        <f>IFERROR(CY15/CX15-1,0)</f>
        <v>0</v>
      </c>
      <c r="CZ18" s="40">
        <f>IFERROR(CZ15/CY15-1,0)</f>
        <v>0</v>
      </c>
      <c r="DA18" s="40">
        <f>IFERROR(DA15/CZ15-1,0)</f>
        <v>0</v>
      </c>
      <c r="DB18" s="41">
        <f>IFERROR(DB15/CU15-1,0)</f>
        <v>0</v>
      </c>
      <c r="DC18" s="41">
        <f>IFERROR(DC15/DB15-1,0)</f>
        <v>0</v>
      </c>
      <c r="DD18" s="41">
        <f t="shared" ref="DD18:DF18" si="22">IFERROR(DD15/DC15-1,0)</f>
        <v>0</v>
      </c>
      <c r="DE18" s="41">
        <f t="shared" si="22"/>
        <v>0</v>
      </c>
      <c r="DF18" s="41">
        <f t="shared" si="22"/>
        <v>0</v>
      </c>
      <c r="DG18" s="36"/>
      <c r="DH18" s="40">
        <f>IFERROR(DH15/DA15-1,0)</f>
        <v>0</v>
      </c>
      <c r="DI18" s="40">
        <f>IFERROR(DI15/DH15-1,0)</f>
        <v>0</v>
      </c>
      <c r="DJ18" s="40">
        <f>IFERROR(DJ15/DI15-1,0)</f>
        <v>0</v>
      </c>
      <c r="DK18" s="40">
        <f>IFERROR(DK15/DJ15-1,0)</f>
        <v>0</v>
      </c>
      <c r="DL18" s="40">
        <f>IFERROR(DL15/DK15-1,0)</f>
        <v>0</v>
      </c>
      <c r="DM18" s="41">
        <f>IFERROR(DM15/DF15-1,0)</f>
        <v>0</v>
      </c>
      <c r="DN18" s="41">
        <v>0.01</v>
      </c>
      <c r="DO18" s="41">
        <v>0.01</v>
      </c>
      <c r="DP18" s="41">
        <f t="shared" ref="DP18:DQ18" si="23">IFERROR(DP15/DO15-1,0)</f>
        <v>0</v>
      </c>
      <c r="DQ18" s="41">
        <f t="shared" si="23"/>
        <v>0</v>
      </c>
      <c r="DR18" s="36"/>
      <c r="DS18" s="40">
        <f>IFERROR(DS15/DL15-1,0)</f>
        <v>0</v>
      </c>
      <c r="DT18" s="40">
        <f>IFERROR(DT15/DS15-1,0)</f>
        <v>-1</v>
      </c>
      <c r="DU18" s="40">
        <f>IFERROR(DU15/DT15-1,0)</f>
        <v>0</v>
      </c>
      <c r="DV18" s="40">
        <f>IFERROR(DV15/DU15-1,0)</f>
        <v>0</v>
      </c>
      <c r="DW18" s="40">
        <f>IFERROR(DW15/DV15-1,0)</f>
        <v>0</v>
      </c>
      <c r="DX18" s="41">
        <f>IFERROR(DX15/DQ15-1,0)</f>
        <v>0</v>
      </c>
      <c r="DY18" s="41">
        <f>IFERROR(DY15/DX15-1,0)</f>
        <v>-1</v>
      </c>
      <c r="DZ18" s="41">
        <f t="shared" ref="DZ18:EB18" si="24">IFERROR(DZ15/DY15-1,0)</f>
        <v>0</v>
      </c>
      <c r="EA18" s="41">
        <f t="shared" si="24"/>
        <v>0</v>
      </c>
      <c r="EB18" s="41">
        <f t="shared" si="24"/>
        <v>0</v>
      </c>
      <c r="EC18" s="38"/>
    </row>
    <row r="19" spans="1:133" s="54" customFormat="1" ht="24.95" customHeight="1" x14ac:dyDescent="0.25">
      <c r="A19" s="42" t="s">
        <v>44</v>
      </c>
      <c r="B19" s="103" t="s">
        <v>52</v>
      </c>
      <c r="C19" s="103"/>
      <c r="D19" s="103"/>
      <c r="E19" s="103"/>
      <c r="F19" s="103"/>
      <c r="G19" s="104" t="s">
        <v>52</v>
      </c>
      <c r="H19" s="104"/>
      <c r="I19" s="104"/>
      <c r="J19" s="104"/>
      <c r="K19" s="104"/>
      <c r="L19" s="36"/>
      <c r="M19" s="100">
        <f>IFERROR(M16/B16-1,0)</f>
        <v>0</v>
      </c>
      <c r="N19" s="100"/>
      <c r="O19" s="100"/>
      <c r="P19" s="100"/>
      <c r="Q19" s="100"/>
      <c r="R19" s="101">
        <f>IFERROR(R16/G16-1,0)</f>
        <v>0</v>
      </c>
      <c r="S19" s="101"/>
      <c r="T19" s="101"/>
      <c r="U19" s="101"/>
      <c r="V19" s="101"/>
      <c r="W19" s="36"/>
      <c r="X19" s="105">
        <f>IFERROR(X16/M16-1,0)</f>
        <v>0</v>
      </c>
      <c r="Y19" s="105"/>
      <c r="Z19" s="105"/>
      <c r="AA19" s="105"/>
      <c r="AB19" s="105"/>
      <c r="AC19" s="106">
        <f>IFERROR(AC16/R16-1,0)</f>
        <v>0</v>
      </c>
      <c r="AD19" s="106"/>
      <c r="AE19" s="106"/>
      <c r="AF19" s="106"/>
      <c r="AG19" s="106"/>
      <c r="AH19" s="36"/>
      <c r="AI19" s="100">
        <f>IFERROR(AI16/X16-1,0)</f>
        <v>0</v>
      </c>
      <c r="AJ19" s="100"/>
      <c r="AK19" s="100"/>
      <c r="AL19" s="100"/>
      <c r="AM19" s="100"/>
      <c r="AN19" s="101">
        <f>IFERROR(AN16/AC16-1,0)</f>
        <v>0</v>
      </c>
      <c r="AO19" s="101"/>
      <c r="AP19" s="101"/>
      <c r="AQ19" s="101"/>
      <c r="AR19" s="101"/>
      <c r="AS19" s="36"/>
      <c r="AT19" s="100">
        <f>IFERROR(AT16/AI16-1,0)</f>
        <v>0</v>
      </c>
      <c r="AU19" s="100"/>
      <c r="AV19" s="100"/>
      <c r="AW19" s="100"/>
      <c r="AX19" s="100"/>
      <c r="AY19" s="101">
        <f>IFERROR(AY16/AN16-1,0)</f>
        <v>0</v>
      </c>
      <c r="AZ19" s="101"/>
      <c r="BA19" s="101"/>
      <c r="BB19" s="101"/>
      <c r="BC19" s="101"/>
      <c r="BD19" s="36"/>
      <c r="BE19" s="100">
        <f>IFERROR(BE16/AT16-1,0)</f>
        <v>0</v>
      </c>
      <c r="BF19" s="100"/>
      <c r="BG19" s="100"/>
      <c r="BH19" s="100"/>
      <c r="BI19" s="100"/>
      <c r="BJ19" s="101">
        <f>IFERROR(BJ16/AY16-1,0)</f>
        <v>0</v>
      </c>
      <c r="BK19" s="101"/>
      <c r="BL19" s="101"/>
      <c r="BM19" s="101"/>
      <c r="BN19" s="101"/>
      <c r="BO19" s="36"/>
      <c r="BP19" s="100">
        <f>IFERROR(BP16/BE16-1,0)</f>
        <v>0</v>
      </c>
      <c r="BQ19" s="100"/>
      <c r="BR19" s="100"/>
      <c r="BS19" s="100"/>
      <c r="BT19" s="100"/>
      <c r="BU19" s="101">
        <f>IFERROR(BU16/BJ16-1,0)</f>
        <v>0</v>
      </c>
      <c r="BV19" s="101"/>
      <c r="BW19" s="101"/>
      <c r="BX19" s="101"/>
      <c r="BY19" s="101"/>
      <c r="BZ19" s="36"/>
      <c r="CA19" s="100">
        <f>IFERROR(CA16/BP16-1,0)</f>
        <v>0</v>
      </c>
      <c r="CB19" s="100"/>
      <c r="CC19" s="100"/>
      <c r="CD19" s="100"/>
      <c r="CE19" s="100"/>
      <c r="CF19" s="101">
        <f>IFERROR(CF16/BU16-1,0)</f>
        <v>0</v>
      </c>
      <c r="CG19" s="101"/>
      <c r="CH19" s="101"/>
      <c r="CI19" s="101"/>
      <c r="CJ19" s="101"/>
      <c r="CK19" s="36"/>
      <c r="CL19" s="100">
        <f>IFERROR(CL16/CA16-1,0)</f>
        <v>0</v>
      </c>
      <c r="CM19" s="100"/>
      <c r="CN19" s="100"/>
      <c r="CO19" s="100"/>
      <c r="CP19" s="100"/>
      <c r="CQ19" s="101">
        <f>IFERROR(CQ16/CF16-1,0)</f>
        <v>0</v>
      </c>
      <c r="CR19" s="101"/>
      <c r="CS19" s="101"/>
      <c r="CT19" s="101"/>
      <c r="CU19" s="101"/>
      <c r="CV19" s="36"/>
      <c r="CW19" s="100">
        <f>IFERROR(CW16/CL16-1,0)</f>
        <v>0</v>
      </c>
      <c r="CX19" s="100"/>
      <c r="CY19" s="100"/>
      <c r="CZ19" s="100"/>
      <c r="DA19" s="100"/>
      <c r="DB19" s="101">
        <f>IFERROR(DB16/CQ16-1,0)</f>
        <v>0</v>
      </c>
      <c r="DC19" s="101"/>
      <c r="DD19" s="101"/>
      <c r="DE19" s="101"/>
      <c r="DF19" s="101"/>
      <c r="DG19" s="36"/>
      <c r="DH19" s="100">
        <f>IFERROR(DH16/CW16-1,0)</f>
        <v>0</v>
      </c>
      <c r="DI19" s="100"/>
      <c r="DJ19" s="100"/>
      <c r="DK19" s="100"/>
      <c r="DL19" s="100"/>
      <c r="DM19" s="101">
        <f>IFERROR(DM16/DB16-1,0)</f>
        <v>0</v>
      </c>
      <c r="DN19" s="101"/>
      <c r="DO19" s="101"/>
      <c r="DP19" s="101"/>
      <c r="DQ19" s="101"/>
      <c r="DR19" s="36"/>
      <c r="DS19" s="100">
        <f>IFERROR(DS16/DH16-1,0)</f>
        <v>0</v>
      </c>
      <c r="DT19" s="100"/>
      <c r="DU19" s="100"/>
      <c r="DV19" s="100"/>
      <c r="DW19" s="100"/>
      <c r="DX19" s="101">
        <f>IFERROR(DX16/DM16-1,0)</f>
        <v>0</v>
      </c>
      <c r="DY19" s="101"/>
      <c r="DZ19" s="101"/>
      <c r="EA19" s="101"/>
      <c r="EB19" s="101"/>
      <c r="EC19" s="38"/>
    </row>
    <row r="20" spans="1:133" x14ac:dyDescent="0.3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">
      <c r="A22"/>
    </row>
    <row r="23" spans="1:133" x14ac:dyDescent="0.3">
      <c r="A23"/>
    </row>
    <row r="24" spans="1:133" x14ac:dyDescent="0.3">
      <c r="B24" s="17"/>
      <c r="C24" s="17"/>
      <c r="D24" s="17"/>
      <c r="E24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BJ3:BN3"/>
    <mergeCell ref="BP3:BT3"/>
    <mergeCell ref="BU3:BY3"/>
    <mergeCell ref="CA3:CE3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19:F19"/>
    <mergeCell ref="G19:K19"/>
    <mergeCell ref="M19:Q19"/>
    <mergeCell ref="R19:V19"/>
    <mergeCell ref="X19:AB19"/>
    <mergeCell ref="BJ19:BN19"/>
    <mergeCell ref="DH16:DL16"/>
    <mergeCell ref="DM16:DQ16"/>
    <mergeCell ref="DS16:DW16"/>
    <mergeCell ref="DX16:EB16"/>
    <mergeCell ref="CW16:DA16"/>
    <mergeCell ref="DB16:DF16"/>
    <mergeCell ref="AI19:AM19"/>
    <mergeCell ref="AN19:AR19"/>
    <mergeCell ref="AT19:AX19"/>
    <mergeCell ref="AY19:BC19"/>
    <mergeCell ref="BE19:BI19"/>
    <mergeCell ref="DX19:EB19"/>
    <mergeCell ref="BP19:BT19"/>
    <mergeCell ref="BU19:BY19"/>
    <mergeCell ref="CA19:CE19"/>
    <mergeCell ref="CF19:CJ19"/>
    <mergeCell ref="CL19:CP19"/>
    <mergeCell ref="CQ19:CU19"/>
    <mergeCell ref="CW19:DA19"/>
    <mergeCell ref="DB19:DF19"/>
    <mergeCell ref="DH19:DL19"/>
    <mergeCell ref="DM19:DQ19"/>
    <mergeCell ref="DS19:DW19"/>
  </mergeCells>
  <conditionalFormatting sqref="B6:EB13">
    <cfRule type="cellIs" dxfId="12" priority="1" operator="less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3" id="{C5810A57-4A50-4D0C-BC52-DD275D5016D6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152" id="{A98FC117-E890-4D55-A575-C84FF6EB256C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151" id="{33300D0E-A0D1-484E-9A1F-39979C64EC1F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50" id="{D1806CB0-9C18-42B4-844B-037360C9A10F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49" id="{36EF2135-A27E-44E4-B7D7-758A7C5A0943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48" id="{B6B17F7B-88C0-44FD-97F2-BFD0A9EDF964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47" id="{93FCAB56-0DAD-4DFB-8A15-2ADFC84F05E2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46" id="{79016142-CA1B-42D9-9F80-93C58C338CA2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45" id="{27B9A80E-B41A-43FB-8ACC-B978DE431B94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44" id="{A5A3C4A5-AF88-413C-9326-62596BEC4EAA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43" id="{F3A9EE54-45BD-477A-88B9-1A0DA002E59B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42" id="{1BB7A5DE-6F82-4ABA-B0B3-581A1B44EFD8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41" id="{4858DC7A-9077-4D44-89E0-49C584231046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40" id="{F52B816A-DFCF-4FB6-94F4-548D99D85F33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39" id="{DF20A7CC-6CAC-48BE-B469-67189D31D409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38" id="{D2B32EEE-1805-413B-B2F4-EA86397078CF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37" id="{4B62406C-9C46-4AB3-AF04-7FC703FE93A5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36" id="{92C73A88-A4E6-4951-8156-588E2768ABF2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35" id="{536A5EB8-A70F-4746-889D-DB21A45A18B3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34" id="{6D8441DD-13A6-428C-B246-A28F134E47B4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33" id="{60015BD8-A8EC-4B1B-9066-FD88C18A9D57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32" id="{DDED8B04-90F9-4AE8-AF26-0513F7E0EAEC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31" id="{8F55C1F6-B38A-4F15-ABDF-EBE0CCC38CED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30" id="{E258057B-31E5-487F-8FC6-F88F394F3F1E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29" id="{8EAB3F76-6B4F-40BA-9284-AA3E68E7CA98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28" id="{095C51F3-7315-4EA4-930C-B5C597877AC6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27" id="{DF3F1462-9DC2-4B68-932C-0EB2FC623C02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26" id="{2977BE94-C073-4DD2-ABBF-38E0BC215CB4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25" id="{FD0D06DF-BEF1-4E33-8A84-1A41856F2D3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24" id="{F6E9B0BC-F58A-44B4-A1BB-52C2E29E8DF2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23" id="{E7B59337-A55C-4BDA-9CEB-30717D9CD083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22" id="{1D448D92-7761-4BF5-ACAD-A3EE41E67FA6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21" id="{C42AB940-2B99-4D5B-9F73-17436D6512C4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20" id="{7738DA62-C7CE-4D8F-926C-5920F6B02DE8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19" id="{6656F822-8F6F-42C9-B1B6-C5C0D131DA64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18" id="{65F4DB14-AAEC-46DE-94BF-1BF348940932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17" id="{6E44D69A-343F-4F68-AC54-F66D4932F8C0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16" id="{100143E2-1846-4E69-9997-AF4D70261E3C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15" id="{AC133C50-5759-4BFC-A20C-E5398626F51F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14" id="{CD7E4E37-F23E-467B-A36D-56BDC345C88D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13" id="{09855C36-BEA2-407F-97D2-82E989E4E99B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12" id="{B4F9305E-6BF9-4D67-816D-11235EE76F4A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11" id="{8564A4A6-9D47-469B-A337-946F864ABB05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10" id="{BA08049C-FA03-4C68-87DF-30652E414100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09" id="{B217CD31-5862-48F4-9A7E-18F56454EF50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08" id="{751C4046-E1FA-4A58-A14E-E845B2CFA742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07" id="{1C9AF4AE-4465-4433-83D8-FCBBC65A11D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06" id="{70649939-CD0D-41E3-B08C-E5407B11C662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05" id="{90A9FAE8-2978-4F03-A7DD-B5EC05017E2B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04" id="{1252587B-D43E-4642-927A-23C0ECD237A7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03" id="{0AB764F4-420A-474E-9464-1872EE846496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02" id="{C86909F3-43BC-49FD-8241-9326889A8C56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01" id="{2DDB1D50-ABC3-4973-B549-60C32B4688C4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00" id="{9F779079-FDBE-44AA-819A-4622D365D5EE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99" id="{A43E3F11-ADB9-4C12-A1AB-244647CE06AD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98" id="{F187B5F5-E011-4868-8971-E80141C8FA4F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97" id="{DFBA3254-A4B8-41AA-8A8B-5CE822C32B01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96" id="{85CB41C1-B360-4FBE-80AF-930201023AB6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95" id="{A661C894-D60E-4AC0-A7EE-939B3FD14E19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94" id="{DE5AE2CC-FECA-4088-836C-BC23F488FB44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93" id="{1D9776D6-3B8C-401E-BFEA-E8BE9F197AF8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92" id="{044237AB-4826-41F7-9825-5A6576B9C455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91" id="{DE57CE0C-7AFE-4F26-BBDE-2C594EB29422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90" id="{77A3B363-BD32-4A3F-8032-D89ED06411A9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89" id="{410F87D8-3D6D-4228-AD94-31C58D0AE490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88" id="{25D5A591-62DE-4238-AB07-F6D49D071F61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87" id="{035CE352-6E41-4672-8A16-32E072E1A6DF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86" id="{916DC13F-1279-4FF1-BC99-A0915E39C5AC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85" id="{ABAE25A5-940D-402D-A3A9-3981724C1641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84" id="{FCDBAE33-A0BB-4DCA-8FEA-15B140D7BC0E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83" id="{EC4C35C8-B83D-48F4-BBBA-B533244693C9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82" id="{7643EB92-6B23-481A-A85B-F6C041FB006A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81" id="{20B7AB97-0FC0-459D-93F8-784E3877563E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80" id="{325CC3B4-BC70-4448-AEB9-973675F6B90B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79" id="{AE5A0F0B-305D-4C2D-B3A1-78C129FFE260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78" id="{DC053F08-2F51-4444-BF3E-75E3FFB5EA78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77" id="{5EA1D445-C743-4B64-9A85-0645C1721438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76" id="{68F45EE9-588F-433B-B612-DBF084976255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75" id="{FDC5EBF8-7901-43E9-A5D1-9B7747F8FD9E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74" id="{B68BD831-4CA3-4CC6-9C7E-16180ACB7296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73" id="{AD53C218-7BC0-4790-9996-232DC4721C3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72" id="{BF825729-FA42-48C3-AFAA-B8DF0E7C8ED4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71" id="{0A5657AD-285F-4C15-916D-1870FCCA231D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70" id="{816E59DF-F259-4207-8C48-E07E92095625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69" id="{1F31194B-29D4-4234-AE95-233017ED2973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68" id="{0BB7E8E5-D75C-4CC7-BA2F-7A89EF264E45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67" id="{56061566-C061-40BB-8338-4200AA045EE6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66" id="{DCEEFC91-46CE-41ED-A0DD-DDE82B43129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65" id="{8D55C1F2-8C86-4820-8E1A-203B0E078755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64" id="{751D9B93-95EB-42B0-B21B-4B40B58733AF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63" id="{D73A48E5-47FA-4AF7-9ED6-682C18EF6976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62" id="{228C0B86-0BC5-4034-B513-9CAC0B65374A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61" id="{AFD0A831-C10D-4964-BF50-79EB4607A845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60" id="{8D105F27-2D3D-4D08-9640-B225B165EE3B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59" id="{1CC9DD14-9585-41BC-8B47-1E89DCD86AE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58" id="{9DCD339E-7D4D-4172-9568-6259D739C797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57" id="{AAA4EDC0-6274-4C66-ABB6-EC5BFC4BB59F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56" id="{A811AED7-52B9-434A-89C8-491135AF4444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55" id="{CE9CC4C4-BD42-4540-BCB7-A763A63E8079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54" id="{F7731652-746B-426C-90D7-96339E6A654B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53" id="{31EFC228-857A-461E-AFBC-95C6A3EFB665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52" id="{72E7CFC6-F79A-41B4-9FFE-52B367102D74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51" id="{E49B57C1-5FD9-47B1-98D4-947E9ADE8E08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50" id="{705117BE-2788-4BDF-85D8-C6D85079BF29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49" id="{D6875691-4B5C-4C25-845B-CA86D0B6F7A8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48" id="{B110D413-107E-4108-BD68-965B243B0A1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47" id="{75FC8B44-4DCF-4931-BACF-F3C9A058D181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46" id="{595C6412-DCF1-4D00-9673-3CD93DB4E380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45" id="{F17C5578-F88C-45D3-961E-BC7584A7E0CE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44" id="{3394F97F-2FEE-49C9-9EF2-F4B8290B4BE4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43" id="{AF9AF45E-979C-4DFB-A76E-1F35223E7F7E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42" id="{7E84CBC5-7856-4BE8-B31D-553D4CF32E84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41" id="{FCEE835A-E049-4EA8-9ADD-94A78D4B0F2D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40" id="{3B5DCFF1-0A3A-404B-9CD8-4F13BA53967E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39" id="{6A776E37-FABE-4D91-B4FC-777487D8BF22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38" id="{D9848F49-38B6-443C-ACBD-C2FF50348B2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37" id="{A06386D3-4A10-4484-8A42-6273C01B0685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36" id="{3E2BD71B-D2F0-4C43-A84C-856A99A39B48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35" id="{C3B08759-0716-462F-817E-A580505E97EC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34" id="{8C02413F-7B8F-4776-9CA6-CD99C397BBF6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33" id="{2AAD4CDD-22CF-4885-9808-30ABF39107D1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32" id="{5820249F-4E03-40F8-984D-26A3D99A0B69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31" id="{5B273711-C0FA-47CD-86A6-18517734767F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30" id="{C7C67B45-EE80-4E64-944C-56107A83C71E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29" id="{59F52FB1-FF71-4903-B151-EFE6C836D9B0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28" id="{B9C3BADD-093E-4CE6-9CD2-69FBD270FB62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27" id="{9C5B8943-537F-440F-B26B-ECC4708EE854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26" id="{CA2033A2-9DAF-4EF0-A3E4-B288BEF908D8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25" id="{2842619C-9B83-4B50-BCF7-65CC030A95DA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24" id="{0EA16B1E-05A3-493B-9D93-983DED8E6438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3" id="{1CA8BE7B-4247-4C78-9FC9-09A2B3FB2DEC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2" id="{39F43ED4-BAAA-41E1-AED0-31BD8F1B176C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1" id="{9A0B05B9-64DB-41AB-86D5-690FF1A7C66E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20" id="{4203F0E3-A99A-4B59-9ABF-9E1E6B4445D7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9" id="{1FD7D6FE-1348-452D-B3F5-F679EC82B6BD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8" id="{B4D85500-DCA2-4A4D-9765-64CE541C6C9E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7" id="{1E291EFA-0369-4C5D-AAD3-5464B67B42D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6" id="{8CD2909F-8391-4E45-9A1D-B3FFD93AA10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5" id="{29E40860-8EE0-48A7-B856-C5747D1C14F9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4" id="{70F0E722-474F-428A-8979-D63BA3475CE5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3" id="{334C103D-2C3F-4DF2-9454-5509005B93F4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2" id="{A59A4DA9-211D-417C-BE92-8CB94BBB3E72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1" id="{D9D03B59-6321-4CAE-AF72-D8DFB9BBA22C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10" id="{D32310E6-CB01-47F5-B914-35FDC36A36BB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9" id="{46476CD0-BF7A-4782-B93D-F5F2116294C0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8" id="{DCF4FAF8-6606-4DC5-A0DE-A99023E3948C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7" id="{7FE13A37-E420-4BFC-BD1A-39ADE1B1B2DB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6" id="{104CCFA2-69DD-4DA6-8C7D-0F13A09898D6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5" id="{EF4AD739-9BAF-4280-AE58-6CEE301973C6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4" id="{D2AEBDC5-4110-411A-B267-A2EA13123AE1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3" id="{2FF3438E-0FB9-4736-85D8-2E3C445E6A29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2" id="{E8E0E5CE-DE8D-4499-B0BE-2AB71752C6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4F54-BD7D-4C2A-BEB7-62C804692B39}">
  <sheetPr codeName="Sheet3"/>
  <dimension ref="A1:B3"/>
  <sheetViews>
    <sheetView workbookViewId="0"/>
  </sheetViews>
  <sheetFormatPr defaultRowHeight="15" x14ac:dyDescent="0.25"/>
  <cols>
    <col min="1" max="1" width="20" bestFit="1" customWidth="1"/>
  </cols>
  <sheetData>
    <row r="1" spans="1:2" x14ac:dyDescent="0.25">
      <c r="A1" t="s">
        <v>80</v>
      </c>
      <c r="B1" t="s">
        <v>81</v>
      </c>
    </row>
    <row r="2" spans="1:2" x14ac:dyDescent="0.25">
      <c r="A2" t="s">
        <v>61</v>
      </c>
      <c r="B2" t="s">
        <v>60</v>
      </c>
    </row>
    <row r="3" spans="1:2" x14ac:dyDescent="0.25">
      <c r="A3" t="s">
        <v>62</v>
      </c>
      <c r="B3" t="s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98455-B5C0-4D4E-B7CC-96632B2BB1F8}">
  <sheetPr codeName="Sheet11"/>
  <dimension ref="A1:Z1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:A7"/>
    </sheetView>
  </sheetViews>
  <sheetFormatPr defaultColWidth="9.140625" defaultRowHeight="16.5" x14ac:dyDescent="0.3"/>
  <cols>
    <col min="1" max="1" width="27.7109375" style="17" customWidth="1"/>
    <col min="2" max="2" width="3" style="18" customWidth="1"/>
    <col min="3" max="3" width="19.5703125" style="82" customWidth="1"/>
    <col min="4" max="4" width="2.7109375" style="81" customWidth="1"/>
    <col min="5" max="5" width="19.5703125" style="82" bestFit="1" customWidth="1"/>
    <col min="6" max="6" width="2.7109375" style="81" customWidth="1"/>
    <col min="7" max="7" width="19.5703125" style="82" bestFit="1" customWidth="1"/>
    <col min="8" max="8" width="2.42578125" style="81" customWidth="1"/>
    <col min="9" max="9" width="19.5703125" style="82" customWidth="1"/>
    <col min="10" max="10" width="2.42578125" style="81" customWidth="1"/>
    <col min="11" max="11" width="19.5703125" style="82" bestFit="1" customWidth="1"/>
    <col min="12" max="12" width="2.42578125" style="81" customWidth="1"/>
    <col min="13" max="13" width="20.7109375" style="82" bestFit="1" customWidth="1"/>
    <col min="14" max="14" width="2.42578125" style="81" customWidth="1"/>
    <col min="15" max="15" width="19.5703125" style="82" bestFit="1" customWidth="1"/>
    <col min="16" max="16" width="2.42578125" style="81" customWidth="1"/>
    <col min="17" max="17" width="19.5703125" style="82" bestFit="1" customWidth="1"/>
    <col min="18" max="18" width="2.42578125" style="81" customWidth="1"/>
    <col min="19" max="19" width="19.5703125" style="82" bestFit="1" customWidth="1"/>
    <col min="20" max="20" width="2.42578125" style="81" customWidth="1"/>
    <col min="21" max="21" width="19.5703125" style="82" bestFit="1" customWidth="1"/>
    <col min="22" max="22" width="2.42578125" style="81" customWidth="1"/>
    <col min="23" max="23" width="19.5703125" style="82" bestFit="1" customWidth="1"/>
    <col min="24" max="24" width="2.42578125" style="81" customWidth="1"/>
    <col min="25" max="25" width="19.5703125" style="82" bestFit="1" customWidth="1"/>
    <col min="26" max="26" width="0.28515625" style="18" customWidth="1"/>
    <col min="27" max="16384" width="9.140625" style="52"/>
  </cols>
  <sheetData>
    <row r="1" spans="1:26" s="51" customFormat="1" ht="36.950000000000003" customHeight="1" x14ac:dyDescent="0.25">
      <c r="A1" s="31" t="str">
        <f ca="1">"► PERFORMANCE SHIPMENT PerFACTORY " &amp; HOME!$F$5</f>
        <v>► PERFORMANCE SHIPMENT PerFACTORY 2025</v>
      </c>
      <c r="B1" s="31"/>
      <c r="C1" s="31"/>
      <c r="D1" s="80"/>
      <c r="E1" s="31"/>
      <c r="F1" s="80"/>
      <c r="G1" s="31"/>
      <c r="H1" s="80"/>
      <c r="I1" s="31"/>
      <c r="J1" s="80"/>
      <c r="K1" s="31"/>
      <c r="L1" s="80"/>
      <c r="M1" s="31"/>
      <c r="N1" s="80"/>
      <c r="O1" s="31"/>
      <c r="P1" s="80"/>
      <c r="Q1" s="31"/>
      <c r="R1" s="80"/>
      <c r="S1" s="31"/>
      <c r="T1" s="80"/>
      <c r="U1" s="31"/>
      <c r="V1" s="80"/>
      <c r="W1" s="31"/>
      <c r="X1" s="80"/>
      <c r="Y1" s="31"/>
      <c r="Z1" s="31"/>
    </row>
    <row r="2" spans="1:26" ht="18" x14ac:dyDescent="0.3">
      <c r="A2" s="112" t="s">
        <v>48</v>
      </c>
      <c r="B2" s="109" t="s">
        <v>28</v>
      </c>
      <c r="C2" s="111"/>
      <c r="D2" s="109" t="s">
        <v>26</v>
      </c>
      <c r="E2" s="111"/>
      <c r="F2" s="109" t="s">
        <v>29</v>
      </c>
      <c r="G2" s="111"/>
      <c r="H2" s="109" t="s">
        <v>30</v>
      </c>
      <c r="I2" s="111"/>
      <c r="J2" s="109" t="s">
        <v>31</v>
      </c>
      <c r="K2" s="111"/>
      <c r="L2" s="109" t="s">
        <v>32</v>
      </c>
      <c r="M2" s="111"/>
      <c r="N2" s="109" t="s">
        <v>33</v>
      </c>
      <c r="O2" s="111"/>
      <c r="P2" s="109" t="s">
        <v>34</v>
      </c>
      <c r="Q2" s="111"/>
      <c r="R2" s="109" t="s">
        <v>35</v>
      </c>
      <c r="S2" s="111"/>
      <c r="T2" s="109" t="s">
        <v>36</v>
      </c>
      <c r="U2" s="111"/>
      <c r="V2" s="109" t="s">
        <v>37</v>
      </c>
      <c r="W2" s="111"/>
      <c r="X2" s="109" t="s">
        <v>38</v>
      </c>
      <c r="Y2" s="111"/>
      <c r="Z2" s="21"/>
    </row>
    <row r="3" spans="1:26" ht="15.75" x14ac:dyDescent="0.3">
      <c r="A3" s="112"/>
      <c r="B3" s="114" t="s">
        <v>18</v>
      </c>
      <c r="C3" s="115"/>
      <c r="D3" s="114" t="s">
        <v>18</v>
      </c>
      <c r="E3" s="115"/>
      <c r="F3" s="114" t="s">
        <v>18</v>
      </c>
      <c r="G3" s="115"/>
      <c r="H3" s="114" t="s">
        <v>18</v>
      </c>
      <c r="I3" s="115"/>
      <c r="J3" s="114" t="s">
        <v>18</v>
      </c>
      <c r="K3" s="115"/>
      <c r="L3" s="114" t="s">
        <v>18</v>
      </c>
      <c r="M3" s="115"/>
      <c r="N3" s="114" t="s">
        <v>18</v>
      </c>
      <c r="O3" s="115"/>
      <c r="P3" s="114" t="s">
        <v>18</v>
      </c>
      <c r="Q3" s="115"/>
      <c r="R3" s="114" t="s">
        <v>18</v>
      </c>
      <c r="S3" s="115"/>
      <c r="T3" s="114" t="s">
        <v>18</v>
      </c>
      <c r="U3" s="115"/>
      <c r="V3" s="114" t="s">
        <v>18</v>
      </c>
      <c r="W3" s="115"/>
      <c r="X3" s="114" t="s">
        <v>18</v>
      </c>
      <c r="Y3" s="115"/>
      <c r="Z3" s="28"/>
    </row>
    <row r="4" spans="1:26" ht="2.1" customHeight="1" x14ac:dyDescent="0.3">
      <c r="A4" s="95"/>
      <c r="B4" s="94"/>
      <c r="C4" s="93"/>
      <c r="D4" s="91"/>
      <c r="E4" s="93"/>
      <c r="F4" s="91"/>
      <c r="G4" s="93"/>
      <c r="H4" s="91"/>
      <c r="I4" s="92"/>
      <c r="J4" s="91"/>
      <c r="K4" s="93"/>
      <c r="L4" s="91"/>
      <c r="M4" s="92"/>
      <c r="N4" s="91"/>
      <c r="O4" s="93"/>
      <c r="P4" s="91"/>
      <c r="Q4" s="93"/>
      <c r="R4" s="91"/>
      <c r="S4" s="93"/>
      <c r="T4" s="91"/>
      <c r="U4" s="93"/>
      <c r="V4" s="91"/>
      <c r="W4" s="93"/>
      <c r="X4" s="91"/>
      <c r="Y4" s="93"/>
      <c r="Z4" s="28"/>
    </row>
    <row r="5" spans="1:26" x14ac:dyDescent="0.3">
      <c r="A5" s="96" t="s">
        <v>11</v>
      </c>
      <c r="C5" s="79">
        <f>IFERROR(VLOOKUP($B$2&amp;"-"&amp;$A5,CC1_InputUser!$T:$Y,6,FALSE),0)</f>
        <v>0</v>
      </c>
      <c r="D5" s="84">
        <f>SIGN(C5-E5)</f>
        <v>0</v>
      </c>
      <c r="E5" s="79">
        <f>IFERROR(VLOOKUP($D$2&amp;"-"&amp;$A5,CC1_InputUser!$T:$Y,6,FALSE),0)</f>
        <v>0</v>
      </c>
      <c r="F5" s="84">
        <f>SIGN(E5-G5)</f>
        <v>0</v>
      </c>
      <c r="G5" s="79">
        <f>IFERROR(VLOOKUP($F$2&amp;"-"&amp;$A5,CC1_InputUser!$T:$Y,6,FALSE),0)</f>
        <v>0</v>
      </c>
      <c r="H5" s="84">
        <f>SIGN(G5-I5)</f>
        <v>0</v>
      </c>
      <c r="I5" s="79">
        <f>IFERROR(VLOOKUP($H$2&amp;"-"&amp;$A5,CC1_InputUser!$T:$Y,6,FALSE),0)</f>
        <v>0</v>
      </c>
      <c r="J5" s="84">
        <f>SIGN(I5-K5)</f>
        <v>0</v>
      </c>
      <c r="K5" s="79">
        <f>IFERROR(VLOOKUP($J$2&amp;"-"&amp;$A5,CC1_InputUser!$T:$Y,6,FALSE),0)</f>
        <v>0</v>
      </c>
      <c r="L5" s="84">
        <f>SIGN(K5-M5)</f>
        <v>0</v>
      </c>
      <c r="M5" s="79">
        <f>IFERROR(VLOOKUP($L$2&amp;"-"&amp;$A5,CC1_InputUser!$T:$Y,6,FALSE),0)</f>
        <v>0</v>
      </c>
      <c r="N5" s="84">
        <f>SIGN(M5-O5)</f>
        <v>0</v>
      </c>
      <c r="O5" s="79">
        <f>IFERROR(VLOOKUP($N$2&amp;"-"&amp;$A5,CC1_InputUser!$T:$Y,6,FALSE),0)</f>
        <v>0</v>
      </c>
      <c r="P5" s="84">
        <f>SIGN(O5-Q5)</f>
        <v>0</v>
      </c>
      <c r="Q5" s="79">
        <f>IFERROR(VLOOKUP($P$2&amp;"-"&amp;$A5,CC1_InputUser!$T:$Y,6,FALSE),0)</f>
        <v>0</v>
      </c>
      <c r="R5" s="84">
        <f>SIGN(Q5-S5)</f>
        <v>0</v>
      </c>
      <c r="S5" s="79">
        <f>IFERROR(VLOOKUP($R$2&amp;"-"&amp;$A5,CC1_InputUser!$T:$Y,6,FALSE),0)</f>
        <v>0</v>
      </c>
      <c r="T5" s="84">
        <f>SIGN(S5-U5)</f>
        <v>0</v>
      </c>
      <c r="U5" s="79">
        <f>IFERROR(VLOOKUP($T$2&amp;"-"&amp;$A5,CC1_InputUser!$T:$Y,6,FALSE),0)</f>
        <v>0</v>
      </c>
      <c r="V5" s="84">
        <f>SIGN(U5-W5)</f>
        <v>0</v>
      </c>
      <c r="W5" s="79">
        <f>IFERROR(VLOOKUP($V$2&amp;"-"&amp;$A5,CC1_InputUser!$T:$Y,6,FALSE),0)</f>
        <v>0</v>
      </c>
      <c r="X5" s="84">
        <f>SIGN(W5-Y5)</f>
        <v>1</v>
      </c>
      <c r="Y5" s="79">
        <f>IFERROR(VLOOKUP($X$2&amp;"-"&amp;$A5,CC1_InputUser!$T:$Y,6,FALSE),0)</f>
        <v>-3.0746705710102518E-2</v>
      </c>
    </row>
    <row r="6" spans="1:26" x14ac:dyDescent="0.3">
      <c r="A6" s="96" t="s">
        <v>60</v>
      </c>
      <c r="C6" s="79">
        <f>IFERROR(VLOOKUP($B$2&amp;"-"&amp;$A6,CC1_InputUser!$T:$Y,6,FALSE),0)</f>
        <v>0</v>
      </c>
      <c r="D6" s="84">
        <f t="shared" ref="D6:D7" si="0">SIGN(C6-E6)</f>
        <v>0</v>
      </c>
      <c r="E6" s="79">
        <f>IFERROR(VLOOKUP($D$2&amp;"-"&amp;$A6,CC1_InputUser!$T:$Y,6,FALSE),0)</f>
        <v>0</v>
      </c>
      <c r="F6" s="84">
        <f t="shared" ref="F6:H7" si="1">SIGN(E6-G6)</f>
        <v>0</v>
      </c>
      <c r="G6" s="79">
        <f>IFERROR(VLOOKUP($F$2&amp;"-"&amp;$A6,CC1_InputUser!$T:$Y,6,FALSE),0)</f>
        <v>0</v>
      </c>
      <c r="H6" s="84">
        <f t="shared" si="1"/>
        <v>0</v>
      </c>
      <c r="I6" s="79">
        <f>IFERROR(VLOOKUP($H$2&amp;"-"&amp;$A6,CC1_InputUser!$T:$Y,6,FALSE),0)</f>
        <v>0</v>
      </c>
      <c r="J6" s="84">
        <f t="shared" ref="J6:J7" si="2">SIGN(I6-K6)</f>
        <v>0</v>
      </c>
      <c r="K6" s="79">
        <f>IFERROR(VLOOKUP($J$2&amp;"-"&amp;$A6,CC1_InputUser!$T:$Y,6,FALSE),0)</f>
        <v>0</v>
      </c>
      <c r="L6" s="84">
        <f t="shared" ref="L6:L7" si="3">SIGN(K6-M6)</f>
        <v>0</v>
      </c>
      <c r="M6" s="79">
        <f>IFERROR(VLOOKUP($L$2&amp;"-"&amp;$A6,CC1_InputUser!$T:$Y,6,FALSE),0)</f>
        <v>0</v>
      </c>
      <c r="N6" s="84">
        <f t="shared" ref="N6:N7" si="4">SIGN(M6-O6)</f>
        <v>0</v>
      </c>
      <c r="O6" s="79">
        <f>IFERROR(VLOOKUP($N$2&amp;"-"&amp;$A6,CC1_InputUser!$T:$Y,6,FALSE),0)</f>
        <v>0</v>
      </c>
      <c r="P6" s="84">
        <f t="shared" ref="P6:P7" si="5">SIGN(O6-Q6)</f>
        <v>0</v>
      </c>
      <c r="Q6" s="79">
        <f>IFERROR(VLOOKUP($P$2&amp;"-"&amp;$A6,CC1_InputUser!$T:$Y,6,FALSE),0)</f>
        <v>0</v>
      </c>
      <c r="R6" s="84">
        <f t="shared" ref="R6:R7" si="6">SIGN(Q6-S6)</f>
        <v>0</v>
      </c>
      <c r="S6" s="79">
        <f>IFERROR(VLOOKUP($R$2&amp;"-"&amp;$A6,CC1_InputUser!$T:$Y,6,FALSE),0)</f>
        <v>0</v>
      </c>
      <c r="T6" s="84">
        <f t="shared" ref="T6:T7" si="7">SIGN(S6-U6)</f>
        <v>0</v>
      </c>
      <c r="U6" s="79">
        <f>IFERROR(VLOOKUP($T$2&amp;"-"&amp;$A6,CC1_InputUser!$T:$Y,6,FALSE),0)</f>
        <v>0</v>
      </c>
      <c r="V6" s="84">
        <f t="shared" ref="V6:V7" si="8">SIGN(U6-W6)</f>
        <v>0</v>
      </c>
      <c r="W6" s="79">
        <f>IFERROR(VLOOKUP($V$2&amp;"-"&amp;$A6,CC1_InputUser!$T:$Y,6,FALSE),0)</f>
        <v>0</v>
      </c>
      <c r="X6" s="84">
        <f t="shared" ref="X6:X7" si="9">SIGN(W6-Y6)</f>
        <v>1</v>
      </c>
      <c r="Y6" s="79">
        <f>IFERROR(VLOOKUP($X$2&amp;"-"&amp;$A6,CC1_InputUser!$T:$Y,6,FALSE),0)</f>
        <v>-9.2867132867132662E-3</v>
      </c>
    </row>
    <row r="7" spans="1:26" x14ac:dyDescent="0.3">
      <c r="A7" s="96" t="s">
        <v>10</v>
      </c>
      <c r="C7" s="79">
        <f>IFERROR(VLOOKUP($B$2&amp;"-"&amp;$A7,CC1_InputUser!$T:$Y,6,FALSE),0)</f>
        <v>0</v>
      </c>
      <c r="D7" s="84">
        <f t="shared" si="0"/>
        <v>0</v>
      </c>
      <c r="E7" s="79">
        <f>IFERROR(VLOOKUP($D$2&amp;"-"&amp;$A7,CC1_InputUser!$T:$Y,6,FALSE),0)</f>
        <v>0</v>
      </c>
      <c r="F7" s="84">
        <f t="shared" si="1"/>
        <v>0</v>
      </c>
      <c r="G7" s="79">
        <f>IFERROR(VLOOKUP($F$2&amp;"-"&amp;$A7,CC1_InputUser!$T:$Y,6,FALSE),0)</f>
        <v>0</v>
      </c>
      <c r="H7" s="84">
        <f t="shared" si="1"/>
        <v>0</v>
      </c>
      <c r="I7" s="79">
        <f>IFERROR(VLOOKUP($H$2&amp;"-"&amp;$A7,CC1_InputUser!$T:$Y,6,FALSE),0)</f>
        <v>0</v>
      </c>
      <c r="J7" s="84">
        <f t="shared" si="2"/>
        <v>0</v>
      </c>
      <c r="K7" s="79">
        <f>IFERROR(VLOOKUP($J$2&amp;"-"&amp;$A7,CC1_InputUser!$T:$Y,6,FALSE),0)</f>
        <v>0</v>
      </c>
      <c r="L7" s="84">
        <f t="shared" si="3"/>
        <v>0</v>
      </c>
      <c r="M7" s="79">
        <f>IFERROR(VLOOKUP($L$2&amp;"-"&amp;$A7,CC1_InputUser!$T:$Y,6,FALSE),0)</f>
        <v>0</v>
      </c>
      <c r="N7" s="84">
        <f t="shared" si="4"/>
        <v>0</v>
      </c>
      <c r="O7" s="79">
        <f>IFERROR(VLOOKUP($N$2&amp;"-"&amp;$A7,CC1_InputUser!$T:$Y,6,FALSE),0)</f>
        <v>0</v>
      </c>
      <c r="P7" s="84">
        <f t="shared" si="5"/>
        <v>0</v>
      </c>
      <c r="Q7" s="79">
        <f>IFERROR(VLOOKUP($P$2&amp;"-"&amp;$A7,CC1_InputUser!$T:$Y,6,FALSE),0)</f>
        <v>0</v>
      </c>
      <c r="R7" s="84">
        <f t="shared" si="6"/>
        <v>0</v>
      </c>
      <c r="S7" s="79">
        <f>IFERROR(VLOOKUP($R$2&amp;"-"&amp;$A7,CC1_InputUser!$T:$Y,6,FALSE),0)</f>
        <v>0</v>
      </c>
      <c r="T7" s="84">
        <f t="shared" si="7"/>
        <v>0</v>
      </c>
      <c r="U7" s="79">
        <f>IFERROR(VLOOKUP($T$2&amp;"-"&amp;$A7,CC1_InputUser!$T:$Y,6,FALSE),0)</f>
        <v>0</v>
      </c>
      <c r="V7" s="84">
        <f t="shared" si="8"/>
        <v>0</v>
      </c>
      <c r="W7" s="79">
        <f>IFERROR(VLOOKUP($V$2&amp;"-"&amp;$A7,CC1_InputUser!$T:$Y,6,FALSE),0)</f>
        <v>0</v>
      </c>
      <c r="X7" s="84">
        <f t="shared" si="9"/>
        <v>1</v>
      </c>
      <c r="Y7" s="79">
        <f>IFERROR(VLOOKUP($X$2&amp;"-"&amp;$A7,CC1_InputUser!$T:$Y,6,FALSE),0)</f>
        <v>-1.9462465245597693E-3</v>
      </c>
    </row>
    <row r="8" spans="1:26" ht="2.1" customHeight="1" x14ac:dyDescent="0.3">
      <c r="A8" s="87"/>
      <c r="C8" s="87"/>
      <c r="D8" s="83"/>
      <c r="E8" s="87"/>
      <c r="F8" s="83"/>
      <c r="G8" s="87"/>
      <c r="H8" s="84"/>
      <c r="I8" s="87"/>
      <c r="J8" s="83"/>
      <c r="K8" s="87"/>
      <c r="L8" s="83"/>
      <c r="M8" s="87"/>
      <c r="N8" s="83"/>
      <c r="O8" s="87"/>
      <c r="P8" s="83"/>
      <c r="Q8" s="87"/>
      <c r="R8" s="83"/>
      <c r="S8" s="87"/>
      <c r="T8" s="83"/>
      <c r="U8" s="87"/>
      <c r="V8" s="83"/>
      <c r="W8" s="87"/>
      <c r="X8" s="83"/>
      <c r="Y8" s="87"/>
    </row>
    <row r="9" spans="1:26" s="54" customFormat="1" ht="24.95" customHeight="1" x14ac:dyDescent="0.25">
      <c r="A9" s="42" t="s">
        <v>41</v>
      </c>
      <c r="B9" s="87"/>
      <c r="C9" s="88">
        <f>IFERROR(VLOOKUP(B2,CC1_InputUser!$A:$S,19,FALSE),0)</f>
        <v>0</v>
      </c>
      <c r="D9" s="89"/>
      <c r="E9" s="88">
        <f>IFERROR(VLOOKUP(D2,CC1_InputUser!$A:$S,19,FALSE),0)</f>
        <v>0</v>
      </c>
      <c r="F9" s="89"/>
      <c r="G9" s="88">
        <f>IFERROR(VLOOKUP(F2,CC1_InputUser!$A:$S,19,FALSE),0)</f>
        <v>0</v>
      </c>
      <c r="H9" s="89"/>
      <c r="I9" s="88">
        <f>IFERROR(VLOOKUP(H2,CC1_InputUser!$A:$S,19,FALSE),0)</f>
        <v>0</v>
      </c>
      <c r="J9" s="89"/>
      <c r="K9" s="88">
        <f>IFERROR(VLOOKUP(J2,CC1_InputUser!$A:$S,19,FALSE),0)</f>
        <v>0</v>
      </c>
      <c r="L9" s="89"/>
      <c r="M9" s="88">
        <f>IFERROR(VLOOKUP(L2,CC1_InputUser!$A:$S,19,FALSE),0)</f>
        <v>0</v>
      </c>
      <c r="N9" s="89"/>
      <c r="O9" s="88">
        <f>IFERROR(VLOOKUP(N2,CC1_InputUser!$A:$S,19,FALSE),0)</f>
        <v>0</v>
      </c>
      <c r="P9" s="89"/>
      <c r="Q9" s="90">
        <f>IFERROR(VLOOKUP(P2,CC1_InputUser!$A:$S,19,FALSE),0)</f>
        <v>0</v>
      </c>
      <c r="R9" s="89"/>
      <c r="S9" s="88">
        <f>IFERROR(VLOOKUP(R2,CC1_InputUser!$A:$S,19,FALSE),0)</f>
        <v>0</v>
      </c>
      <c r="T9" s="89"/>
      <c r="U9" s="88">
        <f>IFERROR(VLOOKUP(T2,CC1_InputUser!$A:$S,19,FALSE),0)</f>
        <v>0</v>
      </c>
      <c r="V9" s="89"/>
      <c r="W9" s="88">
        <f>IFERROR(VLOOKUP(V2,CC1_InputUser!$A:$S,19,FALSE),0)</f>
        <v>0</v>
      </c>
      <c r="X9" s="89"/>
      <c r="Y9" s="88">
        <f>IFERROR(VLOOKUP(X2,CC1_InputUser!$A:$S,19,FALSE),0)</f>
        <v>-1.0296993678082456E-2</v>
      </c>
      <c r="Z9" s="38"/>
    </row>
    <row r="10" spans="1:26" ht="4.5" customHeight="1" x14ac:dyDescent="0.3">
      <c r="A10" s="87"/>
      <c r="C10" s="87"/>
      <c r="E10" s="87"/>
      <c r="G10" s="87"/>
      <c r="I10" s="87"/>
      <c r="K10" s="87"/>
      <c r="M10" s="87"/>
      <c r="O10" s="87"/>
      <c r="Q10" s="87"/>
      <c r="S10" s="87"/>
      <c r="U10" s="87"/>
      <c r="W10" s="87"/>
      <c r="Y10" s="87"/>
    </row>
    <row r="11" spans="1:26" x14ac:dyDescent="0.3">
      <c r="C11" s="16"/>
      <c r="E11" s="16"/>
      <c r="G11" s="16"/>
      <c r="I11" s="16"/>
      <c r="K11" s="16"/>
      <c r="M11" s="16"/>
      <c r="O11" s="16"/>
      <c r="Q11" s="16"/>
      <c r="S11" s="16"/>
      <c r="U11" s="16"/>
      <c r="W11" s="16"/>
      <c r="Y11" s="16"/>
    </row>
    <row r="12" spans="1:26" x14ac:dyDescent="0.3">
      <c r="C12" s="16"/>
      <c r="E12" s="16"/>
      <c r="G12" s="16"/>
      <c r="I12" s="16"/>
      <c r="K12" s="16"/>
      <c r="M12" s="16"/>
      <c r="O12" s="16"/>
      <c r="Q12" s="16"/>
      <c r="S12" s="16"/>
      <c r="U12" s="16"/>
      <c r="W12" s="16"/>
      <c r="Y12" s="16"/>
    </row>
    <row r="13" spans="1:26" x14ac:dyDescent="0.3">
      <c r="A13" s="85" t="s">
        <v>53</v>
      </c>
      <c r="C13" s="16"/>
      <c r="E13" s="16"/>
      <c r="G13" s="16"/>
      <c r="I13" s="16"/>
      <c r="K13" s="16"/>
      <c r="M13" s="16"/>
      <c r="O13" s="16"/>
      <c r="Q13" s="16"/>
      <c r="S13" s="16"/>
      <c r="U13" s="16"/>
      <c r="W13" s="16"/>
      <c r="Y13" s="16"/>
    </row>
    <row r="14" spans="1:26" x14ac:dyDescent="0.3">
      <c r="A14" t="s">
        <v>55</v>
      </c>
      <c r="C14" s="16"/>
      <c r="E14" s="16"/>
      <c r="G14" s="16"/>
      <c r="I14" s="16"/>
      <c r="K14" s="16"/>
      <c r="M14" s="16"/>
      <c r="O14" s="16"/>
      <c r="Q14" s="16"/>
      <c r="S14" s="16"/>
      <c r="U14" s="16"/>
      <c r="W14" s="16"/>
      <c r="Y14" s="16"/>
    </row>
    <row r="15" spans="1:26" x14ac:dyDescent="0.3">
      <c r="C15" s="16"/>
      <c r="E15" s="16"/>
      <c r="G15" s="16"/>
      <c r="I15" s="16"/>
      <c r="K15" s="16"/>
      <c r="M15" s="16"/>
      <c r="O15" s="16"/>
      <c r="Q15" s="16"/>
      <c r="S15" s="16"/>
      <c r="U15" s="16"/>
      <c r="W15" s="16"/>
      <c r="Y15" s="16"/>
    </row>
    <row r="16" spans="1:26" x14ac:dyDescent="0.3">
      <c r="A16" s="86" t="s">
        <v>54</v>
      </c>
      <c r="C16" s="16"/>
      <c r="E16" s="16"/>
      <c r="G16" s="16"/>
      <c r="I16" s="16"/>
      <c r="K16" s="16"/>
      <c r="M16" s="16"/>
      <c r="O16" s="16"/>
      <c r="Q16" s="16"/>
      <c r="S16" s="16"/>
      <c r="U16" s="16"/>
      <c r="W16" s="16"/>
      <c r="Y16" s="16"/>
    </row>
    <row r="17" spans="1:25" x14ac:dyDescent="0.3">
      <c r="A17" t="s">
        <v>56</v>
      </c>
      <c r="C17" s="16"/>
      <c r="E17" s="16"/>
      <c r="G17" s="16"/>
      <c r="I17" s="16"/>
      <c r="K17" s="16"/>
      <c r="M17" s="16"/>
      <c r="O17" s="16"/>
      <c r="Q17" s="16"/>
      <c r="S17" s="16"/>
      <c r="U17" s="16"/>
      <c r="W17" s="16"/>
      <c r="Y17" s="16"/>
    </row>
  </sheetData>
  <mergeCells count="25">
    <mergeCell ref="R2:S2"/>
    <mergeCell ref="T2:U2"/>
    <mergeCell ref="V2:W2"/>
    <mergeCell ref="A2:A3"/>
    <mergeCell ref="B2:C2"/>
    <mergeCell ref="D2:E2"/>
    <mergeCell ref="F2:G2"/>
    <mergeCell ref="H2:I2"/>
    <mergeCell ref="J2:K2"/>
    <mergeCell ref="T3:U3"/>
    <mergeCell ref="V3:W3"/>
    <mergeCell ref="X3:Y3"/>
    <mergeCell ref="X2:Y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L2:M2"/>
    <mergeCell ref="N2:O2"/>
    <mergeCell ref="P2:Q2"/>
  </mergeCells>
  <conditionalFormatting sqref="C9 Y9 W9 U9 S9 Q9 O9 M9 K9 I9 G9 E9">
    <cfRule type="cellIs" dxfId="11" priority="16" operator="between">
      <formula>-0.00251</formula>
      <formula>-0.009</formula>
    </cfRule>
    <cfRule type="cellIs" dxfId="10" priority="17" operator="between">
      <formula>0</formula>
      <formula>-0.0025</formula>
    </cfRule>
  </conditionalFormatting>
  <conditionalFormatting sqref="C5:C7 E5:E7 G5:I5 G6:G7 K5:K7 M5:M7 O5:O7 Q5:Q7 S5:S7 U5:U7 W5:W7 Y5:Z7 I6:I7 H6:H8 D5:D8 F5:F8 J5:J8 L5:L8 N5:N8 P5:P8 R5:R8 T5:T8 V5:V8 X5:X8">
    <cfRule type="cellIs" dxfId="9" priority="15" operator="lessThan">
      <formula>0</formula>
    </cfRule>
  </conditionalFormatting>
  <conditionalFormatting sqref="B5:B7">
    <cfRule type="cellIs" dxfId="8" priority="14" operator="lessThan">
      <formula>0</formula>
    </cfRule>
  </conditionalFormatting>
  <conditionalFormatting sqref="C5:C7 E5:E7 G5:G7 K5:K7 M5:M7 O5:O7 Q5:Q7 S5:S7 U5:U7 W5:W7 Y5:Y7 I5:I7">
    <cfRule type="cellIs" dxfId="7" priority="1" operator="between">
      <formula>0</formula>
      <formula>-0.0025</formula>
    </cfRule>
    <cfRule type="cellIs" dxfId="6" priority="2" operator="between">
      <formula>-0.00251</formula>
      <formula>-0.009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" id="{46FE45BF-65B9-442E-BF99-C82E8592BBFF}">
            <x14:iconSet iconSet="3Triangles">
              <x14:cfvo type="percent">
                <xm:f>0</xm:f>
              </x14:cfvo>
              <x14:cfvo type="formula">
                <xm:f>$C$9</xm:f>
              </x14:cfvo>
              <x14:cfvo type="formula" gte="0">
                <xm:f>$C$9</xm:f>
              </x14:cfvo>
            </x14:iconSet>
          </x14:cfRule>
          <xm:sqref>E9</xm:sqref>
        </x14:conditionalFormatting>
        <x14:conditionalFormatting xmlns:xm="http://schemas.microsoft.com/office/excel/2006/main">
          <x14:cfRule type="iconSet" priority="19" id="{4B677196-93CD-446A-AFF4-2FC3770BE712}">
            <x14:iconSet iconSet="3Triangles">
              <x14:cfvo type="percent">
                <xm:f>0</xm:f>
              </x14:cfvo>
              <x14:cfvo type="formula">
                <xm:f>$E$9</xm:f>
              </x14:cfvo>
              <x14:cfvo type="formula" gte="0">
                <xm:f>$E$9</xm:f>
              </x14:cfvo>
            </x14:iconSet>
          </x14:cfRule>
          <xm:sqref>G9</xm:sqref>
        </x14:conditionalFormatting>
        <x14:conditionalFormatting xmlns:xm="http://schemas.microsoft.com/office/excel/2006/main">
          <x14:cfRule type="iconSet" priority="20" id="{1FC1302C-0BD3-4D78-A59A-691984C5C43A}">
            <x14:iconSet iconSet="3Triangles">
              <x14:cfvo type="percent">
                <xm:f>0</xm:f>
              </x14:cfvo>
              <x14:cfvo type="formula">
                <xm:f>$G$9</xm:f>
              </x14:cfvo>
              <x14:cfvo type="formula" gte="0">
                <xm:f>$G$9</xm:f>
              </x14:cfvo>
            </x14:iconSet>
          </x14:cfRule>
          <xm:sqref>I9</xm:sqref>
        </x14:conditionalFormatting>
        <x14:conditionalFormatting xmlns:xm="http://schemas.microsoft.com/office/excel/2006/main">
          <x14:cfRule type="iconSet" priority="21" id="{B2774D39-474C-49C5-A8B6-92C372314EAF}">
            <x14:iconSet iconSet="3Triangles">
              <x14:cfvo type="percent">
                <xm:f>0</xm:f>
              </x14:cfvo>
              <x14:cfvo type="formula">
                <xm:f>$I$9</xm:f>
              </x14:cfvo>
              <x14:cfvo type="formula" gte="0">
                <xm:f>$I$9</xm:f>
              </x14:cfvo>
            </x14:iconSet>
          </x14:cfRule>
          <xm:sqref>K9</xm:sqref>
        </x14:conditionalFormatting>
        <x14:conditionalFormatting xmlns:xm="http://schemas.microsoft.com/office/excel/2006/main">
          <x14:cfRule type="iconSet" priority="22" id="{EDF3CC79-E24C-46FD-B8CC-8B8F9A366560}">
            <x14:iconSet iconSet="3Triangles">
              <x14:cfvo type="percent">
                <xm:f>0</xm:f>
              </x14:cfvo>
              <x14:cfvo type="formula">
                <xm:f>$M$9</xm:f>
              </x14:cfvo>
              <x14:cfvo type="formula" gte="0">
                <xm:f>$M$9</xm:f>
              </x14:cfvo>
            </x14:iconSet>
          </x14:cfRule>
          <xm:sqref>O9</xm:sqref>
        </x14:conditionalFormatting>
        <x14:conditionalFormatting xmlns:xm="http://schemas.microsoft.com/office/excel/2006/main">
          <x14:cfRule type="iconSet" priority="23" id="{35C241D4-6267-41A2-8188-5F576E94FD5F}">
            <x14:iconSet iconSet="3Triangles">
              <x14:cfvo type="percent">
                <xm:f>0</xm:f>
              </x14:cfvo>
              <x14:cfvo type="formula">
                <xm:f>$O$9</xm:f>
              </x14:cfvo>
              <x14:cfvo type="formula" gte="0">
                <xm:f>$O$9</xm:f>
              </x14:cfvo>
            </x14:iconSet>
          </x14:cfRule>
          <xm:sqref>Q9</xm:sqref>
        </x14:conditionalFormatting>
        <x14:conditionalFormatting xmlns:xm="http://schemas.microsoft.com/office/excel/2006/main">
          <x14:cfRule type="iconSet" priority="24" id="{36A3E436-4355-4D29-B76C-2BFB86F045A7}">
            <x14:iconSet iconSet="3Triangles">
              <x14:cfvo type="percent">
                <xm:f>0</xm:f>
              </x14:cfvo>
              <x14:cfvo type="formula">
                <xm:f>$Q$9</xm:f>
              </x14:cfvo>
              <x14:cfvo type="formula" gte="0">
                <xm:f>$Q$9</xm:f>
              </x14:cfvo>
            </x14:iconSet>
          </x14:cfRule>
          <xm:sqref>S9</xm:sqref>
        </x14:conditionalFormatting>
        <x14:conditionalFormatting xmlns:xm="http://schemas.microsoft.com/office/excel/2006/main">
          <x14:cfRule type="iconSet" priority="25" id="{F530D898-15B6-4378-B1F0-C00B85CCC053}">
            <x14:iconSet iconSet="3Triangles">
              <x14:cfvo type="percent">
                <xm:f>0</xm:f>
              </x14:cfvo>
              <x14:cfvo type="formula">
                <xm:f>$S$9</xm:f>
              </x14:cfvo>
              <x14:cfvo type="formula" gte="0">
                <xm:f>$S$9</xm:f>
              </x14:cfvo>
            </x14:iconSet>
          </x14:cfRule>
          <xm:sqref>U9</xm:sqref>
        </x14:conditionalFormatting>
        <x14:conditionalFormatting xmlns:xm="http://schemas.microsoft.com/office/excel/2006/main">
          <x14:cfRule type="iconSet" priority="26" id="{BC2AC3C3-2571-44E4-B412-F5E52CF5BB87}">
            <x14:iconSet iconSet="3Triangles">
              <x14:cfvo type="percent">
                <xm:f>0</xm:f>
              </x14:cfvo>
              <x14:cfvo type="formula">
                <xm:f>$U$9</xm:f>
              </x14:cfvo>
              <x14:cfvo type="formula" gte="0">
                <xm:f>$U$9</xm:f>
              </x14:cfvo>
            </x14:iconSet>
          </x14:cfRule>
          <xm:sqref>W9</xm:sqref>
        </x14:conditionalFormatting>
        <x14:conditionalFormatting xmlns:xm="http://schemas.microsoft.com/office/excel/2006/main">
          <x14:cfRule type="iconSet" priority="27" id="{FC3B83C6-5421-42C0-85E4-8876B5C74E76}">
            <x14:iconSet iconSet="3Triangles">
              <x14:cfvo type="percent">
                <xm:f>0</xm:f>
              </x14:cfvo>
              <x14:cfvo type="formula">
                <xm:f>$W$9</xm:f>
              </x14:cfvo>
              <x14:cfvo type="formula" gte="0">
                <xm:f>$W$9</xm:f>
              </x14:cfvo>
            </x14:iconSet>
          </x14:cfRule>
          <xm:sqref>Y9</xm:sqref>
        </x14:conditionalFormatting>
        <x14:conditionalFormatting xmlns:xm="http://schemas.microsoft.com/office/excel/2006/main">
          <x14:cfRule type="iconSet" priority="28" id="{39EB35C5-9E75-4D56-90C7-FB80D993AFB6}">
            <x14:iconSet iconSet="3Triangles">
              <x14:cfvo type="percent">
                <xm:f>0</xm:f>
              </x14:cfvo>
              <x14:cfvo type="formula">
                <xm:f>$K$9</xm:f>
              </x14:cfvo>
              <x14:cfvo type="formula" gte="0">
                <xm:f>$K$9</xm:f>
              </x14:cfvo>
            </x14:iconSet>
          </x14:cfRule>
          <xm:sqref>M9</xm:sqref>
        </x14:conditionalFormatting>
        <x14:conditionalFormatting xmlns:xm="http://schemas.microsoft.com/office/excel/2006/main">
          <x14:cfRule type="iconSet" priority="226" id="{FCB5BE2B-E39B-4CBD-9804-28A3973C6731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H5:H8</xm:sqref>
        </x14:conditionalFormatting>
        <x14:conditionalFormatting xmlns:xm="http://schemas.microsoft.com/office/excel/2006/main">
          <x14:cfRule type="iconSet" priority="228" id="{A8DFC2D1-3750-44BF-9782-D6055CF2F40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D5:D8</xm:sqref>
        </x14:conditionalFormatting>
        <x14:conditionalFormatting xmlns:xm="http://schemas.microsoft.com/office/excel/2006/main">
          <x14:cfRule type="iconSet" priority="230" id="{0D58D2D8-DAC2-439F-9E79-EDA40B8EFD72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F5:F8</xm:sqref>
        </x14:conditionalFormatting>
        <x14:conditionalFormatting xmlns:xm="http://schemas.microsoft.com/office/excel/2006/main">
          <x14:cfRule type="iconSet" priority="232" id="{040AD57A-88B9-4BA5-88F8-B2A70F4E7B2D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J5:J8</xm:sqref>
        </x14:conditionalFormatting>
        <x14:conditionalFormatting xmlns:xm="http://schemas.microsoft.com/office/excel/2006/main">
          <x14:cfRule type="iconSet" priority="234" id="{70841417-AC27-4EF2-B1B8-09B979EFE24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L5:L8</xm:sqref>
        </x14:conditionalFormatting>
        <x14:conditionalFormatting xmlns:xm="http://schemas.microsoft.com/office/excel/2006/main">
          <x14:cfRule type="iconSet" priority="236" id="{A650DA16-14F4-44A5-86A0-FB4C0C0B980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N5:N8</xm:sqref>
        </x14:conditionalFormatting>
        <x14:conditionalFormatting xmlns:xm="http://schemas.microsoft.com/office/excel/2006/main">
          <x14:cfRule type="iconSet" priority="238" id="{962114BD-A163-4281-AAE6-96B2D7EC5818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P5:P8</xm:sqref>
        </x14:conditionalFormatting>
        <x14:conditionalFormatting xmlns:xm="http://schemas.microsoft.com/office/excel/2006/main">
          <x14:cfRule type="iconSet" priority="240" id="{009C1A9F-45F6-4D56-9ACB-0A2AEAC18F3E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R5:R8</xm:sqref>
        </x14:conditionalFormatting>
        <x14:conditionalFormatting xmlns:xm="http://schemas.microsoft.com/office/excel/2006/main">
          <x14:cfRule type="iconSet" priority="242" id="{6FF7D6BC-32A5-4636-A35A-C9A787249D52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T5:T8</xm:sqref>
        </x14:conditionalFormatting>
        <x14:conditionalFormatting xmlns:xm="http://schemas.microsoft.com/office/excel/2006/main">
          <x14:cfRule type="iconSet" priority="244" id="{E69FE1DB-E341-4B17-917D-5694E82C7E78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V5:V8</xm:sqref>
        </x14:conditionalFormatting>
        <x14:conditionalFormatting xmlns:xm="http://schemas.microsoft.com/office/excel/2006/main">
          <x14:cfRule type="iconSet" priority="246" id="{D851D5DB-D00D-41F5-B5C8-18A035FD66B6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X5:X8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0D5E3-A991-4242-A920-AB4800244E1E}">
  <sheetPr codeName="Sheet14"/>
  <dimension ref="A1:Z1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:A7"/>
    </sheetView>
  </sheetViews>
  <sheetFormatPr defaultColWidth="9.140625" defaultRowHeight="16.5" x14ac:dyDescent="0.3"/>
  <cols>
    <col min="1" max="1" width="27.7109375" style="17" customWidth="1"/>
    <col min="2" max="2" width="3" style="18" customWidth="1"/>
    <col min="3" max="3" width="19.5703125" style="82" customWidth="1"/>
    <col min="4" max="4" width="2.7109375" style="81" customWidth="1"/>
    <col min="5" max="5" width="19.5703125" style="82" bestFit="1" customWidth="1"/>
    <col min="6" max="6" width="2.7109375" style="81" customWidth="1"/>
    <col min="7" max="7" width="19.5703125" style="82" bestFit="1" customWidth="1"/>
    <col min="8" max="8" width="2.42578125" style="81" customWidth="1"/>
    <col min="9" max="9" width="19.5703125" style="82" customWidth="1"/>
    <col min="10" max="10" width="2.42578125" style="81" customWidth="1"/>
    <col min="11" max="11" width="19.5703125" style="82" bestFit="1" customWidth="1"/>
    <col min="12" max="12" width="2.42578125" style="81" customWidth="1"/>
    <col min="13" max="13" width="20.7109375" style="82" bestFit="1" customWidth="1"/>
    <col min="14" max="14" width="2.42578125" style="81" customWidth="1"/>
    <col min="15" max="15" width="19.5703125" style="82" bestFit="1" customWidth="1"/>
    <col min="16" max="16" width="2.42578125" style="81" customWidth="1"/>
    <col min="17" max="17" width="19.5703125" style="82" bestFit="1" customWidth="1"/>
    <col min="18" max="18" width="2.42578125" style="81" customWidth="1"/>
    <col min="19" max="19" width="19.5703125" style="82" bestFit="1" customWidth="1"/>
    <col min="20" max="20" width="2.42578125" style="81" customWidth="1"/>
    <col min="21" max="21" width="19.5703125" style="82" bestFit="1" customWidth="1"/>
    <col min="22" max="22" width="2.42578125" style="81" customWidth="1"/>
    <col min="23" max="23" width="19.5703125" style="82" bestFit="1" customWidth="1"/>
    <col min="24" max="24" width="2.42578125" style="81" customWidth="1"/>
    <col min="25" max="25" width="19.5703125" style="82" bestFit="1" customWidth="1"/>
    <col min="26" max="26" width="0.28515625" style="18" customWidth="1"/>
    <col min="27" max="16384" width="9.140625" style="52"/>
  </cols>
  <sheetData>
    <row r="1" spans="1:26" s="51" customFormat="1" ht="36.950000000000003" customHeight="1" x14ac:dyDescent="0.25">
      <c r="A1" s="31" t="str">
        <f ca="1">"► PERFORMANCE SHIPMENT PerFACTORY " &amp; HOME!$F$5</f>
        <v>► PERFORMANCE SHIPMENT PerFACTORY 2025</v>
      </c>
      <c r="B1" s="31"/>
      <c r="C1" s="31"/>
      <c r="D1" s="80"/>
      <c r="E1" s="31"/>
      <c r="F1" s="80"/>
      <c r="G1" s="31"/>
      <c r="H1" s="80"/>
      <c r="I1" s="31"/>
      <c r="J1" s="80"/>
      <c r="K1" s="31"/>
      <c r="L1" s="80"/>
      <c r="M1" s="31"/>
      <c r="N1" s="80"/>
      <c r="O1" s="31"/>
      <c r="P1" s="80"/>
      <c r="Q1" s="31"/>
      <c r="R1" s="80"/>
      <c r="S1" s="31"/>
      <c r="T1" s="80"/>
      <c r="U1" s="31"/>
      <c r="V1" s="80"/>
      <c r="W1" s="31"/>
      <c r="X1" s="80"/>
      <c r="Y1" s="31"/>
      <c r="Z1" s="31"/>
    </row>
    <row r="2" spans="1:26" ht="18" x14ac:dyDescent="0.3">
      <c r="A2" s="112" t="s">
        <v>48</v>
      </c>
      <c r="B2" s="109" t="s">
        <v>28</v>
      </c>
      <c r="C2" s="111"/>
      <c r="D2" s="109" t="s">
        <v>26</v>
      </c>
      <c r="E2" s="111"/>
      <c r="F2" s="109" t="s">
        <v>29</v>
      </c>
      <c r="G2" s="111"/>
      <c r="H2" s="109" t="s">
        <v>30</v>
      </c>
      <c r="I2" s="111"/>
      <c r="J2" s="109" t="s">
        <v>31</v>
      </c>
      <c r="K2" s="111"/>
      <c r="L2" s="109" t="s">
        <v>32</v>
      </c>
      <c r="M2" s="111"/>
      <c r="N2" s="109" t="s">
        <v>33</v>
      </c>
      <c r="O2" s="111"/>
      <c r="P2" s="109" t="s">
        <v>34</v>
      </c>
      <c r="Q2" s="111"/>
      <c r="R2" s="109" t="s">
        <v>35</v>
      </c>
      <c r="S2" s="111"/>
      <c r="T2" s="109" t="s">
        <v>36</v>
      </c>
      <c r="U2" s="111"/>
      <c r="V2" s="109" t="s">
        <v>37</v>
      </c>
      <c r="W2" s="111"/>
      <c r="X2" s="109" t="s">
        <v>38</v>
      </c>
      <c r="Y2" s="111"/>
      <c r="Z2" s="21"/>
    </row>
    <row r="3" spans="1:26" ht="15.75" x14ac:dyDescent="0.3">
      <c r="A3" s="112"/>
      <c r="B3" s="114" t="s">
        <v>17</v>
      </c>
      <c r="C3" s="115"/>
      <c r="D3" s="114" t="s">
        <v>17</v>
      </c>
      <c r="E3" s="115"/>
      <c r="F3" s="114" t="s">
        <v>17</v>
      </c>
      <c r="G3" s="115"/>
      <c r="H3" s="114" t="s">
        <v>17</v>
      </c>
      <c r="I3" s="115"/>
      <c r="J3" s="114" t="s">
        <v>17</v>
      </c>
      <c r="K3" s="115"/>
      <c r="L3" s="114" t="s">
        <v>17</v>
      </c>
      <c r="M3" s="115"/>
      <c r="N3" s="114" t="s">
        <v>17</v>
      </c>
      <c r="O3" s="115"/>
      <c r="P3" s="114" t="s">
        <v>17</v>
      </c>
      <c r="Q3" s="115"/>
      <c r="R3" s="114" t="s">
        <v>17</v>
      </c>
      <c r="S3" s="115"/>
      <c r="T3" s="114" t="s">
        <v>17</v>
      </c>
      <c r="U3" s="115"/>
      <c r="V3" s="114" t="s">
        <v>17</v>
      </c>
      <c r="W3" s="115"/>
      <c r="X3" s="114" t="s">
        <v>17</v>
      </c>
      <c r="Y3" s="115"/>
      <c r="Z3" s="28"/>
    </row>
    <row r="4" spans="1:26" ht="2.1" customHeight="1" x14ac:dyDescent="0.3">
      <c r="A4" s="95"/>
      <c r="B4" s="94"/>
      <c r="C4" s="93"/>
      <c r="D4" s="91"/>
      <c r="E4" s="93"/>
      <c r="F4" s="91"/>
      <c r="G4" s="93"/>
      <c r="H4" s="91"/>
      <c r="I4" s="92"/>
      <c r="J4" s="91"/>
      <c r="K4" s="93"/>
      <c r="L4" s="91"/>
      <c r="M4" s="92"/>
      <c r="N4" s="91"/>
      <c r="O4" s="93"/>
      <c r="P4" s="91"/>
      <c r="Q4" s="93"/>
      <c r="R4" s="91"/>
      <c r="S4" s="93"/>
      <c r="T4" s="91"/>
      <c r="U4" s="93"/>
      <c r="V4" s="91"/>
      <c r="W4" s="93"/>
      <c r="X4" s="91"/>
      <c r="Y4" s="93"/>
      <c r="Z4" s="28"/>
    </row>
    <row r="5" spans="1:26" x14ac:dyDescent="0.3">
      <c r="A5" s="96" t="s">
        <v>11</v>
      </c>
      <c r="C5" s="79">
        <f>IFERROR(VLOOKUP($B$2&amp;"-"&amp;$A5,CC1_InputUser!$T:$X,5,FALSE),0)</f>
        <v>0</v>
      </c>
      <c r="D5" s="84">
        <f>SIGN(C5-E5)</f>
        <v>0</v>
      </c>
      <c r="E5" s="79">
        <f>IFERROR(VLOOKUP($D$2&amp;"-"&amp;$A5,CC1_InputUser!$T:$X,5,FALSE),0)</f>
        <v>0</v>
      </c>
      <c r="F5" s="84">
        <f>SIGN(E5-G5)</f>
        <v>0</v>
      </c>
      <c r="G5" s="79">
        <f>IFERROR(VLOOKUP($F$2&amp;"-"&amp;$A5,CC1_InputUser!$T:$X,5,FALSE),0)</f>
        <v>0</v>
      </c>
      <c r="H5" s="84">
        <f>SIGN(G5-I5)</f>
        <v>0</v>
      </c>
      <c r="I5" s="79">
        <f>IFERROR(VLOOKUP($H$2&amp;"-"&amp;$A5,CC1_InputUser!$T:$X,5,FALSE),0)</f>
        <v>0</v>
      </c>
      <c r="J5" s="84">
        <f>SIGN(I5-K5)</f>
        <v>0</v>
      </c>
      <c r="K5" s="79">
        <f>IFERROR(VLOOKUP($J$2&amp;"-"&amp;$A5,CC1_InputUser!$T:$X,5,FALSE),0)</f>
        <v>0</v>
      </c>
      <c r="L5" s="84">
        <f>SIGN(K5-M5)</f>
        <v>0</v>
      </c>
      <c r="M5" s="79">
        <f>IFERROR(VLOOKUP($L$2&amp;"-"&amp;$A5,CC1_InputUser!$T:$X,5,FALSE),0)</f>
        <v>0</v>
      </c>
      <c r="N5" s="84">
        <f>SIGN(M5-O5)</f>
        <v>0</v>
      </c>
      <c r="O5" s="79">
        <f>IFERROR(VLOOKUP($N$2&amp;"-"&amp;$A5,CC1_InputUser!$T:$X,5,FALSE),0)</f>
        <v>0</v>
      </c>
      <c r="P5" s="84">
        <f>SIGN(O5-Q5)</f>
        <v>0</v>
      </c>
      <c r="Q5" s="79">
        <f>IFERROR(VLOOKUP($P$2&amp;"-"&amp;$A5,CC1_InputUser!$T:$X,5,FALSE),0)</f>
        <v>0</v>
      </c>
      <c r="R5" s="84">
        <f>SIGN(Q5-S5)</f>
        <v>0</v>
      </c>
      <c r="S5" s="79">
        <f>IFERROR(VLOOKUP($R$2&amp;"-"&amp;$A5,CC1_InputUser!$T:$X,5,FALSE),0)</f>
        <v>0</v>
      </c>
      <c r="T5" s="84">
        <f>SIGN(S5-U5)</f>
        <v>0</v>
      </c>
      <c r="U5" s="79">
        <f>IFERROR(VLOOKUP($T$2&amp;"-"&amp;$A5,CC1_InputUser!$T:$X,5,FALSE),0)</f>
        <v>0</v>
      </c>
      <c r="V5" s="84">
        <f>SIGN(U5-W5)</f>
        <v>0</v>
      </c>
      <c r="W5" s="79">
        <f>IFERROR(VLOOKUP($V$2&amp;"-"&amp;$A5,CC1_InputUser!$T:$X,5,FALSE),0)</f>
        <v>0</v>
      </c>
      <c r="X5" s="84">
        <f>SIGN(W5-Y5)</f>
        <v>-1</v>
      </c>
      <c r="Y5" s="79">
        <f>IFERROR(VLOOKUP($X$2&amp;"-"&amp;$A5,CC1_InputUser!$T:$X,5,FALSE),0)</f>
        <v>6.8441064638782301E-3</v>
      </c>
    </row>
    <row r="6" spans="1:26" x14ac:dyDescent="0.3">
      <c r="A6" s="96" t="s">
        <v>60</v>
      </c>
      <c r="C6" s="79">
        <f>IFERROR(VLOOKUP($B$2&amp;"-"&amp;$A6,CC1_InputUser!$T:$X,5,FALSE),0)</f>
        <v>0</v>
      </c>
      <c r="D6" s="84">
        <f t="shared" ref="D6:D7" si="0">SIGN(C6-E6)</f>
        <v>0</v>
      </c>
      <c r="E6" s="79">
        <f>IFERROR(VLOOKUP($D$2&amp;"-"&amp;$A6,CC1_InputUser!$T:$X,5,FALSE),0)</f>
        <v>0</v>
      </c>
      <c r="F6" s="84">
        <f t="shared" ref="F6:H7" si="1">SIGN(E6-G6)</f>
        <v>0</v>
      </c>
      <c r="G6" s="79">
        <f>IFERROR(VLOOKUP($F$2&amp;"-"&amp;$A6,CC1_InputUser!$T:$X,5,FALSE),0)</f>
        <v>0</v>
      </c>
      <c r="H6" s="84">
        <f t="shared" si="1"/>
        <v>0</v>
      </c>
      <c r="I6" s="79">
        <f>IFERROR(VLOOKUP($H$2&amp;"-"&amp;$A6,CC1_InputUser!$T:$X,5,FALSE),0)</f>
        <v>0</v>
      </c>
      <c r="J6" s="84">
        <f t="shared" ref="J6:J7" si="2">SIGN(I6-K6)</f>
        <v>0</v>
      </c>
      <c r="K6" s="79">
        <f>IFERROR(VLOOKUP($J$2&amp;"-"&amp;$A6,CC1_InputUser!$T:$X,5,FALSE),0)</f>
        <v>0</v>
      </c>
      <c r="L6" s="84">
        <f t="shared" ref="L6:L7" si="3">SIGN(K6-M6)</f>
        <v>0</v>
      </c>
      <c r="M6" s="79">
        <f>IFERROR(VLOOKUP($L$2&amp;"-"&amp;$A6,CC1_InputUser!$T:$X,5,FALSE),0)</f>
        <v>0</v>
      </c>
      <c r="N6" s="84">
        <f t="shared" ref="N6:N7" si="4">SIGN(M6-O6)</f>
        <v>0</v>
      </c>
      <c r="O6" s="79">
        <f>IFERROR(VLOOKUP($N$2&amp;"-"&amp;$A6,CC1_InputUser!$T:$X,5,FALSE),0)</f>
        <v>0</v>
      </c>
      <c r="P6" s="84">
        <f t="shared" ref="P6:P7" si="5">SIGN(O6-Q6)</f>
        <v>0</v>
      </c>
      <c r="Q6" s="79">
        <f>IFERROR(VLOOKUP($P$2&amp;"-"&amp;$A6,CC1_InputUser!$T:$X,5,FALSE),0)</f>
        <v>0</v>
      </c>
      <c r="R6" s="84">
        <f t="shared" ref="R6:R7" si="6">SIGN(Q6-S6)</f>
        <v>0</v>
      </c>
      <c r="S6" s="79">
        <f>IFERROR(VLOOKUP($R$2&amp;"-"&amp;$A6,CC1_InputUser!$T:$X,5,FALSE),0)</f>
        <v>0</v>
      </c>
      <c r="T6" s="84">
        <f t="shared" ref="T6:T7" si="7">SIGN(S6-U6)</f>
        <v>0</v>
      </c>
      <c r="U6" s="79">
        <f>IFERROR(VLOOKUP($T$2&amp;"-"&amp;$A6,CC1_InputUser!$T:$X,5,FALSE),0)</f>
        <v>0</v>
      </c>
      <c r="V6" s="84">
        <f t="shared" ref="V6:V7" si="8">SIGN(U6-W6)</f>
        <v>0</v>
      </c>
      <c r="W6" s="79">
        <f>IFERROR(VLOOKUP($V$2&amp;"-"&amp;$A6,CC1_InputUser!$T:$X,5,FALSE),0)</f>
        <v>0</v>
      </c>
      <c r="X6" s="84">
        <f t="shared" ref="X6:X7" si="9">SIGN(W6-Y6)</f>
        <v>1</v>
      </c>
      <c r="Y6" s="79">
        <f>IFERROR(VLOOKUP($X$2&amp;"-"&amp;$A6,CC1_InputUser!$T:$X,5,FALSE),0)</f>
        <v>-9.0095131505316672E-3</v>
      </c>
    </row>
    <row r="7" spans="1:26" x14ac:dyDescent="0.3">
      <c r="A7" s="96" t="s">
        <v>10</v>
      </c>
      <c r="C7" s="79">
        <f>IFERROR(VLOOKUP($B$2&amp;"-"&amp;$A7,CC1_InputUser!$T:$X,5,FALSE),0)</f>
        <v>0</v>
      </c>
      <c r="D7" s="84">
        <f t="shared" si="0"/>
        <v>0</v>
      </c>
      <c r="E7" s="79">
        <f>IFERROR(VLOOKUP($D$2&amp;"-"&amp;$A7,CC1_InputUser!$T:$X,5,FALSE),0)</f>
        <v>0</v>
      </c>
      <c r="F7" s="84">
        <f t="shared" si="1"/>
        <v>0</v>
      </c>
      <c r="G7" s="79">
        <f>IFERROR(VLOOKUP($F$2&amp;"-"&amp;$A7,CC1_InputUser!$T:$X,5,FALSE),0)</f>
        <v>0</v>
      </c>
      <c r="H7" s="84">
        <f t="shared" si="1"/>
        <v>0</v>
      </c>
      <c r="I7" s="79">
        <f>IFERROR(VLOOKUP($H$2&amp;"-"&amp;$A7,CC1_InputUser!$T:$X,5,FALSE),0)</f>
        <v>0</v>
      </c>
      <c r="J7" s="84">
        <f t="shared" si="2"/>
        <v>0</v>
      </c>
      <c r="K7" s="79">
        <f>IFERROR(VLOOKUP($J$2&amp;"-"&amp;$A7,CC1_InputUser!$T:$X,5,FALSE),0)</f>
        <v>0</v>
      </c>
      <c r="L7" s="84">
        <f t="shared" si="3"/>
        <v>0</v>
      </c>
      <c r="M7" s="79">
        <f>IFERROR(VLOOKUP($L$2&amp;"-"&amp;$A7,CC1_InputUser!$T:$X,5,FALSE),0)</f>
        <v>0</v>
      </c>
      <c r="N7" s="84">
        <f t="shared" si="4"/>
        <v>0</v>
      </c>
      <c r="O7" s="79">
        <f>IFERROR(VLOOKUP($N$2&amp;"-"&amp;$A7,CC1_InputUser!$T:$X,5,FALSE),0)</f>
        <v>0</v>
      </c>
      <c r="P7" s="84">
        <f t="shared" si="5"/>
        <v>0</v>
      </c>
      <c r="Q7" s="79">
        <f>IFERROR(VLOOKUP($P$2&amp;"-"&amp;$A7,CC1_InputUser!$T:$X,5,FALSE),0)</f>
        <v>0</v>
      </c>
      <c r="R7" s="84">
        <f t="shared" si="6"/>
        <v>0</v>
      </c>
      <c r="S7" s="79">
        <f>IFERROR(VLOOKUP($R$2&amp;"-"&amp;$A7,CC1_InputUser!$T:$X,5,FALSE),0)</f>
        <v>0</v>
      </c>
      <c r="T7" s="84">
        <f t="shared" si="7"/>
        <v>0</v>
      </c>
      <c r="U7" s="79">
        <f>IFERROR(VLOOKUP($T$2&amp;"-"&amp;$A7,CC1_InputUser!$T:$X,5,FALSE),0)</f>
        <v>0</v>
      </c>
      <c r="V7" s="84">
        <f t="shared" si="8"/>
        <v>0</v>
      </c>
      <c r="W7" s="79">
        <f>IFERROR(VLOOKUP($V$2&amp;"-"&amp;$A7,CC1_InputUser!$T:$X,5,FALSE),0)</f>
        <v>0</v>
      </c>
      <c r="X7" s="84">
        <f t="shared" si="9"/>
        <v>-1</v>
      </c>
      <c r="Y7" s="79">
        <f>IFERROR(VLOOKUP($X$2&amp;"-"&amp;$A7,CC1_InputUser!$T:$X,5,FALSE),0)</f>
        <v>4.6451133407665601E-4</v>
      </c>
    </row>
    <row r="8" spans="1:26" ht="2.1" customHeight="1" x14ac:dyDescent="0.3">
      <c r="A8" s="87"/>
      <c r="C8" s="87"/>
      <c r="D8" s="83"/>
      <c r="E8" s="87"/>
      <c r="F8" s="83"/>
      <c r="G8" s="87"/>
      <c r="H8" s="84"/>
      <c r="I8" s="87"/>
      <c r="J8" s="83"/>
      <c r="K8" s="87"/>
      <c r="L8" s="83"/>
      <c r="M8" s="87"/>
      <c r="N8" s="83"/>
      <c r="O8" s="87"/>
      <c r="P8" s="83"/>
      <c r="Q8" s="87"/>
      <c r="R8" s="83"/>
      <c r="S8" s="87"/>
      <c r="T8" s="83"/>
      <c r="U8" s="87"/>
      <c r="V8" s="83"/>
      <c r="W8" s="87"/>
      <c r="X8" s="83"/>
      <c r="Y8" s="87"/>
    </row>
    <row r="9" spans="1:26" s="54" customFormat="1" ht="24.95" customHeight="1" x14ac:dyDescent="0.25">
      <c r="A9" s="42" t="s">
        <v>41</v>
      </c>
      <c r="B9" s="87"/>
      <c r="C9" s="88">
        <f>IFERROR(VLOOKUP(B2,CC1_InputUser!$A:$S,19,FALSE),0)</f>
        <v>0</v>
      </c>
      <c r="D9" s="89"/>
      <c r="E9" s="88">
        <f>IFERROR(VLOOKUP(D2,CC1_InputUser!$A:$S,19,FALSE),0)</f>
        <v>0</v>
      </c>
      <c r="F9" s="89"/>
      <c r="G9" s="88">
        <f>IFERROR(VLOOKUP(F2,CC1_InputUser!$A:$S,19,FALSE),0)</f>
        <v>0</v>
      </c>
      <c r="H9" s="89"/>
      <c r="I9" s="88">
        <f>IFERROR(VLOOKUP(H2,CC1_InputUser!$A:$S,19,FALSE),0)</f>
        <v>0</v>
      </c>
      <c r="J9" s="89"/>
      <c r="K9" s="88">
        <f>IFERROR(VLOOKUP(J2,CC1_InputUser!$A:$S,19,FALSE),0)</f>
        <v>0</v>
      </c>
      <c r="L9" s="89"/>
      <c r="M9" s="88">
        <f>IFERROR(VLOOKUP(L2,CC1_InputUser!$A:$S,19,FALSE),0)</f>
        <v>0</v>
      </c>
      <c r="N9" s="89"/>
      <c r="O9" s="88">
        <f>IFERROR(VLOOKUP(N2,CC1_InputUser!$A:$S,19,FALSE),0)</f>
        <v>0</v>
      </c>
      <c r="P9" s="89"/>
      <c r="Q9" s="90">
        <f>IFERROR(VLOOKUP(P2,CC1_InputUser!$A:$S,19,FALSE),0)</f>
        <v>0</v>
      </c>
      <c r="R9" s="89"/>
      <c r="S9" s="88">
        <f>IFERROR(VLOOKUP(R2,CC1_InputUser!$A:$S,19,FALSE),0)</f>
        <v>0</v>
      </c>
      <c r="T9" s="89"/>
      <c r="U9" s="88">
        <f>IFERROR(VLOOKUP(T2,CC1_InputUser!$A:$S,19,FALSE),0)</f>
        <v>0</v>
      </c>
      <c r="V9" s="89"/>
      <c r="W9" s="88">
        <f>IFERROR(VLOOKUP(V2,CC1_InputUser!$A:$S,19,FALSE),0)</f>
        <v>0</v>
      </c>
      <c r="X9" s="89"/>
      <c r="Y9" s="88">
        <f>IFERROR(VLOOKUP(X2,CC1_InputUser!$A:$S,19,FALSE),0)</f>
        <v>-1.0296993678082456E-2</v>
      </c>
      <c r="Z9" s="38"/>
    </row>
    <row r="10" spans="1:26" ht="4.5" customHeight="1" x14ac:dyDescent="0.3">
      <c r="A10" s="87"/>
      <c r="C10" s="87"/>
      <c r="E10" s="87"/>
      <c r="G10" s="87"/>
      <c r="I10" s="87"/>
      <c r="K10" s="87"/>
      <c r="M10" s="87"/>
      <c r="O10" s="87"/>
      <c r="Q10" s="87"/>
      <c r="S10" s="87"/>
      <c r="U10" s="87"/>
      <c r="W10" s="87"/>
      <c r="Y10" s="87"/>
    </row>
    <row r="11" spans="1:26" x14ac:dyDescent="0.3">
      <c r="C11" s="16"/>
      <c r="E11" s="16"/>
      <c r="G11" s="16"/>
      <c r="I11" s="16"/>
      <c r="K11" s="16"/>
      <c r="M11" s="16"/>
      <c r="O11" s="16"/>
      <c r="Q11" s="16"/>
      <c r="S11" s="16"/>
      <c r="U11" s="16"/>
      <c r="W11" s="16"/>
      <c r="Y11" s="16"/>
    </row>
    <row r="12" spans="1:26" x14ac:dyDescent="0.3">
      <c r="C12" s="16"/>
      <c r="E12" s="16"/>
      <c r="G12" s="16"/>
      <c r="I12" s="16"/>
      <c r="K12" s="16"/>
      <c r="M12" s="16"/>
      <c r="O12" s="16"/>
      <c r="Q12" s="16"/>
      <c r="S12" s="16"/>
      <c r="U12" s="16"/>
      <c r="W12" s="16"/>
      <c r="Y12" s="16"/>
    </row>
    <row r="13" spans="1:26" x14ac:dyDescent="0.3">
      <c r="A13" s="85" t="s">
        <v>53</v>
      </c>
      <c r="C13" s="16"/>
      <c r="E13" s="16"/>
      <c r="G13" s="16"/>
      <c r="I13" s="16"/>
      <c r="K13" s="16"/>
      <c r="M13" s="16"/>
      <c r="O13" s="16"/>
      <c r="Q13" s="16"/>
      <c r="S13" s="16"/>
      <c r="U13" s="16"/>
      <c r="W13" s="16"/>
      <c r="Y13" s="16"/>
    </row>
    <row r="14" spans="1:26" x14ac:dyDescent="0.3">
      <c r="A14" t="s">
        <v>55</v>
      </c>
      <c r="C14" s="16"/>
      <c r="E14" s="16"/>
      <c r="G14" s="16"/>
      <c r="I14" s="16"/>
      <c r="K14" s="16"/>
      <c r="M14" s="16"/>
      <c r="O14" s="16"/>
      <c r="Q14" s="16"/>
      <c r="S14" s="16"/>
      <c r="U14" s="16"/>
      <c r="W14" s="16"/>
      <c r="Y14" s="16"/>
    </row>
    <row r="15" spans="1:26" x14ac:dyDescent="0.3">
      <c r="C15" s="16"/>
      <c r="E15" s="16"/>
      <c r="G15" s="16"/>
      <c r="I15" s="16"/>
      <c r="K15" s="16"/>
      <c r="M15" s="16"/>
      <c r="O15" s="16"/>
      <c r="Q15" s="16"/>
      <c r="S15" s="16"/>
      <c r="U15" s="16"/>
      <c r="W15" s="16"/>
      <c r="Y15" s="16"/>
    </row>
    <row r="16" spans="1:26" x14ac:dyDescent="0.3">
      <c r="A16" s="86" t="s">
        <v>54</v>
      </c>
      <c r="C16" s="16"/>
      <c r="E16" s="16"/>
      <c r="G16" s="16"/>
      <c r="I16" s="16"/>
      <c r="K16" s="16"/>
      <c r="M16" s="16"/>
      <c r="O16" s="16"/>
      <c r="Q16" s="16"/>
      <c r="S16" s="16"/>
      <c r="U16" s="16"/>
      <c r="W16" s="16"/>
      <c r="Y16" s="16"/>
    </row>
    <row r="17" spans="1:25" x14ac:dyDescent="0.3">
      <c r="A17" t="s">
        <v>56</v>
      </c>
      <c r="C17" s="16"/>
      <c r="E17" s="16"/>
      <c r="G17" s="16"/>
      <c r="I17" s="16"/>
      <c r="K17" s="16"/>
      <c r="M17" s="16"/>
      <c r="O17" s="16"/>
      <c r="Q17" s="16"/>
      <c r="S17" s="16"/>
      <c r="U17" s="16"/>
      <c r="W17" s="16"/>
      <c r="Y17" s="16"/>
    </row>
  </sheetData>
  <mergeCells count="25">
    <mergeCell ref="R2:S2"/>
    <mergeCell ref="T2:U2"/>
    <mergeCell ref="V2:W2"/>
    <mergeCell ref="A2:A3"/>
    <mergeCell ref="B2:C2"/>
    <mergeCell ref="D2:E2"/>
    <mergeCell ref="F2:G2"/>
    <mergeCell ref="H2:I2"/>
    <mergeCell ref="J2:K2"/>
    <mergeCell ref="T3:U3"/>
    <mergeCell ref="V3:W3"/>
    <mergeCell ref="X3:Y3"/>
    <mergeCell ref="X2:Y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L2:M2"/>
    <mergeCell ref="N2:O2"/>
    <mergeCell ref="P2:Q2"/>
  </mergeCells>
  <conditionalFormatting sqref="C9 Y9 W9 U9 S9 Q9 O9 M9 K9 I9 G9 E9">
    <cfRule type="cellIs" dxfId="5" priority="16" operator="between">
      <formula>-0.00251</formula>
      <formula>-0.009</formula>
    </cfRule>
    <cfRule type="cellIs" dxfId="4" priority="17" operator="between">
      <formula>0</formula>
      <formula>-0.0025</formula>
    </cfRule>
  </conditionalFormatting>
  <conditionalFormatting sqref="C5:C7 E5:E7 G5:I5 G6:G7 K5:K7 M5:M7 O5:O7 Q5:Q7 S5:S7 U5:U7 W5:W7 Y5:Z7 I6:I7 H6:H8 D5:D8 F5:F8 J5:J8 L5:L8 N5:N8 P5:P8 R5:R8 T5:T8 V5:V8 X5:X8">
    <cfRule type="cellIs" dxfId="3" priority="15" operator="lessThan">
      <formula>0</formula>
    </cfRule>
  </conditionalFormatting>
  <conditionalFormatting sqref="B5:B7">
    <cfRule type="cellIs" dxfId="2" priority="14" operator="lessThan">
      <formula>0</formula>
    </cfRule>
  </conditionalFormatting>
  <conditionalFormatting sqref="C5:C7 E5:E7 G5:G7 K5:K7 M5:M7 O5:O7 Q5:Q7 S5:S7 U5:U7 W5:W7 Y5:Y7 I5:I7">
    <cfRule type="cellIs" dxfId="1" priority="1" operator="between">
      <formula>0</formula>
      <formula>-0.0025</formula>
    </cfRule>
    <cfRule type="cellIs" dxfId="0" priority="2" operator="between">
      <formula>-0.00251</formula>
      <formula>-0.009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" id="{5F3F92C3-02D2-40DE-823F-05F075C51630}">
            <x14:iconSet iconSet="3Triangles">
              <x14:cfvo type="percent">
                <xm:f>0</xm:f>
              </x14:cfvo>
              <x14:cfvo type="formula">
                <xm:f>$C$9</xm:f>
              </x14:cfvo>
              <x14:cfvo type="formula" gte="0">
                <xm:f>$C$9</xm:f>
              </x14:cfvo>
            </x14:iconSet>
          </x14:cfRule>
          <xm:sqref>E9</xm:sqref>
        </x14:conditionalFormatting>
        <x14:conditionalFormatting xmlns:xm="http://schemas.microsoft.com/office/excel/2006/main">
          <x14:cfRule type="iconSet" priority="19" id="{F67CC794-C289-47EF-94CB-9807EB278A5F}">
            <x14:iconSet iconSet="3Triangles">
              <x14:cfvo type="percent">
                <xm:f>0</xm:f>
              </x14:cfvo>
              <x14:cfvo type="formula">
                <xm:f>$E$9</xm:f>
              </x14:cfvo>
              <x14:cfvo type="formula" gte="0">
                <xm:f>$E$9</xm:f>
              </x14:cfvo>
            </x14:iconSet>
          </x14:cfRule>
          <xm:sqref>G9</xm:sqref>
        </x14:conditionalFormatting>
        <x14:conditionalFormatting xmlns:xm="http://schemas.microsoft.com/office/excel/2006/main">
          <x14:cfRule type="iconSet" priority="20" id="{7BCB7A76-CF92-44B7-BCD7-4C1E166129B3}">
            <x14:iconSet iconSet="3Triangles">
              <x14:cfvo type="percent">
                <xm:f>0</xm:f>
              </x14:cfvo>
              <x14:cfvo type="formula">
                <xm:f>$G$9</xm:f>
              </x14:cfvo>
              <x14:cfvo type="formula" gte="0">
                <xm:f>$G$9</xm:f>
              </x14:cfvo>
            </x14:iconSet>
          </x14:cfRule>
          <xm:sqref>I9</xm:sqref>
        </x14:conditionalFormatting>
        <x14:conditionalFormatting xmlns:xm="http://schemas.microsoft.com/office/excel/2006/main">
          <x14:cfRule type="iconSet" priority="21" id="{8561F7F1-E968-4E46-824B-D7C9F9D1CD0A}">
            <x14:iconSet iconSet="3Triangles">
              <x14:cfvo type="percent">
                <xm:f>0</xm:f>
              </x14:cfvo>
              <x14:cfvo type="formula">
                <xm:f>$I$9</xm:f>
              </x14:cfvo>
              <x14:cfvo type="formula" gte="0">
                <xm:f>$I$9</xm:f>
              </x14:cfvo>
            </x14:iconSet>
          </x14:cfRule>
          <xm:sqref>K9</xm:sqref>
        </x14:conditionalFormatting>
        <x14:conditionalFormatting xmlns:xm="http://schemas.microsoft.com/office/excel/2006/main">
          <x14:cfRule type="iconSet" priority="22" id="{9936444B-E5A2-4D7E-A85B-8AA07319F041}">
            <x14:iconSet iconSet="3Triangles">
              <x14:cfvo type="percent">
                <xm:f>0</xm:f>
              </x14:cfvo>
              <x14:cfvo type="formula">
                <xm:f>$M$9</xm:f>
              </x14:cfvo>
              <x14:cfvo type="formula" gte="0">
                <xm:f>$M$9</xm:f>
              </x14:cfvo>
            </x14:iconSet>
          </x14:cfRule>
          <xm:sqref>O9</xm:sqref>
        </x14:conditionalFormatting>
        <x14:conditionalFormatting xmlns:xm="http://schemas.microsoft.com/office/excel/2006/main">
          <x14:cfRule type="iconSet" priority="23" id="{5365C845-B9F7-4845-847D-9405186A5420}">
            <x14:iconSet iconSet="3Triangles">
              <x14:cfvo type="percent">
                <xm:f>0</xm:f>
              </x14:cfvo>
              <x14:cfvo type="formula">
                <xm:f>$O$9</xm:f>
              </x14:cfvo>
              <x14:cfvo type="formula" gte="0">
                <xm:f>$O$9</xm:f>
              </x14:cfvo>
            </x14:iconSet>
          </x14:cfRule>
          <xm:sqref>Q9</xm:sqref>
        </x14:conditionalFormatting>
        <x14:conditionalFormatting xmlns:xm="http://schemas.microsoft.com/office/excel/2006/main">
          <x14:cfRule type="iconSet" priority="24" id="{F50D4D28-FC05-4F94-822B-DECEAA4BF568}">
            <x14:iconSet iconSet="3Triangles">
              <x14:cfvo type="percent">
                <xm:f>0</xm:f>
              </x14:cfvo>
              <x14:cfvo type="formula">
                <xm:f>$Q$9</xm:f>
              </x14:cfvo>
              <x14:cfvo type="formula" gte="0">
                <xm:f>$Q$9</xm:f>
              </x14:cfvo>
            </x14:iconSet>
          </x14:cfRule>
          <xm:sqref>S9</xm:sqref>
        </x14:conditionalFormatting>
        <x14:conditionalFormatting xmlns:xm="http://schemas.microsoft.com/office/excel/2006/main">
          <x14:cfRule type="iconSet" priority="25" id="{54EC4926-35B2-4A3C-93C7-84B134217ED8}">
            <x14:iconSet iconSet="3Triangles">
              <x14:cfvo type="percent">
                <xm:f>0</xm:f>
              </x14:cfvo>
              <x14:cfvo type="formula">
                <xm:f>$S$9</xm:f>
              </x14:cfvo>
              <x14:cfvo type="formula" gte="0">
                <xm:f>$S$9</xm:f>
              </x14:cfvo>
            </x14:iconSet>
          </x14:cfRule>
          <xm:sqref>U9</xm:sqref>
        </x14:conditionalFormatting>
        <x14:conditionalFormatting xmlns:xm="http://schemas.microsoft.com/office/excel/2006/main">
          <x14:cfRule type="iconSet" priority="26" id="{3C2C0884-6670-4FBE-80F0-C8C90345B872}">
            <x14:iconSet iconSet="3Triangles">
              <x14:cfvo type="percent">
                <xm:f>0</xm:f>
              </x14:cfvo>
              <x14:cfvo type="formula">
                <xm:f>$U$9</xm:f>
              </x14:cfvo>
              <x14:cfvo type="formula" gte="0">
                <xm:f>$U$9</xm:f>
              </x14:cfvo>
            </x14:iconSet>
          </x14:cfRule>
          <xm:sqref>W9</xm:sqref>
        </x14:conditionalFormatting>
        <x14:conditionalFormatting xmlns:xm="http://schemas.microsoft.com/office/excel/2006/main">
          <x14:cfRule type="iconSet" priority="27" id="{E1EBAA84-2C2E-42C2-BE0F-B948872E91B4}">
            <x14:iconSet iconSet="3Triangles">
              <x14:cfvo type="percent">
                <xm:f>0</xm:f>
              </x14:cfvo>
              <x14:cfvo type="formula">
                <xm:f>$W$9</xm:f>
              </x14:cfvo>
              <x14:cfvo type="formula" gte="0">
                <xm:f>$W$9</xm:f>
              </x14:cfvo>
            </x14:iconSet>
          </x14:cfRule>
          <xm:sqref>Y9</xm:sqref>
        </x14:conditionalFormatting>
        <x14:conditionalFormatting xmlns:xm="http://schemas.microsoft.com/office/excel/2006/main">
          <x14:cfRule type="iconSet" priority="28" id="{2D36A36F-6F82-4F59-8552-FAF77E3A38DC}">
            <x14:iconSet iconSet="3Triangles">
              <x14:cfvo type="percent">
                <xm:f>0</xm:f>
              </x14:cfvo>
              <x14:cfvo type="formula">
                <xm:f>$K$9</xm:f>
              </x14:cfvo>
              <x14:cfvo type="formula" gte="0">
                <xm:f>$K$9</xm:f>
              </x14:cfvo>
            </x14:iconSet>
          </x14:cfRule>
          <xm:sqref>M9</xm:sqref>
        </x14:conditionalFormatting>
        <x14:conditionalFormatting xmlns:xm="http://schemas.microsoft.com/office/excel/2006/main">
          <x14:cfRule type="iconSet" priority="269" id="{AB294251-758F-4587-9CAD-98D98E8A0B34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H5:H8</xm:sqref>
        </x14:conditionalFormatting>
        <x14:conditionalFormatting xmlns:xm="http://schemas.microsoft.com/office/excel/2006/main">
          <x14:cfRule type="iconSet" priority="271" id="{86577468-469D-441C-B236-00C6BC639025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D5:D8</xm:sqref>
        </x14:conditionalFormatting>
        <x14:conditionalFormatting xmlns:xm="http://schemas.microsoft.com/office/excel/2006/main">
          <x14:cfRule type="iconSet" priority="273" id="{52865D85-1C77-4E26-8E45-75B8EA9619C2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F5:F8</xm:sqref>
        </x14:conditionalFormatting>
        <x14:conditionalFormatting xmlns:xm="http://schemas.microsoft.com/office/excel/2006/main">
          <x14:cfRule type="iconSet" priority="275" id="{311FAEFD-7E77-46FC-B89C-F8CDC4DFF3D7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J5:J8</xm:sqref>
        </x14:conditionalFormatting>
        <x14:conditionalFormatting xmlns:xm="http://schemas.microsoft.com/office/excel/2006/main">
          <x14:cfRule type="iconSet" priority="277" id="{46C5ECF9-6E4D-4BB9-8167-AEAD7B3653C2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L5:L8</xm:sqref>
        </x14:conditionalFormatting>
        <x14:conditionalFormatting xmlns:xm="http://schemas.microsoft.com/office/excel/2006/main">
          <x14:cfRule type="iconSet" priority="279" id="{6104648D-156A-4C06-A921-F39CB8FDC184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N5:N8</xm:sqref>
        </x14:conditionalFormatting>
        <x14:conditionalFormatting xmlns:xm="http://schemas.microsoft.com/office/excel/2006/main">
          <x14:cfRule type="iconSet" priority="281" id="{AE112E56-1DBC-4CB4-945C-E6405FF097D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P5:P8</xm:sqref>
        </x14:conditionalFormatting>
        <x14:conditionalFormatting xmlns:xm="http://schemas.microsoft.com/office/excel/2006/main">
          <x14:cfRule type="iconSet" priority="283" id="{CC8A2F7D-3484-4C71-BE49-6E0C5A0E229A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R5:R8</xm:sqref>
        </x14:conditionalFormatting>
        <x14:conditionalFormatting xmlns:xm="http://schemas.microsoft.com/office/excel/2006/main">
          <x14:cfRule type="iconSet" priority="285" id="{5709099A-86A6-4216-84E4-4F97CAA14D31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T5:T8</xm:sqref>
        </x14:conditionalFormatting>
        <x14:conditionalFormatting xmlns:xm="http://schemas.microsoft.com/office/excel/2006/main">
          <x14:cfRule type="iconSet" priority="287" id="{ABDC47EA-7466-4D61-B5B7-366C6EF39298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V5:V8</xm:sqref>
        </x14:conditionalFormatting>
        <x14:conditionalFormatting xmlns:xm="http://schemas.microsoft.com/office/excel/2006/main">
          <x14:cfRule type="iconSet" priority="289" id="{497EE1B4-500C-41B2-A220-ECC8059479A8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X5:X8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F1E0B-28B1-410A-B1E3-B4E7488530D0}">
  <dimension ref="A1:C4"/>
  <sheetViews>
    <sheetView workbookViewId="0"/>
  </sheetViews>
  <sheetFormatPr defaultRowHeight="15" x14ac:dyDescent="0.25"/>
  <cols>
    <col min="1" max="1" width="16.140625" bestFit="1" customWidth="1"/>
    <col min="2" max="2" width="63" bestFit="1" customWidth="1"/>
    <col min="3" max="3" width="138.28515625" bestFit="1" customWidth="1"/>
  </cols>
  <sheetData>
    <row r="1" spans="1:3" x14ac:dyDescent="0.25">
      <c r="A1" t="s">
        <v>63</v>
      </c>
      <c r="B1" t="s">
        <v>74</v>
      </c>
      <c r="C1" t="s">
        <v>67</v>
      </c>
    </row>
    <row r="2" spans="1:3" x14ac:dyDescent="0.25">
      <c r="A2" t="s">
        <v>64</v>
      </c>
      <c r="B2" t="s">
        <v>82</v>
      </c>
      <c r="C2" t="s">
        <v>83</v>
      </c>
    </row>
    <row r="3" spans="1:3" x14ac:dyDescent="0.25">
      <c r="A3" t="s">
        <v>66</v>
      </c>
      <c r="B3" t="s">
        <v>84</v>
      </c>
      <c r="C3" t="s">
        <v>85</v>
      </c>
    </row>
    <row r="4" spans="1:3" x14ac:dyDescent="0.25">
      <c r="A4" t="s">
        <v>65</v>
      </c>
      <c r="B4" t="s">
        <v>82</v>
      </c>
      <c r="C4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Temp_REPORT1</vt:lpstr>
      <vt:lpstr>Temp_EXP_FROM_CUTTING</vt:lpstr>
      <vt:lpstr>Temp_EXP_FROM_ORDER</vt:lpstr>
      <vt:lpstr>HOME</vt:lpstr>
      <vt:lpstr>CC1_InputUser</vt:lpstr>
      <vt:lpstr>Ref_WA</vt:lpstr>
      <vt:lpstr>REPORT1</vt:lpstr>
      <vt:lpstr>Ref_Factory</vt:lpstr>
      <vt:lpstr>EXP FROM CUTTING</vt:lpstr>
      <vt:lpstr>EXP FROM ORDER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2024-02-29T02:44:46Z</dcterms:created>
  <dcterms:modified xsi:type="dcterms:W3CDTF">2025-01-14T08:00:11Z</dcterms:modified>
</cp:coreProperties>
</file>