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onitoring Performance Shipment\"/>
    </mc:Choice>
  </mc:AlternateContent>
  <xr:revisionPtr revIDLastSave="0" documentId="13_ncr:1_{96DDA443-E96C-4486-AC73-EEE6CA18598C}" xr6:coauthVersionLast="47" xr6:coauthVersionMax="47" xr10:uidLastSave="{00000000-0000-0000-0000-000000000000}"/>
  <bookViews>
    <workbookView xWindow="-120" yWindow="-120" windowWidth="20730" windowHeight="11160" xr2:uid="{BFB33DAB-B956-401A-93AD-3738362D6D09}"/>
  </bookViews>
  <sheets>
    <sheet name="{HOME}" sheetId="1" r:id="rId1"/>
    <sheet name="DATA" sheetId="142" r:id="rId2"/>
  </sheets>
  <functionGroups builtInGroupCount="19"/>
  <definedNames>
    <definedName name="_xlnm._FilterDatabase" localSheetId="1" hidden="1">DATA!$A$2:$AL$109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ahmad fauzan</author>
  </authors>
  <commentList>
    <comment ref="M17" authorId="0" shapeId="0" xr:uid="{C7773A52-A398-49BF-95D4-FC7E0067E497}">
      <text>
        <r>
          <rPr>
            <b/>
            <sz val="9"/>
            <color indexed="81"/>
            <rFont val="Tahoma"/>
            <family val="2"/>
          </rPr>
          <t>Shipment parsial Total order 3,384 Pack        ( Sudah Full Shipment )</t>
        </r>
      </text>
    </comment>
    <comment ref="M18" authorId="0" shapeId="0" xr:uid="{2E59CDAA-E92B-44AF-AEF3-86A7AF184E62}">
      <text>
        <r>
          <rPr>
            <b/>
            <sz val="9"/>
            <color indexed="81"/>
            <rFont val="Tahoma"/>
            <family val="2"/>
          </rPr>
          <t>Shipment parsial total order 3,744 pack</t>
        </r>
        <r>
          <rPr>
            <sz val="9"/>
            <color indexed="81"/>
            <rFont val="Tahoma"/>
            <family val="2"/>
          </rPr>
          <t xml:space="preserve">
( Sudah Full Shipment )</t>
        </r>
      </text>
    </comment>
    <comment ref="M48" authorId="0" shapeId="0" xr:uid="{12EC4389-E020-4D9A-A7DA-1F8BC92C4615}">
      <text>
        <r>
          <rPr>
            <b/>
            <sz val="9"/>
            <color indexed="81"/>
            <rFont val="Tahoma"/>
            <family val="2"/>
          </rPr>
          <t>Shipment parsial order ( 760 pcs 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<sst xmlns="http://schemas.openxmlformats.org/spreadsheetml/2006/main" count="688" uniqueCount="158">
  <si>
    <t>DATA FILE</t>
  </si>
  <si>
    <t>PATH FIALE</t>
  </si>
  <si>
    <t>-</t>
  </si>
  <si>
    <t>ENTITAS</t>
  </si>
  <si>
    <t>Source</t>
  </si>
  <si>
    <t>Result</t>
  </si>
  <si>
    <t>\\10.8.0.35\Bersama\IT\RPA 00\Monitoring Performance Shipment\Results\Monitoring Performance Shipment.xlsx</t>
  </si>
  <si>
    <t>PERIODE</t>
  </si>
  <si>
    <t>PERIODE H-MIN</t>
  </si>
  <si>
    <t>TAHUN</t>
  </si>
  <si>
    <t>BULAN</t>
  </si>
  <si>
    <t>Ex-Fact.Date</t>
  </si>
  <si>
    <t>PRODUKSI</t>
  </si>
  <si>
    <t>PLACING EXSPORT</t>
  </si>
  <si>
    <t>PIC</t>
  </si>
  <si>
    <t>PIC PACKING</t>
  </si>
  <si>
    <t>BUYER</t>
  </si>
  <si>
    <t>STYLE#</t>
  </si>
  <si>
    <t>ARTIKEL#</t>
  </si>
  <si>
    <t>SUPPLIER KAIN</t>
  </si>
  <si>
    <t>TERIMA KAIN</t>
  </si>
  <si>
    <t>WO#</t>
  </si>
  <si>
    <t>ORDER (PCS)</t>
  </si>
  <si>
    <t>QTY CUTT (PCS)</t>
  </si>
  <si>
    <t>OUTPUT SEWING</t>
  </si>
  <si>
    <t>QTY EXP (PCS)</t>
  </si>
  <si>
    <t>BALANCE SHIP FROM CUTT</t>
  </si>
  <si>
    <t>OVERSHIP GMT EXPORT FROM ORDER</t>
  </si>
  <si>
    <t>% EXP FROM ORDER</t>
  </si>
  <si>
    <t>KETERANGAN</t>
  </si>
  <si>
    <t>PENGGUNAAN STOCK (IR)</t>
  </si>
  <si>
    <t>SISA EXPORT</t>
  </si>
  <si>
    <t>GOOD HANCA</t>
  </si>
  <si>
    <t>REJECT GARMENT</t>
  </si>
  <si>
    <t>REJECT CUTTING</t>
  </si>
  <si>
    <t>REJECT SEWING</t>
  </si>
  <si>
    <t>WIP</t>
  </si>
  <si>
    <t>TEST WASH</t>
  </si>
  <si>
    <t>KEEPING SAMPLE</t>
  </si>
  <si>
    <t>GOOD TANPA ACC</t>
  </si>
  <si>
    <t>GRADE B</t>
  </si>
  <si>
    <t>REJECT FABRIC</t>
  </si>
  <si>
    <t>TOTAL</t>
  </si>
  <si>
    <t>Total Balance fr Cutt</t>
  </si>
  <si>
    <t>Utility</t>
  </si>
  <si>
    <t>WEEK</t>
  </si>
  <si>
    <t>\\10.8.0.35\Bersama\IT\RPA 00\Monitoring Performance Shipment\Source\NEW INPUT USER - Monitoring Performance Shipment 2024.xlsx</t>
  </si>
  <si>
    <t>% EXP FROM CUTTING</t>
  </si>
  <si>
    <t>GM2</t>
  </si>
  <si>
    <t>RUDI</t>
  </si>
  <si>
    <t>KALIBENDA</t>
  </si>
  <si>
    <t>HAKI</t>
  </si>
  <si>
    <t>CLN</t>
  </si>
  <si>
    <t>ANUGERAH</t>
  </si>
  <si>
    <t>YULI</t>
  </si>
  <si>
    <t>MARUBENI FASHION LINK LTD.</t>
  </si>
  <si>
    <t>CNJ 2</t>
  </si>
  <si>
    <t>TRI</t>
  </si>
  <si>
    <t>MARUBENI CORPORATION JEPANG</t>
  </si>
  <si>
    <t>DADO</t>
  </si>
  <si>
    <t>KAZEN-S# 155-67</t>
  </si>
  <si>
    <t>Performance shipment Bulan JANUARI 2024</t>
  </si>
  <si>
    <t>JANUARI</t>
  </si>
  <si>
    <t>H&amp;M</t>
  </si>
  <si>
    <t>HNM BOXER, OJ</t>
  </si>
  <si>
    <t>HNM BOXER, OI</t>
  </si>
  <si>
    <t>tidak bisa matching</t>
  </si>
  <si>
    <t>HNM BOXER, OO</t>
  </si>
  <si>
    <t>MAJA 1</t>
  </si>
  <si>
    <t>KIKI</t>
  </si>
  <si>
    <t>RED WING SHOE COMPANY LLC</t>
  </si>
  <si>
    <t>REDWING 61805-57</t>
  </si>
  <si>
    <t>REDWING 61805-54</t>
  </si>
  <si>
    <t>REDWING 61805-53</t>
  </si>
  <si>
    <t>HNM BOXER, OT</t>
  </si>
  <si>
    <t>HNM BOXER, OE</t>
  </si>
  <si>
    <t>100 pc dishipment untuk  tgl 29 jan 24</t>
  </si>
  <si>
    <t>HNM BOXER, OD</t>
  </si>
  <si>
    <t>MAJA1</t>
  </si>
  <si>
    <t>PT MERDEKA COOPER GOLD</t>
  </si>
  <si>
    <t>MERDEKA COOPER GOLD, MMS_1</t>
  </si>
  <si>
    <t>BBT</t>
  </si>
  <si>
    <t>IRWAN</t>
  </si>
  <si>
    <t>PT FINDORA INTERNUSA</t>
  </si>
  <si>
    <t>BKT  FRAFINDORA.5 LC24</t>
  </si>
  <si>
    <t>HNM BOXER, SW</t>
  </si>
  <si>
    <t>HNM BOXER, OF</t>
  </si>
  <si>
    <t>HNM BOXER, LH</t>
  </si>
  <si>
    <t>Agron. Inc</t>
  </si>
  <si>
    <t>5152376</t>
  </si>
  <si>
    <t>Tidak ada sisa Export</t>
  </si>
  <si>
    <t>5152367</t>
  </si>
  <si>
    <t>Sisa Export dapat dapat digunakan PO-0147153 Shipment tgl. 28 Maret 2024, Running Kalibenda</t>
  </si>
  <si>
    <t>5152361</t>
  </si>
  <si>
    <t>Sisa Export dapat dapat digunakan PO-0147151 Shipment tgl. 01 Maret 2024, Running Kalibenda</t>
  </si>
  <si>
    <t>5152358</t>
  </si>
  <si>
    <t>GM 2</t>
  </si>
  <si>
    <t>5152355</t>
  </si>
  <si>
    <t>Sisa ekspor ke PO 0147153 (15 Maret 2024)</t>
  </si>
  <si>
    <t>5152378</t>
  </si>
  <si>
    <t>Sisa Export dapat dapat digunakan PO-0147151 Shipment tgl. 01 Maret 2024, Running GM2</t>
  </si>
  <si>
    <t>5155037</t>
  </si>
  <si>
    <t>tidak ada di next po</t>
  </si>
  <si>
    <t>5157996</t>
  </si>
  <si>
    <t>5158009</t>
  </si>
  <si>
    <t>Sisa ekspor ke PO 0147255 (15 Maret 2024)</t>
  </si>
  <si>
    <t>5151821</t>
  </si>
  <si>
    <t>5151835</t>
  </si>
  <si>
    <t>5152388</t>
  </si>
  <si>
    <t>5152370</t>
  </si>
  <si>
    <t>5153211</t>
  </si>
  <si>
    <t>5153205</t>
  </si>
  <si>
    <t>5153204</t>
  </si>
  <si>
    <t>Sisa ekspor ke PO 0147149 (26 Jan 2024)</t>
  </si>
  <si>
    <t>5158059</t>
  </si>
  <si>
    <t>Sisa ekspor ke PO 0147150C (26 Jan 2024)</t>
  </si>
  <si>
    <t>5158042</t>
  </si>
  <si>
    <t>5158043</t>
  </si>
  <si>
    <t>Sisa ekspor ke PO 0147257 (15 Maret 2024)</t>
  </si>
  <si>
    <t>5158037</t>
  </si>
  <si>
    <t>CHAWAN</t>
  </si>
  <si>
    <t>DADAN A</t>
  </si>
  <si>
    <t>MIYAMORI</t>
  </si>
  <si>
    <t>SNR603S</t>
  </si>
  <si>
    <t>SNWB824D</t>
  </si>
  <si>
    <t>NISHIMATSUYA, EC24SS24MN301</t>
  </si>
  <si>
    <t>MERDEKA COOPER GOLD,PANI GOLD</t>
  </si>
  <si>
    <t>NISHIMATSUYA, EC24HA24440</t>
  </si>
  <si>
    <t>NISHIMATSUYA, EC24HA24440N</t>
  </si>
  <si>
    <t>NISHIMATSUYA, EC24SS57MN301</t>
  </si>
  <si>
    <t>NISHIMATSUYA, EC24SS27MN301</t>
  </si>
  <si>
    <t>NISHIMATSUYA, 24M-G2803</t>
  </si>
  <si>
    <t>NISHIMATSUYA, 24M-G5401</t>
  </si>
  <si>
    <t>NISHIMATSUYA, EC24SS37ML301</t>
  </si>
  <si>
    <t>Sisa Export dapat dapat digunakan PO-'0147153 Shipment tgl. 28 Maret 2024, Running Kalibenda</t>
  </si>
  <si>
    <t xml:space="preserve">Sisa Export belum dapat digunakan, belum ada re-Peat order di next PO </t>
  </si>
  <si>
    <t xml:space="preserve">Sisa Export dapat dapat digunakan PO-'0147153 Shipment tgl. 16 Februari 2024, Running Maja2 - </t>
  </si>
  <si>
    <t>Sisa Export belum dapat digunakan, belum ada re-Peat order di next PO -</t>
  </si>
  <si>
    <t>Sisa Export belum dapat digunakan, belum ada re-Peat order di next PO</t>
  </si>
  <si>
    <t>GC3032</t>
  </si>
  <si>
    <t>IR1039</t>
  </si>
  <si>
    <t>IR1040</t>
  </si>
  <si>
    <t>Sisa Export dapat dapat digunakan PO-'0147153 Shipment tgl. 16 Februari 2024, Running Maja2</t>
  </si>
  <si>
    <t>CBA</t>
  </si>
  <si>
    <t>KAZEN-S# 133-98</t>
  </si>
  <si>
    <t>KAZEN-S# 133-67</t>
  </si>
  <si>
    <t>`</t>
  </si>
  <si>
    <t>KAZEN-S# 133-78</t>
  </si>
  <si>
    <t>KAZEN-S# 155-92</t>
  </si>
  <si>
    <t>KAZEN-S# KZN392-80</t>
  </si>
  <si>
    <t>KAZEN-S# KZN393-80</t>
  </si>
  <si>
    <t>KAZEN-S# 133-85</t>
  </si>
  <si>
    <t>KAZEN-S# 133-91</t>
  </si>
  <si>
    <t>KAZEN-FUKUOKA-C1N</t>
  </si>
  <si>
    <t>KAZEN-FUKUOKA-F1N</t>
  </si>
  <si>
    <t>KAZEN-FUKUOKA, H2N-USHIRO</t>
  </si>
  <si>
    <t>KAZEN-FUKUOKA, H3N-SHIEN</t>
  </si>
  <si>
    <t>KAZEN-S# 133-83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</si>
</sst>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(* #,##0_);_(* \(#,##0\);_(* &quot;-&quot;_);_(@_)"/>
    <numFmt numFmtId="164" formatCode="0.00%;[Red]\-0.00%"/>
    <numFmt numFmtId="165" formatCode="_(* #,##0_);_(* \(#,##0\);_(* \-_);_(@_)"/>
    <numFmt numFmtId="168" formatCode="[$-409]dd\-mmm\-yy;@"/>
    <numFmt numFmtId="172" formatCode="_-* #,##0_-;\-* #,##0_-;_-* &quot;-&quot;_-;_-@_-"/>
  </numFmts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charset val="1"/>
    </font>
    <font>
      <sz val="10"/>
      <name val="Arial"/>
      <family val="2"/>
    </font>
    <font>
      <b/>
      <sz val="11"/>
      <name val="Trebuchet MS"/>
      <family val="2"/>
    </font>
    <font>
      <b/>
      <sz val="18"/>
      <color theme="0"/>
      <name val="Century Gothic"/>
      <family val="2"/>
    </font>
    <font>
      <sz val="11"/>
      <color rgb="FF0099CC"/>
      <name val="Trebuchet MS"/>
      <family val="2"/>
    </font>
    <font>
      <sz val="11"/>
      <color theme="1"/>
      <name val="Trebuchet MS"/>
      <family val="2"/>
    </font>
    <font>
      <b/>
      <sz val="22"/>
      <color theme="1"/>
      <name val="Century Gothic"/>
      <family val="2"/>
    </font>
    <font>
      <b/>
      <sz val="12"/>
      <color rgb="FFFFFFFF"/>
      <name val="Trebuchet MS"/>
      <family val="2"/>
    </font>
    <font>
      <sz val="10"/>
      <name val="Mangal"/>
      <family val="2"/>
    </font>
    <font>
      <sz val="11"/>
      <name val="Trebuchet MS"/>
      <family val="2"/>
    </font>
    <font>
      <sz val="11"/>
      <color indexed="8"/>
      <name val="Trebuchet MS"/>
      <family val="2"/>
    </font>
    <font>
      <sz val="11"/>
      <color theme="1"/>
      <name val="Calibri"/>
      <family val="2"/>
      <scheme val="minor"/>
    </font>
    <font>
      <sz val="10"/>
      <name val="Arial"/>
      <family val="2"/>
      <charset val="1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indexed="59"/>
      <name val="Trebuchet MS"/>
      <family val="2"/>
    </font>
  </fonts>
  <fills count="9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rgb="FF003548"/>
        <bgColor indexed="64"/>
      </patternFill>
    </fill>
    <fill>
      <patternFill patternType="solid">
        <fgColor rgb="FFE5F8FF"/>
        <bgColor indexed="64"/>
      </patternFill>
    </fill>
    <fill>
      <patternFill patternType="solid">
        <fgColor rgb="FF97D3D9"/>
        <bgColor rgb="FFF7EFFF"/>
      </patternFill>
    </fill>
    <fill>
      <patternFill patternType="solid">
        <fgColor rgb="FF1F4C5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FFFF00"/>
        <bgColor rgb="FFF7EFFF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rgb="FF00B0F0"/>
      </top>
      <bottom style="thin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2" fillId="0" borderId="0"/>
    <xf numFmtId="0" fontId="3" fillId="0" borderId="0"/>
    <xf numFmtId="165" fontId="10" fillId="0" borderId="0" applyFill="0" applyBorder="0" applyAlignment="0" applyProtection="0"/>
    <xf numFmtId="0" fontId="2" fillId="0" borderId="0"/>
    <xf numFmtId="9" fontId="10" fillId="0" borderId="0" applyFill="0" applyBorder="0" applyAlignment="0" applyProtection="0"/>
    <xf numFmtId="0" fontId="14" fillId="0" borderId="0"/>
    <xf numFmtId="0" fontId="2" fillId="0" borderId="0"/>
    <xf numFmtId="41" fontId="13" fillId="0" borderId="0" applyFont="0" applyFill="0" applyBorder="0" applyAlignment="0" applyProtection="0"/>
  </cellStyleXfs>
  <cellXfs count="56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1" fillId="4" borderId="1" xfId="1" applyFill="1" applyBorder="1"/>
    <xf numFmtId="0" fontId="0" fillId="4" borderId="1" xfId="0" applyFill="1" applyBorder="1"/>
    <xf numFmtId="0" fontId="6" fillId="2" borderId="1" xfId="0" applyFont="1" applyFill="1" applyBorder="1" applyAlignment="1">
      <alignment horizontal="center" vertical="center"/>
    </xf>
    <xf numFmtId="0" fontId="9" fillId="6" borderId="2" xfId="2" applyFont="1" applyFill="1" applyBorder="1" applyAlignment="1">
      <alignment horizontal="center" vertical="center"/>
    </xf>
    <xf numFmtId="0" fontId="9" fillId="6" borderId="2" xfId="2" applyFont="1" applyFill="1" applyBorder="1" applyAlignment="1">
      <alignment horizontal="center" vertical="center" wrapText="1"/>
    </xf>
    <xf numFmtId="38" fontId="9" fillId="6" borderId="2" xfId="2" applyNumberFormat="1" applyFont="1" applyFill="1" applyBorder="1" applyAlignment="1">
      <alignment horizontal="center" vertical="center" wrapText="1"/>
    </xf>
    <xf numFmtId="3" fontId="9" fillId="6" borderId="2" xfId="2" applyNumberFormat="1" applyFont="1" applyFill="1" applyBorder="1" applyAlignment="1">
      <alignment horizontal="center" vertical="center" wrapText="1"/>
    </xf>
    <xf numFmtId="0" fontId="9" fillId="6" borderId="2" xfId="3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38" fontId="7" fillId="8" borderId="2" xfId="0" applyNumberFormat="1" applyFont="1" applyFill="1" applyBorder="1" applyAlignment="1">
      <alignment horizontal="center"/>
    </xf>
    <xf numFmtId="38" fontId="7" fillId="7" borderId="2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left" vertical="center"/>
    </xf>
    <xf numFmtId="0" fontId="7" fillId="7" borderId="2" xfId="0" applyFont="1" applyFill="1" applyBorder="1" applyAlignment="1">
      <alignment horizontal="center" vertical="center"/>
    </xf>
    <xf numFmtId="168" fontId="7" fillId="8" borderId="2" xfId="0" applyNumberFormat="1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 vertical="center"/>
    </xf>
    <xf numFmtId="0" fontId="12" fillId="8" borderId="2" xfId="2" applyFont="1" applyFill="1" applyBorder="1" applyAlignment="1">
      <alignment horizontal="center" vertical="center"/>
    </xf>
    <xf numFmtId="0" fontId="12" fillId="7" borderId="2" xfId="2" applyFont="1" applyFill="1" applyBorder="1" applyAlignment="1">
      <alignment horizontal="center" vertical="center"/>
    </xf>
    <xf numFmtId="0" fontId="12" fillId="7" borderId="2" xfId="2" applyFont="1" applyFill="1" applyBorder="1" applyAlignment="1">
      <alignment horizontal="center"/>
    </xf>
    <xf numFmtId="0" fontId="12" fillId="8" borderId="2" xfId="2" applyFont="1" applyFill="1" applyBorder="1" applyAlignment="1">
      <alignment horizontal="center" vertical="center" wrapText="1"/>
    </xf>
    <xf numFmtId="0" fontId="11" fillId="7" borderId="2" xfId="2" applyFont="1" applyFill="1" applyBorder="1" applyAlignment="1">
      <alignment horizontal="center" vertical="center"/>
    </xf>
    <xf numFmtId="0" fontId="12" fillId="7" borderId="2" xfId="2" applyFont="1" applyFill="1" applyBorder="1" applyAlignment="1">
      <alignment horizontal="center" vertical="center" wrapText="1"/>
    </xf>
    <xf numFmtId="0" fontId="11" fillId="7" borderId="2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left" vertical="center"/>
    </xf>
    <xf numFmtId="168" fontId="7" fillId="7" borderId="2" xfId="0" applyNumberFormat="1" applyFont="1" applyFill="1" applyBorder="1" applyAlignment="1">
      <alignment horizontal="center" vertical="center"/>
    </xf>
    <xf numFmtId="0" fontId="11" fillId="7" borderId="2" xfId="2" applyFont="1" applyFill="1" applyBorder="1" applyAlignment="1">
      <alignment horizontal="center" vertical="center" wrapText="1"/>
    </xf>
    <xf numFmtId="1" fontId="7" fillId="7" borderId="2" xfId="0" applyNumberFormat="1" applyFont="1" applyFill="1" applyBorder="1" applyAlignment="1">
      <alignment horizontal="center" vertical="center"/>
    </xf>
    <xf numFmtId="168" fontId="7" fillId="8" borderId="2" xfId="0" applyNumberFormat="1" applyFont="1" applyFill="1" applyBorder="1" applyAlignment="1">
      <alignment horizontal="center" vertical="center"/>
    </xf>
    <xf numFmtId="0" fontId="11" fillId="8" borderId="2" xfId="2" applyFont="1" applyFill="1" applyBorder="1" applyAlignment="1">
      <alignment horizontal="center" vertical="center" wrapText="1"/>
    </xf>
    <xf numFmtId="0" fontId="11" fillId="8" borderId="2" xfId="2" applyFont="1" applyFill="1" applyBorder="1" applyAlignment="1">
      <alignment horizontal="center" vertical="center"/>
    </xf>
    <xf numFmtId="1" fontId="7" fillId="8" borderId="2" xfId="0" applyNumberFormat="1" applyFont="1" applyFill="1" applyBorder="1" applyAlignment="1">
      <alignment horizontal="center" vertical="center"/>
    </xf>
    <xf numFmtId="0" fontId="12" fillId="8" borderId="2" xfId="3" applyFont="1" applyFill="1" applyBorder="1" applyAlignment="1">
      <alignment horizontal="center" vertical="center"/>
    </xf>
    <xf numFmtId="0" fontId="17" fillId="8" borderId="2" xfId="2" applyFont="1" applyFill="1" applyBorder="1" applyAlignment="1">
      <alignment horizontal="center" vertical="center"/>
    </xf>
    <xf numFmtId="0" fontId="11" fillId="8" borderId="2" xfId="4" applyFont="1" applyFill="1" applyBorder="1" applyAlignment="1">
      <alignment horizontal="center" vertical="center"/>
    </xf>
    <xf numFmtId="0" fontId="11" fillId="7" borderId="2" xfId="4" applyFont="1" applyFill="1" applyBorder="1" applyAlignment="1">
      <alignment horizontal="center" vertical="center"/>
    </xf>
    <xf numFmtId="0" fontId="12" fillId="7" borderId="2" xfId="3" applyFont="1" applyFill="1" applyBorder="1" applyAlignment="1">
      <alignment horizontal="center" vertical="center"/>
    </xf>
    <xf numFmtId="0" fontId="12" fillId="7" borderId="2" xfId="2" applyFont="1" applyFill="1" applyBorder="1" applyAlignment="1">
      <alignment horizontal="center" wrapText="1"/>
    </xf>
    <xf numFmtId="41" fontId="7" fillId="7" borderId="2" xfId="10" applyFont="1" applyFill="1" applyBorder="1" applyAlignment="1">
      <alignment horizontal="center"/>
    </xf>
    <xf numFmtId="41" fontId="12" fillId="7" borderId="2" xfId="10" applyFont="1" applyFill="1" applyBorder="1" applyAlignment="1">
      <alignment horizontal="center" wrapText="1"/>
    </xf>
    <xf numFmtId="172" fontId="7" fillId="7" borderId="2" xfId="0" applyNumberFormat="1" applyFont="1" applyFill="1" applyBorder="1" applyAlignment="1">
      <alignment horizontal="center"/>
    </xf>
    <xf numFmtId="164" fontId="7" fillId="7" borderId="2" xfId="0" applyNumberFormat="1" applyFont="1" applyFill="1" applyBorder="1" applyAlignment="1">
      <alignment horizontal="center"/>
    </xf>
    <xf numFmtId="0" fontId="12" fillId="8" borderId="2" xfId="2" applyFont="1" applyFill="1" applyBorder="1" applyAlignment="1">
      <alignment horizontal="center" wrapText="1"/>
    </xf>
    <xf numFmtId="41" fontId="7" fillId="8" borderId="2" xfId="10" applyFont="1" applyFill="1" applyBorder="1" applyAlignment="1">
      <alignment horizontal="center"/>
    </xf>
    <xf numFmtId="41" fontId="12" fillId="8" borderId="2" xfId="10" applyFont="1" applyFill="1" applyBorder="1" applyAlignment="1">
      <alignment horizontal="center" wrapText="1"/>
    </xf>
    <xf numFmtId="172" fontId="7" fillId="8" borderId="2" xfId="0" applyNumberFormat="1" applyFont="1" applyFill="1" applyBorder="1" applyAlignment="1">
      <alignment horizontal="center"/>
    </xf>
    <xf numFmtId="164" fontId="7" fillId="8" borderId="2" xfId="0" applyNumberFormat="1" applyFont="1" applyFill="1" applyBorder="1" applyAlignment="1">
      <alignment horizontal="center"/>
    </xf>
    <xf numFmtId="0" fontId="12" fillId="8" borderId="2" xfId="3" applyFont="1" applyFill="1" applyBorder="1" applyAlignment="1">
      <alignment horizontal="center"/>
    </xf>
    <xf numFmtId="41" fontId="12" fillId="8" borderId="2" xfId="10" applyFont="1" applyFill="1" applyBorder="1" applyAlignment="1">
      <alignment horizontal="center"/>
    </xf>
    <xf numFmtId="0" fontId="12" fillId="7" borderId="2" xfId="3" applyFont="1" applyFill="1" applyBorder="1" applyAlignment="1">
      <alignment horizontal="center"/>
    </xf>
    <xf numFmtId="41" fontId="11" fillId="7" borderId="2" xfId="10" applyFont="1" applyFill="1" applyBorder="1" applyAlignment="1">
      <alignment horizontal="center"/>
    </xf>
    <xf numFmtId="41" fontId="11" fillId="8" borderId="2" xfId="10" applyFont="1" applyFill="1" applyBorder="1" applyAlignment="1">
      <alignment horizontal="center"/>
    </xf>
    <xf numFmtId="41" fontId="12" fillId="7" borderId="2" xfId="10" applyFont="1" applyFill="1" applyBorder="1" applyAlignment="1">
      <alignment horizontal="center"/>
    </xf>
  </cellXfs>
  <cellStyles count="11">
    <cellStyle name="Comma [0]" xfId="10" builtinId="6"/>
    <cellStyle name="Excel Built-in Comma [0]" xfId="5" xr:uid="{C99A871F-02CD-4252-BE65-99D9879AEC80}"/>
    <cellStyle name="Excel Built-in Normal" xfId="2" xr:uid="{54032583-BBC7-4FA1-AB80-C5C39EBA464B}"/>
    <cellStyle name="Excel Built-in Normal 1" xfId="6" xr:uid="{AD304A70-1C74-4431-8536-06D704DFF9B2}"/>
    <cellStyle name="Excel Built-in Normal 2" xfId="9" xr:uid="{0AA3E707-D6F8-4A4D-8592-5BE886184046}"/>
    <cellStyle name="Excel Built-in Normal 4" xfId="3" xr:uid="{2EB6687A-D617-4789-923A-85C6899382B3}"/>
    <cellStyle name="Hyperlink" xfId="1" builtinId="8"/>
    <cellStyle name="Normal" xfId="0" builtinId="0"/>
    <cellStyle name="Normal 2" xfId="4" xr:uid="{335F47F0-51FE-47BA-878B-31A92906667E}"/>
    <cellStyle name="Normal 2 2" xfId="8" xr:uid="{76876B73-4409-45A5-844E-658EE2523623}"/>
    <cellStyle name="Percent 2" xfId="7" xr:uid="{439F786A-EF48-436B-8AD3-1EC2C9DF3BBA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99CC"/>
      <color rgb="FFE5F8FF"/>
      <color rgb="FFD9F5FF"/>
      <color rgb="FF003548"/>
      <color rgb="FF0066FF"/>
      <color rgb="FF3366CC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1303920</xdr:colOff>
      <xdr:row>1</xdr:row>
      <xdr:rowOff>36799</xdr:rowOff>
    </xdr:from>
    <xdr:to>
      <xdr:col>2</xdr:col>
      <xdr:colOff>2816087</xdr:colOff>
      <xdr:row>3</xdr:row>
      <xdr:rowOff>157369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529746" y="227299"/>
          <a:ext cx="1512167" cy="501570"/>
          <a:chOff x="2529746" y="136191"/>
          <a:chExt cx="1512167" cy="625807"/>
        </a:xfrm>
        <a:effectLst>
          <a:glow rad="12700">
            <a:schemeClr val="accent1">
              <a:satMod val="175000"/>
              <a:alpha val="15000"/>
            </a:schemeClr>
          </a:glow>
          <a:outerShdw blurRad="50800" dist="50800" dir="5400000" sx="4000" sy="4000" algn="ctr" rotWithShape="0">
            <a:srgbClr val="00B0F0"/>
          </a:outerShdw>
        </a:effectLst>
        <a:scene3d>
          <a:camera prst="orthographicFront"/>
          <a:lightRig rig="threePt" dir="t"/>
        </a:scene3d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clrChange>
              <a:clrFrom>
                <a:srgbClr val="319AF2"/>
              </a:clrFrom>
              <a:clrTo>
                <a:srgbClr val="319AF2">
                  <a:alpha val="0"/>
                </a:srgbClr>
              </a:clrTo>
            </a:clrChange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bright="-40000" contras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529746" y="136191"/>
            <a:ext cx="1512167" cy="625807"/>
          </a:xfrm>
          <a:prstGeom prst="rect">
            <a:avLst/>
          </a:prstGeom>
          <a:sp3d extrusionH="203200" prstMaterial="metal">
            <a:bevelT w="184150" h="393700" prst="relaxedInset"/>
            <a:bevelB w="177800" h="241300" prst="softRound"/>
            <a:extrusionClr>
              <a:srgbClr val="0099CC"/>
            </a:extrusion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CommandButton1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2633871" y="214287"/>
                <a:ext cx="1325216" cy="4237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Results\Monitoring%20Performance%20Shipment.xlsx" TargetMode="External"/><Relationship Id="rId1" Type="http://schemas.openxmlformats.org/officeDocument/2006/relationships/hyperlink" Target="Source\NEW%20INPUT%20USER%20-%20Monitoring%20Performance%20Shipment%202024.xlsx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C305A-8B12-4668-9E18-46C16FCFD4CB}">
  <sheetPr codeName="Sheet11">
    <tabColor rgb="FF3940AC"/>
  </sheetPr>
  <dimension ref="B6:D11"/>
  <sheetViews>
    <sheetView tabSelected="1" zoomScale="115" zoomScaleNormal="115" workbookViewId="0">
      <pane ySplit="7" topLeftCell="A8" activePane="bottomLeft" state="frozen"/>
      <selection pane="bottomLeft"/>
    </sheetView>
  </sheetViews>
  <sheetFormatPr defaultRowHeight="15" x14ac:dyDescent="0.25"/>
  <cols>
    <col min="1" max="1" width="3.28515625" customWidth="1"/>
    <col min="2" max="2" width="15.140625" bestFit="1" customWidth="1"/>
    <col min="3" max="3" width="67.7109375" customWidth="1"/>
    <col min="4" max="4" width="0.85546875" customWidth="1"/>
  </cols>
  <sheetData>
    <row r="6" spans="2:4" ht="22.5" x14ac:dyDescent="0.25">
      <c r="B6" s="26" t="s">
        <v>0</v>
      </c>
      <c r="C6" s="26"/>
      <c r="D6" s="26"/>
    </row>
    <row r="7" spans="2:4" ht="16.5" x14ac:dyDescent="0.25">
      <c r="B7" s="1" t="s">
        <v>3</v>
      </c>
      <c r="C7" s="1" t="s">
        <v>1</v>
      </c>
      <c r="D7" s="1"/>
    </row>
    <row r="8" spans="2:4" ht="16.5" x14ac:dyDescent="0.25">
      <c r="B8" s="3" t="s">
        <v>4</v>
      </c>
      <c r="C8" s="2" t="s">
        <v>46</v>
      </c>
      <c r="D8" s="4" t="s">
        <v>2</v>
      </c>
    </row>
    <row r="9" spans="2:4" ht="16.5" x14ac:dyDescent="0.25">
      <c r="B9" s="3" t="s">
        <v>5</v>
      </c>
      <c r="C9" s="2" t="s">
        <v>6</v>
      </c>
      <c r="D9" s="4" t="s">
        <v>2</v>
      </c>
    </row>
    <row r="10" spans="2:4" x14ac:dyDescent="0.25">
      <c r="B10" t="s">
        <v>7</v>
      </c>
      <c r="C10" t="str">
        <f ca="1">UPPER(TEXT(TODAY()+C11,"[$-id]MMMM"))</f>
        <v>JANUARI</v>
      </c>
    </row>
    <row r="11" spans="2:4" x14ac:dyDescent="0.25">
      <c r="B11" t="s">
        <v>8</v>
      </c>
      <c r="C11">
        <v>-7</v>
      </c>
    </row>
  </sheetData>
  <mergeCells count="1">
    <mergeCell ref="B6:D6"/>
  </mergeCells>
  <hyperlinks>
    <hyperlink ref="C8" r:id="rId1" xr:uid="{4CC78091-7FAE-4032-9472-6F1DD8C50FF3}"/>
    <hyperlink ref="C9" r:id="rId2" xr:uid="{77A51510-C68E-4439-997B-5FA2B42FCA9D}"/>
  </hyperlinks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1026" r:id="rId5" name="CommandButton1">
          <controlPr defaultSize="0" autoLine="0" r:id="rId6">
            <anchor moveWithCells="1">
              <from>
                <xdr:col>2</xdr:col>
                <xdr:colOff>1409700</xdr:colOff>
                <xdr:row>1</xdr:row>
                <xdr:rowOff>95250</xdr:rowOff>
              </from>
              <to>
                <xdr:col>2</xdr:col>
                <xdr:colOff>2733675</xdr:colOff>
                <xdr:row>3</xdr:row>
                <xdr:rowOff>57150</xdr:rowOff>
              </to>
            </anchor>
          </controlPr>
        </control>
      </mc:Choice>
      <mc:Fallback>
        <control shapeId="1026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01B4B-D61C-40E6-9988-380017F0EFD5}">
  <sheetPr>
    <tabColor rgb="FF217D00"/>
  </sheetPr>
  <dimension ref="A1:AL109"/>
  <sheetViews>
    <sheetView workbookViewId="0">
      <pane ySplit="2" topLeftCell="A3" activePane="bottomLeft" state="frozen"/>
      <selection pane="bottomLeft" sqref="A1:AL1"/>
    </sheetView>
  </sheetViews>
  <sheetFormatPr defaultRowHeight="16.5" x14ac:dyDescent="0.3"/>
  <cols>
    <col min="1" max="1" width="12" style="14" customWidth="1"/>
    <col min="2" max="2" width="12.28515625" style="14" customWidth="1"/>
    <col min="3" max="3" width="13.5703125" style="14" customWidth="1"/>
    <col min="4" max="4" width="14.7109375" style="14" customWidth="1"/>
    <col min="5" max="5" width="12" style="14" customWidth="1"/>
    <col min="6" max="6" width="12.5703125" style="14" customWidth="1"/>
    <col min="7" max="7" width="12.140625" style="14" customWidth="1"/>
    <col min="8" max="8" width="37.42578125" style="14" customWidth="1"/>
    <col min="9" max="9" width="39.5703125" style="14" customWidth="1"/>
    <col min="10" max="10" width="14.5703125" style="14" customWidth="1"/>
    <col min="11" max="11" width="11.42578125" style="14" customWidth="1"/>
    <col min="12" max="12" width="11.7109375" style="14" customWidth="1"/>
    <col min="13" max="13" width="10.85546875" style="14" customWidth="1"/>
    <col min="14" max="14" width="12.28515625" style="14" customWidth="1"/>
    <col min="15" max="15" width="12" style="14" customWidth="1"/>
    <col min="16" max="16" width="11.7109375" style="14" customWidth="1"/>
    <col min="17" max="18" width="12.28515625" style="14" customWidth="1"/>
    <col min="19" max="20" width="11.42578125" style="14" customWidth="1"/>
    <col min="21" max="21" width="12.28515625" style="14" customWidth="1"/>
    <col min="22" max="22" width="101.28515625" style="14" customWidth="1"/>
    <col min="23" max="23" width="12.140625" style="14" customWidth="1"/>
    <col min="24" max="24" width="11.28515625" style="14" customWidth="1"/>
    <col min="25" max="25" width="12" style="14" customWidth="1"/>
    <col min="26" max="26" width="11.85546875" style="14" customWidth="1"/>
    <col min="27" max="27" width="12.28515625" style="14" customWidth="1"/>
    <col min="28" max="28" width="11" style="14" customWidth="1"/>
    <col min="29" max="29" width="8.140625" style="14" customWidth="1"/>
    <col min="30" max="30" width="10.5703125" style="14" customWidth="1"/>
    <col min="31" max="32" width="11.7109375" style="14" customWidth="1"/>
    <col min="33" max="33" width="11.5703125" style="14" customWidth="1"/>
    <col min="34" max="34" width="12" style="14" customWidth="1"/>
    <col min="35" max="35" width="11.5703125" style="14" customWidth="1"/>
    <col min="36" max="36" width="11.42578125" style="14" customWidth="1"/>
    <col min="37" max="37" width="10.7109375" style="14" customWidth="1"/>
    <col min="38" max="38" width="10.28515625" style="14" customWidth="1"/>
    <col min="39" max="16384" width="9.140625" style="14"/>
  </cols>
  <sheetData>
    <row r="1" spans="1:38" s="15" customFormat="1" ht="28.5" x14ac:dyDescent="0.25">
      <c r="A1" s="27" t="s">
        <v>61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</row>
    <row r="2" spans="1:38" ht="90" x14ac:dyDescent="0.3">
      <c r="A2" s="5" t="s">
        <v>9</v>
      </c>
      <c r="B2" s="5" t="s">
        <v>10</v>
      </c>
      <c r="C2" s="6" t="s">
        <v>11</v>
      </c>
      <c r="D2" s="5" t="s">
        <v>12</v>
      </c>
      <c r="E2" s="6" t="s">
        <v>13</v>
      </c>
      <c r="F2" s="5" t="s">
        <v>14</v>
      </c>
      <c r="G2" s="6" t="s">
        <v>15</v>
      </c>
      <c r="H2" s="5" t="s">
        <v>16</v>
      </c>
      <c r="I2" s="5" t="s">
        <v>17</v>
      </c>
      <c r="J2" s="5" t="s">
        <v>18</v>
      </c>
      <c r="K2" s="6" t="s">
        <v>19</v>
      </c>
      <c r="L2" s="6" t="s">
        <v>20</v>
      </c>
      <c r="M2" s="5" t="s">
        <v>21</v>
      </c>
      <c r="N2" s="7" t="s">
        <v>22</v>
      </c>
      <c r="O2" s="7" t="s">
        <v>23</v>
      </c>
      <c r="P2" s="7" t="s">
        <v>24</v>
      </c>
      <c r="Q2" s="7" t="s">
        <v>25</v>
      </c>
      <c r="R2" s="7" t="s">
        <v>26</v>
      </c>
      <c r="S2" s="6" t="s">
        <v>27</v>
      </c>
      <c r="T2" s="9" t="s">
        <v>28</v>
      </c>
      <c r="U2" s="6" t="s">
        <v>47</v>
      </c>
      <c r="V2" s="5" t="s">
        <v>29</v>
      </c>
      <c r="W2" s="6" t="s">
        <v>30</v>
      </c>
      <c r="X2" s="6" t="s">
        <v>31</v>
      </c>
      <c r="Y2" s="6" t="s">
        <v>32</v>
      </c>
      <c r="Z2" s="6" t="s">
        <v>33</v>
      </c>
      <c r="AA2" s="6" t="s">
        <v>34</v>
      </c>
      <c r="AB2" s="6" t="s">
        <v>35</v>
      </c>
      <c r="AC2" s="6" t="s">
        <v>36</v>
      </c>
      <c r="AD2" s="6" t="s">
        <v>37</v>
      </c>
      <c r="AE2" s="6" t="s">
        <v>38</v>
      </c>
      <c r="AF2" s="6" t="s">
        <v>39</v>
      </c>
      <c r="AG2" s="6" t="s">
        <v>40</v>
      </c>
      <c r="AH2" s="6" t="s">
        <v>41</v>
      </c>
      <c r="AI2" s="6" t="s">
        <v>42</v>
      </c>
      <c r="AJ2" s="8" t="s">
        <v>43</v>
      </c>
      <c r="AK2" s="6" t="s">
        <v>44</v>
      </c>
      <c r="AL2" s="6" t="s">
        <v>45</v>
      </c>
    </row>
    <row r="3" spans="1:38" x14ac:dyDescent="0.3">
      <c r="A3" s="20">
        <v>2024</v>
      </c>
      <c r="B3" s="20" t="s">
        <v>62</v>
      </c>
      <c r="C3" s="28">
        <v>45292</v>
      </c>
      <c r="D3" s="16" t="s">
        <v>56</v>
      </c>
      <c r="E3" s="29" t="s">
        <v>48</v>
      </c>
      <c r="F3" s="23" t="s">
        <v>57</v>
      </c>
      <c r="G3" s="10"/>
      <c r="H3" s="10" t="s">
        <v>63</v>
      </c>
      <c r="I3" s="10" t="s">
        <v>64</v>
      </c>
      <c r="J3" s="10"/>
      <c r="K3" s="40"/>
      <c r="L3" s="40"/>
      <c r="M3" s="16">
        <v>181384</v>
      </c>
      <c r="N3" s="41">
        <v>50</v>
      </c>
      <c r="O3" s="42">
        <v>50</v>
      </c>
      <c r="P3" s="10"/>
      <c r="Q3" s="43">
        <v>50</v>
      </c>
      <c r="R3" s="13">
        <v>0</v>
      </c>
      <c r="S3" s="13">
        <v>0</v>
      </c>
      <c r="T3" s="44">
        <v>0</v>
      </c>
      <c r="U3" s="44">
        <v>0</v>
      </c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3">
        <v>0</v>
      </c>
      <c r="AJ3" s="13">
        <v>0</v>
      </c>
      <c r="AK3" s="10"/>
      <c r="AL3" s="30">
        <v>1</v>
      </c>
    </row>
    <row r="4" spans="1:38" x14ac:dyDescent="0.3">
      <c r="A4" s="19">
        <v>2024</v>
      </c>
      <c r="B4" s="19" t="s">
        <v>62</v>
      </c>
      <c r="C4" s="31">
        <v>45292</v>
      </c>
      <c r="D4" s="18" t="s">
        <v>56</v>
      </c>
      <c r="E4" s="32" t="s">
        <v>48</v>
      </c>
      <c r="F4" s="33" t="s">
        <v>57</v>
      </c>
      <c r="G4" s="11"/>
      <c r="H4" s="11" t="s">
        <v>63</v>
      </c>
      <c r="I4" s="11" t="s">
        <v>65</v>
      </c>
      <c r="J4" s="11"/>
      <c r="K4" s="45"/>
      <c r="L4" s="45"/>
      <c r="M4" s="18">
        <v>181385</v>
      </c>
      <c r="N4" s="46">
        <v>350</v>
      </c>
      <c r="O4" s="47">
        <v>413</v>
      </c>
      <c r="P4" s="11"/>
      <c r="Q4" s="48">
        <v>350</v>
      </c>
      <c r="R4" s="12">
        <v>-63</v>
      </c>
      <c r="S4" s="12">
        <v>0</v>
      </c>
      <c r="T4" s="49">
        <v>0</v>
      </c>
      <c r="U4" s="49">
        <v>-0.15254237288135597</v>
      </c>
      <c r="V4" s="11" t="s">
        <v>66</v>
      </c>
      <c r="W4" s="11"/>
      <c r="X4" s="11">
        <v>63</v>
      </c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2">
        <v>63</v>
      </c>
      <c r="AJ4" s="12">
        <v>0</v>
      </c>
      <c r="AK4" s="11"/>
      <c r="AL4" s="34">
        <v>1</v>
      </c>
    </row>
    <row r="5" spans="1:38" x14ac:dyDescent="0.3">
      <c r="A5" s="20">
        <v>2024</v>
      </c>
      <c r="B5" s="20" t="s">
        <v>62</v>
      </c>
      <c r="C5" s="28">
        <v>45292</v>
      </c>
      <c r="D5" s="16" t="s">
        <v>56</v>
      </c>
      <c r="E5" s="29" t="s">
        <v>48</v>
      </c>
      <c r="F5" s="23" t="s">
        <v>57</v>
      </c>
      <c r="G5" s="10"/>
      <c r="H5" s="10" t="s">
        <v>63</v>
      </c>
      <c r="I5" s="10" t="s">
        <v>67</v>
      </c>
      <c r="J5" s="10"/>
      <c r="K5" s="40"/>
      <c r="L5" s="40"/>
      <c r="M5" s="16">
        <v>181381</v>
      </c>
      <c r="N5" s="41">
        <v>125</v>
      </c>
      <c r="O5" s="42">
        <v>125</v>
      </c>
      <c r="P5" s="10"/>
      <c r="Q5" s="43">
        <v>125</v>
      </c>
      <c r="R5" s="13">
        <v>0</v>
      </c>
      <c r="S5" s="13">
        <v>0</v>
      </c>
      <c r="T5" s="44">
        <v>0</v>
      </c>
      <c r="U5" s="44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3">
        <v>0</v>
      </c>
      <c r="AJ5" s="13">
        <v>0</v>
      </c>
      <c r="AK5" s="10"/>
      <c r="AL5" s="30">
        <v>1</v>
      </c>
    </row>
    <row r="6" spans="1:38" x14ac:dyDescent="0.3">
      <c r="A6" s="19">
        <v>2024</v>
      </c>
      <c r="B6" s="19" t="s">
        <v>62</v>
      </c>
      <c r="C6" s="31">
        <v>45296</v>
      </c>
      <c r="D6" s="18" t="s">
        <v>68</v>
      </c>
      <c r="E6" s="32" t="s">
        <v>52</v>
      </c>
      <c r="F6" s="33" t="s">
        <v>69</v>
      </c>
      <c r="G6" s="11"/>
      <c r="H6" s="11" t="s">
        <v>70</v>
      </c>
      <c r="I6" s="50" t="s">
        <v>71</v>
      </c>
      <c r="J6" s="11"/>
      <c r="K6" s="45"/>
      <c r="L6" s="45"/>
      <c r="M6" s="35">
        <v>181256</v>
      </c>
      <c r="N6" s="51">
        <v>400</v>
      </c>
      <c r="O6" s="47">
        <v>404</v>
      </c>
      <c r="P6" s="11"/>
      <c r="Q6" s="48">
        <v>400</v>
      </c>
      <c r="R6" s="12">
        <v>-4</v>
      </c>
      <c r="S6" s="12">
        <v>0</v>
      </c>
      <c r="T6" s="49">
        <v>0</v>
      </c>
      <c r="U6" s="49">
        <v>-9.9009900990099098E-3</v>
      </c>
      <c r="V6" s="11"/>
      <c r="W6" s="11"/>
      <c r="X6" s="11">
        <v>4</v>
      </c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2">
        <v>4</v>
      </c>
      <c r="AJ6" s="12">
        <v>0</v>
      </c>
      <c r="AK6" s="11"/>
      <c r="AL6" s="34">
        <v>1</v>
      </c>
    </row>
    <row r="7" spans="1:38" x14ac:dyDescent="0.3">
      <c r="A7" s="19">
        <v>2024</v>
      </c>
      <c r="B7" s="19" t="s">
        <v>62</v>
      </c>
      <c r="C7" s="31">
        <v>45296</v>
      </c>
      <c r="D7" s="18" t="s">
        <v>68</v>
      </c>
      <c r="E7" s="32" t="s">
        <v>52</v>
      </c>
      <c r="F7" s="33" t="s">
        <v>69</v>
      </c>
      <c r="G7" s="11"/>
      <c r="H7" s="11" t="s">
        <v>70</v>
      </c>
      <c r="I7" s="50" t="s">
        <v>72</v>
      </c>
      <c r="J7" s="11"/>
      <c r="K7" s="45"/>
      <c r="L7" s="45"/>
      <c r="M7" s="35">
        <v>181255</v>
      </c>
      <c r="N7" s="51">
        <v>1000</v>
      </c>
      <c r="O7" s="47">
        <v>1005</v>
      </c>
      <c r="P7" s="11"/>
      <c r="Q7" s="48">
        <v>1000</v>
      </c>
      <c r="R7" s="12">
        <v>-5</v>
      </c>
      <c r="S7" s="12">
        <v>0</v>
      </c>
      <c r="T7" s="49">
        <v>0</v>
      </c>
      <c r="U7" s="49">
        <v>-4.9751243781094301E-3</v>
      </c>
      <c r="V7" s="11"/>
      <c r="W7" s="11"/>
      <c r="X7" s="11">
        <v>5</v>
      </c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2">
        <v>5</v>
      </c>
      <c r="AJ7" s="12">
        <v>0</v>
      </c>
      <c r="AK7" s="11"/>
      <c r="AL7" s="34">
        <v>1</v>
      </c>
    </row>
    <row r="8" spans="1:38" x14ac:dyDescent="0.3">
      <c r="A8" s="19">
        <v>2024</v>
      </c>
      <c r="B8" s="19" t="s">
        <v>62</v>
      </c>
      <c r="C8" s="31">
        <v>45296</v>
      </c>
      <c r="D8" s="18" t="s">
        <v>68</v>
      </c>
      <c r="E8" s="32" t="s">
        <v>52</v>
      </c>
      <c r="F8" s="33" t="s">
        <v>69</v>
      </c>
      <c r="G8" s="11"/>
      <c r="H8" s="11" t="s">
        <v>70</v>
      </c>
      <c r="I8" s="50" t="s">
        <v>73</v>
      </c>
      <c r="J8" s="11"/>
      <c r="K8" s="45"/>
      <c r="L8" s="45"/>
      <c r="M8" s="35">
        <v>181548</v>
      </c>
      <c r="N8" s="51">
        <v>465</v>
      </c>
      <c r="O8" s="47">
        <v>469</v>
      </c>
      <c r="P8" s="11"/>
      <c r="Q8" s="48">
        <v>465</v>
      </c>
      <c r="R8" s="12">
        <v>-4</v>
      </c>
      <c r="S8" s="12">
        <v>0</v>
      </c>
      <c r="T8" s="49">
        <v>0</v>
      </c>
      <c r="U8" s="49">
        <v>-8.5287846481876262E-3</v>
      </c>
      <c r="V8" s="11"/>
      <c r="W8" s="11"/>
      <c r="X8" s="11">
        <v>4</v>
      </c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2">
        <v>4</v>
      </c>
      <c r="AJ8" s="12">
        <v>0</v>
      </c>
      <c r="AK8" s="11"/>
      <c r="AL8" s="34">
        <v>1</v>
      </c>
    </row>
    <row r="9" spans="1:38" x14ac:dyDescent="0.3">
      <c r="A9" s="20">
        <v>2024</v>
      </c>
      <c r="B9" s="20" t="s">
        <v>62</v>
      </c>
      <c r="C9" s="28">
        <v>45299</v>
      </c>
      <c r="D9" s="16" t="s">
        <v>56</v>
      </c>
      <c r="E9" s="29" t="s">
        <v>48</v>
      </c>
      <c r="F9" s="23" t="s">
        <v>57</v>
      </c>
      <c r="G9" s="10"/>
      <c r="H9" s="10" t="s">
        <v>63</v>
      </c>
      <c r="I9" s="10" t="s">
        <v>74</v>
      </c>
      <c r="J9" s="10"/>
      <c r="K9" s="40"/>
      <c r="L9" s="40"/>
      <c r="M9" s="16">
        <v>181560</v>
      </c>
      <c r="N9" s="41">
        <v>80</v>
      </c>
      <c r="O9" s="42">
        <v>80</v>
      </c>
      <c r="P9" s="10"/>
      <c r="Q9" s="43">
        <v>80</v>
      </c>
      <c r="R9" s="13">
        <v>0</v>
      </c>
      <c r="S9" s="13">
        <v>0</v>
      </c>
      <c r="T9" s="44">
        <v>0</v>
      </c>
      <c r="U9" s="44">
        <v>0</v>
      </c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3">
        <v>0</v>
      </c>
      <c r="AJ9" s="13">
        <v>0</v>
      </c>
      <c r="AK9" s="10"/>
      <c r="AL9" s="30">
        <v>2</v>
      </c>
    </row>
    <row r="10" spans="1:38" x14ac:dyDescent="0.3">
      <c r="A10" s="19">
        <v>2024</v>
      </c>
      <c r="B10" s="19" t="s">
        <v>62</v>
      </c>
      <c r="C10" s="31">
        <v>45299</v>
      </c>
      <c r="D10" s="18" t="s">
        <v>56</v>
      </c>
      <c r="E10" s="32" t="s">
        <v>48</v>
      </c>
      <c r="F10" s="33" t="s">
        <v>57</v>
      </c>
      <c r="G10" s="11"/>
      <c r="H10" s="11" t="s">
        <v>63</v>
      </c>
      <c r="I10" s="11" t="s">
        <v>75</v>
      </c>
      <c r="J10" s="11"/>
      <c r="K10" s="45"/>
      <c r="L10" s="45"/>
      <c r="M10" s="18">
        <v>181559</v>
      </c>
      <c r="N10" s="46">
        <v>6255</v>
      </c>
      <c r="O10" s="47">
        <v>6355</v>
      </c>
      <c r="P10" s="11"/>
      <c r="Q10" s="48">
        <v>6255</v>
      </c>
      <c r="R10" s="12">
        <v>-100</v>
      </c>
      <c r="S10" s="12">
        <v>0</v>
      </c>
      <c r="T10" s="49">
        <v>0</v>
      </c>
      <c r="U10" s="49">
        <v>-1.5735641227380026E-2</v>
      </c>
      <c r="V10" s="11" t="s">
        <v>76</v>
      </c>
      <c r="W10" s="11"/>
      <c r="X10" s="11">
        <v>100</v>
      </c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2">
        <v>100</v>
      </c>
      <c r="AJ10" s="12">
        <v>0</v>
      </c>
      <c r="AK10" s="11"/>
      <c r="AL10" s="34">
        <v>2</v>
      </c>
    </row>
    <row r="11" spans="1:38" x14ac:dyDescent="0.3">
      <c r="A11" s="20">
        <v>2024</v>
      </c>
      <c r="B11" s="20" t="s">
        <v>62</v>
      </c>
      <c r="C11" s="28">
        <v>45299</v>
      </c>
      <c r="D11" s="16" t="s">
        <v>56</v>
      </c>
      <c r="E11" s="29" t="s">
        <v>48</v>
      </c>
      <c r="F11" s="23" t="s">
        <v>57</v>
      </c>
      <c r="G11" s="10"/>
      <c r="H11" s="10" t="s">
        <v>63</v>
      </c>
      <c r="I11" s="10" t="s">
        <v>77</v>
      </c>
      <c r="J11" s="10"/>
      <c r="K11" s="40"/>
      <c r="L11" s="40"/>
      <c r="M11" s="16">
        <v>181561</v>
      </c>
      <c r="N11" s="41">
        <v>135</v>
      </c>
      <c r="O11" s="42">
        <v>135</v>
      </c>
      <c r="P11" s="10"/>
      <c r="Q11" s="43">
        <v>135</v>
      </c>
      <c r="R11" s="13">
        <v>0</v>
      </c>
      <c r="S11" s="13">
        <v>0</v>
      </c>
      <c r="T11" s="44">
        <v>0</v>
      </c>
      <c r="U11" s="44">
        <v>0</v>
      </c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3">
        <v>0</v>
      </c>
      <c r="AJ11" s="13">
        <v>0</v>
      </c>
      <c r="AK11" s="10"/>
      <c r="AL11" s="30">
        <v>2</v>
      </c>
    </row>
    <row r="12" spans="1:38" x14ac:dyDescent="0.3">
      <c r="A12" s="19">
        <v>2024</v>
      </c>
      <c r="B12" s="19" t="s">
        <v>62</v>
      </c>
      <c r="C12" s="31">
        <v>45299</v>
      </c>
      <c r="D12" s="18" t="s">
        <v>68</v>
      </c>
      <c r="E12" s="32" t="s">
        <v>78</v>
      </c>
      <c r="F12" s="33" t="s">
        <v>69</v>
      </c>
      <c r="G12" s="11"/>
      <c r="H12" s="11" t="s">
        <v>79</v>
      </c>
      <c r="I12" s="11" t="s">
        <v>80</v>
      </c>
      <c r="J12" s="50"/>
      <c r="K12" s="45"/>
      <c r="L12" s="45"/>
      <c r="M12" s="18">
        <v>181544</v>
      </c>
      <c r="N12" s="46">
        <v>702</v>
      </c>
      <c r="O12" s="47">
        <v>739</v>
      </c>
      <c r="P12" s="11"/>
      <c r="Q12" s="48">
        <v>702</v>
      </c>
      <c r="R12" s="12">
        <v>-37</v>
      </c>
      <c r="S12" s="12">
        <v>0</v>
      </c>
      <c r="T12" s="49">
        <v>0</v>
      </c>
      <c r="U12" s="49">
        <v>-5.0067658998646847E-2</v>
      </c>
      <c r="V12" s="11"/>
      <c r="W12" s="11"/>
      <c r="X12" s="11">
        <v>24</v>
      </c>
      <c r="Y12" s="11"/>
      <c r="Z12" s="11"/>
      <c r="AA12" s="11">
        <v>7</v>
      </c>
      <c r="AB12" s="11">
        <v>3</v>
      </c>
      <c r="AC12" s="11"/>
      <c r="AD12" s="11"/>
      <c r="AE12" s="11">
        <v>3</v>
      </c>
      <c r="AF12" s="11"/>
      <c r="AG12" s="11"/>
      <c r="AH12" s="11"/>
      <c r="AI12" s="12">
        <v>37</v>
      </c>
      <c r="AJ12" s="12">
        <v>0</v>
      </c>
      <c r="AK12" s="11"/>
      <c r="AL12" s="34">
        <v>2</v>
      </c>
    </row>
    <row r="13" spans="1:38" x14ac:dyDescent="0.3">
      <c r="A13" s="20">
        <v>2024</v>
      </c>
      <c r="B13" s="20" t="s">
        <v>62</v>
      </c>
      <c r="C13" s="28">
        <v>45299</v>
      </c>
      <c r="D13" s="16" t="s">
        <v>81</v>
      </c>
      <c r="E13" s="29" t="s">
        <v>78</v>
      </c>
      <c r="F13" s="23" t="s">
        <v>82</v>
      </c>
      <c r="G13" s="10"/>
      <c r="H13" s="10" t="s">
        <v>83</v>
      </c>
      <c r="I13" s="10" t="s">
        <v>84</v>
      </c>
      <c r="J13" s="52"/>
      <c r="K13" s="40"/>
      <c r="L13" s="40"/>
      <c r="M13" s="16">
        <v>181513</v>
      </c>
      <c r="N13" s="41">
        <v>4000</v>
      </c>
      <c r="O13" s="42">
        <v>4000</v>
      </c>
      <c r="P13" s="10"/>
      <c r="Q13" s="43">
        <v>4000</v>
      </c>
      <c r="R13" s="13">
        <v>0</v>
      </c>
      <c r="S13" s="13">
        <v>0</v>
      </c>
      <c r="T13" s="44">
        <v>0</v>
      </c>
      <c r="U13" s="44">
        <v>0</v>
      </c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3">
        <v>0</v>
      </c>
      <c r="AJ13" s="13">
        <v>0</v>
      </c>
      <c r="AK13" s="10"/>
      <c r="AL13" s="30">
        <v>2</v>
      </c>
    </row>
    <row r="14" spans="1:38" x14ac:dyDescent="0.3">
      <c r="A14" s="20">
        <v>2024</v>
      </c>
      <c r="B14" s="20" t="s">
        <v>62</v>
      </c>
      <c r="C14" s="28">
        <v>45306</v>
      </c>
      <c r="D14" s="16" t="s">
        <v>56</v>
      </c>
      <c r="E14" s="29" t="s">
        <v>48</v>
      </c>
      <c r="F14" s="23" t="s">
        <v>57</v>
      </c>
      <c r="G14" s="10"/>
      <c r="H14" s="10" t="s">
        <v>63</v>
      </c>
      <c r="I14" s="10" t="s">
        <v>85</v>
      </c>
      <c r="J14" s="21"/>
      <c r="K14" s="40"/>
      <c r="L14" s="40"/>
      <c r="M14" s="16">
        <v>181562</v>
      </c>
      <c r="N14" s="41">
        <v>480</v>
      </c>
      <c r="O14" s="42">
        <v>480</v>
      </c>
      <c r="P14" s="10"/>
      <c r="Q14" s="43">
        <v>480</v>
      </c>
      <c r="R14" s="13">
        <v>0</v>
      </c>
      <c r="S14" s="13">
        <v>0</v>
      </c>
      <c r="T14" s="44">
        <v>0</v>
      </c>
      <c r="U14" s="44">
        <v>0</v>
      </c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3">
        <v>0</v>
      </c>
      <c r="AJ14" s="13">
        <v>0</v>
      </c>
      <c r="AK14" s="10"/>
      <c r="AL14" s="30">
        <v>3</v>
      </c>
    </row>
    <row r="15" spans="1:38" x14ac:dyDescent="0.3">
      <c r="A15" s="20">
        <v>2024</v>
      </c>
      <c r="B15" s="20" t="s">
        <v>62</v>
      </c>
      <c r="C15" s="28">
        <v>45306</v>
      </c>
      <c r="D15" s="16" t="s">
        <v>56</v>
      </c>
      <c r="E15" s="29" t="s">
        <v>48</v>
      </c>
      <c r="F15" s="23" t="s">
        <v>57</v>
      </c>
      <c r="G15" s="10"/>
      <c r="H15" s="10" t="s">
        <v>63</v>
      </c>
      <c r="I15" s="10" t="s">
        <v>86</v>
      </c>
      <c r="J15" s="21"/>
      <c r="K15" s="40"/>
      <c r="L15" s="40"/>
      <c r="M15" s="16">
        <v>181563</v>
      </c>
      <c r="N15" s="41">
        <v>1020</v>
      </c>
      <c r="O15" s="42">
        <v>1020</v>
      </c>
      <c r="P15" s="10"/>
      <c r="Q15" s="43">
        <v>1020</v>
      </c>
      <c r="R15" s="13">
        <v>0</v>
      </c>
      <c r="S15" s="13">
        <v>0</v>
      </c>
      <c r="T15" s="44">
        <v>0</v>
      </c>
      <c r="U15" s="44">
        <v>0</v>
      </c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3">
        <v>0</v>
      </c>
      <c r="AJ15" s="13">
        <v>0</v>
      </c>
      <c r="AK15" s="10"/>
      <c r="AL15" s="30">
        <v>3</v>
      </c>
    </row>
    <row r="16" spans="1:38" x14ac:dyDescent="0.3">
      <c r="A16" s="20">
        <v>2024</v>
      </c>
      <c r="B16" s="20" t="s">
        <v>62</v>
      </c>
      <c r="C16" s="28">
        <v>45306</v>
      </c>
      <c r="D16" s="16" t="s">
        <v>56</v>
      </c>
      <c r="E16" s="29" t="s">
        <v>48</v>
      </c>
      <c r="F16" s="23" t="s">
        <v>57</v>
      </c>
      <c r="G16" s="10"/>
      <c r="H16" s="10" t="s">
        <v>63</v>
      </c>
      <c r="I16" s="10" t="s">
        <v>87</v>
      </c>
      <c r="J16" s="21"/>
      <c r="K16" s="40"/>
      <c r="L16" s="40"/>
      <c r="M16" s="16">
        <v>181564</v>
      </c>
      <c r="N16" s="41">
        <v>875</v>
      </c>
      <c r="O16" s="42">
        <v>875</v>
      </c>
      <c r="P16" s="10"/>
      <c r="Q16" s="43">
        <v>875</v>
      </c>
      <c r="R16" s="13">
        <v>0</v>
      </c>
      <c r="S16" s="13">
        <v>0</v>
      </c>
      <c r="T16" s="44">
        <v>0</v>
      </c>
      <c r="U16" s="44">
        <v>0</v>
      </c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3">
        <v>0</v>
      </c>
      <c r="AJ16" s="13">
        <v>0</v>
      </c>
      <c r="AK16" s="10"/>
      <c r="AL16" s="30">
        <v>3</v>
      </c>
    </row>
    <row r="17" spans="1:38" x14ac:dyDescent="0.3">
      <c r="A17" s="20">
        <v>2024</v>
      </c>
      <c r="B17" s="20" t="s">
        <v>62</v>
      </c>
      <c r="C17" s="28">
        <v>45310</v>
      </c>
      <c r="D17" s="16" t="s">
        <v>68</v>
      </c>
      <c r="E17" s="29" t="s">
        <v>48</v>
      </c>
      <c r="F17" s="23" t="s">
        <v>69</v>
      </c>
      <c r="G17" s="10"/>
      <c r="H17" s="10" t="s">
        <v>88</v>
      </c>
      <c r="I17" s="10"/>
      <c r="J17" s="25">
        <v>5157982</v>
      </c>
      <c r="K17" s="40"/>
      <c r="L17" s="40"/>
      <c r="M17" s="25">
        <v>181312</v>
      </c>
      <c r="N17" s="53">
        <v>608</v>
      </c>
      <c r="O17" s="42">
        <v>608</v>
      </c>
      <c r="P17" s="10"/>
      <c r="Q17" s="43">
        <v>608</v>
      </c>
      <c r="R17" s="13">
        <v>0</v>
      </c>
      <c r="S17" s="13">
        <v>0</v>
      </c>
      <c r="T17" s="44">
        <v>0</v>
      </c>
      <c r="U17" s="44">
        <v>0</v>
      </c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3">
        <v>0</v>
      </c>
      <c r="AJ17" s="13">
        <v>0</v>
      </c>
      <c r="AK17" s="10"/>
      <c r="AL17" s="30">
        <v>3</v>
      </c>
    </row>
    <row r="18" spans="1:38" x14ac:dyDescent="0.3">
      <c r="A18" s="20">
        <v>2024</v>
      </c>
      <c r="B18" s="20" t="s">
        <v>62</v>
      </c>
      <c r="C18" s="28">
        <v>45310</v>
      </c>
      <c r="D18" s="16" t="s">
        <v>68</v>
      </c>
      <c r="E18" s="29" t="s">
        <v>48</v>
      </c>
      <c r="F18" s="23" t="s">
        <v>69</v>
      </c>
      <c r="G18" s="10"/>
      <c r="H18" s="10" t="s">
        <v>88</v>
      </c>
      <c r="I18" s="10"/>
      <c r="J18" s="25">
        <v>5157998</v>
      </c>
      <c r="K18" s="40"/>
      <c r="L18" s="40"/>
      <c r="M18" s="25">
        <v>181323</v>
      </c>
      <c r="N18" s="53">
        <v>426</v>
      </c>
      <c r="O18" s="42">
        <v>426</v>
      </c>
      <c r="P18" s="10"/>
      <c r="Q18" s="43">
        <v>426</v>
      </c>
      <c r="R18" s="13">
        <v>0</v>
      </c>
      <c r="S18" s="13">
        <v>0</v>
      </c>
      <c r="T18" s="44">
        <v>0</v>
      </c>
      <c r="U18" s="44">
        <v>0</v>
      </c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3">
        <v>0</v>
      </c>
      <c r="AJ18" s="13">
        <v>0</v>
      </c>
      <c r="AK18" s="10"/>
      <c r="AL18" s="30">
        <v>3</v>
      </c>
    </row>
    <row r="19" spans="1:38" x14ac:dyDescent="0.3">
      <c r="A19" s="19">
        <v>2024</v>
      </c>
      <c r="B19" s="19" t="s">
        <v>62</v>
      </c>
      <c r="C19" s="31">
        <v>45310</v>
      </c>
      <c r="D19" s="36" t="s">
        <v>50</v>
      </c>
      <c r="E19" s="32" t="s">
        <v>48</v>
      </c>
      <c r="F19" s="33" t="s">
        <v>51</v>
      </c>
      <c r="G19" s="11"/>
      <c r="H19" s="11" t="s">
        <v>88</v>
      </c>
      <c r="I19" s="11"/>
      <c r="J19" s="37" t="s">
        <v>89</v>
      </c>
      <c r="K19" s="45"/>
      <c r="L19" s="45"/>
      <c r="M19" s="37">
        <v>181518</v>
      </c>
      <c r="N19" s="54">
        <v>71496</v>
      </c>
      <c r="O19" s="47">
        <v>73641</v>
      </c>
      <c r="P19" s="11"/>
      <c r="Q19" s="48">
        <v>73446</v>
      </c>
      <c r="R19" s="12">
        <v>-195</v>
      </c>
      <c r="S19" s="12">
        <v>1950</v>
      </c>
      <c r="T19" s="49">
        <v>2.7274253105068924E-2</v>
      </c>
      <c r="U19" s="49">
        <v>-2.6479814233918431E-3</v>
      </c>
      <c r="V19" s="11" t="s">
        <v>90</v>
      </c>
      <c r="W19" s="11">
        <v>0</v>
      </c>
      <c r="X19" s="11">
        <v>0</v>
      </c>
      <c r="Y19" s="11">
        <v>0</v>
      </c>
      <c r="Z19" s="11">
        <v>89</v>
      </c>
      <c r="AA19" s="11">
        <v>0</v>
      </c>
      <c r="AB19" s="11">
        <v>57</v>
      </c>
      <c r="AC19" s="11">
        <v>0</v>
      </c>
      <c r="AD19" s="11">
        <v>0</v>
      </c>
      <c r="AE19" s="11">
        <v>6</v>
      </c>
      <c r="AF19" s="11">
        <v>0</v>
      </c>
      <c r="AG19" s="11">
        <v>0</v>
      </c>
      <c r="AH19" s="11"/>
      <c r="AI19" s="12">
        <v>152</v>
      </c>
      <c r="AJ19" s="12">
        <v>-43</v>
      </c>
      <c r="AK19" s="11"/>
      <c r="AL19" s="34">
        <v>3</v>
      </c>
    </row>
    <row r="20" spans="1:38" x14ac:dyDescent="0.3">
      <c r="A20" s="19">
        <v>2024</v>
      </c>
      <c r="B20" s="19" t="s">
        <v>62</v>
      </c>
      <c r="C20" s="31">
        <v>45310</v>
      </c>
      <c r="D20" s="33" t="s">
        <v>50</v>
      </c>
      <c r="E20" s="32" t="s">
        <v>48</v>
      </c>
      <c r="F20" s="33" t="s">
        <v>51</v>
      </c>
      <c r="G20" s="11"/>
      <c r="H20" s="11" t="s">
        <v>88</v>
      </c>
      <c r="I20" s="11"/>
      <c r="J20" s="37" t="s">
        <v>89</v>
      </c>
      <c r="K20" s="45"/>
      <c r="L20" s="45"/>
      <c r="M20" s="37">
        <v>181519</v>
      </c>
      <c r="N20" s="54">
        <v>1728</v>
      </c>
      <c r="O20" s="47">
        <v>1780</v>
      </c>
      <c r="P20" s="11"/>
      <c r="Q20" s="48">
        <v>1773</v>
      </c>
      <c r="R20" s="12">
        <v>-7</v>
      </c>
      <c r="S20" s="12">
        <v>45</v>
      </c>
      <c r="T20" s="49">
        <v>2.6041666666666741E-2</v>
      </c>
      <c r="U20" s="49">
        <v>-3.9325842696629199E-3</v>
      </c>
      <c r="V20" s="11" t="s">
        <v>90</v>
      </c>
      <c r="W20" s="11">
        <v>0</v>
      </c>
      <c r="X20" s="11">
        <v>0</v>
      </c>
      <c r="Y20" s="11">
        <v>0</v>
      </c>
      <c r="Z20" s="11">
        <v>5</v>
      </c>
      <c r="AA20" s="11">
        <v>0</v>
      </c>
      <c r="AB20" s="11">
        <v>2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/>
      <c r="AI20" s="12">
        <v>7</v>
      </c>
      <c r="AJ20" s="12">
        <v>0</v>
      </c>
      <c r="AK20" s="11"/>
      <c r="AL20" s="34">
        <v>3</v>
      </c>
    </row>
    <row r="21" spans="1:38" x14ac:dyDescent="0.3">
      <c r="A21" s="19">
        <v>2024</v>
      </c>
      <c r="B21" s="19" t="s">
        <v>62</v>
      </c>
      <c r="C21" s="31">
        <v>45310</v>
      </c>
      <c r="D21" s="33" t="s">
        <v>50</v>
      </c>
      <c r="E21" s="32" t="s">
        <v>48</v>
      </c>
      <c r="F21" s="33" t="s">
        <v>51</v>
      </c>
      <c r="G21" s="11"/>
      <c r="H21" s="11" t="s">
        <v>88</v>
      </c>
      <c r="I21" s="11"/>
      <c r="J21" s="37" t="s">
        <v>91</v>
      </c>
      <c r="K21" s="45"/>
      <c r="L21" s="45"/>
      <c r="M21" s="37">
        <v>181520</v>
      </c>
      <c r="N21" s="54">
        <v>25164</v>
      </c>
      <c r="O21" s="47">
        <v>25749</v>
      </c>
      <c r="P21" s="11"/>
      <c r="Q21" s="48">
        <v>25635</v>
      </c>
      <c r="R21" s="12">
        <v>-114</v>
      </c>
      <c r="S21" s="12">
        <v>471</v>
      </c>
      <c r="T21" s="49">
        <v>1.8717215069146365E-2</v>
      </c>
      <c r="U21" s="49">
        <v>-4.4273564021903855E-3</v>
      </c>
      <c r="V21" s="11" t="s">
        <v>92</v>
      </c>
      <c r="W21" s="11">
        <v>0</v>
      </c>
      <c r="X21" s="11">
        <v>16</v>
      </c>
      <c r="Y21" s="11">
        <v>0</v>
      </c>
      <c r="Z21" s="11">
        <v>43</v>
      </c>
      <c r="AA21" s="11">
        <v>0</v>
      </c>
      <c r="AB21" s="11">
        <v>35</v>
      </c>
      <c r="AC21" s="11">
        <v>0</v>
      </c>
      <c r="AD21" s="11">
        <v>0</v>
      </c>
      <c r="AE21" s="11">
        <v>6</v>
      </c>
      <c r="AF21" s="11">
        <v>0</v>
      </c>
      <c r="AG21" s="11">
        <v>0</v>
      </c>
      <c r="AH21" s="11"/>
      <c r="AI21" s="12">
        <v>100</v>
      </c>
      <c r="AJ21" s="12">
        <v>-14</v>
      </c>
      <c r="AK21" s="11"/>
      <c r="AL21" s="34">
        <v>3</v>
      </c>
    </row>
    <row r="22" spans="1:38" x14ac:dyDescent="0.3">
      <c r="A22" s="20">
        <v>2024</v>
      </c>
      <c r="B22" s="20" t="s">
        <v>62</v>
      </c>
      <c r="C22" s="28">
        <v>45310</v>
      </c>
      <c r="D22" s="23" t="s">
        <v>50</v>
      </c>
      <c r="E22" s="29" t="s">
        <v>48</v>
      </c>
      <c r="F22" s="23" t="s">
        <v>51</v>
      </c>
      <c r="G22" s="10"/>
      <c r="H22" s="10" t="s">
        <v>88</v>
      </c>
      <c r="I22" s="10"/>
      <c r="J22" s="38" t="s">
        <v>91</v>
      </c>
      <c r="K22" s="40"/>
      <c r="L22" s="40"/>
      <c r="M22" s="38">
        <v>181521</v>
      </c>
      <c r="N22" s="53">
        <v>540</v>
      </c>
      <c r="O22" s="42">
        <v>558</v>
      </c>
      <c r="P22" s="10"/>
      <c r="Q22" s="43">
        <v>558</v>
      </c>
      <c r="R22" s="13">
        <v>0</v>
      </c>
      <c r="S22" s="13">
        <v>18</v>
      </c>
      <c r="T22" s="44">
        <v>3.3333333333333437E-2</v>
      </c>
      <c r="U22" s="44">
        <v>0</v>
      </c>
      <c r="V22" s="10" t="s">
        <v>92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>
        <v>0</v>
      </c>
      <c r="AE22" s="10">
        <v>0</v>
      </c>
      <c r="AF22" s="10">
        <v>0</v>
      </c>
      <c r="AG22" s="10">
        <v>0</v>
      </c>
      <c r="AH22" s="10"/>
      <c r="AI22" s="13">
        <v>0</v>
      </c>
      <c r="AJ22" s="13">
        <v>0</v>
      </c>
      <c r="AK22" s="10"/>
      <c r="AL22" s="30">
        <v>3</v>
      </c>
    </row>
    <row r="23" spans="1:38" x14ac:dyDescent="0.3">
      <c r="A23" s="19">
        <v>2024</v>
      </c>
      <c r="B23" s="19" t="s">
        <v>62</v>
      </c>
      <c r="C23" s="31">
        <v>45310</v>
      </c>
      <c r="D23" s="33" t="s">
        <v>50</v>
      </c>
      <c r="E23" s="32" t="s">
        <v>48</v>
      </c>
      <c r="F23" s="33" t="s">
        <v>51</v>
      </c>
      <c r="G23" s="11"/>
      <c r="H23" s="11" t="s">
        <v>88</v>
      </c>
      <c r="I23" s="11"/>
      <c r="J23" s="37" t="s">
        <v>93</v>
      </c>
      <c r="K23" s="45"/>
      <c r="L23" s="45"/>
      <c r="M23" s="37">
        <v>181522</v>
      </c>
      <c r="N23" s="54">
        <v>3240</v>
      </c>
      <c r="O23" s="47">
        <v>3330</v>
      </c>
      <c r="P23" s="11"/>
      <c r="Q23" s="48">
        <v>3315</v>
      </c>
      <c r="R23" s="12">
        <v>-15</v>
      </c>
      <c r="S23" s="12">
        <v>75</v>
      </c>
      <c r="T23" s="49">
        <v>2.314814814814814E-2</v>
      </c>
      <c r="U23" s="49">
        <v>-4.5045045045044585E-3</v>
      </c>
      <c r="V23" s="11" t="s">
        <v>94</v>
      </c>
      <c r="W23" s="11">
        <v>0</v>
      </c>
      <c r="X23" s="11">
        <v>12</v>
      </c>
      <c r="Y23" s="11">
        <v>0</v>
      </c>
      <c r="Z23" s="11">
        <v>3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/>
      <c r="AI23" s="12">
        <v>15</v>
      </c>
      <c r="AJ23" s="12">
        <v>0</v>
      </c>
      <c r="AK23" s="11"/>
      <c r="AL23" s="34">
        <v>3</v>
      </c>
    </row>
    <row r="24" spans="1:38" x14ac:dyDescent="0.3">
      <c r="A24" s="19">
        <v>2024</v>
      </c>
      <c r="B24" s="19" t="s">
        <v>62</v>
      </c>
      <c r="C24" s="31">
        <v>45310</v>
      </c>
      <c r="D24" s="33" t="s">
        <v>50</v>
      </c>
      <c r="E24" s="32" t="s">
        <v>48</v>
      </c>
      <c r="F24" s="33" t="s">
        <v>51</v>
      </c>
      <c r="G24" s="11"/>
      <c r="H24" s="11" t="s">
        <v>88</v>
      </c>
      <c r="I24" s="11"/>
      <c r="J24" s="37" t="s">
        <v>93</v>
      </c>
      <c r="K24" s="45"/>
      <c r="L24" s="45"/>
      <c r="M24" s="37">
        <v>181523</v>
      </c>
      <c r="N24" s="54">
        <v>1728</v>
      </c>
      <c r="O24" s="47">
        <v>1728</v>
      </c>
      <c r="P24" s="11"/>
      <c r="Q24" s="48">
        <v>1722</v>
      </c>
      <c r="R24" s="12">
        <v>-6</v>
      </c>
      <c r="S24" s="12">
        <v>-6</v>
      </c>
      <c r="T24" s="49">
        <v>-3.4722222222222099E-3</v>
      </c>
      <c r="U24" s="49">
        <v>-3.4722222222222099E-3</v>
      </c>
      <c r="V24" s="11" t="s">
        <v>94</v>
      </c>
      <c r="W24" s="11">
        <v>0</v>
      </c>
      <c r="X24" s="11">
        <v>1</v>
      </c>
      <c r="Y24" s="11">
        <v>0</v>
      </c>
      <c r="Z24" s="11">
        <v>2</v>
      </c>
      <c r="AA24" s="11">
        <v>0</v>
      </c>
      <c r="AB24" s="11">
        <v>1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/>
      <c r="AI24" s="12">
        <v>4</v>
      </c>
      <c r="AJ24" s="12">
        <v>-2</v>
      </c>
      <c r="AK24" s="11"/>
      <c r="AL24" s="34">
        <v>3</v>
      </c>
    </row>
    <row r="25" spans="1:38" x14ac:dyDescent="0.3">
      <c r="A25" s="19">
        <v>2024</v>
      </c>
      <c r="B25" s="19" t="s">
        <v>62</v>
      </c>
      <c r="C25" s="31">
        <v>45310</v>
      </c>
      <c r="D25" s="33" t="s">
        <v>50</v>
      </c>
      <c r="E25" s="32" t="s">
        <v>48</v>
      </c>
      <c r="F25" s="33" t="s">
        <v>51</v>
      </c>
      <c r="G25" s="11"/>
      <c r="H25" s="11" t="s">
        <v>88</v>
      </c>
      <c r="I25" s="11"/>
      <c r="J25" s="37" t="s">
        <v>95</v>
      </c>
      <c r="K25" s="45"/>
      <c r="L25" s="45"/>
      <c r="M25" s="37">
        <v>181524</v>
      </c>
      <c r="N25" s="54">
        <v>8856</v>
      </c>
      <c r="O25" s="47">
        <v>9066</v>
      </c>
      <c r="P25" s="11"/>
      <c r="Q25" s="48">
        <v>9021</v>
      </c>
      <c r="R25" s="12">
        <v>-45</v>
      </c>
      <c r="S25" s="12">
        <v>165</v>
      </c>
      <c r="T25" s="49">
        <v>1.8631436314363148E-2</v>
      </c>
      <c r="U25" s="49">
        <v>-4.9636002647253097E-3</v>
      </c>
      <c r="V25" s="11" t="s">
        <v>94</v>
      </c>
      <c r="W25" s="11">
        <v>0</v>
      </c>
      <c r="X25" s="11">
        <v>9</v>
      </c>
      <c r="Y25" s="11">
        <v>0</v>
      </c>
      <c r="Z25" s="11">
        <v>17</v>
      </c>
      <c r="AA25" s="11">
        <v>0</v>
      </c>
      <c r="AB25" s="11">
        <v>13</v>
      </c>
      <c r="AC25" s="11">
        <v>0</v>
      </c>
      <c r="AD25" s="11">
        <v>0</v>
      </c>
      <c r="AE25" s="11">
        <v>6</v>
      </c>
      <c r="AF25" s="11">
        <v>0</v>
      </c>
      <c r="AG25" s="11">
        <v>0</v>
      </c>
      <c r="AH25" s="11"/>
      <c r="AI25" s="12">
        <v>45</v>
      </c>
      <c r="AJ25" s="12">
        <v>0</v>
      </c>
      <c r="AK25" s="11"/>
      <c r="AL25" s="34">
        <v>3</v>
      </c>
    </row>
    <row r="26" spans="1:38" x14ac:dyDescent="0.3">
      <c r="A26" s="19">
        <v>2024</v>
      </c>
      <c r="B26" s="19" t="s">
        <v>62</v>
      </c>
      <c r="C26" s="31">
        <v>45310</v>
      </c>
      <c r="D26" s="32" t="s">
        <v>96</v>
      </c>
      <c r="E26" s="32" t="s">
        <v>48</v>
      </c>
      <c r="F26" s="33" t="s">
        <v>49</v>
      </c>
      <c r="G26" s="11"/>
      <c r="H26" s="11" t="s">
        <v>88</v>
      </c>
      <c r="I26" s="11"/>
      <c r="J26" s="37" t="s">
        <v>97</v>
      </c>
      <c r="K26" s="45"/>
      <c r="L26" s="45"/>
      <c r="M26" s="37">
        <v>181525</v>
      </c>
      <c r="N26" s="54">
        <v>15660</v>
      </c>
      <c r="O26" s="47">
        <v>15816</v>
      </c>
      <c r="P26" s="11"/>
      <c r="Q26" s="48">
        <v>15660</v>
      </c>
      <c r="R26" s="12">
        <v>-156</v>
      </c>
      <c r="S26" s="12">
        <v>0</v>
      </c>
      <c r="T26" s="49">
        <v>0</v>
      </c>
      <c r="U26" s="49">
        <v>-9.8634294385432364E-3</v>
      </c>
      <c r="V26" s="11" t="s">
        <v>98</v>
      </c>
      <c r="W26" s="11"/>
      <c r="X26" s="11">
        <v>132</v>
      </c>
      <c r="Y26" s="11"/>
      <c r="Z26" s="11">
        <v>2</v>
      </c>
      <c r="AA26" s="11"/>
      <c r="AB26" s="11">
        <v>13</v>
      </c>
      <c r="AC26" s="11"/>
      <c r="AD26" s="11">
        <v>3</v>
      </c>
      <c r="AE26" s="11">
        <v>6</v>
      </c>
      <c r="AF26" s="11"/>
      <c r="AG26" s="11"/>
      <c r="AH26" s="11"/>
      <c r="AI26" s="12">
        <v>156</v>
      </c>
      <c r="AJ26" s="12">
        <v>0</v>
      </c>
      <c r="AK26" s="11"/>
      <c r="AL26" s="34">
        <v>3</v>
      </c>
    </row>
    <row r="27" spans="1:38" x14ac:dyDescent="0.3">
      <c r="A27" s="20">
        <v>2024</v>
      </c>
      <c r="B27" s="20" t="s">
        <v>62</v>
      </c>
      <c r="C27" s="28">
        <v>45310</v>
      </c>
      <c r="D27" s="23" t="s">
        <v>50</v>
      </c>
      <c r="E27" s="29" t="s">
        <v>48</v>
      </c>
      <c r="F27" s="23" t="s">
        <v>51</v>
      </c>
      <c r="G27" s="10"/>
      <c r="H27" s="10" t="s">
        <v>88</v>
      </c>
      <c r="I27" s="10"/>
      <c r="J27" s="38" t="s">
        <v>99</v>
      </c>
      <c r="K27" s="40"/>
      <c r="L27" s="40"/>
      <c r="M27" s="38">
        <v>181526</v>
      </c>
      <c r="N27" s="53">
        <v>18360</v>
      </c>
      <c r="O27" s="42">
        <v>18909</v>
      </c>
      <c r="P27" s="10"/>
      <c r="Q27" s="43">
        <v>18885</v>
      </c>
      <c r="R27" s="13">
        <v>-24</v>
      </c>
      <c r="S27" s="13">
        <v>525</v>
      </c>
      <c r="T27" s="44">
        <v>2.8594771241829964E-2</v>
      </c>
      <c r="U27" s="44">
        <v>-1.2692368713310698E-3</v>
      </c>
      <c r="V27" s="10" t="s">
        <v>100</v>
      </c>
      <c r="W27" s="10">
        <v>0</v>
      </c>
      <c r="X27" s="10">
        <v>9</v>
      </c>
      <c r="Y27" s="10">
        <v>0</v>
      </c>
      <c r="Z27" s="10">
        <v>5</v>
      </c>
      <c r="AA27" s="10">
        <v>0</v>
      </c>
      <c r="AB27" s="10">
        <v>4</v>
      </c>
      <c r="AC27" s="10">
        <v>0</v>
      </c>
      <c r="AD27" s="10">
        <v>0</v>
      </c>
      <c r="AE27" s="10">
        <v>6</v>
      </c>
      <c r="AF27" s="10">
        <v>0</v>
      </c>
      <c r="AG27" s="10">
        <v>0</v>
      </c>
      <c r="AH27" s="10"/>
      <c r="AI27" s="13">
        <v>24</v>
      </c>
      <c r="AJ27" s="13">
        <v>0</v>
      </c>
      <c r="AK27" s="10"/>
      <c r="AL27" s="30">
        <v>3</v>
      </c>
    </row>
    <row r="28" spans="1:38" x14ac:dyDescent="0.3">
      <c r="A28" s="19">
        <v>2024</v>
      </c>
      <c r="B28" s="19" t="s">
        <v>62</v>
      </c>
      <c r="C28" s="31">
        <v>45310</v>
      </c>
      <c r="D28" s="32" t="s">
        <v>96</v>
      </c>
      <c r="E28" s="32" t="s">
        <v>48</v>
      </c>
      <c r="F28" s="33" t="s">
        <v>49</v>
      </c>
      <c r="G28" s="11"/>
      <c r="H28" s="11" t="s">
        <v>88</v>
      </c>
      <c r="I28" s="11"/>
      <c r="J28" s="37" t="s">
        <v>101</v>
      </c>
      <c r="K28" s="45"/>
      <c r="L28" s="45"/>
      <c r="M28" s="37">
        <v>181527</v>
      </c>
      <c r="N28" s="54">
        <v>2916</v>
      </c>
      <c r="O28" s="47">
        <v>2973</v>
      </c>
      <c r="P28" s="11"/>
      <c r="Q28" s="48">
        <v>2916</v>
      </c>
      <c r="R28" s="12">
        <v>-57</v>
      </c>
      <c r="S28" s="12">
        <v>0</v>
      </c>
      <c r="T28" s="49">
        <v>0</v>
      </c>
      <c r="U28" s="49">
        <v>-1.9172552976791102E-2</v>
      </c>
      <c r="V28" s="11" t="s">
        <v>98</v>
      </c>
      <c r="W28" s="11"/>
      <c r="X28" s="11">
        <v>47</v>
      </c>
      <c r="Y28" s="11"/>
      <c r="Z28" s="11">
        <v>0</v>
      </c>
      <c r="AA28" s="11"/>
      <c r="AB28" s="11">
        <v>1</v>
      </c>
      <c r="AC28" s="11"/>
      <c r="AD28" s="11">
        <v>3</v>
      </c>
      <c r="AE28" s="11">
        <v>6</v>
      </c>
      <c r="AF28" s="11"/>
      <c r="AG28" s="11"/>
      <c r="AH28" s="11"/>
      <c r="AI28" s="12">
        <v>57</v>
      </c>
      <c r="AJ28" s="12">
        <v>0</v>
      </c>
      <c r="AK28" s="11"/>
      <c r="AL28" s="34">
        <v>3</v>
      </c>
    </row>
    <row r="29" spans="1:38" x14ac:dyDescent="0.3">
      <c r="A29" s="19">
        <v>2024</v>
      </c>
      <c r="B29" s="19" t="s">
        <v>62</v>
      </c>
      <c r="C29" s="31">
        <v>45310</v>
      </c>
      <c r="D29" s="32" t="s">
        <v>96</v>
      </c>
      <c r="E29" s="32" t="s">
        <v>48</v>
      </c>
      <c r="F29" s="33" t="s">
        <v>49</v>
      </c>
      <c r="G29" s="11"/>
      <c r="H29" s="11" t="s">
        <v>88</v>
      </c>
      <c r="I29" s="11"/>
      <c r="J29" s="37" t="s">
        <v>101</v>
      </c>
      <c r="K29" s="45"/>
      <c r="L29" s="45"/>
      <c r="M29" s="37">
        <v>181528</v>
      </c>
      <c r="N29" s="54">
        <v>1080</v>
      </c>
      <c r="O29" s="47">
        <v>1113</v>
      </c>
      <c r="P29" s="11"/>
      <c r="Q29" s="48">
        <v>1080</v>
      </c>
      <c r="R29" s="12">
        <v>-33</v>
      </c>
      <c r="S29" s="12">
        <v>0</v>
      </c>
      <c r="T29" s="49">
        <v>0</v>
      </c>
      <c r="U29" s="49">
        <v>-2.9649595687331498E-2</v>
      </c>
      <c r="V29" s="11" t="s">
        <v>102</v>
      </c>
      <c r="W29" s="11"/>
      <c r="X29" s="11">
        <v>28</v>
      </c>
      <c r="Y29" s="11"/>
      <c r="Z29" s="11">
        <v>0</v>
      </c>
      <c r="AA29" s="11"/>
      <c r="AB29" s="11">
        <v>5</v>
      </c>
      <c r="AC29" s="11"/>
      <c r="AD29" s="11"/>
      <c r="AE29" s="11"/>
      <c r="AF29" s="11"/>
      <c r="AG29" s="11"/>
      <c r="AH29" s="11"/>
      <c r="AI29" s="12">
        <v>33</v>
      </c>
      <c r="AJ29" s="12">
        <v>0</v>
      </c>
      <c r="AK29" s="11"/>
      <c r="AL29" s="34">
        <v>3</v>
      </c>
    </row>
    <row r="30" spans="1:38" x14ac:dyDescent="0.3">
      <c r="A30" s="19">
        <v>2024</v>
      </c>
      <c r="B30" s="19" t="s">
        <v>62</v>
      </c>
      <c r="C30" s="31">
        <v>45310</v>
      </c>
      <c r="D30" s="32" t="s">
        <v>96</v>
      </c>
      <c r="E30" s="32" t="s">
        <v>48</v>
      </c>
      <c r="F30" s="33" t="s">
        <v>49</v>
      </c>
      <c r="G30" s="11"/>
      <c r="H30" s="11" t="s">
        <v>88</v>
      </c>
      <c r="I30" s="11"/>
      <c r="J30" s="37" t="s">
        <v>103</v>
      </c>
      <c r="K30" s="45"/>
      <c r="L30" s="45"/>
      <c r="M30" s="37">
        <v>181529</v>
      </c>
      <c r="N30" s="54">
        <v>20304</v>
      </c>
      <c r="O30" s="47">
        <v>20305</v>
      </c>
      <c r="P30" s="11"/>
      <c r="Q30" s="48">
        <v>20154</v>
      </c>
      <c r="R30" s="12">
        <v>-151</v>
      </c>
      <c r="S30" s="12">
        <v>-150</v>
      </c>
      <c r="T30" s="49">
        <v>-7.3877068557919312E-3</v>
      </c>
      <c r="U30" s="49">
        <v>-7.4365919724206364E-3</v>
      </c>
      <c r="V30" s="11"/>
      <c r="W30" s="11"/>
      <c r="X30" s="11">
        <v>8</v>
      </c>
      <c r="Y30" s="11"/>
      <c r="Z30" s="11">
        <v>23</v>
      </c>
      <c r="AA30" s="11">
        <v>80</v>
      </c>
      <c r="AB30" s="11">
        <v>33</v>
      </c>
      <c r="AC30" s="11"/>
      <c r="AD30" s="11">
        <v>1</v>
      </c>
      <c r="AE30" s="11">
        <v>6</v>
      </c>
      <c r="AF30" s="11"/>
      <c r="AG30" s="11"/>
      <c r="AH30" s="11"/>
      <c r="AI30" s="12">
        <v>151</v>
      </c>
      <c r="AJ30" s="12">
        <v>0</v>
      </c>
      <c r="AK30" s="11"/>
      <c r="AL30" s="34">
        <v>3</v>
      </c>
    </row>
    <row r="31" spans="1:38" x14ac:dyDescent="0.3">
      <c r="A31" s="20">
        <v>2024</v>
      </c>
      <c r="B31" s="20" t="s">
        <v>62</v>
      </c>
      <c r="C31" s="28">
        <v>45310</v>
      </c>
      <c r="D31" s="29" t="s">
        <v>96</v>
      </c>
      <c r="E31" s="29" t="s">
        <v>48</v>
      </c>
      <c r="F31" s="23" t="s">
        <v>49</v>
      </c>
      <c r="G31" s="10"/>
      <c r="H31" s="10" t="s">
        <v>88</v>
      </c>
      <c r="I31" s="10"/>
      <c r="J31" s="38" t="s">
        <v>104</v>
      </c>
      <c r="K31" s="40"/>
      <c r="L31" s="40"/>
      <c r="M31" s="38">
        <v>181530</v>
      </c>
      <c r="N31" s="53">
        <v>18144</v>
      </c>
      <c r="O31" s="42">
        <v>18158</v>
      </c>
      <c r="P31" s="10"/>
      <c r="Q31" s="43">
        <v>18144</v>
      </c>
      <c r="R31" s="13">
        <v>-14</v>
      </c>
      <c r="S31" s="13">
        <v>0</v>
      </c>
      <c r="T31" s="44">
        <v>0</v>
      </c>
      <c r="U31" s="44">
        <v>-7.7101002313029188E-4</v>
      </c>
      <c r="V31" s="10" t="s">
        <v>105</v>
      </c>
      <c r="W31" s="10">
        <v>42</v>
      </c>
      <c r="X31" s="10">
        <v>20</v>
      </c>
      <c r="Y31" s="10"/>
      <c r="Z31" s="10">
        <v>27</v>
      </c>
      <c r="AA31" s="10"/>
      <c r="AB31" s="10"/>
      <c r="AC31" s="10"/>
      <c r="AD31" s="10">
        <v>3</v>
      </c>
      <c r="AE31" s="10">
        <v>6</v>
      </c>
      <c r="AF31" s="10"/>
      <c r="AG31" s="10"/>
      <c r="AH31" s="10"/>
      <c r="AI31" s="13">
        <v>56</v>
      </c>
      <c r="AJ31" s="13">
        <v>42</v>
      </c>
      <c r="AK31" s="10"/>
      <c r="AL31" s="30">
        <v>3</v>
      </c>
    </row>
    <row r="32" spans="1:38" x14ac:dyDescent="0.3">
      <c r="A32" s="20">
        <v>2024</v>
      </c>
      <c r="B32" s="20" t="s">
        <v>62</v>
      </c>
      <c r="C32" s="28">
        <v>45310</v>
      </c>
      <c r="D32" s="29" t="s">
        <v>96</v>
      </c>
      <c r="E32" s="29" t="s">
        <v>48</v>
      </c>
      <c r="F32" s="23" t="s">
        <v>49</v>
      </c>
      <c r="G32" s="10"/>
      <c r="H32" s="10" t="s">
        <v>88</v>
      </c>
      <c r="I32" s="10"/>
      <c r="J32" s="38" t="s">
        <v>106</v>
      </c>
      <c r="K32" s="40"/>
      <c r="L32" s="40"/>
      <c r="M32" s="38">
        <v>181531</v>
      </c>
      <c r="N32" s="53">
        <v>19548</v>
      </c>
      <c r="O32" s="42">
        <v>19674</v>
      </c>
      <c r="P32" s="10"/>
      <c r="Q32" s="43">
        <v>19743</v>
      </c>
      <c r="R32" s="13">
        <v>69</v>
      </c>
      <c r="S32" s="13">
        <v>195</v>
      </c>
      <c r="T32" s="44">
        <v>9.9754450583180443E-3</v>
      </c>
      <c r="U32" s="44">
        <v>3.5071668191521965E-3</v>
      </c>
      <c r="V32" s="10"/>
      <c r="W32" s="10">
        <v>84</v>
      </c>
      <c r="X32" s="10"/>
      <c r="Y32" s="10"/>
      <c r="Z32" s="10">
        <v>8</v>
      </c>
      <c r="AA32" s="10"/>
      <c r="AB32" s="10"/>
      <c r="AC32" s="10"/>
      <c r="AD32" s="10">
        <v>1</v>
      </c>
      <c r="AE32" s="10">
        <v>6</v>
      </c>
      <c r="AF32" s="10"/>
      <c r="AG32" s="10"/>
      <c r="AH32" s="10"/>
      <c r="AI32" s="13">
        <v>15</v>
      </c>
      <c r="AJ32" s="13">
        <v>84</v>
      </c>
      <c r="AK32" s="10"/>
      <c r="AL32" s="30">
        <v>3</v>
      </c>
    </row>
    <row r="33" spans="1:38" x14ac:dyDescent="0.3">
      <c r="A33" s="20">
        <v>2024</v>
      </c>
      <c r="B33" s="20" t="s">
        <v>62</v>
      </c>
      <c r="C33" s="28">
        <v>45310</v>
      </c>
      <c r="D33" s="29" t="s">
        <v>96</v>
      </c>
      <c r="E33" s="29" t="s">
        <v>48</v>
      </c>
      <c r="F33" s="23" t="s">
        <v>49</v>
      </c>
      <c r="G33" s="10"/>
      <c r="H33" s="10" t="s">
        <v>88</v>
      </c>
      <c r="I33" s="10"/>
      <c r="J33" s="38" t="s">
        <v>106</v>
      </c>
      <c r="K33" s="40"/>
      <c r="L33" s="40"/>
      <c r="M33" s="38">
        <v>181532</v>
      </c>
      <c r="N33" s="53">
        <v>1728</v>
      </c>
      <c r="O33" s="42">
        <v>1730</v>
      </c>
      <c r="P33" s="10"/>
      <c r="Q33" s="43">
        <v>1728</v>
      </c>
      <c r="R33" s="13">
        <v>-2</v>
      </c>
      <c r="S33" s="13">
        <v>0</v>
      </c>
      <c r="T33" s="44">
        <v>0</v>
      </c>
      <c r="U33" s="44">
        <v>-1.1560693641619046E-3</v>
      </c>
      <c r="V33" s="10"/>
      <c r="W33" s="10">
        <v>39</v>
      </c>
      <c r="X33" s="10">
        <v>5</v>
      </c>
      <c r="Y33" s="10"/>
      <c r="Z33" s="10">
        <v>0</v>
      </c>
      <c r="AA33" s="10"/>
      <c r="AB33" s="10">
        <v>36</v>
      </c>
      <c r="AC33" s="10"/>
      <c r="AD33" s="10"/>
      <c r="AE33" s="10"/>
      <c r="AF33" s="10"/>
      <c r="AG33" s="10"/>
      <c r="AH33" s="10"/>
      <c r="AI33" s="13">
        <v>41</v>
      </c>
      <c r="AJ33" s="13">
        <v>39</v>
      </c>
      <c r="AK33" s="10"/>
      <c r="AL33" s="30">
        <v>3</v>
      </c>
    </row>
    <row r="34" spans="1:38" x14ac:dyDescent="0.3">
      <c r="A34" s="19">
        <v>2024</v>
      </c>
      <c r="B34" s="19" t="s">
        <v>62</v>
      </c>
      <c r="C34" s="31">
        <v>45310</v>
      </c>
      <c r="D34" s="32" t="s">
        <v>96</v>
      </c>
      <c r="E34" s="32" t="s">
        <v>48</v>
      </c>
      <c r="F34" s="33" t="s">
        <v>49</v>
      </c>
      <c r="G34" s="11"/>
      <c r="H34" s="11" t="s">
        <v>88</v>
      </c>
      <c r="I34" s="11"/>
      <c r="J34" s="37" t="s">
        <v>107</v>
      </c>
      <c r="K34" s="45"/>
      <c r="L34" s="45"/>
      <c r="M34" s="37">
        <v>181533</v>
      </c>
      <c r="N34" s="54">
        <v>4104</v>
      </c>
      <c r="O34" s="47">
        <v>4233</v>
      </c>
      <c r="P34" s="11"/>
      <c r="Q34" s="48">
        <v>4104</v>
      </c>
      <c r="R34" s="12">
        <v>-129</v>
      </c>
      <c r="S34" s="12">
        <v>0</v>
      </c>
      <c r="T34" s="49">
        <v>0</v>
      </c>
      <c r="U34" s="49">
        <v>-3.0474840538625037E-2</v>
      </c>
      <c r="V34" s="11"/>
      <c r="W34" s="11"/>
      <c r="X34" s="11">
        <v>9</v>
      </c>
      <c r="Y34" s="11"/>
      <c r="Z34" s="11">
        <v>3</v>
      </c>
      <c r="AA34" s="11">
        <v>77</v>
      </c>
      <c r="AB34" s="11">
        <v>31</v>
      </c>
      <c r="AC34" s="11"/>
      <c r="AD34" s="11">
        <v>3</v>
      </c>
      <c r="AE34" s="11">
        <v>6</v>
      </c>
      <c r="AF34" s="11"/>
      <c r="AG34" s="11"/>
      <c r="AH34" s="11"/>
      <c r="AI34" s="12">
        <v>129</v>
      </c>
      <c r="AJ34" s="12">
        <v>0</v>
      </c>
      <c r="AK34" s="11"/>
      <c r="AL34" s="34">
        <v>3</v>
      </c>
    </row>
    <row r="35" spans="1:38" x14ac:dyDescent="0.3">
      <c r="A35" s="19">
        <v>2024</v>
      </c>
      <c r="B35" s="19" t="s">
        <v>62</v>
      </c>
      <c r="C35" s="31">
        <v>45310</v>
      </c>
      <c r="D35" s="32" t="s">
        <v>96</v>
      </c>
      <c r="E35" s="32" t="s">
        <v>48</v>
      </c>
      <c r="F35" s="33" t="s">
        <v>49</v>
      </c>
      <c r="G35" s="11"/>
      <c r="H35" s="11" t="s">
        <v>88</v>
      </c>
      <c r="I35" s="11"/>
      <c r="J35" s="37" t="s">
        <v>108</v>
      </c>
      <c r="K35" s="45"/>
      <c r="L35" s="45"/>
      <c r="M35" s="37">
        <v>181534</v>
      </c>
      <c r="N35" s="54">
        <v>16416</v>
      </c>
      <c r="O35" s="47">
        <v>17049</v>
      </c>
      <c r="P35" s="11"/>
      <c r="Q35" s="48">
        <v>16593</v>
      </c>
      <c r="R35" s="12">
        <v>-456</v>
      </c>
      <c r="S35" s="12">
        <v>177</v>
      </c>
      <c r="T35" s="49">
        <v>1.0782163742690143E-2</v>
      </c>
      <c r="U35" s="49">
        <v>-2.6746436741157842E-2</v>
      </c>
      <c r="V35" s="11" t="s">
        <v>98</v>
      </c>
      <c r="W35" s="11">
        <v>51</v>
      </c>
      <c r="X35" s="11">
        <v>319</v>
      </c>
      <c r="Y35" s="11"/>
      <c r="Z35" s="11">
        <v>2</v>
      </c>
      <c r="AA35" s="11">
        <v>117</v>
      </c>
      <c r="AB35" s="11">
        <v>60</v>
      </c>
      <c r="AC35" s="11"/>
      <c r="AD35" s="11">
        <v>3</v>
      </c>
      <c r="AE35" s="11">
        <v>6</v>
      </c>
      <c r="AF35" s="11"/>
      <c r="AG35" s="11"/>
      <c r="AH35" s="11"/>
      <c r="AI35" s="12">
        <v>507</v>
      </c>
      <c r="AJ35" s="12">
        <v>51</v>
      </c>
      <c r="AK35" s="11"/>
      <c r="AL35" s="34">
        <v>3</v>
      </c>
    </row>
    <row r="36" spans="1:38" x14ac:dyDescent="0.3">
      <c r="A36" s="19">
        <v>2024</v>
      </c>
      <c r="B36" s="19" t="s">
        <v>62</v>
      </c>
      <c r="C36" s="31">
        <v>45310</v>
      </c>
      <c r="D36" s="32" t="s">
        <v>96</v>
      </c>
      <c r="E36" s="32" t="s">
        <v>48</v>
      </c>
      <c r="F36" s="33" t="s">
        <v>49</v>
      </c>
      <c r="G36" s="11"/>
      <c r="H36" s="11" t="s">
        <v>88</v>
      </c>
      <c r="I36" s="11"/>
      <c r="J36" s="37" t="s">
        <v>108</v>
      </c>
      <c r="K36" s="45"/>
      <c r="L36" s="45"/>
      <c r="M36" s="37">
        <v>181535</v>
      </c>
      <c r="N36" s="54">
        <v>1296</v>
      </c>
      <c r="O36" s="47">
        <v>1322</v>
      </c>
      <c r="P36" s="11"/>
      <c r="Q36" s="48">
        <v>1314</v>
      </c>
      <c r="R36" s="12">
        <v>-8</v>
      </c>
      <c r="S36" s="12">
        <v>18</v>
      </c>
      <c r="T36" s="49">
        <v>1.388888888888884E-2</v>
      </c>
      <c r="U36" s="49">
        <v>-6.0514372163388286E-3</v>
      </c>
      <c r="V36" s="11"/>
      <c r="W36" s="11">
        <v>40</v>
      </c>
      <c r="X36" s="11">
        <v>2</v>
      </c>
      <c r="Y36" s="11"/>
      <c r="Z36" s="11">
        <v>0</v>
      </c>
      <c r="AA36" s="11">
        <v>15</v>
      </c>
      <c r="AB36" s="11">
        <v>31</v>
      </c>
      <c r="AC36" s="11"/>
      <c r="AD36" s="11"/>
      <c r="AE36" s="11"/>
      <c r="AF36" s="11"/>
      <c r="AG36" s="11"/>
      <c r="AH36" s="11"/>
      <c r="AI36" s="12">
        <v>48</v>
      </c>
      <c r="AJ36" s="12">
        <v>40</v>
      </c>
      <c r="AK36" s="11"/>
      <c r="AL36" s="34">
        <v>3</v>
      </c>
    </row>
    <row r="37" spans="1:38" x14ac:dyDescent="0.3">
      <c r="A37" s="19">
        <v>2024</v>
      </c>
      <c r="B37" s="19" t="s">
        <v>62</v>
      </c>
      <c r="C37" s="31">
        <v>45310</v>
      </c>
      <c r="D37" s="18" t="s">
        <v>68</v>
      </c>
      <c r="E37" s="32" t="s">
        <v>48</v>
      </c>
      <c r="F37" s="33" t="s">
        <v>69</v>
      </c>
      <c r="G37" s="11"/>
      <c r="H37" s="11" t="s">
        <v>88</v>
      </c>
      <c r="I37" s="11"/>
      <c r="J37" s="37" t="s">
        <v>109</v>
      </c>
      <c r="K37" s="45"/>
      <c r="L37" s="45"/>
      <c r="M37" s="37">
        <v>181536</v>
      </c>
      <c r="N37" s="54">
        <v>16308</v>
      </c>
      <c r="O37" s="47">
        <v>16800</v>
      </c>
      <c r="P37" s="11"/>
      <c r="Q37" s="48">
        <v>16734</v>
      </c>
      <c r="R37" s="12">
        <v>-66</v>
      </c>
      <c r="S37" s="12">
        <v>426</v>
      </c>
      <c r="T37" s="49">
        <v>2.6122148638704878E-2</v>
      </c>
      <c r="U37" s="49">
        <v>-3.9285714285713924E-3</v>
      </c>
      <c r="V37" s="11"/>
      <c r="W37" s="11"/>
      <c r="X37" s="11"/>
      <c r="Y37" s="11"/>
      <c r="Z37" s="11">
        <v>24</v>
      </c>
      <c r="AA37" s="11"/>
      <c r="AB37" s="11"/>
      <c r="AC37" s="11"/>
      <c r="AD37" s="11"/>
      <c r="AE37" s="11"/>
      <c r="AF37" s="11"/>
      <c r="AG37" s="11"/>
      <c r="AH37" s="11"/>
      <c r="AI37" s="12">
        <v>66</v>
      </c>
      <c r="AJ37" s="12">
        <v>0</v>
      </c>
      <c r="AK37" s="11"/>
      <c r="AL37" s="34">
        <v>3</v>
      </c>
    </row>
    <row r="38" spans="1:38" x14ac:dyDescent="0.3">
      <c r="A38" s="20">
        <v>2024</v>
      </c>
      <c r="B38" s="20" t="s">
        <v>62</v>
      </c>
      <c r="C38" s="28">
        <v>45310</v>
      </c>
      <c r="D38" s="29" t="s">
        <v>96</v>
      </c>
      <c r="E38" s="29" t="s">
        <v>48</v>
      </c>
      <c r="F38" s="23" t="s">
        <v>49</v>
      </c>
      <c r="G38" s="10"/>
      <c r="H38" s="10" t="s">
        <v>88</v>
      </c>
      <c r="I38" s="10"/>
      <c r="J38" s="38" t="s">
        <v>110</v>
      </c>
      <c r="K38" s="40"/>
      <c r="L38" s="40"/>
      <c r="M38" s="38">
        <v>181537</v>
      </c>
      <c r="N38" s="53">
        <v>25344</v>
      </c>
      <c r="O38" s="42">
        <v>25766</v>
      </c>
      <c r="P38" s="10"/>
      <c r="Q38" s="43">
        <v>25704</v>
      </c>
      <c r="R38" s="13">
        <v>-62</v>
      </c>
      <c r="S38" s="13">
        <v>360</v>
      </c>
      <c r="T38" s="44">
        <v>1.4204545454545414E-2</v>
      </c>
      <c r="U38" s="44">
        <v>-2.406271831095208E-3</v>
      </c>
      <c r="V38" s="10"/>
      <c r="W38" s="10"/>
      <c r="X38" s="10"/>
      <c r="Y38" s="10"/>
      <c r="Z38" s="10">
        <v>1</v>
      </c>
      <c r="AA38" s="10">
        <v>14</v>
      </c>
      <c r="AB38" s="10">
        <v>40</v>
      </c>
      <c r="AC38" s="10"/>
      <c r="AD38" s="10">
        <v>1</v>
      </c>
      <c r="AE38" s="10">
        <v>6</v>
      </c>
      <c r="AF38" s="10"/>
      <c r="AG38" s="10"/>
      <c r="AH38" s="10"/>
      <c r="AI38" s="13">
        <v>62</v>
      </c>
      <c r="AJ38" s="13">
        <v>0</v>
      </c>
      <c r="AK38" s="10"/>
      <c r="AL38" s="30">
        <v>3</v>
      </c>
    </row>
    <row r="39" spans="1:38" x14ac:dyDescent="0.3">
      <c r="A39" s="19">
        <v>2024</v>
      </c>
      <c r="B39" s="19" t="s">
        <v>62</v>
      </c>
      <c r="C39" s="31">
        <v>45310</v>
      </c>
      <c r="D39" s="32" t="s">
        <v>96</v>
      </c>
      <c r="E39" s="32" t="s">
        <v>48</v>
      </c>
      <c r="F39" s="33" t="s">
        <v>49</v>
      </c>
      <c r="G39" s="11"/>
      <c r="H39" s="11" t="s">
        <v>88</v>
      </c>
      <c r="I39" s="11"/>
      <c r="J39" s="37" t="s">
        <v>111</v>
      </c>
      <c r="K39" s="45"/>
      <c r="L39" s="45"/>
      <c r="M39" s="37">
        <v>181538</v>
      </c>
      <c r="N39" s="54">
        <v>6624</v>
      </c>
      <c r="O39" s="47">
        <v>6828</v>
      </c>
      <c r="P39" s="11"/>
      <c r="Q39" s="48">
        <v>6796</v>
      </c>
      <c r="R39" s="12">
        <v>-32</v>
      </c>
      <c r="S39" s="12">
        <v>172</v>
      </c>
      <c r="T39" s="49">
        <v>2.5966183574879231E-2</v>
      </c>
      <c r="U39" s="49">
        <v>-4.6865846514352327E-3</v>
      </c>
      <c r="V39" s="11"/>
      <c r="W39" s="11">
        <v>18</v>
      </c>
      <c r="X39" s="11"/>
      <c r="Y39" s="11"/>
      <c r="Z39" s="11">
        <v>1</v>
      </c>
      <c r="AA39" s="11"/>
      <c r="AB39" s="11">
        <v>37</v>
      </c>
      <c r="AC39" s="11"/>
      <c r="AD39" s="11">
        <v>4</v>
      </c>
      <c r="AE39" s="11">
        <v>8</v>
      </c>
      <c r="AF39" s="11"/>
      <c r="AG39" s="11"/>
      <c r="AH39" s="11"/>
      <c r="AI39" s="12">
        <v>50</v>
      </c>
      <c r="AJ39" s="12">
        <v>18</v>
      </c>
      <c r="AK39" s="11"/>
      <c r="AL39" s="34">
        <v>3</v>
      </c>
    </row>
    <row r="40" spans="1:38" x14ac:dyDescent="0.3">
      <c r="A40" s="19">
        <v>2024</v>
      </c>
      <c r="B40" s="19" t="s">
        <v>62</v>
      </c>
      <c r="C40" s="31">
        <v>45310</v>
      </c>
      <c r="D40" s="32" t="s">
        <v>96</v>
      </c>
      <c r="E40" s="32" t="s">
        <v>48</v>
      </c>
      <c r="F40" s="33" t="s">
        <v>49</v>
      </c>
      <c r="G40" s="11"/>
      <c r="H40" s="11" t="s">
        <v>88</v>
      </c>
      <c r="I40" s="11"/>
      <c r="J40" s="37" t="s">
        <v>112</v>
      </c>
      <c r="K40" s="45"/>
      <c r="L40" s="45"/>
      <c r="M40" s="37">
        <v>181539</v>
      </c>
      <c r="N40" s="54">
        <v>16992</v>
      </c>
      <c r="O40" s="47">
        <v>17192</v>
      </c>
      <c r="P40" s="11"/>
      <c r="Q40" s="48">
        <v>17000</v>
      </c>
      <c r="R40" s="12">
        <v>-192</v>
      </c>
      <c r="S40" s="12">
        <v>8</v>
      </c>
      <c r="T40" s="49">
        <v>4.7080979284364055E-4</v>
      </c>
      <c r="U40" s="49">
        <v>-1.116798510935324E-2</v>
      </c>
      <c r="V40" s="11" t="s">
        <v>113</v>
      </c>
      <c r="W40" s="11"/>
      <c r="X40" s="11">
        <v>25</v>
      </c>
      <c r="Y40" s="11"/>
      <c r="Z40" s="11">
        <v>1</v>
      </c>
      <c r="AA40" s="11">
        <v>99</v>
      </c>
      <c r="AB40" s="11">
        <v>55</v>
      </c>
      <c r="AC40" s="11"/>
      <c r="AD40" s="11">
        <v>4</v>
      </c>
      <c r="AE40" s="11">
        <v>8</v>
      </c>
      <c r="AF40" s="11"/>
      <c r="AG40" s="11"/>
      <c r="AH40" s="11"/>
      <c r="AI40" s="12">
        <v>192</v>
      </c>
      <c r="AJ40" s="12">
        <v>0</v>
      </c>
      <c r="AK40" s="11"/>
      <c r="AL40" s="34">
        <v>3</v>
      </c>
    </row>
    <row r="41" spans="1:38" x14ac:dyDescent="0.3">
      <c r="A41" s="19">
        <v>2024</v>
      </c>
      <c r="B41" s="19" t="s">
        <v>62</v>
      </c>
      <c r="C41" s="31">
        <v>45310</v>
      </c>
      <c r="D41" s="32" t="s">
        <v>96</v>
      </c>
      <c r="E41" s="32" t="s">
        <v>48</v>
      </c>
      <c r="F41" s="33" t="s">
        <v>49</v>
      </c>
      <c r="G41" s="11"/>
      <c r="H41" s="11" t="s">
        <v>88</v>
      </c>
      <c r="I41" s="11"/>
      <c r="J41" s="37" t="s">
        <v>114</v>
      </c>
      <c r="K41" s="45"/>
      <c r="L41" s="45"/>
      <c r="M41" s="37">
        <v>181540</v>
      </c>
      <c r="N41" s="54">
        <v>9792</v>
      </c>
      <c r="O41" s="47">
        <v>9954</v>
      </c>
      <c r="P41" s="11"/>
      <c r="Q41" s="48">
        <v>9792</v>
      </c>
      <c r="R41" s="12">
        <v>-162</v>
      </c>
      <c r="S41" s="12">
        <v>0</v>
      </c>
      <c r="T41" s="49">
        <v>0</v>
      </c>
      <c r="U41" s="49">
        <v>-1.6274864376130238E-2</v>
      </c>
      <c r="V41" s="11" t="s">
        <v>115</v>
      </c>
      <c r="W41" s="11"/>
      <c r="X41" s="11">
        <v>71</v>
      </c>
      <c r="Y41" s="11"/>
      <c r="Z41" s="11">
        <v>0</v>
      </c>
      <c r="AA41" s="11">
        <v>12</v>
      </c>
      <c r="AB41" s="11">
        <v>67</v>
      </c>
      <c r="AC41" s="11"/>
      <c r="AD41" s="11">
        <v>4</v>
      </c>
      <c r="AE41" s="11">
        <v>8</v>
      </c>
      <c r="AF41" s="11"/>
      <c r="AG41" s="11"/>
      <c r="AH41" s="11"/>
      <c r="AI41" s="12">
        <v>162</v>
      </c>
      <c r="AJ41" s="12">
        <v>0</v>
      </c>
      <c r="AK41" s="11"/>
      <c r="AL41" s="34">
        <v>3</v>
      </c>
    </row>
    <row r="42" spans="1:38" x14ac:dyDescent="0.3">
      <c r="A42" s="20">
        <v>2024</v>
      </c>
      <c r="B42" s="20" t="s">
        <v>62</v>
      </c>
      <c r="C42" s="28">
        <v>45310</v>
      </c>
      <c r="D42" s="29" t="s">
        <v>96</v>
      </c>
      <c r="E42" s="29" t="s">
        <v>48</v>
      </c>
      <c r="F42" s="23" t="s">
        <v>49</v>
      </c>
      <c r="G42" s="10"/>
      <c r="H42" s="10" t="s">
        <v>88</v>
      </c>
      <c r="I42" s="10"/>
      <c r="J42" s="38" t="s">
        <v>116</v>
      </c>
      <c r="K42" s="40"/>
      <c r="L42" s="40"/>
      <c r="M42" s="38">
        <v>181541</v>
      </c>
      <c r="N42" s="53">
        <v>21816</v>
      </c>
      <c r="O42" s="42">
        <v>22105</v>
      </c>
      <c r="P42" s="10"/>
      <c r="Q42" s="43">
        <v>22056</v>
      </c>
      <c r="R42" s="13">
        <v>-49</v>
      </c>
      <c r="S42" s="13">
        <v>240</v>
      </c>
      <c r="T42" s="44">
        <v>1.1001100110010986E-2</v>
      </c>
      <c r="U42" s="44">
        <v>-2.2166930558696896E-3</v>
      </c>
      <c r="V42" s="10"/>
      <c r="W42" s="10"/>
      <c r="X42" s="10">
        <v>3</v>
      </c>
      <c r="Y42" s="10"/>
      <c r="Z42" s="10">
        <v>17</v>
      </c>
      <c r="AA42" s="10"/>
      <c r="AB42" s="10">
        <v>20</v>
      </c>
      <c r="AC42" s="10"/>
      <c r="AD42" s="10">
        <v>1</v>
      </c>
      <c r="AE42" s="10">
        <v>8</v>
      </c>
      <c r="AF42" s="10"/>
      <c r="AG42" s="10"/>
      <c r="AH42" s="10"/>
      <c r="AI42" s="13">
        <v>49</v>
      </c>
      <c r="AJ42" s="13">
        <v>0</v>
      </c>
      <c r="AK42" s="10"/>
      <c r="AL42" s="30">
        <v>3</v>
      </c>
    </row>
    <row r="43" spans="1:38" x14ac:dyDescent="0.3">
      <c r="A43" s="19">
        <v>2024</v>
      </c>
      <c r="B43" s="19" t="s">
        <v>62</v>
      </c>
      <c r="C43" s="31">
        <v>45310</v>
      </c>
      <c r="D43" s="32" t="s">
        <v>96</v>
      </c>
      <c r="E43" s="32" t="s">
        <v>48</v>
      </c>
      <c r="F43" s="33" t="s">
        <v>49</v>
      </c>
      <c r="G43" s="11"/>
      <c r="H43" s="11" t="s">
        <v>88</v>
      </c>
      <c r="I43" s="11"/>
      <c r="J43" s="37" t="s">
        <v>117</v>
      </c>
      <c r="K43" s="45"/>
      <c r="L43" s="45"/>
      <c r="M43" s="37">
        <v>181542</v>
      </c>
      <c r="N43" s="54">
        <v>30240</v>
      </c>
      <c r="O43" s="47">
        <v>30852</v>
      </c>
      <c r="P43" s="11"/>
      <c r="Q43" s="48">
        <v>30597</v>
      </c>
      <c r="R43" s="12">
        <v>-255</v>
      </c>
      <c r="S43" s="12">
        <v>357</v>
      </c>
      <c r="T43" s="49">
        <v>1.1805555555555625E-2</v>
      </c>
      <c r="U43" s="49">
        <v>-8.2652664332943937E-3</v>
      </c>
      <c r="V43" s="11" t="s">
        <v>118</v>
      </c>
      <c r="W43" s="11">
        <v>32</v>
      </c>
      <c r="X43" s="11">
        <v>77</v>
      </c>
      <c r="Y43" s="11"/>
      <c r="Z43" s="11">
        <v>5</v>
      </c>
      <c r="AA43" s="11">
        <v>77</v>
      </c>
      <c r="AB43" s="11">
        <v>120</v>
      </c>
      <c r="AC43" s="11"/>
      <c r="AD43" s="11">
        <v>2</v>
      </c>
      <c r="AE43" s="11">
        <v>6</v>
      </c>
      <c r="AF43" s="11"/>
      <c r="AG43" s="11"/>
      <c r="AH43" s="11"/>
      <c r="AI43" s="12">
        <v>287</v>
      </c>
      <c r="AJ43" s="12">
        <v>32</v>
      </c>
      <c r="AK43" s="11"/>
      <c r="AL43" s="34">
        <v>3</v>
      </c>
    </row>
    <row r="44" spans="1:38" x14ac:dyDescent="0.3">
      <c r="A44" s="20">
        <v>2024</v>
      </c>
      <c r="B44" s="20" t="s">
        <v>62</v>
      </c>
      <c r="C44" s="28">
        <v>45310</v>
      </c>
      <c r="D44" s="29" t="s">
        <v>96</v>
      </c>
      <c r="E44" s="29" t="s">
        <v>48</v>
      </c>
      <c r="F44" s="23" t="s">
        <v>49</v>
      </c>
      <c r="G44" s="10"/>
      <c r="H44" s="10" t="s">
        <v>88</v>
      </c>
      <c r="I44" s="10"/>
      <c r="J44" s="38" t="s">
        <v>119</v>
      </c>
      <c r="K44" s="40"/>
      <c r="L44" s="40"/>
      <c r="M44" s="38">
        <v>181543</v>
      </c>
      <c r="N44" s="53">
        <v>30240</v>
      </c>
      <c r="O44" s="42">
        <v>30787</v>
      </c>
      <c r="P44" s="10"/>
      <c r="Q44" s="43">
        <v>30735</v>
      </c>
      <c r="R44" s="13">
        <v>-52</v>
      </c>
      <c r="S44" s="13">
        <v>495</v>
      </c>
      <c r="T44" s="44">
        <v>1.6369047619047672E-2</v>
      </c>
      <c r="U44" s="44">
        <v>-1.6890245883002253E-3</v>
      </c>
      <c r="V44" s="10" t="s">
        <v>102</v>
      </c>
      <c r="W44" s="10">
        <v>137</v>
      </c>
      <c r="X44" s="10">
        <v>137</v>
      </c>
      <c r="Y44" s="10"/>
      <c r="Z44" s="10">
        <v>2</v>
      </c>
      <c r="AA44" s="10"/>
      <c r="AB44" s="10">
        <v>41</v>
      </c>
      <c r="AC44" s="10"/>
      <c r="AD44" s="10">
        <v>3</v>
      </c>
      <c r="AE44" s="10">
        <v>6</v>
      </c>
      <c r="AF44" s="10"/>
      <c r="AG44" s="10"/>
      <c r="AH44" s="10"/>
      <c r="AI44" s="13">
        <v>189</v>
      </c>
      <c r="AJ44" s="13">
        <v>137</v>
      </c>
      <c r="AK44" s="10"/>
      <c r="AL44" s="30">
        <v>3</v>
      </c>
    </row>
    <row r="45" spans="1:38" x14ac:dyDescent="0.3">
      <c r="A45" s="20">
        <v>2024</v>
      </c>
      <c r="B45" s="20" t="s">
        <v>62</v>
      </c>
      <c r="C45" s="28">
        <v>45306</v>
      </c>
      <c r="D45" s="39" t="s">
        <v>120</v>
      </c>
      <c r="E45" s="29" t="s">
        <v>48</v>
      </c>
      <c r="F45" s="23" t="s">
        <v>121</v>
      </c>
      <c r="G45" s="10"/>
      <c r="H45" s="52" t="s">
        <v>122</v>
      </c>
      <c r="I45" s="52" t="s">
        <v>123</v>
      </c>
      <c r="J45" s="24"/>
      <c r="K45" s="40"/>
      <c r="L45" s="40"/>
      <c r="M45" s="39">
        <v>179834</v>
      </c>
      <c r="N45" s="55">
        <v>2440</v>
      </c>
      <c r="O45" s="42">
        <v>2440</v>
      </c>
      <c r="P45" s="10"/>
      <c r="Q45" s="43">
        <v>2440</v>
      </c>
      <c r="R45" s="13">
        <v>0</v>
      </c>
      <c r="S45" s="13">
        <v>0</v>
      </c>
      <c r="T45" s="44">
        <v>0</v>
      </c>
      <c r="U45" s="44">
        <v>0</v>
      </c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3">
        <v>0</v>
      </c>
      <c r="AJ45" s="13">
        <v>0</v>
      </c>
      <c r="AK45" s="10"/>
      <c r="AL45" s="30">
        <v>3</v>
      </c>
    </row>
    <row r="46" spans="1:38" x14ac:dyDescent="0.3">
      <c r="A46" s="20">
        <v>2024</v>
      </c>
      <c r="B46" s="20" t="s">
        <v>62</v>
      </c>
      <c r="C46" s="28">
        <v>45306</v>
      </c>
      <c r="D46" s="39" t="s">
        <v>120</v>
      </c>
      <c r="E46" s="29" t="s">
        <v>48</v>
      </c>
      <c r="F46" s="23" t="s">
        <v>121</v>
      </c>
      <c r="G46" s="10"/>
      <c r="H46" s="52" t="s">
        <v>122</v>
      </c>
      <c r="I46" s="52" t="s">
        <v>124</v>
      </c>
      <c r="J46" s="24"/>
      <c r="K46" s="40"/>
      <c r="L46" s="40"/>
      <c r="M46" s="39">
        <v>181219</v>
      </c>
      <c r="N46" s="55">
        <v>177</v>
      </c>
      <c r="O46" s="42">
        <v>177</v>
      </c>
      <c r="P46" s="10"/>
      <c r="Q46" s="43">
        <v>177</v>
      </c>
      <c r="R46" s="13">
        <v>0</v>
      </c>
      <c r="S46" s="13">
        <v>0</v>
      </c>
      <c r="T46" s="44">
        <v>0</v>
      </c>
      <c r="U46" s="44">
        <v>0</v>
      </c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3">
        <v>0</v>
      </c>
      <c r="AJ46" s="13">
        <v>0</v>
      </c>
      <c r="AK46" s="10"/>
      <c r="AL46" s="30">
        <v>3</v>
      </c>
    </row>
    <row r="47" spans="1:38" x14ac:dyDescent="0.3">
      <c r="A47" s="19">
        <v>2024</v>
      </c>
      <c r="B47" s="19" t="s">
        <v>62</v>
      </c>
      <c r="C47" s="31">
        <v>45307</v>
      </c>
      <c r="D47" s="18" t="s">
        <v>56</v>
      </c>
      <c r="E47" s="32" t="s">
        <v>52</v>
      </c>
      <c r="F47" s="33" t="s">
        <v>57</v>
      </c>
      <c r="G47" s="11"/>
      <c r="H47" s="11" t="s">
        <v>55</v>
      </c>
      <c r="I47" s="11" t="s">
        <v>125</v>
      </c>
      <c r="J47" s="22"/>
      <c r="K47" s="45"/>
      <c r="L47" s="45"/>
      <c r="M47" s="18">
        <v>180777</v>
      </c>
      <c r="N47" s="46">
        <v>40000</v>
      </c>
      <c r="O47" s="47">
        <v>40000</v>
      </c>
      <c r="P47" s="11"/>
      <c r="Q47" s="48">
        <v>39538</v>
      </c>
      <c r="R47" s="12">
        <v>-462</v>
      </c>
      <c r="S47" s="12">
        <v>-462</v>
      </c>
      <c r="T47" s="49">
        <v>-1.1549999999999949E-2</v>
      </c>
      <c r="U47" s="49">
        <v>-1.1549999999999949E-2</v>
      </c>
      <c r="V47" s="11"/>
      <c r="W47" s="11"/>
      <c r="X47" s="11"/>
      <c r="Y47" s="11"/>
      <c r="Z47" s="11">
        <v>275</v>
      </c>
      <c r="AA47" s="11">
        <v>139</v>
      </c>
      <c r="AB47" s="11"/>
      <c r="AC47" s="11"/>
      <c r="AD47" s="11"/>
      <c r="AE47" s="11">
        <v>48</v>
      </c>
      <c r="AF47" s="11"/>
      <c r="AG47" s="11"/>
      <c r="AH47" s="11"/>
      <c r="AI47" s="12">
        <v>462</v>
      </c>
      <c r="AJ47" s="12">
        <v>0</v>
      </c>
      <c r="AK47" s="11"/>
      <c r="AL47" s="34">
        <v>3</v>
      </c>
    </row>
    <row r="48" spans="1:38" x14ac:dyDescent="0.3">
      <c r="A48" s="20">
        <v>2024</v>
      </c>
      <c r="B48" s="20" t="s">
        <v>62</v>
      </c>
      <c r="C48" s="28">
        <v>45311</v>
      </c>
      <c r="D48" s="16" t="s">
        <v>68</v>
      </c>
      <c r="E48" s="39" t="s">
        <v>78</v>
      </c>
      <c r="F48" s="23" t="s">
        <v>69</v>
      </c>
      <c r="G48" s="10"/>
      <c r="H48" s="10" t="s">
        <v>79</v>
      </c>
      <c r="I48" s="10" t="s">
        <v>126</v>
      </c>
      <c r="J48" s="24"/>
      <c r="K48" s="40"/>
      <c r="L48" s="40"/>
      <c r="M48" s="16">
        <v>181571</v>
      </c>
      <c r="N48" s="41">
        <v>205</v>
      </c>
      <c r="O48" s="42">
        <v>205</v>
      </c>
      <c r="P48" s="10"/>
      <c r="Q48" s="43">
        <v>205</v>
      </c>
      <c r="R48" s="13">
        <v>0</v>
      </c>
      <c r="S48" s="13">
        <v>0</v>
      </c>
      <c r="T48" s="44">
        <v>0</v>
      </c>
      <c r="U48" s="44">
        <v>0</v>
      </c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3">
        <v>0</v>
      </c>
      <c r="AJ48" s="13">
        <v>0</v>
      </c>
      <c r="AK48" s="10"/>
      <c r="AL48" s="30">
        <v>3</v>
      </c>
    </row>
    <row r="49" spans="1:38" x14ac:dyDescent="0.3">
      <c r="A49" s="20">
        <v>2024</v>
      </c>
      <c r="B49" s="20" t="s">
        <v>62</v>
      </c>
      <c r="C49" s="28">
        <v>45311</v>
      </c>
      <c r="D49" s="16" t="s">
        <v>68</v>
      </c>
      <c r="E49" s="39" t="s">
        <v>78</v>
      </c>
      <c r="F49" s="23" t="s">
        <v>69</v>
      </c>
      <c r="G49" s="10"/>
      <c r="H49" s="10" t="s">
        <v>79</v>
      </c>
      <c r="I49" s="10" t="s">
        <v>126</v>
      </c>
      <c r="J49" s="24"/>
      <c r="K49" s="40"/>
      <c r="L49" s="40"/>
      <c r="M49" s="16">
        <v>181572</v>
      </c>
      <c r="N49" s="41">
        <v>295</v>
      </c>
      <c r="O49" s="42">
        <v>295</v>
      </c>
      <c r="P49" s="10"/>
      <c r="Q49" s="43">
        <v>295</v>
      </c>
      <c r="R49" s="13">
        <v>0</v>
      </c>
      <c r="S49" s="13">
        <v>0</v>
      </c>
      <c r="T49" s="44">
        <v>0</v>
      </c>
      <c r="U49" s="44">
        <v>0</v>
      </c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3">
        <v>0</v>
      </c>
      <c r="AJ49" s="13">
        <v>0</v>
      </c>
      <c r="AK49" s="10"/>
      <c r="AL49" s="30">
        <v>3</v>
      </c>
    </row>
    <row r="50" spans="1:38" x14ac:dyDescent="0.3">
      <c r="A50" s="19">
        <v>2024</v>
      </c>
      <c r="B50" s="19" t="s">
        <v>62</v>
      </c>
      <c r="C50" s="17">
        <v>45307</v>
      </c>
      <c r="D50" s="35" t="s">
        <v>53</v>
      </c>
      <c r="E50" s="32" t="s">
        <v>52</v>
      </c>
      <c r="F50" s="33" t="s">
        <v>54</v>
      </c>
      <c r="G50" s="11"/>
      <c r="H50" s="11" t="s">
        <v>55</v>
      </c>
      <c r="I50" s="11" t="s">
        <v>127</v>
      </c>
      <c r="J50" s="22"/>
      <c r="K50" s="45"/>
      <c r="L50" s="45"/>
      <c r="M50" s="11">
        <v>180069</v>
      </c>
      <c r="N50" s="46">
        <v>48000</v>
      </c>
      <c r="O50" s="47">
        <v>48017</v>
      </c>
      <c r="P50" s="11"/>
      <c r="Q50" s="48">
        <v>46662</v>
      </c>
      <c r="R50" s="12">
        <v>-1355</v>
      </c>
      <c r="S50" s="12">
        <v>-1338</v>
      </c>
      <c r="T50" s="49">
        <v>-2.7874999999999983E-2</v>
      </c>
      <c r="U50" s="49">
        <v>-2.8219172376449997E-2</v>
      </c>
      <c r="V50" s="11"/>
      <c r="W50" s="11"/>
      <c r="X50" s="11"/>
      <c r="Y50" s="11"/>
      <c r="Z50" s="11">
        <v>1256</v>
      </c>
      <c r="AA50" s="11">
        <v>43</v>
      </c>
      <c r="AB50" s="11"/>
      <c r="AC50" s="11"/>
      <c r="AD50" s="11"/>
      <c r="AE50" s="11">
        <v>31</v>
      </c>
      <c r="AF50" s="11"/>
      <c r="AG50" s="11"/>
      <c r="AH50" s="11"/>
      <c r="AI50" s="12">
        <v>1355</v>
      </c>
      <c r="AJ50" s="12">
        <v>0</v>
      </c>
      <c r="AK50" s="11"/>
      <c r="AL50" s="34">
        <v>3</v>
      </c>
    </row>
    <row r="51" spans="1:38" x14ac:dyDescent="0.3">
      <c r="A51" s="19">
        <v>2024</v>
      </c>
      <c r="B51" s="19" t="s">
        <v>62</v>
      </c>
      <c r="C51" s="17">
        <v>45307</v>
      </c>
      <c r="D51" s="35" t="s">
        <v>53</v>
      </c>
      <c r="E51" s="32" t="s">
        <v>52</v>
      </c>
      <c r="F51" s="33" t="s">
        <v>54</v>
      </c>
      <c r="G51" s="11"/>
      <c r="H51" s="11" t="s">
        <v>55</v>
      </c>
      <c r="I51" s="11" t="s">
        <v>128</v>
      </c>
      <c r="J51" s="22"/>
      <c r="K51" s="45"/>
      <c r="L51" s="45"/>
      <c r="M51" s="11">
        <v>180322</v>
      </c>
      <c r="N51" s="46">
        <v>12000</v>
      </c>
      <c r="O51" s="47">
        <v>13058</v>
      </c>
      <c r="P51" s="11"/>
      <c r="Q51" s="48">
        <v>12000</v>
      </c>
      <c r="R51" s="12">
        <v>-1058</v>
      </c>
      <c r="S51" s="12">
        <v>0</v>
      </c>
      <c r="T51" s="49">
        <v>0</v>
      </c>
      <c r="U51" s="49">
        <v>-8.102312758462249E-2</v>
      </c>
      <c r="V51" s="11"/>
      <c r="W51" s="11"/>
      <c r="X51" s="11"/>
      <c r="Y51" s="11"/>
      <c r="Z51" s="11">
        <v>1058</v>
      </c>
      <c r="AA51" s="11"/>
      <c r="AB51" s="11"/>
      <c r="AC51" s="11"/>
      <c r="AD51" s="11"/>
      <c r="AE51" s="11"/>
      <c r="AF51" s="11"/>
      <c r="AG51" s="11"/>
      <c r="AH51" s="11"/>
      <c r="AI51" s="12">
        <v>1058</v>
      </c>
      <c r="AJ51" s="12">
        <v>0</v>
      </c>
      <c r="AK51" s="11"/>
      <c r="AL51" s="34">
        <v>3</v>
      </c>
    </row>
    <row r="52" spans="1:38" x14ac:dyDescent="0.3">
      <c r="A52" s="19">
        <v>2024</v>
      </c>
      <c r="B52" s="19" t="s">
        <v>62</v>
      </c>
      <c r="C52" s="17">
        <v>45307</v>
      </c>
      <c r="D52" s="35" t="s">
        <v>53</v>
      </c>
      <c r="E52" s="32" t="s">
        <v>52</v>
      </c>
      <c r="F52" s="33" t="s">
        <v>54</v>
      </c>
      <c r="G52" s="11"/>
      <c r="H52" s="11" t="s">
        <v>55</v>
      </c>
      <c r="I52" s="11" t="s">
        <v>129</v>
      </c>
      <c r="J52" s="22"/>
      <c r="K52" s="45"/>
      <c r="L52" s="45"/>
      <c r="M52" s="11">
        <v>180775</v>
      </c>
      <c r="N52" s="46">
        <v>19200</v>
      </c>
      <c r="O52" s="47">
        <v>19167</v>
      </c>
      <c r="P52" s="11"/>
      <c r="Q52" s="48">
        <v>18967</v>
      </c>
      <c r="R52" s="12">
        <v>-200</v>
      </c>
      <c r="S52" s="12">
        <v>-233</v>
      </c>
      <c r="T52" s="49">
        <v>-1.2135416666666621E-2</v>
      </c>
      <c r="U52" s="49">
        <v>-1.0434601137371491E-2</v>
      </c>
      <c r="V52" s="11"/>
      <c r="W52" s="11"/>
      <c r="X52" s="11"/>
      <c r="Y52" s="11"/>
      <c r="Z52" s="11">
        <v>143</v>
      </c>
      <c r="AA52" s="11"/>
      <c r="AB52" s="11"/>
      <c r="AC52" s="11"/>
      <c r="AD52" s="11"/>
      <c r="AE52" s="11">
        <v>55</v>
      </c>
      <c r="AF52" s="11"/>
      <c r="AG52" s="11"/>
      <c r="AH52" s="11"/>
      <c r="AI52" s="12">
        <v>200</v>
      </c>
      <c r="AJ52" s="12">
        <v>0</v>
      </c>
      <c r="AK52" s="11"/>
      <c r="AL52" s="34">
        <v>3</v>
      </c>
    </row>
    <row r="53" spans="1:38" x14ac:dyDescent="0.3">
      <c r="A53" s="19">
        <v>2024</v>
      </c>
      <c r="B53" s="19" t="s">
        <v>62</v>
      </c>
      <c r="C53" s="17">
        <v>45307</v>
      </c>
      <c r="D53" s="35" t="s">
        <v>53</v>
      </c>
      <c r="E53" s="32" t="s">
        <v>52</v>
      </c>
      <c r="F53" s="33" t="s">
        <v>54</v>
      </c>
      <c r="G53" s="11"/>
      <c r="H53" s="11" t="s">
        <v>55</v>
      </c>
      <c r="I53" s="11" t="s">
        <v>130</v>
      </c>
      <c r="J53" s="22"/>
      <c r="K53" s="45"/>
      <c r="L53" s="45"/>
      <c r="M53" s="11">
        <v>180779</v>
      </c>
      <c r="N53" s="46">
        <v>72000</v>
      </c>
      <c r="O53" s="47">
        <v>72031</v>
      </c>
      <c r="P53" s="11"/>
      <c r="Q53" s="48">
        <v>71374</v>
      </c>
      <c r="R53" s="12">
        <v>-657</v>
      </c>
      <c r="S53" s="12">
        <v>-626</v>
      </c>
      <c r="T53" s="49">
        <v>-8.6944444444444491E-3</v>
      </c>
      <c r="U53" s="49">
        <v>-9.1210728714026246E-3</v>
      </c>
      <c r="V53" s="11"/>
      <c r="W53" s="11"/>
      <c r="X53" s="11"/>
      <c r="Y53" s="11"/>
      <c r="Z53" s="11">
        <v>549</v>
      </c>
      <c r="AA53" s="11"/>
      <c r="AB53" s="11"/>
      <c r="AC53" s="11"/>
      <c r="AD53" s="11"/>
      <c r="AE53" s="11">
        <v>108</v>
      </c>
      <c r="AF53" s="11"/>
      <c r="AG53" s="11"/>
      <c r="AH53" s="11"/>
      <c r="AI53" s="12">
        <v>657</v>
      </c>
      <c r="AJ53" s="12">
        <v>0</v>
      </c>
      <c r="AK53" s="11"/>
      <c r="AL53" s="34">
        <v>3</v>
      </c>
    </row>
    <row r="54" spans="1:38" x14ac:dyDescent="0.3">
      <c r="A54" s="19">
        <v>2024</v>
      </c>
      <c r="B54" s="19" t="s">
        <v>62</v>
      </c>
      <c r="C54" s="17">
        <v>45307</v>
      </c>
      <c r="D54" s="35" t="s">
        <v>53</v>
      </c>
      <c r="E54" s="32" t="s">
        <v>52</v>
      </c>
      <c r="F54" s="33" t="s">
        <v>54</v>
      </c>
      <c r="G54" s="11"/>
      <c r="H54" s="11" t="s">
        <v>55</v>
      </c>
      <c r="I54" s="11" t="s">
        <v>128</v>
      </c>
      <c r="J54" s="22"/>
      <c r="K54" s="45"/>
      <c r="L54" s="45"/>
      <c r="M54" s="11">
        <v>180681</v>
      </c>
      <c r="N54" s="46">
        <v>5351</v>
      </c>
      <c r="O54" s="47">
        <v>5473</v>
      </c>
      <c r="P54" s="11"/>
      <c r="Q54" s="48">
        <v>5351</v>
      </c>
      <c r="R54" s="12">
        <v>-122</v>
      </c>
      <c r="S54" s="12">
        <v>0</v>
      </c>
      <c r="T54" s="49">
        <v>0</v>
      </c>
      <c r="U54" s="49">
        <v>-2.2291247944454584E-2</v>
      </c>
      <c r="V54" s="11"/>
      <c r="W54" s="11"/>
      <c r="X54" s="11"/>
      <c r="Y54" s="11"/>
      <c r="Z54" s="11">
        <v>84</v>
      </c>
      <c r="AA54" s="11">
        <v>25</v>
      </c>
      <c r="AB54" s="11"/>
      <c r="AC54" s="11"/>
      <c r="AD54" s="11"/>
      <c r="AE54" s="11">
        <v>10</v>
      </c>
      <c r="AF54" s="11">
        <v>3</v>
      </c>
      <c r="AG54" s="11"/>
      <c r="AH54" s="11"/>
      <c r="AI54" s="12">
        <v>122</v>
      </c>
      <c r="AJ54" s="12">
        <v>0</v>
      </c>
      <c r="AK54" s="11"/>
      <c r="AL54" s="34">
        <v>3</v>
      </c>
    </row>
    <row r="55" spans="1:38" x14ac:dyDescent="0.3">
      <c r="A55" s="19">
        <v>2024</v>
      </c>
      <c r="B55" s="19" t="s">
        <v>62</v>
      </c>
      <c r="C55" s="17">
        <v>45307</v>
      </c>
      <c r="D55" s="35" t="s">
        <v>53</v>
      </c>
      <c r="E55" s="32" t="s">
        <v>52</v>
      </c>
      <c r="F55" s="33" t="s">
        <v>54</v>
      </c>
      <c r="G55" s="11"/>
      <c r="H55" s="11" t="s">
        <v>55</v>
      </c>
      <c r="I55" s="11" t="s">
        <v>131</v>
      </c>
      <c r="J55" s="22"/>
      <c r="K55" s="45"/>
      <c r="L55" s="45"/>
      <c r="M55" s="11">
        <v>181076</v>
      </c>
      <c r="N55" s="46">
        <v>19800</v>
      </c>
      <c r="O55" s="47">
        <v>19813</v>
      </c>
      <c r="P55" s="11"/>
      <c r="Q55" s="48">
        <v>19434</v>
      </c>
      <c r="R55" s="12">
        <v>-379</v>
      </c>
      <c r="S55" s="12">
        <v>-366</v>
      </c>
      <c r="T55" s="49">
        <v>-1.8484848484848437E-2</v>
      </c>
      <c r="U55" s="49">
        <v>-1.9128854792308081E-2</v>
      </c>
      <c r="V55" s="11"/>
      <c r="W55" s="11"/>
      <c r="X55" s="11"/>
      <c r="Y55" s="11"/>
      <c r="Z55" s="11">
        <v>294</v>
      </c>
      <c r="AA55" s="11">
        <v>26</v>
      </c>
      <c r="AB55" s="11"/>
      <c r="AC55" s="11"/>
      <c r="AD55" s="11"/>
      <c r="AE55" s="11">
        <v>42</v>
      </c>
      <c r="AF55" s="11">
        <v>2</v>
      </c>
      <c r="AG55" s="11"/>
      <c r="AH55" s="11"/>
      <c r="AI55" s="12">
        <v>379</v>
      </c>
      <c r="AJ55" s="12">
        <v>0</v>
      </c>
      <c r="AK55" s="11"/>
      <c r="AL55" s="34">
        <v>3</v>
      </c>
    </row>
    <row r="56" spans="1:38" x14ac:dyDescent="0.3">
      <c r="A56" s="19">
        <v>2024</v>
      </c>
      <c r="B56" s="19" t="s">
        <v>62</v>
      </c>
      <c r="C56" s="17">
        <v>45307</v>
      </c>
      <c r="D56" s="35" t="s">
        <v>53</v>
      </c>
      <c r="E56" s="32" t="s">
        <v>52</v>
      </c>
      <c r="F56" s="33" t="s">
        <v>54</v>
      </c>
      <c r="G56" s="11"/>
      <c r="H56" s="11" t="s">
        <v>55</v>
      </c>
      <c r="I56" s="11" t="s">
        <v>132</v>
      </c>
      <c r="J56" s="22"/>
      <c r="K56" s="45"/>
      <c r="L56" s="45"/>
      <c r="M56" s="11">
        <v>181075</v>
      </c>
      <c r="N56" s="46">
        <v>7500</v>
      </c>
      <c r="O56" s="47">
        <v>7529</v>
      </c>
      <c r="P56" s="11"/>
      <c r="Q56" s="48">
        <v>7423</v>
      </c>
      <c r="R56" s="12">
        <v>-106</v>
      </c>
      <c r="S56" s="12">
        <v>-77</v>
      </c>
      <c r="T56" s="49">
        <v>-1.0266666666666646E-2</v>
      </c>
      <c r="U56" s="49">
        <v>-1.4078894939567044E-2</v>
      </c>
      <c r="V56" s="11"/>
      <c r="W56" s="11"/>
      <c r="X56" s="11"/>
      <c r="Y56" s="11"/>
      <c r="Z56" s="11">
        <v>76</v>
      </c>
      <c r="AA56" s="11">
        <v>1</v>
      </c>
      <c r="AB56" s="11"/>
      <c r="AC56" s="11"/>
      <c r="AD56" s="11"/>
      <c r="AE56" s="11">
        <v>26</v>
      </c>
      <c r="AF56" s="11">
        <v>3</v>
      </c>
      <c r="AG56" s="11"/>
      <c r="AH56" s="11"/>
      <c r="AI56" s="12">
        <v>106</v>
      </c>
      <c r="AJ56" s="12">
        <v>0</v>
      </c>
      <c r="AK56" s="11"/>
      <c r="AL56" s="34">
        <v>3</v>
      </c>
    </row>
    <row r="57" spans="1:38" x14ac:dyDescent="0.3">
      <c r="A57" s="19">
        <v>2024</v>
      </c>
      <c r="B57" s="19" t="s">
        <v>62</v>
      </c>
      <c r="C57" s="17">
        <v>45307</v>
      </c>
      <c r="D57" s="35" t="s">
        <v>53</v>
      </c>
      <c r="E57" s="32" t="s">
        <v>52</v>
      </c>
      <c r="F57" s="33" t="s">
        <v>54</v>
      </c>
      <c r="G57" s="11"/>
      <c r="H57" s="11" t="s">
        <v>55</v>
      </c>
      <c r="I57" s="11" t="s">
        <v>133</v>
      </c>
      <c r="J57" s="22"/>
      <c r="K57" s="45"/>
      <c r="L57" s="45"/>
      <c r="M57" s="11">
        <v>181078</v>
      </c>
      <c r="N57" s="46">
        <v>5430</v>
      </c>
      <c r="O57" s="47">
        <v>5430</v>
      </c>
      <c r="P57" s="11"/>
      <c r="Q57" s="48">
        <v>5400</v>
      </c>
      <c r="R57" s="12">
        <v>-30</v>
      </c>
      <c r="S57" s="12">
        <v>-30</v>
      </c>
      <c r="T57" s="49">
        <v>-5.5248618784530246E-3</v>
      </c>
      <c r="U57" s="49">
        <v>-5.5248618784530246E-3</v>
      </c>
      <c r="V57" s="11"/>
      <c r="W57" s="11"/>
      <c r="X57" s="11"/>
      <c r="Y57" s="11"/>
      <c r="Z57" s="11">
        <v>28</v>
      </c>
      <c r="AA57" s="11"/>
      <c r="AB57" s="11"/>
      <c r="AC57" s="11"/>
      <c r="AD57" s="11"/>
      <c r="AE57" s="11">
        <v>2</v>
      </c>
      <c r="AF57" s="11"/>
      <c r="AG57" s="11"/>
      <c r="AH57" s="11"/>
      <c r="AI57" s="12">
        <v>30</v>
      </c>
      <c r="AJ57" s="12">
        <v>0</v>
      </c>
      <c r="AK57" s="11"/>
      <c r="AL57" s="34">
        <v>3</v>
      </c>
    </row>
    <row r="58" spans="1:38" x14ac:dyDescent="0.3">
      <c r="A58" s="19">
        <v>2024</v>
      </c>
      <c r="B58" s="19" t="s">
        <v>62</v>
      </c>
      <c r="C58" s="31">
        <v>45317</v>
      </c>
      <c r="D58" s="18" t="s">
        <v>68</v>
      </c>
      <c r="E58" s="32" t="s">
        <v>48</v>
      </c>
      <c r="F58" s="33" t="s">
        <v>69</v>
      </c>
      <c r="G58" s="11"/>
      <c r="H58" s="11" t="s">
        <v>88</v>
      </c>
      <c r="I58" s="11"/>
      <c r="J58" s="22">
        <v>5152387</v>
      </c>
      <c r="K58" s="45"/>
      <c r="L58" s="45"/>
      <c r="M58" s="18">
        <v>181582</v>
      </c>
      <c r="N58" s="46">
        <v>4320</v>
      </c>
      <c r="O58" s="47">
        <v>4455</v>
      </c>
      <c r="P58" s="11"/>
      <c r="Q58" s="48">
        <v>4383</v>
      </c>
      <c r="R58" s="12">
        <v>-72</v>
      </c>
      <c r="S58" s="12">
        <v>63</v>
      </c>
      <c r="T58" s="49">
        <v>1.4583333333333393E-2</v>
      </c>
      <c r="U58" s="49">
        <v>-1.6161616161616155E-2</v>
      </c>
      <c r="V58" s="11"/>
      <c r="W58" s="11"/>
      <c r="X58" s="11"/>
      <c r="Y58" s="11"/>
      <c r="Z58" s="11">
        <v>6</v>
      </c>
      <c r="AA58" s="11"/>
      <c r="AB58" s="11"/>
      <c r="AC58" s="11"/>
      <c r="AD58" s="11"/>
      <c r="AE58" s="11">
        <v>9</v>
      </c>
      <c r="AF58" s="11"/>
      <c r="AG58" s="11"/>
      <c r="AH58" s="11"/>
      <c r="AI58" s="12">
        <v>72</v>
      </c>
      <c r="AJ58" s="12">
        <v>0</v>
      </c>
      <c r="AK58" s="11"/>
      <c r="AL58" s="34">
        <v>4</v>
      </c>
    </row>
    <row r="59" spans="1:38" x14ac:dyDescent="0.3">
      <c r="A59" s="20">
        <v>2024</v>
      </c>
      <c r="B59" s="20" t="s">
        <v>62</v>
      </c>
      <c r="C59" s="28">
        <v>45317</v>
      </c>
      <c r="D59" s="39" t="s">
        <v>50</v>
      </c>
      <c r="E59" s="29" t="s">
        <v>48</v>
      </c>
      <c r="F59" s="23" t="s">
        <v>51</v>
      </c>
      <c r="G59" s="10"/>
      <c r="H59" s="10" t="s">
        <v>88</v>
      </c>
      <c r="I59" s="10"/>
      <c r="J59" s="24">
        <v>5152376</v>
      </c>
      <c r="K59" s="40"/>
      <c r="L59" s="40"/>
      <c r="M59" s="16">
        <v>181583</v>
      </c>
      <c r="N59" s="41">
        <v>40176</v>
      </c>
      <c r="O59" s="42">
        <v>40687</v>
      </c>
      <c r="P59" s="10"/>
      <c r="Q59" s="43">
        <v>40647</v>
      </c>
      <c r="R59" s="13">
        <v>-40</v>
      </c>
      <c r="S59" s="13">
        <v>471</v>
      </c>
      <c r="T59" s="44">
        <v>1.1723416965352396E-2</v>
      </c>
      <c r="U59" s="44">
        <v>-9.8311499987713269E-4</v>
      </c>
      <c r="V59" s="10" t="s">
        <v>134</v>
      </c>
      <c r="W59" s="10">
        <v>0</v>
      </c>
      <c r="X59" s="10">
        <v>1</v>
      </c>
      <c r="Y59" s="10">
        <v>0</v>
      </c>
      <c r="Z59" s="10">
        <v>33</v>
      </c>
      <c r="AA59" s="10">
        <v>0</v>
      </c>
      <c r="AB59" s="10">
        <v>0</v>
      </c>
      <c r="AC59" s="10">
        <v>0</v>
      </c>
      <c r="AD59" s="10">
        <v>0</v>
      </c>
      <c r="AE59" s="10">
        <v>6</v>
      </c>
      <c r="AF59" s="10">
        <v>0</v>
      </c>
      <c r="AG59" s="10">
        <v>0</v>
      </c>
      <c r="AH59" s="10"/>
      <c r="AI59" s="13">
        <v>40</v>
      </c>
      <c r="AJ59" s="13">
        <v>0</v>
      </c>
      <c r="AK59" s="10"/>
      <c r="AL59" s="30">
        <v>4</v>
      </c>
    </row>
    <row r="60" spans="1:38" x14ac:dyDescent="0.3">
      <c r="A60" s="20">
        <v>2024</v>
      </c>
      <c r="B60" s="20" t="s">
        <v>62</v>
      </c>
      <c r="C60" s="28">
        <v>45317</v>
      </c>
      <c r="D60" s="39" t="s">
        <v>50</v>
      </c>
      <c r="E60" s="29" t="s">
        <v>48</v>
      </c>
      <c r="F60" s="23" t="s">
        <v>51</v>
      </c>
      <c r="G60" s="10"/>
      <c r="H60" s="10" t="s">
        <v>88</v>
      </c>
      <c r="I60" s="10"/>
      <c r="J60" s="24">
        <v>5152376</v>
      </c>
      <c r="K60" s="40"/>
      <c r="L60" s="40"/>
      <c r="M60" s="16">
        <v>181584</v>
      </c>
      <c r="N60" s="41">
        <v>6912</v>
      </c>
      <c r="O60" s="42">
        <v>7050</v>
      </c>
      <c r="P60" s="10"/>
      <c r="Q60" s="43">
        <v>7035</v>
      </c>
      <c r="R60" s="13">
        <v>-15</v>
      </c>
      <c r="S60" s="13">
        <v>123</v>
      </c>
      <c r="T60" s="44">
        <v>1.779513888888884E-2</v>
      </c>
      <c r="U60" s="44">
        <v>-2.1276595744680327E-3</v>
      </c>
      <c r="V60" s="10" t="s">
        <v>135</v>
      </c>
      <c r="W60" s="10">
        <v>0</v>
      </c>
      <c r="X60" s="10">
        <v>13</v>
      </c>
      <c r="Y60" s="10">
        <v>0</v>
      </c>
      <c r="Z60" s="10">
        <v>2</v>
      </c>
      <c r="AA60" s="10">
        <v>0</v>
      </c>
      <c r="AB60" s="10">
        <v>0</v>
      </c>
      <c r="AC60" s="10">
        <v>0</v>
      </c>
      <c r="AD60" s="10">
        <v>0</v>
      </c>
      <c r="AE60" s="10">
        <v>0</v>
      </c>
      <c r="AF60" s="10">
        <v>0</v>
      </c>
      <c r="AG60" s="10">
        <v>0</v>
      </c>
      <c r="AH60" s="10"/>
      <c r="AI60" s="13">
        <v>15</v>
      </c>
      <c r="AJ60" s="13">
        <v>0</v>
      </c>
      <c r="AK60" s="10"/>
      <c r="AL60" s="30">
        <v>4</v>
      </c>
    </row>
    <row r="61" spans="1:38" x14ac:dyDescent="0.3">
      <c r="A61" s="19">
        <v>2024</v>
      </c>
      <c r="B61" s="19" t="s">
        <v>62</v>
      </c>
      <c r="C61" s="31">
        <v>45317</v>
      </c>
      <c r="D61" s="35" t="s">
        <v>50</v>
      </c>
      <c r="E61" s="32" t="s">
        <v>48</v>
      </c>
      <c r="F61" s="33" t="s">
        <v>51</v>
      </c>
      <c r="G61" s="11"/>
      <c r="H61" s="11" t="s">
        <v>88</v>
      </c>
      <c r="I61" s="11"/>
      <c r="J61" s="22">
        <v>5152361</v>
      </c>
      <c r="K61" s="45"/>
      <c r="L61" s="45"/>
      <c r="M61" s="18">
        <v>181585</v>
      </c>
      <c r="N61" s="46">
        <v>9180</v>
      </c>
      <c r="O61" s="47">
        <v>9360</v>
      </c>
      <c r="P61" s="11"/>
      <c r="Q61" s="48">
        <v>9321</v>
      </c>
      <c r="R61" s="12">
        <v>-39</v>
      </c>
      <c r="S61" s="12">
        <v>141</v>
      </c>
      <c r="T61" s="49">
        <v>1.5359477124182952E-2</v>
      </c>
      <c r="U61" s="49">
        <v>-4.1666666666666519E-3</v>
      </c>
      <c r="V61" s="11" t="s">
        <v>135</v>
      </c>
      <c r="W61" s="11">
        <v>0</v>
      </c>
      <c r="X61" s="11">
        <v>19</v>
      </c>
      <c r="Y61" s="11">
        <v>0</v>
      </c>
      <c r="Z61" s="11">
        <v>14</v>
      </c>
      <c r="AA61" s="11">
        <v>0</v>
      </c>
      <c r="AB61" s="11">
        <v>0</v>
      </c>
      <c r="AC61" s="11">
        <v>0</v>
      </c>
      <c r="AD61" s="11">
        <v>0</v>
      </c>
      <c r="AE61" s="11">
        <v>6</v>
      </c>
      <c r="AF61" s="11">
        <v>0</v>
      </c>
      <c r="AG61" s="11">
        <v>0</v>
      </c>
      <c r="AH61" s="11"/>
      <c r="AI61" s="12">
        <v>39</v>
      </c>
      <c r="AJ61" s="12">
        <v>0</v>
      </c>
      <c r="AK61" s="11"/>
      <c r="AL61" s="34">
        <v>4</v>
      </c>
    </row>
    <row r="62" spans="1:38" x14ac:dyDescent="0.3">
      <c r="A62" s="20">
        <v>2024</v>
      </c>
      <c r="B62" s="20" t="s">
        <v>62</v>
      </c>
      <c r="C62" s="28">
        <v>45317</v>
      </c>
      <c r="D62" s="39" t="s">
        <v>50</v>
      </c>
      <c r="E62" s="29" t="s">
        <v>48</v>
      </c>
      <c r="F62" s="23" t="s">
        <v>51</v>
      </c>
      <c r="G62" s="10"/>
      <c r="H62" s="10" t="s">
        <v>88</v>
      </c>
      <c r="I62" s="10"/>
      <c r="J62" s="24">
        <v>5152378</v>
      </c>
      <c r="K62" s="40"/>
      <c r="L62" s="40"/>
      <c r="M62" s="16">
        <v>181586</v>
      </c>
      <c r="N62" s="41">
        <v>2916</v>
      </c>
      <c r="O62" s="42">
        <v>2973</v>
      </c>
      <c r="P62" s="10"/>
      <c r="Q62" s="43">
        <v>2973</v>
      </c>
      <c r="R62" s="13">
        <v>0</v>
      </c>
      <c r="S62" s="13">
        <v>57</v>
      </c>
      <c r="T62" s="44">
        <v>1.9547325102880597E-2</v>
      </c>
      <c r="U62" s="44">
        <v>0</v>
      </c>
      <c r="V62" s="10"/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>
        <v>0</v>
      </c>
      <c r="AE62" s="10">
        <v>0</v>
      </c>
      <c r="AF62" s="10">
        <v>0</v>
      </c>
      <c r="AG62" s="10">
        <v>0</v>
      </c>
      <c r="AH62" s="10"/>
      <c r="AI62" s="13">
        <v>0</v>
      </c>
      <c r="AJ62" s="13">
        <v>0</v>
      </c>
      <c r="AK62" s="10"/>
      <c r="AL62" s="30">
        <v>4</v>
      </c>
    </row>
    <row r="63" spans="1:38" x14ac:dyDescent="0.3">
      <c r="A63" s="20">
        <v>2024</v>
      </c>
      <c r="B63" s="20" t="s">
        <v>62</v>
      </c>
      <c r="C63" s="28">
        <v>45317</v>
      </c>
      <c r="D63" s="39" t="s">
        <v>50</v>
      </c>
      <c r="E63" s="29" t="s">
        <v>48</v>
      </c>
      <c r="F63" s="23" t="s">
        <v>51</v>
      </c>
      <c r="G63" s="10"/>
      <c r="H63" s="10" t="s">
        <v>88</v>
      </c>
      <c r="I63" s="10"/>
      <c r="J63" s="24">
        <v>5155034</v>
      </c>
      <c r="K63" s="40"/>
      <c r="L63" s="40"/>
      <c r="M63" s="16">
        <v>181587</v>
      </c>
      <c r="N63" s="41">
        <v>3240</v>
      </c>
      <c r="O63" s="42">
        <v>3303</v>
      </c>
      <c r="P63" s="10"/>
      <c r="Q63" s="43">
        <v>3297</v>
      </c>
      <c r="R63" s="13">
        <v>-6</v>
      </c>
      <c r="S63" s="13">
        <v>57</v>
      </c>
      <c r="T63" s="44">
        <v>1.7592592592592604E-2</v>
      </c>
      <c r="U63" s="44">
        <v>-1.8165304268846771E-3</v>
      </c>
      <c r="V63" s="10"/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>
        <v>0</v>
      </c>
      <c r="AE63" s="10">
        <v>6</v>
      </c>
      <c r="AF63" s="10">
        <v>0</v>
      </c>
      <c r="AG63" s="10">
        <v>0</v>
      </c>
      <c r="AH63" s="10"/>
      <c r="AI63" s="13">
        <v>6</v>
      </c>
      <c r="AJ63" s="13">
        <v>0</v>
      </c>
      <c r="AK63" s="10"/>
      <c r="AL63" s="30">
        <v>4</v>
      </c>
    </row>
    <row r="64" spans="1:38" x14ac:dyDescent="0.3">
      <c r="A64" s="19">
        <v>2024</v>
      </c>
      <c r="B64" s="19" t="s">
        <v>62</v>
      </c>
      <c r="C64" s="31">
        <v>45317</v>
      </c>
      <c r="D64" s="35" t="s">
        <v>50</v>
      </c>
      <c r="E64" s="32" t="s">
        <v>48</v>
      </c>
      <c r="F64" s="33" t="s">
        <v>51</v>
      </c>
      <c r="G64" s="11"/>
      <c r="H64" s="11" t="s">
        <v>88</v>
      </c>
      <c r="I64" s="11"/>
      <c r="J64" s="22">
        <v>5155034</v>
      </c>
      <c r="K64" s="45"/>
      <c r="L64" s="45"/>
      <c r="M64" s="18">
        <v>181588</v>
      </c>
      <c r="N64" s="46">
        <v>1080</v>
      </c>
      <c r="O64" s="47">
        <v>1101</v>
      </c>
      <c r="P64" s="11"/>
      <c r="Q64" s="48">
        <v>1098</v>
      </c>
      <c r="R64" s="12">
        <v>-3</v>
      </c>
      <c r="S64" s="12">
        <v>18</v>
      </c>
      <c r="T64" s="49">
        <v>1.6666666666666607E-2</v>
      </c>
      <c r="U64" s="49">
        <v>-2.7247956403270157E-3</v>
      </c>
      <c r="V64" s="11" t="s">
        <v>135</v>
      </c>
      <c r="W64" s="11">
        <v>0</v>
      </c>
      <c r="X64" s="11">
        <v>3</v>
      </c>
      <c r="Y64" s="11">
        <v>0</v>
      </c>
      <c r="Z64" s="11">
        <v>0</v>
      </c>
      <c r="AA64" s="11">
        <v>0</v>
      </c>
      <c r="AB64" s="11">
        <v>0</v>
      </c>
      <c r="AC64" s="11">
        <v>0</v>
      </c>
      <c r="AD64" s="11">
        <v>0</v>
      </c>
      <c r="AE64" s="11">
        <v>0</v>
      </c>
      <c r="AF64" s="11">
        <v>0</v>
      </c>
      <c r="AG64" s="11">
        <v>0</v>
      </c>
      <c r="AH64" s="11"/>
      <c r="AI64" s="12">
        <v>3</v>
      </c>
      <c r="AJ64" s="12">
        <v>0</v>
      </c>
      <c r="AK64" s="11"/>
      <c r="AL64" s="34">
        <v>4</v>
      </c>
    </row>
    <row r="65" spans="1:38" x14ac:dyDescent="0.3">
      <c r="A65" s="19">
        <v>2024</v>
      </c>
      <c r="B65" s="19" t="s">
        <v>62</v>
      </c>
      <c r="C65" s="31">
        <v>45317</v>
      </c>
      <c r="D65" s="35" t="s">
        <v>50</v>
      </c>
      <c r="E65" s="32" t="s">
        <v>48</v>
      </c>
      <c r="F65" s="33" t="s">
        <v>51</v>
      </c>
      <c r="G65" s="11"/>
      <c r="H65" s="11" t="s">
        <v>88</v>
      </c>
      <c r="I65" s="11"/>
      <c r="J65" s="22">
        <v>5155037</v>
      </c>
      <c r="K65" s="45"/>
      <c r="L65" s="45"/>
      <c r="M65" s="18">
        <v>181589</v>
      </c>
      <c r="N65" s="46">
        <v>9828</v>
      </c>
      <c r="O65" s="47">
        <v>10026</v>
      </c>
      <c r="P65" s="11"/>
      <c r="Q65" s="48">
        <v>9993</v>
      </c>
      <c r="R65" s="12">
        <v>-33</v>
      </c>
      <c r="S65" s="12">
        <v>165</v>
      </c>
      <c r="T65" s="49">
        <v>1.6788766788766729E-2</v>
      </c>
      <c r="U65" s="49">
        <v>-3.2914422501496565E-3</v>
      </c>
      <c r="V65" s="11" t="s">
        <v>136</v>
      </c>
      <c r="W65" s="11">
        <v>13</v>
      </c>
      <c r="X65" s="11">
        <v>11</v>
      </c>
      <c r="Y65" s="11">
        <v>0</v>
      </c>
      <c r="Z65" s="11">
        <v>16</v>
      </c>
      <c r="AA65" s="11">
        <v>0</v>
      </c>
      <c r="AB65" s="11">
        <v>0</v>
      </c>
      <c r="AC65" s="11">
        <v>0</v>
      </c>
      <c r="AD65" s="11">
        <v>0</v>
      </c>
      <c r="AE65" s="11">
        <v>6</v>
      </c>
      <c r="AF65" s="11">
        <v>0</v>
      </c>
      <c r="AG65" s="11">
        <v>0</v>
      </c>
      <c r="AH65" s="11"/>
      <c r="AI65" s="12">
        <v>33</v>
      </c>
      <c r="AJ65" s="12">
        <v>0</v>
      </c>
      <c r="AK65" s="11"/>
      <c r="AL65" s="34">
        <v>4</v>
      </c>
    </row>
    <row r="66" spans="1:38" x14ac:dyDescent="0.3">
      <c r="A66" s="19">
        <v>2024</v>
      </c>
      <c r="B66" s="19" t="s">
        <v>62</v>
      </c>
      <c r="C66" s="31">
        <v>45317</v>
      </c>
      <c r="D66" s="35" t="s">
        <v>50</v>
      </c>
      <c r="E66" s="32" t="s">
        <v>48</v>
      </c>
      <c r="F66" s="33" t="s">
        <v>51</v>
      </c>
      <c r="G66" s="11"/>
      <c r="H66" s="11" t="s">
        <v>88</v>
      </c>
      <c r="I66" s="11"/>
      <c r="J66" s="22">
        <v>5156187</v>
      </c>
      <c r="K66" s="45"/>
      <c r="L66" s="45"/>
      <c r="M66" s="18">
        <v>181590</v>
      </c>
      <c r="N66" s="46">
        <v>6912</v>
      </c>
      <c r="O66" s="47">
        <v>7050</v>
      </c>
      <c r="P66" s="11"/>
      <c r="Q66" s="48">
        <v>7017</v>
      </c>
      <c r="R66" s="12">
        <v>-33</v>
      </c>
      <c r="S66" s="12">
        <v>105</v>
      </c>
      <c r="T66" s="49">
        <v>1.5190972222222321E-2</v>
      </c>
      <c r="U66" s="49">
        <v>-4.6808510638297607E-3</v>
      </c>
      <c r="V66" s="11" t="s">
        <v>137</v>
      </c>
      <c r="W66" s="11">
        <v>0</v>
      </c>
      <c r="X66" s="11">
        <v>7</v>
      </c>
      <c r="Y66" s="11">
        <v>0</v>
      </c>
      <c r="Z66" s="11">
        <v>20</v>
      </c>
      <c r="AA66" s="11">
        <v>0</v>
      </c>
      <c r="AB66" s="11">
        <v>0</v>
      </c>
      <c r="AC66" s="11">
        <v>0</v>
      </c>
      <c r="AD66" s="11">
        <v>0</v>
      </c>
      <c r="AE66" s="11">
        <v>6</v>
      </c>
      <c r="AF66" s="11">
        <v>0</v>
      </c>
      <c r="AG66" s="11">
        <v>0</v>
      </c>
      <c r="AH66" s="11"/>
      <c r="AI66" s="12">
        <v>33</v>
      </c>
      <c r="AJ66" s="12">
        <v>0</v>
      </c>
      <c r="AK66" s="11"/>
      <c r="AL66" s="34">
        <v>4</v>
      </c>
    </row>
    <row r="67" spans="1:38" x14ac:dyDescent="0.3">
      <c r="A67" s="19">
        <v>2024</v>
      </c>
      <c r="B67" s="19" t="s">
        <v>62</v>
      </c>
      <c r="C67" s="31">
        <v>45317</v>
      </c>
      <c r="D67" s="35" t="s">
        <v>50</v>
      </c>
      <c r="E67" s="32" t="s">
        <v>48</v>
      </c>
      <c r="F67" s="33" t="s">
        <v>51</v>
      </c>
      <c r="G67" s="11"/>
      <c r="H67" s="11" t="s">
        <v>88</v>
      </c>
      <c r="I67" s="11"/>
      <c r="J67" s="22">
        <v>5156187</v>
      </c>
      <c r="K67" s="45"/>
      <c r="L67" s="45"/>
      <c r="M67" s="18">
        <v>181591</v>
      </c>
      <c r="N67" s="46">
        <v>1080</v>
      </c>
      <c r="O67" s="47">
        <v>1101</v>
      </c>
      <c r="P67" s="11"/>
      <c r="Q67" s="48">
        <v>1098</v>
      </c>
      <c r="R67" s="12">
        <v>-3</v>
      </c>
      <c r="S67" s="12">
        <v>18</v>
      </c>
      <c r="T67" s="49">
        <v>1.6666666666666607E-2</v>
      </c>
      <c r="U67" s="49">
        <v>-2.7247956403270157E-3</v>
      </c>
      <c r="V67" s="11" t="s">
        <v>138</v>
      </c>
      <c r="W67" s="11">
        <v>0</v>
      </c>
      <c r="X67" s="11">
        <v>1</v>
      </c>
      <c r="Y67" s="11">
        <v>0</v>
      </c>
      <c r="Z67" s="11">
        <v>2</v>
      </c>
      <c r="AA67" s="11">
        <v>0</v>
      </c>
      <c r="AB67" s="11">
        <v>0</v>
      </c>
      <c r="AC67" s="11">
        <v>0</v>
      </c>
      <c r="AD67" s="11">
        <v>0</v>
      </c>
      <c r="AE67" s="11">
        <v>0</v>
      </c>
      <c r="AF67" s="11">
        <v>0</v>
      </c>
      <c r="AG67" s="11">
        <v>0</v>
      </c>
      <c r="AH67" s="11"/>
      <c r="AI67" s="12">
        <v>3</v>
      </c>
      <c r="AJ67" s="12">
        <v>0</v>
      </c>
      <c r="AK67" s="11"/>
      <c r="AL67" s="34">
        <v>4</v>
      </c>
    </row>
    <row r="68" spans="1:38" x14ac:dyDescent="0.3">
      <c r="A68" s="19">
        <v>2024</v>
      </c>
      <c r="B68" s="19" t="s">
        <v>62</v>
      </c>
      <c r="C68" s="31">
        <v>45317</v>
      </c>
      <c r="D68" s="18" t="s">
        <v>68</v>
      </c>
      <c r="E68" s="32" t="s">
        <v>48</v>
      </c>
      <c r="F68" s="33" t="s">
        <v>69</v>
      </c>
      <c r="G68" s="11"/>
      <c r="H68" s="11" t="s">
        <v>88</v>
      </c>
      <c r="I68" s="11"/>
      <c r="J68" s="22" t="s">
        <v>139</v>
      </c>
      <c r="K68" s="45"/>
      <c r="L68" s="45"/>
      <c r="M68" s="18">
        <v>181592</v>
      </c>
      <c r="N68" s="46">
        <v>720</v>
      </c>
      <c r="O68" s="47">
        <v>740</v>
      </c>
      <c r="P68" s="11"/>
      <c r="Q68" s="48">
        <v>722</v>
      </c>
      <c r="R68" s="12">
        <v>-18</v>
      </c>
      <c r="S68" s="12">
        <v>2</v>
      </c>
      <c r="T68" s="49">
        <v>2.7777777777777679E-3</v>
      </c>
      <c r="U68" s="49">
        <v>-2.4324324324324298E-2</v>
      </c>
      <c r="V68" s="11"/>
      <c r="W68" s="11"/>
      <c r="X68" s="11">
        <v>6</v>
      </c>
      <c r="Y68" s="11"/>
      <c r="Z68" s="11"/>
      <c r="AA68" s="11"/>
      <c r="AB68" s="11"/>
      <c r="AC68" s="11"/>
      <c r="AD68" s="11"/>
      <c r="AE68" s="11">
        <v>6</v>
      </c>
      <c r="AF68" s="11">
        <v>2</v>
      </c>
      <c r="AG68" s="11"/>
      <c r="AH68" s="11"/>
      <c r="AI68" s="12">
        <v>18</v>
      </c>
      <c r="AJ68" s="12">
        <v>0</v>
      </c>
      <c r="AK68" s="11"/>
      <c r="AL68" s="34">
        <v>4</v>
      </c>
    </row>
    <row r="69" spans="1:38" x14ac:dyDescent="0.3">
      <c r="A69" s="19">
        <v>2024</v>
      </c>
      <c r="B69" s="19" t="s">
        <v>62</v>
      </c>
      <c r="C69" s="31">
        <v>45317</v>
      </c>
      <c r="D69" s="18" t="s">
        <v>68</v>
      </c>
      <c r="E69" s="32" t="s">
        <v>48</v>
      </c>
      <c r="F69" s="33" t="s">
        <v>69</v>
      </c>
      <c r="G69" s="11"/>
      <c r="H69" s="11" t="s">
        <v>88</v>
      </c>
      <c r="I69" s="11"/>
      <c r="J69" s="22" t="s">
        <v>140</v>
      </c>
      <c r="K69" s="45"/>
      <c r="L69" s="45"/>
      <c r="M69" s="18">
        <v>181593</v>
      </c>
      <c r="N69" s="46">
        <v>1440</v>
      </c>
      <c r="O69" s="47">
        <v>1509</v>
      </c>
      <c r="P69" s="11"/>
      <c r="Q69" s="48">
        <v>1440</v>
      </c>
      <c r="R69" s="12">
        <v>-69</v>
      </c>
      <c r="S69" s="12">
        <v>0</v>
      </c>
      <c r="T69" s="49">
        <v>0</v>
      </c>
      <c r="U69" s="49">
        <v>-4.5725646123260466E-2</v>
      </c>
      <c r="V69" s="11"/>
      <c r="W69" s="11"/>
      <c r="X69" s="11">
        <v>9</v>
      </c>
      <c r="Y69" s="11"/>
      <c r="Z69" s="11"/>
      <c r="AA69" s="11"/>
      <c r="AB69" s="11"/>
      <c r="AC69" s="11"/>
      <c r="AD69" s="11"/>
      <c r="AE69" s="11">
        <v>6</v>
      </c>
      <c r="AF69" s="11"/>
      <c r="AG69" s="11"/>
      <c r="AH69" s="11"/>
      <c r="AI69" s="12">
        <v>69</v>
      </c>
      <c r="AJ69" s="12">
        <v>0</v>
      </c>
      <c r="AK69" s="11"/>
      <c r="AL69" s="34">
        <v>4</v>
      </c>
    </row>
    <row r="70" spans="1:38" x14ac:dyDescent="0.3">
      <c r="A70" s="19">
        <v>2024</v>
      </c>
      <c r="B70" s="19" t="s">
        <v>62</v>
      </c>
      <c r="C70" s="31">
        <v>45317</v>
      </c>
      <c r="D70" s="18" t="s">
        <v>68</v>
      </c>
      <c r="E70" s="32" t="s">
        <v>48</v>
      </c>
      <c r="F70" s="33" t="s">
        <v>69</v>
      </c>
      <c r="G70" s="11"/>
      <c r="H70" s="11" t="s">
        <v>88</v>
      </c>
      <c r="I70" s="11"/>
      <c r="J70" s="22" t="s">
        <v>141</v>
      </c>
      <c r="K70" s="45"/>
      <c r="L70" s="45"/>
      <c r="M70" s="18">
        <v>181594</v>
      </c>
      <c r="N70" s="46">
        <v>3600</v>
      </c>
      <c r="O70" s="47">
        <v>3605</v>
      </c>
      <c r="P70" s="11"/>
      <c r="Q70" s="48">
        <v>3508</v>
      </c>
      <c r="R70" s="12">
        <v>-97</v>
      </c>
      <c r="S70" s="12">
        <v>-92</v>
      </c>
      <c r="T70" s="49">
        <v>-2.5555555555555554E-2</v>
      </c>
      <c r="U70" s="49">
        <v>-2.6907073509015222E-2</v>
      </c>
      <c r="V70" s="11"/>
      <c r="W70" s="11"/>
      <c r="X70" s="11">
        <v>54</v>
      </c>
      <c r="Y70" s="11"/>
      <c r="Z70" s="11">
        <v>6</v>
      </c>
      <c r="AA70" s="11"/>
      <c r="AB70" s="11"/>
      <c r="AC70" s="11"/>
      <c r="AD70" s="11"/>
      <c r="AE70" s="11">
        <v>6</v>
      </c>
      <c r="AF70" s="11"/>
      <c r="AG70" s="11"/>
      <c r="AH70" s="11"/>
      <c r="AI70" s="12">
        <v>97</v>
      </c>
      <c r="AJ70" s="12">
        <v>0</v>
      </c>
      <c r="AK70" s="11"/>
      <c r="AL70" s="34">
        <v>4</v>
      </c>
    </row>
    <row r="71" spans="1:38" x14ac:dyDescent="0.3">
      <c r="A71" s="20">
        <v>2024</v>
      </c>
      <c r="B71" s="20" t="s">
        <v>62</v>
      </c>
      <c r="C71" s="28">
        <v>45317</v>
      </c>
      <c r="D71" s="29" t="s">
        <v>96</v>
      </c>
      <c r="E71" s="29" t="s">
        <v>48</v>
      </c>
      <c r="F71" s="23" t="s">
        <v>49</v>
      </c>
      <c r="G71" s="10"/>
      <c r="H71" s="10" t="s">
        <v>88</v>
      </c>
      <c r="I71" s="10"/>
      <c r="J71" s="24">
        <v>5157976</v>
      </c>
      <c r="K71" s="40"/>
      <c r="L71" s="40"/>
      <c r="M71" s="16">
        <v>181608</v>
      </c>
      <c r="N71" s="41">
        <v>13284</v>
      </c>
      <c r="O71" s="42">
        <v>13295</v>
      </c>
      <c r="P71" s="10"/>
      <c r="Q71" s="43">
        <v>13284</v>
      </c>
      <c r="R71" s="13">
        <v>-11</v>
      </c>
      <c r="S71" s="13">
        <v>0</v>
      </c>
      <c r="T71" s="44">
        <v>0</v>
      </c>
      <c r="U71" s="44">
        <v>-8.2737871380222927E-4</v>
      </c>
      <c r="V71" s="10"/>
      <c r="W71" s="10">
        <v>17</v>
      </c>
      <c r="X71" s="10">
        <v>2</v>
      </c>
      <c r="Y71" s="10"/>
      <c r="Z71" s="10">
        <v>0</v>
      </c>
      <c r="AA71" s="10"/>
      <c r="AB71" s="10">
        <v>0</v>
      </c>
      <c r="AC71" s="10"/>
      <c r="AD71" s="10">
        <v>3</v>
      </c>
      <c r="AE71" s="10">
        <v>6</v>
      </c>
      <c r="AF71" s="10"/>
      <c r="AG71" s="10"/>
      <c r="AH71" s="10"/>
      <c r="AI71" s="13">
        <v>11</v>
      </c>
      <c r="AJ71" s="13">
        <v>0</v>
      </c>
      <c r="AK71" s="10"/>
      <c r="AL71" s="30">
        <v>4</v>
      </c>
    </row>
    <row r="72" spans="1:38" x14ac:dyDescent="0.3">
      <c r="A72" s="20">
        <v>2024</v>
      </c>
      <c r="B72" s="20" t="s">
        <v>62</v>
      </c>
      <c r="C72" s="28">
        <v>45317</v>
      </c>
      <c r="D72" s="29" t="s">
        <v>96</v>
      </c>
      <c r="E72" s="29" t="s">
        <v>48</v>
      </c>
      <c r="F72" s="23" t="s">
        <v>49</v>
      </c>
      <c r="G72" s="10"/>
      <c r="H72" s="10" t="s">
        <v>88</v>
      </c>
      <c r="I72" s="10"/>
      <c r="J72" s="24">
        <v>5157976</v>
      </c>
      <c r="K72" s="40"/>
      <c r="L72" s="40"/>
      <c r="M72" s="16">
        <v>181609</v>
      </c>
      <c r="N72" s="41">
        <v>1080</v>
      </c>
      <c r="O72" s="42">
        <v>1081</v>
      </c>
      <c r="P72" s="10"/>
      <c r="Q72" s="43">
        <v>1080</v>
      </c>
      <c r="R72" s="13">
        <v>-1</v>
      </c>
      <c r="S72" s="13">
        <v>0</v>
      </c>
      <c r="T72" s="44">
        <v>0</v>
      </c>
      <c r="U72" s="44">
        <v>-9.2506938020353591E-4</v>
      </c>
      <c r="V72" s="10"/>
      <c r="W72" s="10"/>
      <c r="X72" s="10"/>
      <c r="Y72" s="10"/>
      <c r="Z72" s="10">
        <v>1</v>
      </c>
      <c r="AA72" s="10"/>
      <c r="AB72" s="10"/>
      <c r="AC72" s="10"/>
      <c r="AD72" s="10"/>
      <c r="AE72" s="10"/>
      <c r="AF72" s="10"/>
      <c r="AG72" s="10"/>
      <c r="AH72" s="10"/>
      <c r="AI72" s="13">
        <v>1</v>
      </c>
      <c r="AJ72" s="13">
        <v>0</v>
      </c>
      <c r="AK72" s="10"/>
      <c r="AL72" s="30">
        <v>4</v>
      </c>
    </row>
    <row r="73" spans="1:38" x14ac:dyDescent="0.3">
      <c r="A73" s="20">
        <v>2024</v>
      </c>
      <c r="B73" s="20" t="s">
        <v>62</v>
      </c>
      <c r="C73" s="28">
        <v>45317</v>
      </c>
      <c r="D73" s="29" t="s">
        <v>96</v>
      </c>
      <c r="E73" s="29" t="s">
        <v>48</v>
      </c>
      <c r="F73" s="23" t="s">
        <v>49</v>
      </c>
      <c r="G73" s="10"/>
      <c r="H73" s="10" t="s">
        <v>88</v>
      </c>
      <c r="I73" s="10"/>
      <c r="J73" s="24">
        <v>5151821</v>
      </c>
      <c r="K73" s="40"/>
      <c r="L73" s="40"/>
      <c r="M73" s="16">
        <v>181614</v>
      </c>
      <c r="N73" s="41">
        <v>6372</v>
      </c>
      <c r="O73" s="42">
        <v>6381</v>
      </c>
      <c r="P73" s="10"/>
      <c r="Q73" s="43">
        <v>6372</v>
      </c>
      <c r="R73" s="13">
        <v>-9</v>
      </c>
      <c r="S73" s="13">
        <v>0</v>
      </c>
      <c r="T73" s="44">
        <v>0</v>
      </c>
      <c r="U73" s="44">
        <v>-1.4104372355430161E-3</v>
      </c>
      <c r="V73" s="10"/>
      <c r="W73" s="10"/>
      <c r="X73" s="10"/>
      <c r="Y73" s="10"/>
      <c r="Z73" s="10">
        <v>2</v>
      </c>
      <c r="AA73" s="10"/>
      <c r="AB73" s="10"/>
      <c r="AC73" s="10"/>
      <c r="AD73" s="10">
        <v>1</v>
      </c>
      <c r="AE73" s="10">
        <v>6</v>
      </c>
      <c r="AF73" s="10"/>
      <c r="AG73" s="10"/>
      <c r="AH73" s="10"/>
      <c r="AI73" s="13">
        <v>9</v>
      </c>
      <c r="AJ73" s="13">
        <v>0</v>
      </c>
      <c r="AK73" s="10"/>
      <c r="AL73" s="30">
        <v>4</v>
      </c>
    </row>
    <row r="74" spans="1:38" x14ac:dyDescent="0.3">
      <c r="A74" s="20">
        <v>2024</v>
      </c>
      <c r="B74" s="20" t="s">
        <v>62</v>
      </c>
      <c r="C74" s="28">
        <v>45317</v>
      </c>
      <c r="D74" s="29" t="s">
        <v>96</v>
      </c>
      <c r="E74" s="29" t="s">
        <v>48</v>
      </c>
      <c r="F74" s="23" t="s">
        <v>49</v>
      </c>
      <c r="G74" s="10"/>
      <c r="H74" s="10" t="s">
        <v>88</v>
      </c>
      <c r="I74" s="10"/>
      <c r="J74" s="24">
        <v>5151821</v>
      </c>
      <c r="K74" s="40"/>
      <c r="L74" s="40"/>
      <c r="M74" s="16">
        <v>181615</v>
      </c>
      <c r="N74" s="41">
        <v>1080</v>
      </c>
      <c r="O74" s="42">
        <v>1081</v>
      </c>
      <c r="P74" s="10"/>
      <c r="Q74" s="43">
        <v>1080</v>
      </c>
      <c r="R74" s="13">
        <v>-1</v>
      </c>
      <c r="S74" s="13">
        <v>0</v>
      </c>
      <c r="T74" s="44">
        <v>0</v>
      </c>
      <c r="U74" s="44">
        <v>-9.2506938020353591E-4</v>
      </c>
      <c r="V74" s="10"/>
      <c r="W74" s="10"/>
      <c r="X74" s="10"/>
      <c r="Y74" s="10"/>
      <c r="Z74" s="10">
        <v>1</v>
      </c>
      <c r="AA74" s="10"/>
      <c r="AB74" s="10"/>
      <c r="AC74" s="10"/>
      <c r="AD74" s="10"/>
      <c r="AE74" s="10"/>
      <c r="AF74" s="10"/>
      <c r="AG74" s="10"/>
      <c r="AH74" s="10"/>
      <c r="AI74" s="13">
        <v>1</v>
      </c>
      <c r="AJ74" s="13">
        <v>0</v>
      </c>
      <c r="AK74" s="10"/>
      <c r="AL74" s="30">
        <v>4</v>
      </c>
    </row>
    <row r="75" spans="1:38" x14ac:dyDescent="0.3">
      <c r="A75" s="20">
        <v>2024</v>
      </c>
      <c r="B75" s="20" t="s">
        <v>62</v>
      </c>
      <c r="C75" s="28">
        <v>45317</v>
      </c>
      <c r="D75" s="29" t="s">
        <v>96</v>
      </c>
      <c r="E75" s="29" t="s">
        <v>48</v>
      </c>
      <c r="F75" s="23" t="s">
        <v>49</v>
      </c>
      <c r="G75" s="10"/>
      <c r="H75" s="10" t="s">
        <v>88</v>
      </c>
      <c r="I75" s="10"/>
      <c r="J75" s="24">
        <v>5151816</v>
      </c>
      <c r="K75" s="40"/>
      <c r="L75" s="40"/>
      <c r="M75" s="16">
        <v>181616</v>
      </c>
      <c r="N75" s="41">
        <v>9504</v>
      </c>
      <c r="O75" s="42">
        <v>9517</v>
      </c>
      <c r="P75" s="10"/>
      <c r="Q75" s="43">
        <v>9504</v>
      </c>
      <c r="R75" s="13">
        <v>-13</v>
      </c>
      <c r="S75" s="13">
        <v>0</v>
      </c>
      <c r="T75" s="44">
        <v>0</v>
      </c>
      <c r="U75" s="44">
        <v>-1.3659766733213896E-3</v>
      </c>
      <c r="V75" s="10"/>
      <c r="W75" s="10"/>
      <c r="X75" s="10">
        <v>3</v>
      </c>
      <c r="Y75" s="10"/>
      <c r="Z75" s="10">
        <v>1</v>
      </c>
      <c r="AA75" s="10"/>
      <c r="AB75" s="10"/>
      <c r="AC75" s="10"/>
      <c r="AD75" s="10">
        <v>3</v>
      </c>
      <c r="AE75" s="10">
        <v>6</v>
      </c>
      <c r="AF75" s="10"/>
      <c r="AG75" s="10"/>
      <c r="AH75" s="10"/>
      <c r="AI75" s="13">
        <v>13</v>
      </c>
      <c r="AJ75" s="13">
        <v>0</v>
      </c>
      <c r="AK75" s="10"/>
      <c r="AL75" s="30">
        <v>4</v>
      </c>
    </row>
    <row r="76" spans="1:38" x14ac:dyDescent="0.3">
      <c r="A76" s="20">
        <v>2024</v>
      </c>
      <c r="B76" s="20" t="s">
        <v>62</v>
      </c>
      <c r="C76" s="28">
        <v>45317</v>
      </c>
      <c r="D76" s="29" t="s">
        <v>96</v>
      </c>
      <c r="E76" s="29" t="s">
        <v>48</v>
      </c>
      <c r="F76" s="23" t="s">
        <v>49</v>
      </c>
      <c r="G76" s="10"/>
      <c r="H76" s="10" t="s">
        <v>88</v>
      </c>
      <c r="I76" s="10"/>
      <c r="J76" s="24">
        <v>5151816</v>
      </c>
      <c r="K76" s="40"/>
      <c r="L76" s="40"/>
      <c r="M76" s="16">
        <v>181617</v>
      </c>
      <c r="N76" s="41">
        <v>1080</v>
      </c>
      <c r="O76" s="42">
        <v>1080</v>
      </c>
      <c r="P76" s="10"/>
      <c r="Q76" s="43">
        <v>1080</v>
      </c>
      <c r="R76" s="13">
        <v>0</v>
      </c>
      <c r="S76" s="13">
        <v>0</v>
      </c>
      <c r="T76" s="44">
        <v>0</v>
      </c>
      <c r="U76" s="44">
        <v>0</v>
      </c>
      <c r="V76" s="10"/>
      <c r="W76" s="10">
        <v>3</v>
      </c>
      <c r="X76" s="10">
        <v>2</v>
      </c>
      <c r="Y76" s="10"/>
      <c r="Z76" s="10"/>
      <c r="AA76" s="10"/>
      <c r="AB76" s="10">
        <v>1</v>
      </c>
      <c r="AC76" s="10"/>
      <c r="AD76" s="10"/>
      <c r="AE76" s="10"/>
      <c r="AF76" s="10"/>
      <c r="AG76" s="10"/>
      <c r="AH76" s="10"/>
      <c r="AI76" s="13">
        <v>3</v>
      </c>
      <c r="AJ76" s="13">
        <v>3</v>
      </c>
      <c r="AK76" s="10"/>
      <c r="AL76" s="30">
        <v>4</v>
      </c>
    </row>
    <row r="77" spans="1:38" x14ac:dyDescent="0.3">
      <c r="A77" s="19">
        <v>2024</v>
      </c>
      <c r="B77" s="19" t="s">
        <v>62</v>
      </c>
      <c r="C77" s="31">
        <v>45317</v>
      </c>
      <c r="D77" s="32" t="s">
        <v>96</v>
      </c>
      <c r="E77" s="32" t="s">
        <v>48</v>
      </c>
      <c r="F77" s="33" t="s">
        <v>49</v>
      </c>
      <c r="G77" s="11"/>
      <c r="H77" s="11" t="s">
        <v>88</v>
      </c>
      <c r="I77" s="11"/>
      <c r="J77" s="22">
        <v>5151835</v>
      </c>
      <c r="K77" s="45"/>
      <c r="L77" s="45"/>
      <c r="M77" s="18">
        <v>181618</v>
      </c>
      <c r="N77" s="46">
        <v>6372</v>
      </c>
      <c r="O77" s="47">
        <v>6394</v>
      </c>
      <c r="P77" s="11"/>
      <c r="Q77" s="48">
        <v>6372</v>
      </c>
      <c r="R77" s="12">
        <v>-22</v>
      </c>
      <c r="S77" s="12">
        <v>0</v>
      </c>
      <c r="T77" s="49">
        <v>0</v>
      </c>
      <c r="U77" s="49">
        <v>-3.4407256803252739E-3</v>
      </c>
      <c r="V77" s="11"/>
      <c r="W77" s="11"/>
      <c r="X77" s="11">
        <v>3</v>
      </c>
      <c r="Y77" s="11"/>
      <c r="Z77" s="11">
        <v>10</v>
      </c>
      <c r="AA77" s="11"/>
      <c r="AB77" s="11"/>
      <c r="AC77" s="11"/>
      <c r="AD77" s="11">
        <v>3</v>
      </c>
      <c r="AE77" s="11">
        <v>6</v>
      </c>
      <c r="AF77" s="11"/>
      <c r="AG77" s="11"/>
      <c r="AH77" s="11"/>
      <c r="AI77" s="12">
        <v>22</v>
      </c>
      <c r="AJ77" s="12">
        <v>0</v>
      </c>
      <c r="AK77" s="11"/>
      <c r="AL77" s="34">
        <v>4</v>
      </c>
    </row>
    <row r="78" spans="1:38" x14ac:dyDescent="0.3">
      <c r="A78" s="20">
        <v>2024</v>
      </c>
      <c r="B78" s="20" t="s">
        <v>62</v>
      </c>
      <c r="C78" s="28">
        <v>45317</v>
      </c>
      <c r="D78" s="29" t="s">
        <v>96</v>
      </c>
      <c r="E78" s="29" t="s">
        <v>48</v>
      </c>
      <c r="F78" s="23" t="s">
        <v>49</v>
      </c>
      <c r="G78" s="10"/>
      <c r="H78" s="10" t="s">
        <v>88</v>
      </c>
      <c r="I78" s="10"/>
      <c r="J78" s="24">
        <v>5151835</v>
      </c>
      <c r="K78" s="40"/>
      <c r="L78" s="40"/>
      <c r="M78" s="16">
        <v>181619</v>
      </c>
      <c r="N78" s="41">
        <v>1080</v>
      </c>
      <c r="O78" s="42">
        <v>1080</v>
      </c>
      <c r="P78" s="10"/>
      <c r="Q78" s="43">
        <v>1080</v>
      </c>
      <c r="R78" s="13">
        <v>0</v>
      </c>
      <c r="S78" s="13">
        <v>0</v>
      </c>
      <c r="T78" s="44">
        <v>0</v>
      </c>
      <c r="U78" s="44">
        <v>0</v>
      </c>
      <c r="V78" s="10"/>
      <c r="W78" s="10">
        <v>8</v>
      </c>
      <c r="X78" s="10">
        <v>4</v>
      </c>
      <c r="Y78" s="10"/>
      <c r="Z78" s="10"/>
      <c r="AA78" s="10"/>
      <c r="AB78" s="10">
        <v>4</v>
      </c>
      <c r="AC78" s="10"/>
      <c r="AD78" s="10"/>
      <c r="AE78" s="10"/>
      <c r="AF78" s="10"/>
      <c r="AG78" s="10"/>
      <c r="AH78" s="10"/>
      <c r="AI78" s="13">
        <v>8</v>
      </c>
      <c r="AJ78" s="13">
        <v>8</v>
      </c>
      <c r="AK78" s="10"/>
      <c r="AL78" s="30">
        <v>4</v>
      </c>
    </row>
    <row r="79" spans="1:38" x14ac:dyDescent="0.3">
      <c r="A79" s="19">
        <v>2024</v>
      </c>
      <c r="B79" s="19" t="s">
        <v>62</v>
      </c>
      <c r="C79" s="31">
        <v>45317</v>
      </c>
      <c r="D79" s="32" t="s">
        <v>96</v>
      </c>
      <c r="E79" s="32" t="s">
        <v>48</v>
      </c>
      <c r="F79" s="33" t="s">
        <v>49</v>
      </c>
      <c r="G79" s="11"/>
      <c r="H79" s="11" t="s">
        <v>88</v>
      </c>
      <c r="I79" s="11"/>
      <c r="J79" s="22">
        <v>5151824</v>
      </c>
      <c r="K79" s="45"/>
      <c r="L79" s="45"/>
      <c r="M79" s="18">
        <v>181620</v>
      </c>
      <c r="N79" s="46">
        <v>4320</v>
      </c>
      <c r="O79" s="47">
        <v>4341</v>
      </c>
      <c r="P79" s="11"/>
      <c r="Q79" s="48">
        <v>4320</v>
      </c>
      <c r="R79" s="12">
        <v>-21</v>
      </c>
      <c r="S79" s="12">
        <v>0</v>
      </c>
      <c r="T79" s="49">
        <v>0</v>
      </c>
      <c r="U79" s="49">
        <v>-4.8375950241880128E-3</v>
      </c>
      <c r="V79" s="11"/>
      <c r="W79" s="11"/>
      <c r="X79" s="11">
        <v>1</v>
      </c>
      <c r="Y79" s="11"/>
      <c r="Z79" s="11">
        <v>11</v>
      </c>
      <c r="AA79" s="11"/>
      <c r="AB79" s="11"/>
      <c r="AC79" s="11"/>
      <c r="AD79" s="11">
        <v>3</v>
      </c>
      <c r="AE79" s="11">
        <v>6</v>
      </c>
      <c r="AF79" s="11"/>
      <c r="AG79" s="11"/>
      <c r="AH79" s="11"/>
      <c r="AI79" s="12">
        <v>21</v>
      </c>
      <c r="AJ79" s="12">
        <v>0</v>
      </c>
      <c r="AK79" s="11"/>
      <c r="AL79" s="34">
        <v>4</v>
      </c>
    </row>
    <row r="80" spans="1:38" x14ac:dyDescent="0.3">
      <c r="A80" s="20">
        <v>2024</v>
      </c>
      <c r="B80" s="20" t="s">
        <v>62</v>
      </c>
      <c r="C80" s="28">
        <v>45317</v>
      </c>
      <c r="D80" s="39" t="s">
        <v>50</v>
      </c>
      <c r="E80" s="29" t="s">
        <v>48</v>
      </c>
      <c r="F80" s="23" t="s">
        <v>51</v>
      </c>
      <c r="G80" s="10"/>
      <c r="H80" s="10" t="s">
        <v>88</v>
      </c>
      <c r="I80" s="10"/>
      <c r="J80" s="24">
        <v>5152388</v>
      </c>
      <c r="K80" s="40"/>
      <c r="L80" s="40"/>
      <c r="M80" s="16">
        <v>181626</v>
      </c>
      <c r="N80" s="41">
        <v>2160</v>
      </c>
      <c r="O80" s="42">
        <v>2226</v>
      </c>
      <c r="P80" s="10"/>
      <c r="Q80" s="43">
        <v>2223</v>
      </c>
      <c r="R80" s="13">
        <v>-3</v>
      </c>
      <c r="S80" s="13">
        <v>63</v>
      </c>
      <c r="T80" s="44">
        <v>2.9166666666666563E-2</v>
      </c>
      <c r="U80" s="44">
        <v>-1.3477088948786742E-3</v>
      </c>
      <c r="V80" s="10" t="s">
        <v>142</v>
      </c>
      <c r="W80" s="10">
        <v>8</v>
      </c>
      <c r="X80" s="10">
        <v>3</v>
      </c>
      <c r="Y80" s="10">
        <v>0</v>
      </c>
      <c r="Z80" s="10">
        <v>0</v>
      </c>
      <c r="AA80" s="10">
        <v>0</v>
      </c>
      <c r="AB80" s="10">
        <v>0</v>
      </c>
      <c r="AC80" s="10">
        <v>0</v>
      </c>
      <c r="AD80" s="10">
        <v>0</v>
      </c>
      <c r="AE80" s="10">
        <v>0</v>
      </c>
      <c r="AF80" s="10">
        <v>0</v>
      </c>
      <c r="AG80" s="10">
        <v>0</v>
      </c>
      <c r="AH80" s="10"/>
      <c r="AI80" s="13">
        <v>3</v>
      </c>
      <c r="AJ80" s="13">
        <v>0</v>
      </c>
      <c r="AK80" s="10"/>
      <c r="AL80" s="30">
        <v>4</v>
      </c>
    </row>
    <row r="81" spans="1:38" x14ac:dyDescent="0.3">
      <c r="A81" s="20">
        <v>2024</v>
      </c>
      <c r="B81" s="20" t="s">
        <v>62</v>
      </c>
      <c r="C81" s="28">
        <v>45317</v>
      </c>
      <c r="D81" s="16" t="s">
        <v>68</v>
      </c>
      <c r="E81" s="29" t="s">
        <v>48</v>
      </c>
      <c r="F81" s="23" t="s">
        <v>69</v>
      </c>
      <c r="G81" s="10"/>
      <c r="H81" s="10" t="s">
        <v>88</v>
      </c>
      <c r="I81" s="10"/>
      <c r="J81" s="24">
        <v>5155370</v>
      </c>
      <c r="K81" s="40"/>
      <c r="L81" s="40"/>
      <c r="M81" s="16">
        <v>181627</v>
      </c>
      <c r="N81" s="41">
        <v>9396</v>
      </c>
      <c r="O81" s="42">
        <v>9688</v>
      </c>
      <c r="P81" s="10"/>
      <c r="Q81" s="43">
        <v>9672</v>
      </c>
      <c r="R81" s="13">
        <v>-16</v>
      </c>
      <c r="S81" s="13">
        <v>276</v>
      </c>
      <c r="T81" s="44">
        <v>2.9374201787994991E-2</v>
      </c>
      <c r="U81" s="44">
        <v>-1.6515276630884035E-3</v>
      </c>
      <c r="V81" s="10"/>
      <c r="W81" s="10"/>
      <c r="X81" s="10"/>
      <c r="Y81" s="10"/>
      <c r="Z81" s="10">
        <v>9</v>
      </c>
      <c r="AA81" s="10"/>
      <c r="AB81" s="10"/>
      <c r="AC81" s="10"/>
      <c r="AD81" s="10"/>
      <c r="AE81" s="10"/>
      <c r="AF81" s="10"/>
      <c r="AG81" s="10"/>
      <c r="AH81" s="10"/>
      <c r="AI81" s="13">
        <v>16</v>
      </c>
      <c r="AJ81" s="13">
        <v>0</v>
      </c>
      <c r="AK81" s="10"/>
      <c r="AL81" s="30">
        <v>4</v>
      </c>
    </row>
    <row r="82" spans="1:38" x14ac:dyDescent="0.3">
      <c r="A82" s="19">
        <v>2024</v>
      </c>
      <c r="B82" s="19" t="s">
        <v>62</v>
      </c>
      <c r="C82" s="31">
        <v>45317</v>
      </c>
      <c r="D82" s="32" t="s">
        <v>96</v>
      </c>
      <c r="E82" s="32" t="s">
        <v>48</v>
      </c>
      <c r="F82" s="33" t="s">
        <v>49</v>
      </c>
      <c r="G82" s="11"/>
      <c r="H82" s="11" t="s">
        <v>88</v>
      </c>
      <c r="I82" s="11"/>
      <c r="J82" s="22">
        <v>5156858</v>
      </c>
      <c r="K82" s="45"/>
      <c r="L82" s="45"/>
      <c r="M82" s="18">
        <v>181629</v>
      </c>
      <c r="N82" s="46">
        <v>1440</v>
      </c>
      <c r="O82" s="47">
        <v>1490</v>
      </c>
      <c r="P82" s="11"/>
      <c r="Q82" s="48">
        <v>1472</v>
      </c>
      <c r="R82" s="12">
        <v>-18</v>
      </c>
      <c r="S82" s="12">
        <v>32</v>
      </c>
      <c r="T82" s="49">
        <v>2.2222222222222143E-2</v>
      </c>
      <c r="U82" s="49">
        <v>-1.2080536912751683E-2</v>
      </c>
      <c r="V82" s="11"/>
      <c r="W82" s="11"/>
      <c r="X82" s="11">
        <v>3</v>
      </c>
      <c r="Y82" s="11"/>
      <c r="Z82" s="11"/>
      <c r="AA82" s="11"/>
      <c r="AB82" s="11">
        <v>3</v>
      </c>
      <c r="AC82" s="11"/>
      <c r="AD82" s="11">
        <v>4</v>
      </c>
      <c r="AE82" s="11">
        <v>8</v>
      </c>
      <c r="AF82" s="11"/>
      <c r="AG82" s="11"/>
      <c r="AH82" s="11"/>
      <c r="AI82" s="12">
        <v>18</v>
      </c>
      <c r="AJ82" s="12">
        <v>0</v>
      </c>
      <c r="AK82" s="11"/>
      <c r="AL82" s="34">
        <v>4</v>
      </c>
    </row>
    <row r="83" spans="1:38" x14ac:dyDescent="0.3">
      <c r="A83" s="19">
        <v>2024</v>
      </c>
      <c r="B83" s="19" t="s">
        <v>62</v>
      </c>
      <c r="C83" s="31">
        <v>45317</v>
      </c>
      <c r="D83" s="32" t="s">
        <v>96</v>
      </c>
      <c r="E83" s="32" t="s">
        <v>48</v>
      </c>
      <c r="F83" s="33" t="s">
        <v>49</v>
      </c>
      <c r="G83" s="11"/>
      <c r="H83" s="11" t="s">
        <v>88</v>
      </c>
      <c r="I83" s="11"/>
      <c r="J83" s="22">
        <v>5156861</v>
      </c>
      <c r="K83" s="45"/>
      <c r="L83" s="45"/>
      <c r="M83" s="18">
        <v>181630</v>
      </c>
      <c r="N83" s="46">
        <v>4032</v>
      </c>
      <c r="O83" s="47">
        <v>4147</v>
      </c>
      <c r="P83" s="11"/>
      <c r="Q83" s="48">
        <v>4032</v>
      </c>
      <c r="R83" s="12">
        <v>-115</v>
      </c>
      <c r="S83" s="12">
        <v>0</v>
      </c>
      <c r="T83" s="49">
        <v>0</v>
      </c>
      <c r="U83" s="49">
        <v>-2.7730889799855274E-2</v>
      </c>
      <c r="V83" s="11"/>
      <c r="W83" s="11"/>
      <c r="X83" s="11">
        <v>29</v>
      </c>
      <c r="Y83" s="11"/>
      <c r="Z83" s="11"/>
      <c r="AA83" s="11"/>
      <c r="AB83" s="11">
        <v>74</v>
      </c>
      <c r="AC83" s="11"/>
      <c r="AD83" s="11">
        <v>4</v>
      </c>
      <c r="AE83" s="11">
        <v>8</v>
      </c>
      <c r="AF83" s="11"/>
      <c r="AG83" s="11"/>
      <c r="AH83" s="11"/>
      <c r="AI83" s="12">
        <v>115</v>
      </c>
      <c r="AJ83" s="12">
        <v>0</v>
      </c>
      <c r="AK83" s="11"/>
      <c r="AL83" s="34">
        <v>4</v>
      </c>
    </row>
    <row r="84" spans="1:38" x14ac:dyDescent="0.3">
      <c r="A84" s="19">
        <v>2024</v>
      </c>
      <c r="B84" s="19" t="s">
        <v>62</v>
      </c>
      <c r="C84" s="31">
        <v>45317</v>
      </c>
      <c r="D84" s="32" t="s">
        <v>96</v>
      </c>
      <c r="E84" s="32" t="s">
        <v>48</v>
      </c>
      <c r="F84" s="33" t="s">
        <v>49</v>
      </c>
      <c r="G84" s="11"/>
      <c r="H84" s="11" t="s">
        <v>88</v>
      </c>
      <c r="I84" s="11"/>
      <c r="J84" s="22">
        <v>5153211</v>
      </c>
      <c r="K84" s="45"/>
      <c r="L84" s="45"/>
      <c r="M84" s="18">
        <v>181631</v>
      </c>
      <c r="N84" s="46">
        <v>10512</v>
      </c>
      <c r="O84" s="47">
        <v>10830</v>
      </c>
      <c r="P84" s="11"/>
      <c r="Q84" s="48">
        <v>10748</v>
      </c>
      <c r="R84" s="12">
        <v>-82</v>
      </c>
      <c r="S84" s="12">
        <v>236</v>
      </c>
      <c r="T84" s="49">
        <v>2.2450532724505257E-2</v>
      </c>
      <c r="U84" s="49">
        <v>-7.5715604801477321E-3</v>
      </c>
      <c r="V84" s="11"/>
      <c r="W84" s="11">
        <v>98</v>
      </c>
      <c r="X84" s="11">
        <v>116</v>
      </c>
      <c r="Y84" s="11"/>
      <c r="Z84" s="11">
        <v>2</v>
      </c>
      <c r="AA84" s="11"/>
      <c r="AB84" s="11">
        <v>53</v>
      </c>
      <c r="AC84" s="11"/>
      <c r="AD84" s="11">
        <v>1</v>
      </c>
      <c r="AE84" s="11">
        <v>8</v>
      </c>
      <c r="AF84" s="11"/>
      <c r="AG84" s="11"/>
      <c r="AH84" s="11"/>
      <c r="AI84" s="12">
        <v>180</v>
      </c>
      <c r="AJ84" s="12">
        <v>98</v>
      </c>
      <c r="AK84" s="11"/>
      <c r="AL84" s="34">
        <v>4</v>
      </c>
    </row>
    <row r="85" spans="1:38" x14ac:dyDescent="0.3">
      <c r="A85" s="19">
        <v>2024</v>
      </c>
      <c r="B85" s="19" t="s">
        <v>62</v>
      </c>
      <c r="C85" s="31">
        <v>45317</v>
      </c>
      <c r="D85" s="32" t="s">
        <v>96</v>
      </c>
      <c r="E85" s="32" t="s">
        <v>48</v>
      </c>
      <c r="F85" s="33" t="s">
        <v>49</v>
      </c>
      <c r="G85" s="11"/>
      <c r="H85" s="11" t="s">
        <v>88</v>
      </c>
      <c r="I85" s="11"/>
      <c r="J85" s="22">
        <v>5153203</v>
      </c>
      <c r="K85" s="45"/>
      <c r="L85" s="45"/>
      <c r="M85" s="18">
        <v>181632</v>
      </c>
      <c r="N85" s="46">
        <v>3600</v>
      </c>
      <c r="O85" s="47">
        <v>3720</v>
      </c>
      <c r="P85" s="11"/>
      <c r="Q85" s="48">
        <v>3700</v>
      </c>
      <c r="R85" s="12">
        <v>-20</v>
      </c>
      <c r="S85" s="12">
        <v>100</v>
      </c>
      <c r="T85" s="49">
        <v>2.7777777777777679E-2</v>
      </c>
      <c r="U85" s="49">
        <v>-5.3763440860215006E-3</v>
      </c>
      <c r="V85" s="11"/>
      <c r="W85" s="11">
        <v>85</v>
      </c>
      <c r="X85" s="11">
        <v>16</v>
      </c>
      <c r="Y85" s="11"/>
      <c r="Z85" s="11">
        <v>1</v>
      </c>
      <c r="AA85" s="11"/>
      <c r="AB85" s="11">
        <v>76</v>
      </c>
      <c r="AC85" s="11"/>
      <c r="AD85" s="11">
        <v>4</v>
      </c>
      <c r="AE85" s="11">
        <v>8</v>
      </c>
      <c r="AF85" s="11"/>
      <c r="AG85" s="11"/>
      <c r="AH85" s="11"/>
      <c r="AI85" s="12">
        <v>105</v>
      </c>
      <c r="AJ85" s="12">
        <v>85</v>
      </c>
      <c r="AK85" s="11"/>
      <c r="AL85" s="34">
        <v>4</v>
      </c>
    </row>
    <row r="86" spans="1:38" x14ac:dyDescent="0.3">
      <c r="A86" s="19">
        <v>2024</v>
      </c>
      <c r="B86" s="19" t="s">
        <v>62</v>
      </c>
      <c r="C86" s="31">
        <v>45317</v>
      </c>
      <c r="D86" s="32" t="s">
        <v>96</v>
      </c>
      <c r="E86" s="32" t="s">
        <v>48</v>
      </c>
      <c r="F86" s="33" t="s">
        <v>49</v>
      </c>
      <c r="G86" s="11"/>
      <c r="H86" s="11" t="s">
        <v>88</v>
      </c>
      <c r="I86" s="11"/>
      <c r="J86" s="22">
        <v>5153205</v>
      </c>
      <c r="K86" s="45"/>
      <c r="L86" s="45"/>
      <c r="M86" s="18">
        <v>181633</v>
      </c>
      <c r="N86" s="46">
        <v>10656</v>
      </c>
      <c r="O86" s="47">
        <v>10951</v>
      </c>
      <c r="P86" s="11"/>
      <c r="Q86" s="48">
        <v>10712</v>
      </c>
      <c r="R86" s="12">
        <v>-239</v>
      </c>
      <c r="S86" s="12">
        <v>56</v>
      </c>
      <c r="T86" s="49">
        <v>5.2552552552551646E-3</v>
      </c>
      <c r="U86" s="49">
        <v>-2.1824490914071792E-2</v>
      </c>
      <c r="V86" s="11"/>
      <c r="W86" s="11">
        <v>172</v>
      </c>
      <c r="X86" s="11">
        <v>128</v>
      </c>
      <c r="Y86" s="11"/>
      <c r="Z86" s="11"/>
      <c r="AA86" s="11">
        <v>42</v>
      </c>
      <c r="AB86" s="11">
        <v>229</v>
      </c>
      <c r="AC86" s="11"/>
      <c r="AD86" s="11">
        <v>4</v>
      </c>
      <c r="AE86" s="11">
        <v>8</v>
      </c>
      <c r="AF86" s="11"/>
      <c r="AG86" s="11"/>
      <c r="AH86" s="11"/>
      <c r="AI86" s="12">
        <v>411</v>
      </c>
      <c r="AJ86" s="12">
        <v>172</v>
      </c>
      <c r="AK86" s="11"/>
      <c r="AL86" s="34">
        <v>4</v>
      </c>
    </row>
    <row r="87" spans="1:38" x14ac:dyDescent="0.3">
      <c r="A87" s="19">
        <v>2024</v>
      </c>
      <c r="B87" s="19" t="s">
        <v>62</v>
      </c>
      <c r="C87" s="31">
        <v>45317</v>
      </c>
      <c r="D87" s="32" t="s">
        <v>96</v>
      </c>
      <c r="E87" s="32" t="s">
        <v>48</v>
      </c>
      <c r="F87" s="33" t="s">
        <v>49</v>
      </c>
      <c r="G87" s="11"/>
      <c r="H87" s="11" t="s">
        <v>88</v>
      </c>
      <c r="I87" s="11"/>
      <c r="J87" s="22">
        <v>5156194</v>
      </c>
      <c r="K87" s="45"/>
      <c r="L87" s="45"/>
      <c r="M87" s="18">
        <v>181634</v>
      </c>
      <c r="N87" s="46">
        <v>11664</v>
      </c>
      <c r="O87" s="47">
        <v>11792</v>
      </c>
      <c r="P87" s="11"/>
      <c r="Q87" s="48">
        <v>11708</v>
      </c>
      <c r="R87" s="12">
        <v>-84</v>
      </c>
      <c r="S87" s="12">
        <v>44</v>
      </c>
      <c r="T87" s="49">
        <v>3.7722908093278384E-3</v>
      </c>
      <c r="U87" s="49">
        <v>-7.1234735413839845E-3</v>
      </c>
      <c r="V87" s="11"/>
      <c r="W87" s="11">
        <v>96</v>
      </c>
      <c r="X87" s="11">
        <v>66</v>
      </c>
      <c r="Y87" s="11"/>
      <c r="Z87" s="11">
        <v>2</v>
      </c>
      <c r="AA87" s="11">
        <v>13</v>
      </c>
      <c r="AB87" s="11">
        <v>87</v>
      </c>
      <c r="AC87" s="11"/>
      <c r="AD87" s="11">
        <v>4</v>
      </c>
      <c r="AE87" s="11">
        <v>8</v>
      </c>
      <c r="AF87" s="11"/>
      <c r="AG87" s="11"/>
      <c r="AH87" s="11"/>
      <c r="AI87" s="12">
        <v>180</v>
      </c>
      <c r="AJ87" s="12">
        <v>96</v>
      </c>
      <c r="AK87" s="11"/>
      <c r="AL87" s="34">
        <v>4</v>
      </c>
    </row>
    <row r="88" spans="1:38" x14ac:dyDescent="0.3">
      <c r="A88" s="19">
        <v>2024</v>
      </c>
      <c r="B88" s="19" t="s">
        <v>62</v>
      </c>
      <c r="C88" s="31">
        <v>45317</v>
      </c>
      <c r="D88" s="32" t="s">
        <v>96</v>
      </c>
      <c r="E88" s="32" t="s">
        <v>48</v>
      </c>
      <c r="F88" s="33" t="s">
        <v>49</v>
      </c>
      <c r="G88" s="11"/>
      <c r="H88" s="11" t="s">
        <v>88</v>
      </c>
      <c r="I88" s="11"/>
      <c r="J88" s="22">
        <v>5153204</v>
      </c>
      <c r="K88" s="45"/>
      <c r="L88" s="45"/>
      <c r="M88" s="18">
        <v>181636</v>
      </c>
      <c r="N88" s="46">
        <v>4896</v>
      </c>
      <c r="O88" s="47">
        <v>5022</v>
      </c>
      <c r="P88" s="11"/>
      <c r="Q88" s="48">
        <v>4980</v>
      </c>
      <c r="R88" s="12">
        <v>-42</v>
      </c>
      <c r="S88" s="12">
        <v>84</v>
      </c>
      <c r="T88" s="49">
        <v>1.7156862745097978E-2</v>
      </c>
      <c r="U88" s="49">
        <v>-8.3632019115890133E-3</v>
      </c>
      <c r="V88" s="11"/>
      <c r="W88" s="11">
        <v>47</v>
      </c>
      <c r="X88" s="11">
        <v>76</v>
      </c>
      <c r="Y88" s="11"/>
      <c r="Z88" s="11">
        <v>1</v>
      </c>
      <c r="AA88" s="11"/>
      <c r="AB88" s="11">
        <v>8</v>
      </c>
      <c r="AC88" s="11"/>
      <c r="AD88" s="11">
        <v>4</v>
      </c>
      <c r="AE88" s="11"/>
      <c r="AF88" s="11"/>
      <c r="AG88" s="11"/>
      <c r="AH88" s="11"/>
      <c r="AI88" s="12">
        <v>89</v>
      </c>
      <c r="AJ88" s="12">
        <v>47</v>
      </c>
      <c r="AK88" s="11"/>
      <c r="AL88" s="34">
        <v>4</v>
      </c>
    </row>
    <row r="89" spans="1:38" x14ac:dyDescent="0.3">
      <c r="A89" s="19">
        <v>2024</v>
      </c>
      <c r="B89" s="19" t="s">
        <v>62</v>
      </c>
      <c r="C89" s="31">
        <v>45317</v>
      </c>
      <c r="D89" s="32" t="s">
        <v>96</v>
      </c>
      <c r="E89" s="32" t="s">
        <v>48</v>
      </c>
      <c r="F89" s="33" t="s">
        <v>49</v>
      </c>
      <c r="G89" s="11"/>
      <c r="H89" s="11" t="s">
        <v>88</v>
      </c>
      <c r="I89" s="11"/>
      <c r="J89" s="22">
        <v>5153202</v>
      </c>
      <c r="K89" s="45"/>
      <c r="L89" s="45"/>
      <c r="M89" s="18">
        <v>181637</v>
      </c>
      <c r="N89" s="46">
        <v>3456</v>
      </c>
      <c r="O89" s="47">
        <v>3534</v>
      </c>
      <c r="P89" s="11"/>
      <c r="Q89" s="48">
        <v>3504</v>
      </c>
      <c r="R89" s="12">
        <v>-30</v>
      </c>
      <c r="S89" s="12">
        <v>48</v>
      </c>
      <c r="T89" s="49">
        <v>1.388888888888884E-2</v>
      </c>
      <c r="U89" s="49">
        <v>-8.4889643463497144E-3</v>
      </c>
      <c r="V89" s="11"/>
      <c r="W89" s="11">
        <v>20</v>
      </c>
      <c r="X89" s="11">
        <v>19</v>
      </c>
      <c r="Y89" s="11"/>
      <c r="Z89" s="11">
        <v>1</v>
      </c>
      <c r="AA89" s="11"/>
      <c r="AB89" s="11">
        <v>18</v>
      </c>
      <c r="AC89" s="11"/>
      <c r="AD89" s="11">
        <v>4</v>
      </c>
      <c r="AE89" s="11">
        <v>8</v>
      </c>
      <c r="AF89" s="11"/>
      <c r="AG89" s="11"/>
      <c r="AH89" s="11"/>
      <c r="AI89" s="12">
        <v>50</v>
      </c>
      <c r="AJ89" s="12">
        <v>20</v>
      </c>
      <c r="AK89" s="11"/>
      <c r="AL89" s="34">
        <v>4</v>
      </c>
    </row>
    <row r="90" spans="1:38" x14ac:dyDescent="0.3">
      <c r="A90" s="19">
        <v>2024</v>
      </c>
      <c r="B90" s="19" t="s">
        <v>62</v>
      </c>
      <c r="C90" s="31">
        <v>45317</v>
      </c>
      <c r="D90" s="32" t="s">
        <v>96</v>
      </c>
      <c r="E90" s="32" t="s">
        <v>48</v>
      </c>
      <c r="F90" s="33" t="s">
        <v>49</v>
      </c>
      <c r="G90" s="11"/>
      <c r="H90" s="11" t="s">
        <v>88</v>
      </c>
      <c r="I90" s="11"/>
      <c r="J90" s="22">
        <v>5158059</v>
      </c>
      <c r="K90" s="45"/>
      <c r="L90" s="45"/>
      <c r="M90" s="18">
        <v>181638</v>
      </c>
      <c r="N90" s="46">
        <v>9504</v>
      </c>
      <c r="O90" s="47">
        <v>9718</v>
      </c>
      <c r="P90" s="11"/>
      <c r="Q90" s="48">
        <v>9556</v>
      </c>
      <c r="R90" s="12">
        <v>-162</v>
      </c>
      <c r="S90" s="12">
        <v>52</v>
      </c>
      <c r="T90" s="49">
        <v>5.4713804713804048E-3</v>
      </c>
      <c r="U90" s="49">
        <v>-1.6670096727721795E-2</v>
      </c>
      <c r="V90" s="11"/>
      <c r="W90" s="11"/>
      <c r="X90" s="11">
        <v>97</v>
      </c>
      <c r="Y90" s="11"/>
      <c r="Z90" s="11">
        <v>3</v>
      </c>
      <c r="AA90" s="11"/>
      <c r="AB90" s="11">
        <v>50</v>
      </c>
      <c r="AC90" s="11"/>
      <c r="AD90" s="11">
        <v>4</v>
      </c>
      <c r="AE90" s="11">
        <v>8</v>
      </c>
      <c r="AF90" s="11"/>
      <c r="AG90" s="11"/>
      <c r="AH90" s="11"/>
      <c r="AI90" s="12">
        <v>162</v>
      </c>
      <c r="AJ90" s="12">
        <v>0</v>
      </c>
      <c r="AK90" s="11"/>
      <c r="AL90" s="34">
        <v>4</v>
      </c>
    </row>
    <row r="91" spans="1:38" x14ac:dyDescent="0.3">
      <c r="A91" s="19">
        <v>2024</v>
      </c>
      <c r="B91" s="19" t="s">
        <v>62</v>
      </c>
      <c r="C91" s="31">
        <v>45321</v>
      </c>
      <c r="D91" s="18" t="s">
        <v>68</v>
      </c>
      <c r="E91" s="32" t="s">
        <v>52</v>
      </c>
      <c r="F91" s="33" t="s">
        <v>69</v>
      </c>
      <c r="G91" s="11"/>
      <c r="H91" s="11" t="s">
        <v>70</v>
      </c>
      <c r="I91" s="11" t="s">
        <v>70</v>
      </c>
      <c r="J91" s="22"/>
      <c r="K91" s="45"/>
      <c r="L91" s="45"/>
      <c r="M91" s="18">
        <v>181547</v>
      </c>
      <c r="N91" s="46">
        <v>400</v>
      </c>
      <c r="O91" s="47">
        <v>402</v>
      </c>
      <c r="P91" s="11"/>
      <c r="Q91" s="48">
        <v>400</v>
      </c>
      <c r="R91" s="12">
        <v>-2</v>
      </c>
      <c r="S91" s="12">
        <v>0</v>
      </c>
      <c r="T91" s="49">
        <v>0</v>
      </c>
      <c r="U91" s="49">
        <v>-4.9751243781094301E-3</v>
      </c>
      <c r="V91" s="11"/>
      <c r="W91" s="11"/>
      <c r="X91" s="11">
        <v>2</v>
      </c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2">
        <v>2</v>
      </c>
      <c r="AJ91" s="12">
        <v>0</v>
      </c>
      <c r="AK91" s="11"/>
      <c r="AL91" s="34">
        <v>4</v>
      </c>
    </row>
    <row r="92" spans="1:38" x14ac:dyDescent="0.3">
      <c r="A92" s="20">
        <v>2024</v>
      </c>
      <c r="B92" s="20" t="s">
        <v>62</v>
      </c>
      <c r="C92" s="28">
        <v>45317</v>
      </c>
      <c r="D92" s="16" t="s">
        <v>68</v>
      </c>
      <c r="E92" s="29" t="s">
        <v>52</v>
      </c>
      <c r="F92" s="23" t="s">
        <v>69</v>
      </c>
      <c r="G92" s="10"/>
      <c r="H92" s="10" t="s">
        <v>70</v>
      </c>
      <c r="I92" s="10" t="s">
        <v>70</v>
      </c>
      <c r="J92" s="24"/>
      <c r="K92" s="40"/>
      <c r="L92" s="40"/>
      <c r="M92" s="16">
        <v>181815</v>
      </c>
      <c r="N92" s="41">
        <v>30</v>
      </c>
      <c r="O92" s="42">
        <v>30</v>
      </c>
      <c r="P92" s="10"/>
      <c r="Q92" s="43">
        <v>30</v>
      </c>
      <c r="R92" s="13">
        <v>0</v>
      </c>
      <c r="S92" s="13">
        <v>0</v>
      </c>
      <c r="T92" s="44">
        <v>0</v>
      </c>
      <c r="U92" s="44">
        <v>0</v>
      </c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3">
        <v>0</v>
      </c>
      <c r="AJ92" s="13">
        <v>0</v>
      </c>
      <c r="AK92" s="10"/>
      <c r="AL92" s="30">
        <v>4</v>
      </c>
    </row>
    <row r="93" spans="1:38" x14ac:dyDescent="0.3">
      <c r="A93" s="19">
        <v>2024</v>
      </c>
      <c r="B93" s="19" t="s">
        <v>62</v>
      </c>
      <c r="C93" s="31">
        <v>45317</v>
      </c>
      <c r="D93" s="18" t="s">
        <v>68</v>
      </c>
      <c r="E93" s="32" t="s">
        <v>52</v>
      </c>
      <c r="F93" s="33" t="s">
        <v>69</v>
      </c>
      <c r="G93" s="11"/>
      <c r="H93" s="11" t="s">
        <v>70</v>
      </c>
      <c r="I93" s="11" t="s">
        <v>70</v>
      </c>
      <c r="J93" s="22"/>
      <c r="K93" s="45"/>
      <c r="L93" s="45"/>
      <c r="M93" s="18">
        <v>181814</v>
      </c>
      <c r="N93" s="46">
        <v>190</v>
      </c>
      <c r="O93" s="47">
        <v>191</v>
      </c>
      <c r="P93" s="11"/>
      <c r="Q93" s="48">
        <v>190</v>
      </c>
      <c r="R93" s="12">
        <v>-1</v>
      </c>
      <c r="S93" s="12">
        <v>0</v>
      </c>
      <c r="T93" s="49">
        <v>0</v>
      </c>
      <c r="U93" s="49">
        <v>-5.2356020942407877E-3</v>
      </c>
      <c r="V93" s="11"/>
      <c r="W93" s="11"/>
      <c r="X93" s="11">
        <v>1</v>
      </c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2">
        <v>1</v>
      </c>
      <c r="AJ93" s="12">
        <v>0</v>
      </c>
      <c r="AK93" s="11"/>
      <c r="AL93" s="34">
        <v>4</v>
      </c>
    </row>
    <row r="94" spans="1:38" x14ac:dyDescent="0.3">
      <c r="A94" s="20">
        <v>2024</v>
      </c>
      <c r="B94" s="20" t="s">
        <v>62</v>
      </c>
      <c r="C94" s="28">
        <v>45317</v>
      </c>
      <c r="D94" s="16" t="s">
        <v>68</v>
      </c>
      <c r="E94" s="29" t="s">
        <v>52</v>
      </c>
      <c r="F94" s="23" t="s">
        <v>69</v>
      </c>
      <c r="G94" s="10"/>
      <c r="H94" s="10" t="s">
        <v>70</v>
      </c>
      <c r="I94" s="10" t="s">
        <v>70</v>
      </c>
      <c r="J94" s="24"/>
      <c r="K94" s="40"/>
      <c r="L94" s="40"/>
      <c r="M94" s="16">
        <v>181850</v>
      </c>
      <c r="N94" s="41">
        <v>310</v>
      </c>
      <c r="O94" s="42">
        <v>310</v>
      </c>
      <c r="P94" s="10"/>
      <c r="Q94" s="43">
        <v>310</v>
      </c>
      <c r="R94" s="13">
        <v>0</v>
      </c>
      <c r="S94" s="13">
        <v>0</v>
      </c>
      <c r="T94" s="44">
        <v>0</v>
      </c>
      <c r="U94" s="44">
        <v>0</v>
      </c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3">
        <v>0</v>
      </c>
      <c r="AJ94" s="13">
        <v>0</v>
      </c>
      <c r="AK94" s="10"/>
      <c r="AL94" s="30">
        <v>4</v>
      </c>
    </row>
    <row r="95" spans="1:38" x14ac:dyDescent="0.3">
      <c r="A95" s="20">
        <v>2024</v>
      </c>
      <c r="B95" s="20" t="s">
        <v>62</v>
      </c>
      <c r="C95" s="28">
        <v>45317</v>
      </c>
      <c r="D95" s="16" t="s">
        <v>68</v>
      </c>
      <c r="E95" s="29" t="s">
        <v>52</v>
      </c>
      <c r="F95" s="23" t="s">
        <v>69</v>
      </c>
      <c r="G95" s="10"/>
      <c r="H95" s="10" t="s">
        <v>70</v>
      </c>
      <c r="I95" s="10" t="s">
        <v>70</v>
      </c>
      <c r="J95" s="24"/>
      <c r="K95" s="40"/>
      <c r="L95" s="40"/>
      <c r="M95" s="16">
        <v>181816</v>
      </c>
      <c r="N95" s="41">
        <v>70</v>
      </c>
      <c r="O95" s="42">
        <v>70</v>
      </c>
      <c r="P95" s="10"/>
      <c r="Q95" s="43">
        <v>70</v>
      </c>
      <c r="R95" s="13">
        <v>0</v>
      </c>
      <c r="S95" s="13">
        <v>0</v>
      </c>
      <c r="T95" s="44">
        <v>0</v>
      </c>
      <c r="U95" s="44">
        <v>0</v>
      </c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3">
        <v>0</v>
      </c>
      <c r="AJ95" s="13">
        <v>0</v>
      </c>
      <c r="AK95" s="10"/>
      <c r="AL95" s="30">
        <v>4</v>
      </c>
    </row>
    <row r="96" spans="1:38" x14ac:dyDescent="0.3">
      <c r="A96" s="19">
        <v>2024</v>
      </c>
      <c r="B96" s="19" t="s">
        <v>62</v>
      </c>
      <c r="C96" s="31">
        <v>45317</v>
      </c>
      <c r="D96" s="35" t="s">
        <v>143</v>
      </c>
      <c r="E96" s="32" t="s">
        <v>52</v>
      </c>
      <c r="F96" s="33" t="s">
        <v>59</v>
      </c>
      <c r="G96" s="11"/>
      <c r="H96" s="11" t="s">
        <v>58</v>
      </c>
      <c r="I96" s="11" t="s">
        <v>144</v>
      </c>
      <c r="J96" s="22"/>
      <c r="K96" s="45"/>
      <c r="L96" s="45"/>
      <c r="M96" s="18">
        <v>181116</v>
      </c>
      <c r="N96" s="46">
        <v>3770</v>
      </c>
      <c r="O96" s="47">
        <v>3783</v>
      </c>
      <c r="P96" s="11"/>
      <c r="Q96" s="48">
        <v>3770</v>
      </c>
      <c r="R96" s="12">
        <v>-13</v>
      </c>
      <c r="S96" s="12">
        <v>0</v>
      </c>
      <c r="T96" s="49">
        <v>0</v>
      </c>
      <c r="U96" s="49">
        <v>-3.4364261168384758E-3</v>
      </c>
      <c r="V96" s="11"/>
      <c r="W96" s="11"/>
      <c r="X96" s="11">
        <v>13</v>
      </c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2">
        <v>13</v>
      </c>
      <c r="AJ96" s="12">
        <v>0</v>
      </c>
      <c r="AK96" s="11"/>
      <c r="AL96" s="34">
        <v>4</v>
      </c>
    </row>
    <row r="97" spans="1:38" x14ac:dyDescent="0.3">
      <c r="A97" s="19">
        <v>2024</v>
      </c>
      <c r="B97" s="19" t="s">
        <v>62</v>
      </c>
      <c r="C97" s="31">
        <v>45317</v>
      </c>
      <c r="D97" s="18" t="s">
        <v>56</v>
      </c>
      <c r="E97" s="32" t="s">
        <v>52</v>
      </c>
      <c r="F97" s="33" t="s">
        <v>57</v>
      </c>
      <c r="G97" s="11"/>
      <c r="H97" s="11" t="s">
        <v>58</v>
      </c>
      <c r="I97" s="11" t="s">
        <v>145</v>
      </c>
      <c r="J97" s="22"/>
      <c r="K97" s="45"/>
      <c r="L97" s="45"/>
      <c r="M97" s="18">
        <v>181109</v>
      </c>
      <c r="N97" s="46">
        <v>980</v>
      </c>
      <c r="O97" s="47">
        <v>986</v>
      </c>
      <c r="P97" s="11"/>
      <c r="Q97" s="48">
        <v>980</v>
      </c>
      <c r="R97" s="12">
        <v>-6</v>
      </c>
      <c r="S97" s="12">
        <v>0</v>
      </c>
      <c r="T97" s="49">
        <v>0</v>
      </c>
      <c r="U97" s="49">
        <v>-6.0851926977687487E-3</v>
      </c>
      <c r="V97" s="11"/>
      <c r="W97" s="11"/>
      <c r="X97" s="11">
        <v>2</v>
      </c>
      <c r="Y97" s="11"/>
      <c r="Z97" s="11"/>
      <c r="AA97" s="11"/>
      <c r="AB97" s="11">
        <v>4</v>
      </c>
      <c r="AC97" s="11"/>
      <c r="AD97" s="11"/>
      <c r="AE97" s="11"/>
      <c r="AF97" s="11"/>
      <c r="AG97" s="11"/>
      <c r="AH97" s="11"/>
      <c r="AI97" s="12">
        <v>6</v>
      </c>
      <c r="AJ97" s="12">
        <v>0</v>
      </c>
      <c r="AK97" s="11"/>
      <c r="AL97" s="34" t="s">
        <v>146</v>
      </c>
    </row>
    <row r="98" spans="1:38" x14ac:dyDescent="0.3">
      <c r="A98" s="19">
        <v>2024</v>
      </c>
      <c r="B98" s="19" t="s">
        <v>62</v>
      </c>
      <c r="C98" s="31">
        <v>45317</v>
      </c>
      <c r="D98" s="18" t="s">
        <v>56</v>
      </c>
      <c r="E98" s="32" t="s">
        <v>52</v>
      </c>
      <c r="F98" s="33" t="s">
        <v>57</v>
      </c>
      <c r="G98" s="11"/>
      <c r="H98" s="11" t="s">
        <v>58</v>
      </c>
      <c r="I98" s="11" t="s">
        <v>147</v>
      </c>
      <c r="J98" s="22"/>
      <c r="K98" s="45"/>
      <c r="L98" s="45"/>
      <c r="M98" s="18">
        <v>181111</v>
      </c>
      <c r="N98" s="46">
        <v>2250</v>
      </c>
      <c r="O98" s="47">
        <v>2264</v>
      </c>
      <c r="P98" s="11"/>
      <c r="Q98" s="48">
        <v>2250</v>
      </c>
      <c r="R98" s="12">
        <v>-14</v>
      </c>
      <c r="S98" s="12">
        <v>0</v>
      </c>
      <c r="T98" s="49">
        <v>0</v>
      </c>
      <c r="U98" s="49">
        <v>-6.1837455830389132E-3</v>
      </c>
      <c r="V98" s="11"/>
      <c r="W98" s="11"/>
      <c r="X98" s="11">
        <v>14</v>
      </c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2">
        <v>14</v>
      </c>
      <c r="AJ98" s="12">
        <v>0</v>
      </c>
      <c r="AK98" s="11"/>
      <c r="AL98" s="34">
        <v>4</v>
      </c>
    </row>
    <row r="99" spans="1:38" x14ac:dyDescent="0.3">
      <c r="A99" s="20">
        <v>2024</v>
      </c>
      <c r="B99" s="20" t="s">
        <v>62</v>
      </c>
      <c r="C99" s="28">
        <v>45317</v>
      </c>
      <c r="D99" s="16" t="s">
        <v>56</v>
      </c>
      <c r="E99" s="29" t="s">
        <v>52</v>
      </c>
      <c r="F99" s="23" t="s">
        <v>57</v>
      </c>
      <c r="G99" s="10"/>
      <c r="H99" s="10" t="s">
        <v>58</v>
      </c>
      <c r="I99" s="10" t="s">
        <v>60</v>
      </c>
      <c r="J99" s="24"/>
      <c r="K99" s="40"/>
      <c r="L99" s="40"/>
      <c r="M99" s="16">
        <v>181119</v>
      </c>
      <c r="N99" s="41">
        <v>750</v>
      </c>
      <c r="O99" s="42">
        <v>750</v>
      </c>
      <c r="P99" s="10"/>
      <c r="Q99" s="43">
        <v>750</v>
      </c>
      <c r="R99" s="13">
        <v>0</v>
      </c>
      <c r="S99" s="13">
        <v>0</v>
      </c>
      <c r="T99" s="44">
        <v>0</v>
      </c>
      <c r="U99" s="44">
        <v>0</v>
      </c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3">
        <v>0</v>
      </c>
      <c r="AJ99" s="13">
        <v>0</v>
      </c>
      <c r="AK99" s="10"/>
      <c r="AL99" s="30">
        <v>4</v>
      </c>
    </row>
    <row r="100" spans="1:38" x14ac:dyDescent="0.3">
      <c r="A100" s="20">
        <v>2024</v>
      </c>
      <c r="B100" s="20" t="s">
        <v>62</v>
      </c>
      <c r="C100" s="28">
        <v>45317</v>
      </c>
      <c r="D100" s="16" t="s">
        <v>56</v>
      </c>
      <c r="E100" s="29" t="s">
        <v>52</v>
      </c>
      <c r="F100" s="23" t="s">
        <v>57</v>
      </c>
      <c r="G100" s="10"/>
      <c r="H100" s="10" t="s">
        <v>58</v>
      </c>
      <c r="I100" s="10" t="s">
        <v>148</v>
      </c>
      <c r="J100" s="24"/>
      <c r="K100" s="40"/>
      <c r="L100" s="40"/>
      <c r="M100" s="16">
        <v>181122</v>
      </c>
      <c r="N100" s="41">
        <v>520</v>
      </c>
      <c r="O100" s="42">
        <v>520</v>
      </c>
      <c r="P100" s="10"/>
      <c r="Q100" s="43">
        <v>520</v>
      </c>
      <c r="R100" s="13">
        <v>0</v>
      </c>
      <c r="S100" s="13">
        <v>0</v>
      </c>
      <c r="T100" s="44">
        <v>0</v>
      </c>
      <c r="U100" s="44">
        <v>0</v>
      </c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3">
        <v>0</v>
      </c>
      <c r="AJ100" s="13">
        <v>0</v>
      </c>
      <c r="AK100" s="10"/>
      <c r="AL100" s="30">
        <v>4</v>
      </c>
    </row>
    <row r="101" spans="1:38" x14ac:dyDescent="0.3">
      <c r="A101" s="19">
        <v>2024</v>
      </c>
      <c r="B101" s="19" t="s">
        <v>62</v>
      </c>
      <c r="C101" s="31">
        <v>45317</v>
      </c>
      <c r="D101" s="18" t="s">
        <v>56</v>
      </c>
      <c r="E101" s="32" t="s">
        <v>52</v>
      </c>
      <c r="F101" s="33" t="s">
        <v>57</v>
      </c>
      <c r="G101" s="11"/>
      <c r="H101" s="11" t="s">
        <v>58</v>
      </c>
      <c r="I101" s="11" t="s">
        <v>149</v>
      </c>
      <c r="J101" s="22"/>
      <c r="K101" s="45"/>
      <c r="L101" s="45"/>
      <c r="M101" s="18">
        <v>181264</v>
      </c>
      <c r="N101" s="46">
        <v>2100</v>
      </c>
      <c r="O101" s="47">
        <v>2121</v>
      </c>
      <c r="P101" s="11"/>
      <c r="Q101" s="48">
        <v>2100</v>
      </c>
      <c r="R101" s="12">
        <v>-21</v>
      </c>
      <c r="S101" s="12">
        <v>0</v>
      </c>
      <c r="T101" s="49">
        <v>0</v>
      </c>
      <c r="U101" s="49">
        <v>-9.9009900990099098E-3</v>
      </c>
      <c r="V101" s="11"/>
      <c r="W101" s="11"/>
      <c r="X101" s="11"/>
      <c r="Y101" s="11"/>
      <c r="Z101" s="11"/>
      <c r="AA101" s="11"/>
      <c r="AB101" s="11">
        <v>21</v>
      </c>
      <c r="AC101" s="11"/>
      <c r="AD101" s="11"/>
      <c r="AE101" s="11"/>
      <c r="AF101" s="11"/>
      <c r="AG101" s="11"/>
      <c r="AH101" s="11"/>
      <c r="AI101" s="12">
        <v>21</v>
      </c>
      <c r="AJ101" s="12">
        <v>0</v>
      </c>
      <c r="AK101" s="11"/>
      <c r="AL101" s="34">
        <v>4</v>
      </c>
    </row>
    <row r="102" spans="1:38" x14ac:dyDescent="0.3">
      <c r="A102" s="19">
        <v>2024</v>
      </c>
      <c r="B102" s="19" t="s">
        <v>62</v>
      </c>
      <c r="C102" s="31">
        <v>45317</v>
      </c>
      <c r="D102" s="18" t="s">
        <v>56</v>
      </c>
      <c r="E102" s="32" t="s">
        <v>52</v>
      </c>
      <c r="F102" s="33" t="s">
        <v>57</v>
      </c>
      <c r="G102" s="11"/>
      <c r="H102" s="11" t="s">
        <v>58</v>
      </c>
      <c r="I102" s="11" t="s">
        <v>150</v>
      </c>
      <c r="J102" s="22"/>
      <c r="K102" s="45"/>
      <c r="L102" s="45"/>
      <c r="M102" s="18">
        <v>181265</v>
      </c>
      <c r="N102" s="46">
        <v>2000</v>
      </c>
      <c r="O102" s="47">
        <v>2020</v>
      </c>
      <c r="P102" s="11"/>
      <c r="Q102" s="48">
        <v>2000</v>
      </c>
      <c r="R102" s="12">
        <v>-20</v>
      </c>
      <c r="S102" s="12">
        <v>0</v>
      </c>
      <c r="T102" s="49">
        <v>0</v>
      </c>
      <c r="U102" s="49">
        <v>-9.9009900990099098E-3</v>
      </c>
      <c r="V102" s="11"/>
      <c r="W102" s="11"/>
      <c r="X102" s="11">
        <v>2</v>
      </c>
      <c r="Y102" s="11"/>
      <c r="Z102" s="11"/>
      <c r="AA102" s="11"/>
      <c r="AB102" s="11">
        <v>18</v>
      </c>
      <c r="AC102" s="11"/>
      <c r="AD102" s="11"/>
      <c r="AE102" s="11"/>
      <c r="AF102" s="11"/>
      <c r="AG102" s="11"/>
      <c r="AH102" s="11"/>
      <c r="AI102" s="12">
        <v>20</v>
      </c>
      <c r="AJ102" s="12">
        <v>0</v>
      </c>
      <c r="AK102" s="11"/>
      <c r="AL102" s="34">
        <v>4</v>
      </c>
    </row>
    <row r="103" spans="1:38" x14ac:dyDescent="0.3">
      <c r="A103" s="19">
        <v>2024</v>
      </c>
      <c r="B103" s="19" t="s">
        <v>62</v>
      </c>
      <c r="C103" s="31">
        <v>45317</v>
      </c>
      <c r="D103" s="35" t="s">
        <v>143</v>
      </c>
      <c r="E103" s="32" t="s">
        <v>52</v>
      </c>
      <c r="F103" s="33" t="s">
        <v>59</v>
      </c>
      <c r="G103" s="11"/>
      <c r="H103" s="11" t="s">
        <v>58</v>
      </c>
      <c r="I103" s="11" t="s">
        <v>151</v>
      </c>
      <c r="J103" s="22"/>
      <c r="K103" s="45"/>
      <c r="L103" s="45"/>
      <c r="M103" s="18">
        <v>181113</v>
      </c>
      <c r="N103" s="46">
        <v>1440</v>
      </c>
      <c r="O103" s="47">
        <v>1449</v>
      </c>
      <c r="P103" s="11"/>
      <c r="Q103" s="48">
        <v>1440</v>
      </c>
      <c r="R103" s="12">
        <v>-9</v>
      </c>
      <c r="S103" s="12">
        <v>0</v>
      </c>
      <c r="T103" s="49">
        <v>0</v>
      </c>
      <c r="U103" s="49">
        <v>-6.2111801242236142E-3</v>
      </c>
      <c r="V103" s="11"/>
      <c r="W103" s="11"/>
      <c r="X103" s="11">
        <v>9</v>
      </c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2">
        <v>9</v>
      </c>
      <c r="AJ103" s="12">
        <v>0</v>
      </c>
      <c r="AK103" s="11"/>
      <c r="AL103" s="34">
        <v>4</v>
      </c>
    </row>
    <row r="104" spans="1:38" x14ac:dyDescent="0.3">
      <c r="A104" s="19">
        <v>2024</v>
      </c>
      <c r="B104" s="19" t="s">
        <v>62</v>
      </c>
      <c r="C104" s="31">
        <v>45317</v>
      </c>
      <c r="D104" s="18" t="s">
        <v>56</v>
      </c>
      <c r="E104" s="32" t="s">
        <v>52</v>
      </c>
      <c r="F104" s="33" t="s">
        <v>57</v>
      </c>
      <c r="G104" s="11"/>
      <c r="H104" s="11" t="s">
        <v>58</v>
      </c>
      <c r="I104" s="11" t="s">
        <v>152</v>
      </c>
      <c r="J104" s="22"/>
      <c r="K104" s="45"/>
      <c r="L104" s="45"/>
      <c r="M104" s="18">
        <v>181114</v>
      </c>
      <c r="N104" s="46">
        <v>3750</v>
      </c>
      <c r="O104" s="47">
        <v>3768</v>
      </c>
      <c r="P104" s="11"/>
      <c r="Q104" s="48">
        <v>3750</v>
      </c>
      <c r="R104" s="12">
        <v>-18</v>
      </c>
      <c r="S104" s="12">
        <v>0</v>
      </c>
      <c r="T104" s="49">
        <v>0</v>
      </c>
      <c r="U104" s="49">
        <v>-4.777070063694322E-3</v>
      </c>
      <c r="V104" s="11"/>
      <c r="W104" s="11"/>
      <c r="X104" s="11">
        <v>18</v>
      </c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2">
        <v>18</v>
      </c>
      <c r="AJ104" s="12">
        <v>0</v>
      </c>
      <c r="AK104" s="11"/>
      <c r="AL104" s="34">
        <v>4</v>
      </c>
    </row>
    <row r="105" spans="1:38" x14ac:dyDescent="0.3">
      <c r="A105" s="19">
        <v>2024</v>
      </c>
      <c r="B105" s="19" t="s">
        <v>62</v>
      </c>
      <c r="C105" s="31">
        <v>45317</v>
      </c>
      <c r="D105" s="18" t="s">
        <v>56</v>
      </c>
      <c r="E105" s="32" t="s">
        <v>52</v>
      </c>
      <c r="F105" s="33" t="s">
        <v>57</v>
      </c>
      <c r="G105" s="11"/>
      <c r="H105" s="11" t="s">
        <v>58</v>
      </c>
      <c r="I105" s="11" t="s">
        <v>153</v>
      </c>
      <c r="J105" s="22"/>
      <c r="K105" s="45"/>
      <c r="L105" s="45"/>
      <c r="M105" s="18">
        <v>181268</v>
      </c>
      <c r="N105" s="46">
        <v>403</v>
      </c>
      <c r="O105" s="47">
        <v>405</v>
      </c>
      <c r="P105" s="11"/>
      <c r="Q105" s="48">
        <v>403</v>
      </c>
      <c r="R105" s="12">
        <v>-2</v>
      </c>
      <c r="S105" s="12">
        <v>0</v>
      </c>
      <c r="T105" s="49">
        <v>0</v>
      </c>
      <c r="U105" s="49">
        <v>-4.9382716049383157E-3</v>
      </c>
      <c r="V105" s="11"/>
      <c r="W105" s="11"/>
      <c r="X105" s="11"/>
      <c r="Y105" s="11"/>
      <c r="Z105" s="11"/>
      <c r="AA105" s="11"/>
      <c r="AB105" s="11"/>
      <c r="AC105" s="11"/>
      <c r="AD105" s="11"/>
      <c r="AE105" s="11">
        <v>2</v>
      </c>
      <c r="AF105" s="11"/>
      <c r="AG105" s="11"/>
      <c r="AH105" s="11"/>
      <c r="AI105" s="12">
        <v>2</v>
      </c>
      <c r="AJ105" s="12">
        <v>0</v>
      </c>
      <c r="AK105" s="11"/>
      <c r="AL105" s="34">
        <v>4</v>
      </c>
    </row>
    <row r="106" spans="1:38" x14ac:dyDescent="0.3">
      <c r="A106" s="19">
        <v>2024</v>
      </c>
      <c r="B106" s="19" t="s">
        <v>62</v>
      </c>
      <c r="C106" s="31">
        <v>45317</v>
      </c>
      <c r="D106" s="18" t="s">
        <v>56</v>
      </c>
      <c r="E106" s="32" t="s">
        <v>52</v>
      </c>
      <c r="F106" s="33" t="s">
        <v>57</v>
      </c>
      <c r="G106" s="11"/>
      <c r="H106" s="11" t="s">
        <v>58</v>
      </c>
      <c r="I106" s="11" t="s">
        <v>154</v>
      </c>
      <c r="J106" s="22"/>
      <c r="K106" s="45"/>
      <c r="L106" s="45"/>
      <c r="M106" s="18">
        <v>181269</v>
      </c>
      <c r="N106" s="46">
        <v>403</v>
      </c>
      <c r="O106" s="47">
        <v>422</v>
      </c>
      <c r="P106" s="11"/>
      <c r="Q106" s="48">
        <v>403</v>
      </c>
      <c r="R106" s="12">
        <v>-19</v>
      </c>
      <c r="S106" s="12">
        <v>0</v>
      </c>
      <c r="T106" s="49">
        <v>0</v>
      </c>
      <c r="U106" s="49">
        <v>-4.502369668246442E-2</v>
      </c>
      <c r="V106" s="11"/>
      <c r="W106" s="11"/>
      <c r="X106" s="11"/>
      <c r="Y106" s="11"/>
      <c r="Z106" s="11"/>
      <c r="AA106" s="11">
        <v>17</v>
      </c>
      <c r="AB106" s="11"/>
      <c r="AC106" s="11"/>
      <c r="AD106" s="11"/>
      <c r="AE106" s="11">
        <v>2</v>
      </c>
      <c r="AF106" s="11"/>
      <c r="AG106" s="11"/>
      <c r="AH106" s="11"/>
      <c r="AI106" s="12">
        <v>19</v>
      </c>
      <c r="AJ106" s="12">
        <v>0</v>
      </c>
      <c r="AK106" s="11"/>
      <c r="AL106" s="34">
        <v>4</v>
      </c>
    </row>
    <row r="107" spans="1:38" x14ac:dyDescent="0.3">
      <c r="A107" s="19">
        <v>2024</v>
      </c>
      <c r="B107" s="19" t="s">
        <v>62</v>
      </c>
      <c r="C107" s="31">
        <v>45317</v>
      </c>
      <c r="D107" s="18" t="s">
        <v>56</v>
      </c>
      <c r="E107" s="32" t="s">
        <v>52</v>
      </c>
      <c r="F107" s="33" t="s">
        <v>57</v>
      </c>
      <c r="G107" s="11"/>
      <c r="H107" s="11" t="s">
        <v>58</v>
      </c>
      <c r="I107" s="11" t="s">
        <v>155</v>
      </c>
      <c r="J107" s="22"/>
      <c r="K107" s="45"/>
      <c r="L107" s="45"/>
      <c r="M107" s="18">
        <v>181270</v>
      </c>
      <c r="N107" s="46">
        <v>342</v>
      </c>
      <c r="O107" s="47">
        <v>343</v>
      </c>
      <c r="P107" s="11"/>
      <c r="Q107" s="48">
        <v>342</v>
      </c>
      <c r="R107" s="12">
        <v>-1</v>
      </c>
      <c r="S107" s="12">
        <v>0</v>
      </c>
      <c r="T107" s="49">
        <v>0</v>
      </c>
      <c r="U107" s="49">
        <v>-2.9154518950437192E-3</v>
      </c>
      <c r="V107" s="11"/>
      <c r="W107" s="11"/>
      <c r="X107" s="11"/>
      <c r="Y107" s="11"/>
      <c r="Z107" s="11"/>
      <c r="AA107" s="11"/>
      <c r="AB107" s="11"/>
      <c r="AC107" s="11"/>
      <c r="AD107" s="11"/>
      <c r="AE107" s="11">
        <v>1</v>
      </c>
      <c r="AF107" s="11"/>
      <c r="AG107" s="11"/>
      <c r="AH107" s="11"/>
      <c r="AI107" s="12">
        <v>1</v>
      </c>
      <c r="AJ107" s="12">
        <v>0</v>
      </c>
      <c r="AK107" s="11"/>
      <c r="AL107" s="34">
        <v>4</v>
      </c>
    </row>
    <row r="108" spans="1:38" x14ac:dyDescent="0.3">
      <c r="A108" s="19">
        <v>2024</v>
      </c>
      <c r="B108" s="19" t="s">
        <v>62</v>
      </c>
      <c r="C108" s="31">
        <v>45317</v>
      </c>
      <c r="D108" s="18" t="s">
        <v>56</v>
      </c>
      <c r="E108" s="32" t="s">
        <v>52</v>
      </c>
      <c r="F108" s="33" t="s">
        <v>57</v>
      </c>
      <c r="G108" s="11"/>
      <c r="H108" s="11" t="s">
        <v>58</v>
      </c>
      <c r="I108" s="11" t="s">
        <v>156</v>
      </c>
      <c r="J108" s="22"/>
      <c r="K108" s="45"/>
      <c r="L108" s="45"/>
      <c r="M108" s="18">
        <v>181271</v>
      </c>
      <c r="N108" s="46">
        <v>61</v>
      </c>
      <c r="O108" s="47">
        <v>62</v>
      </c>
      <c r="P108" s="11"/>
      <c r="Q108" s="48">
        <v>61</v>
      </c>
      <c r="R108" s="12">
        <v>-1</v>
      </c>
      <c r="S108" s="12">
        <v>0</v>
      </c>
      <c r="T108" s="49">
        <v>0</v>
      </c>
      <c r="U108" s="49">
        <v>-1.6129032258064502E-2</v>
      </c>
      <c r="V108" s="11"/>
      <c r="W108" s="11"/>
      <c r="X108" s="11"/>
      <c r="Y108" s="11"/>
      <c r="Z108" s="11"/>
      <c r="AA108" s="11"/>
      <c r="AB108" s="11"/>
      <c r="AC108" s="11"/>
      <c r="AD108" s="11"/>
      <c r="AE108" s="11">
        <v>1</v>
      </c>
      <c r="AF108" s="11"/>
      <c r="AG108" s="11"/>
      <c r="AH108" s="11"/>
      <c r="AI108" s="12">
        <v>1</v>
      </c>
      <c r="AJ108" s="12">
        <v>0</v>
      </c>
      <c r="AK108" s="11"/>
      <c r="AL108" s="34">
        <v>4</v>
      </c>
    </row>
    <row r="109" spans="1:38" x14ac:dyDescent="0.3">
      <c r="A109" s="19">
        <v>2024</v>
      </c>
      <c r="B109" s="19" t="s">
        <v>62</v>
      </c>
      <c r="C109" s="31">
        <v>45317</v>
      </c>
      <c r="D109" s="35" t="s">
        <v>143</v>
      </c>
      <c r="E109" s="32" t="s">
        <v>52</v>
      </c>
      <c r="F109" s="33" t="s">
        <v>59</v>
      </c>
      <c r="G109" s="11"/>
      <c r="H109" s="11" t="s">
        <v>58</v>
      </c>
      <c r="I109" s="11" t="s">
        <v>157</v>
      </c>
      <c r="J109" s="22"/>
      <c r="K109" s="45"/>
      <c r="L109" s="45"/>
      <c r="M109" s="18">
        <v>181112</v>
      </c>
      <c r="N109" s="46">
        <v>1060</v>
      </c>
      <c r="O109" s="47">
        <v>1074</v>
      </c>
      <c r="P109" s="11"/>
      <c r="Q109" s="48">
        <v>1060</v>
      </c>
      <c r="R109" s="12">
        <v>-14</v>
      </c>
      <c r="S109" s="12">
        <v>0</v>
      </c>
      <c r="T109" s="49">
        <v>0</v>
      </c>
      <c r="U109" s="49">
        <v>-1.3035381750465591E-2</v>
      </c>
      <c r="V109" s="11"/>
      <c r="W109" s="11"/>
      <c r="X109" s="11">
        <v>14</v>
      </c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2">
        <v>14</v>
      </c>
      <c r="AJ109" s="12">
        <v>0</v>
      </c>
      <c r="AK109" s="11"/>
      <c r="AL109" s="34">
        <v>4</v>
      </c>
    </row>
  </sheetData>
  <autoFilter ref="A2:AL109" xr:uid="{FD101B4B-D61C-40E6-9988-380017F0EFD5}"/>
  <mergeCells count="1">
    <mergeCell ref="A1:AL1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{HOME}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2024-06-26T08:39:04Z</dcterms:created>
  <dcterms:modified xsi:type="dcterms:W3CDTF">2025-01-14T07:11:43Z</dcterms:modified>
</cp:coreProperties>
</file>